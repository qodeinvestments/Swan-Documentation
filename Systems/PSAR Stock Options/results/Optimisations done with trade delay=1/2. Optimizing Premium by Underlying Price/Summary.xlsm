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105" windowWidth="27795" windowHeight="12600"/>
  </bookViews>
  <sheets>
    <sheet name="Summary" sheetId="2" r:id="rId1"/>
    <sheet name="Output" sheetId="1" r:id="rId2"/>
    <sheet name="Sheet3" sheetId="3" r:id="rId3"/>
  </sheets>
  <externalReferences>
    <externalReference r:id="rId4"/>
  </externalReferences>
  <calcPr calcId="145621" calcMode="autoNoTable" iterate="1"/>
</workbook>
</file>

<file path=xl/calcChain.xml><?xml version="1.0" encoding="utf-8"?>
<calcChain xmlns="http://schemas.openxmlformats.org/spreadsheetml/2006/main">
  <c r="J17" i="2" l="1"/>
  <c r="J16" i="2"/>
  <c r="J15" i="2"/>
  <c r="J14" i="2"/>
  <c r="J13" i="2"/>
  <c r="J12" i="2"/>
  <c r="J11" i="2"/>
  <c r="J10" i="2"/>
  <c r="J9" i="2"/>
  <c r="J8" i="2"/>
  <c r="J7" i="2"/>
  <c r="I17" i="2"/>
  <c r="I16" i="2"/>
  <c r="I15" i="2"/>
  <c r="I14" i="2"/>
  <c r="I13" i="2"/>
  <c r="I12" i="2"/>
  <c r="I11" i="2"/>
  <c r="I10" i="2"/>
  <c r="I9" i="2"/>
  <c r="I8" i="2"/>
  <c r="I7" i="2"/>
  <c r="H17" i="2"/>
  <c r="H16" i="2"/>
  <c r="H15" i="2"/>
  <c r="H14" i="2"/>
  <c r="H13" i="2"/>
  <c r="H12" i="2"/>
  <c r="H11" i="2"/>
  <c r="H10" i="2"/>
  <c r="H9" i="2"/>
  <c r="H8" i="2"/>
  <c r="H7" i="2"/>
  <c r="G8" i="2"/>
  <c r="G9" i="2" s="1"/>
  <c r="G10" i="2" s="1"/>
  <c r="G11" i="2" s="1"/>
  <c r="G12" i="2" s="1"/>
  <c r="G13" i="2" s="1"/>
  <c r="G14" i="2" s="1"/>
  <c r="G15" i="2" s="1"/>
  <c r="G16" i="2" s="1"/>
  <c r="D7" i="2" l="1"/>
  <c r="D8" i="2"/>
  <c r="D9" i="2"/>
  <c r="D10" i="2"/>
  <c r="D11" i="2"/>
  <c r="D12" i="2"/>
  <c r="D13" i="2"/>
  <c r="D14" i="2"/>
  <c r="D15" i="2"/>
  <c r="D16" i="2"/>
  <c r="D17" i="2"/>
  <c r="C17" i="2"/>
  <c r="C16" i="2"/>
  <c r="C15" i="2"/>
  <c r="C14" i="2"/>
  <c r="C13" i="2"/>
  <c r="C12" i="2"/>
  <c r="C11" i="2"/>
  <c r="C10" i="2"/>
  <c r="C9" i="2"/>
  <c r="C8" i="2"/>
  <c r="C7" i="2"/>
  <c r="B17" i="2"/>
  <c r="B16" i="2"/>
  <c r="B15" i="2"/>
  <c r="B14" i="2"/>
  <c r="B13" i="2"/>
  <c r="B12" i="2"/>
  <c r="B11" i="2"/>
  <c r="B10" i="2"/>
  <c r="B9" i="2"/>
  <c r="B8" i="2"/>
  <c r="B7" i="2"/>
  <c r="A8" i="2"/>
  <c r="A9" i="2" s="1"/>
  <c r="A10" i="2" s="1"/>
  <c r="A11" i="2" s="1"/>
  <c r="A12" i="2" s="1"/>
  <c r="A13" i="2" s="1"/>
  <c r="A14" i="2" s="1"/>
  <c r="A15" i="2" s="1"/>
  <c r="A16" i="2" s="1"/>
  <c r="DR27" i="1"/>
  <c r="DP27" i="1"/>
  <c r="DN27" i="1"/>
  <c r="DG27" i="1"/>
  <c r="DE27" i="1"/>
  <c r="DC27" i="1"/>
  <c r="CV27" i="1"/>
  <c r="CT27" i="1"/>
  <c r="CR27" i="1"/>
  <c r="CK27" i="1"/>
  <c r="CI27" i="1"/>
  <c r="CG27" i="1"/>
  <c r="BZ27" i="1"/>
  <c r="BX27" i="1"/>
  <c r="BV27" i="1"/>
  <c r="BO27" i="1"/>
  <c r="BM27" i="1"/>
  <c r="BK27" i="1"/>
  <c r="BD27" i="1"/>
  <c r="BB27" i="1"/>
  <c r="AZ27" i="1"/>
  <c r="AS27" i="1"/>
  <c r="AQ27" i="1"/>
  <c r="AO27" i="1"/>
  <c r="AH27" i="1"/>
  <c r="AF27" i="1"/>
  <c r="AD27" i="1"/>
  <c r="W27" i="1"/>
  <c r="U27" i="1"/>
  <c r="S27" i="1"/>
  <c r="L27" i="1"/>
  <c r="J27" i="1"/>
  <c r="H27" i="1"/>
  <c r="DR25" i="1" l="1"/>
  <c r="DR24" i="1"/>
  <c r="DR23" i="1"/>
  <c r="DR22" i="1"/>
  <c r="DR21" i="1"/>
  <c r="DR20" i="1"/>
  <c r="DR19" i="1"/>
  <c r="DR18" i="1"/>
  <c r="DR17" i="1"/>
  <c r="DR16" i="1"/>
  <c r="DR15" i="1"/>
  <c r="DR14" i="1"/>
  <c r="DR13" i="1"/>
  <c r="DR12" i="1"/>
  <c r="DR11" i="1"/>
  <c r="DR10" i="1"/>
  <c r="DR9" i="1"/>
  <c r="DR8" i="1"/>
  <c r="DG25" i="1"/>
  <c r="DG24" i="1"/>
  <c r="DG23" i="1"/>
  <c r="DG22" i="1"/>
  <c r="DG21" i="1"/>
  <c r="DG20" i="1"/>
  <c r="DG19" i="1"/>
  <c r="DG18" i="1"/>
  <c r="DG17" i="1"/>
  <c r="DG16" i="1"/>
  <c r="DG15" i="1"/>
  <c r="DG14" i="1"/>
  <c r="DG13" i="1"/>
  <c r="DG12" i="1"/>
  <c r="DG11" i="1"/>
  <c r="DG10" i="1"/>
  <c r="DG9" i="1"/>
  <c r="DG8" i="1"/>
  <c r="CV25" i="1"/>
  <c r="CV24" i="1"/>
  <c r="CV23" i="1"/>
  <c r="CV22" i="1"/>
  <c r="CV21" i="1"/>
  <c r="CV20" i="1"/>
  <c r="CV19" i="1"/>
  <c r="CV18" i="1"/>
  <c r="CV17" i="1"/>
  <c r="CV16" i="1"/>
  <c r="CV15" i="1"/>
  <c r="CV14" i="1"/>
  <c r="CV13" i="1"/>
  <c r="CV12" i="1"/>
  <c r="CV11" i="1"/>
  <c r="CV10" i="1"/>
  <c r="CV9" i="1"/>
  <c r="CV8" i="1"/>
  <c r="CK25" i="1"/>
  <c r="CK24" i="1"/>
  <c r="CK23" i="1"/>
  <c r="CK22" i="1"/>
  <c r="CK21" i="1"/>
  <c r="CK20" i="1"/>
  <c r="CK19" i="1"/>
  <c r="CK18" i="1"/>
  <c r="CK17" i="1"/>
  <c r="CK16" i="1"/>
  <c r="CK15" i="1"/>
  <c r="CK14" i="1"/>
  <c r="CK13" i="1"/>
  <c r="CK12" i="1"/>
  <c r="CK11" i="1"/>
  <c r="CK10" i="1"/>
  <c r="CK9" i="1"/>
  <c r="CK8" i="1"/>
  <c r="BZ25" i="1" l="1"/>
  <c r="BZ24" i="1"/>
  <c r="BZ23" i="1"/>
  <c r="BZ22" i="1"/>
  <c r="BZ21" i="1"/>
  <c r="BZ20" i="1"/>
  <c r="BZ19" i="1"/>
  <c r="BZ18" i="1"/>
  <c r="BZ17" i="1"/>
  <c r="BZ16" i="1"/>
  <c r="BZ15" i="1"/>
  <c r="BZ14" i="1"/>
  <c r="BZ13" i="1"/>
  <c r="BZ12" i="1"/>
  <c r="BZ11" i="1"/>
  <c r="BZ10" i="1"/>
  <c r="BZ9" i="1"/>
  <c r="BZ8" i="1"/>
  <c r="BO25" i="1"/>
  <c r="BO24" i="1"/>
  <c r="BO23" i="1"/>
  <c r="BO22" i="1"/>
  <c r="BO21" i="1"/>
  <c r="BO20" i="1"/>
  <c r="BO19" i="1"/>
  <c r="BO18" i="1"/>
  <c r="BO17" i="1"/>
  <c r="BO16" i="1"/>
  <c r="BO15" i="1"/>
  <c r="BO14" i="1"/>
  <c r="BO13" i="1"/>
  <c r="BO12" i="1"/>
  <c r="BO11" i="1"/>
  <c r="BO10" i="1"/>
  <c r="BO9" i="1"/>
  <c r="BO8" i="1"/>
  <c r="BD25" i="1"/>
  <c r="BD24" i="1"/>
  <c r="BD23" i="1"/>
  <c r="BD22" i="1"/>
  <c r="BD21" i="1"/>
  <c r="BD20" i="1"/>
  <c r="BD19" i="1"/>
  <c r="BD18" i="1"/>
  <c r="BD17" i="1"/>
  <c r="BD16" i="1"/>
  <c r="BD15" i="1"/>
  <c r="BD14" i="1"/>
  <c r="BD13" i="1"/>
  <c r="BD12" i="1"/>
  <c r="BD11" i="1"/>
  <c r="BD10" i="1"/>
  <c r="BD9" i="1"/>
  <c r="BD8" i="1"/>
  <c r="AS25" i="1"/>
  <c r="AS24" i="1"/>
  <c r="AS23" i="1"/>
  <c r="AS22" i="1"/>
  <c r="AS21" i="1"/>
  <c r="AS20" i="1"/>
  <c r="AS19" i="1"/>
  <c r="AS18" i="1"/>
  <c r="AS17" i="1"/>
  <c r="AS16" i="1"/>
  <c r="AS15" i="1"/>
  <c r="AS14" i="1"/>
  <c r="AS13" i="1"/>
  <c r="AS12" i="1"/>
  <c r="AS11" i="1"/>
  <c r="AS10" i="1"/>
  <c r="AS9" i="1"/>
  <c r="AS8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H13" i="1"/>
  <c r="AH12" i="1"/>
  <c r="AH11" i="1"/>
  <c r="AH10" i="1"/>
  <c r="AH9" i="1"/>
  <c r="AH8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W11" i="1"/>
  <c r="W10" i="1"/>
  <c r="W9" i="1"/>
  <c r="W8" i="1"/>
  <c r="L25" i="1" l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</calcChain>
</file>

<file path=xl/sharedStrings.xml><?xml version="1.0" encoding="utf-8"?>
<sst xmlns="http://schemas.openxmlformats.org/spreadsheetml/2006/main" count="361" uniqueCount="52">
  <si>
    <t>Timeframe:</t>
  </si>
  <si>
    <t>15 mins</t>
  </si>
  <si>
    <t>PSAR ACC Factor:</t>
  </si>
  <si>
    <t>Delta:</t>
  </si>
  <si>
    <t>At the money</t>
  </si>
  <si>
    <t>Symbol</t>
  </si>
  <si>
    <t>PERIOD</t>
  </si>
  <si>
    <t>CAR</t>
  </si>
  <si>
    <t>Max System Drawdown</t>
  </si>
  <si>
    <t>CAR/MDD</t>
  </si>
  <si>
    <t>Start Date</t>
  </si>
  <si>
    <t>End Date</t>
  </si>
  <si>
    <t>Options</t>
  </si>
  <si>
    <t>AUBANK</t>
  </si>
  <si>
    <t>AXISBANK</t>
  </si>
  <si>
    <t>BANDHANBNK</t>
  </si>
  <si>
    <t>BANKBARODA</t>
  </si>
  <si>
    <t>FEDERALBNK</t>
  </si>
  <si>
    <t>HDFCBANK</t>
  </si>
  <si>
    <t>ICICIBANK</t>
  </si>
  <si>
    <t>IDFCFIRSTB</t>
  </si>
  <si>
    <t>INDUSINDBK</t>
  </si>
  <si>
    <t>KOTAKBANK</t>
  </si>
  <si>
    <t>PNB</t>
  </si>
  <si>
    <t>SBIN</t>
  </si>
  <si>
    <t>BANKINDIA</t>
  </si>
  <si>
    <t>CANBK</t>
  </si>
  <si>
    <t>IDBI</t>
  </si>
  <si>
    <t>RBLBANK</t>
  </si>
  <si>
    <t>UNIONBANK</t>
  </si>
  <si>
    <t>YESBANK</t>
  </si>
  <si>
    <t>more than 1% of premium / underlying</t>
  </si>
  <si>
    <t>more than 0.9% of premium / underlying</t>
  </si>
  <si>
    <t>more than 0.8% of premium / underlying</t>
  </si>
  <si>
    <t>more than 0.7% of premium / underlying</t>
  </si>
  <si>
    <t>more than 0.6% of premium / underlying</t>
  </si>
  <si>
    <t>more than 0.5% of premium / underlying</t>
  </si>
  <si>
    <t>more than 0.4% of premium / underlying</t>
  </si>
  <si>
    <t>more than 0.3% of premium / underlying</t>
  </si>
  <si>
    <t>more than 0.2% of premium / underlying</t>
  </si>
  <si>
    <t>more than 0.1% of premium / underlying</t>
  </si>
  <si>
    <t>No premium filter</t>
  </si>
  <si>
    <t>Average</t>
  </si>
  <si>
    <t>Premium%</t>
  </si>
  <si>
    <t>Average CAR</t>
  </si>
  <si>
    <t>Average Drawdown</t>
  </si>
  <si>
    <t>Average CAR/MDD</t>
  </si>
  <si>
    <t>no premium filter</t>
  </si>
  <si>
    <t>Combined Equity Curve</t>
  </si>
  <si>
    <t>Combined CAR</t>
  </si>
  <si>
    <t>Combined Drawdown</t>
  </si>
  <si>
    <t>Combined CAR/MDD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</si>
</sst>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#,##0.000_);\(#,##0.000\);\-\ "/>
    <numFmt numFmtId="166" formatCode="0.000%_);\(0.000%\)"/>
    <numFmt numFmtId="167" formatCode="#,##0.0_);\(#,##0.0\);\-\ "/>
  </numFmts>
  <fonts count="5" x14ac:knownFonts="1">
    <font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u val="singleAccounting"/>
      <sz val="11"/>
      <color indexed="9"/>
      <name val="Calibri"/>
      <family val="2"/>
      <scheme val="minor"/>
    </font>
    <font>
      <sz val="11"/>
      <color indexed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theme="5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1" xfId="0" applyBorder="1" applyAlignment="1">
      <alignment horizontal="centerContinuous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14" fontId="0" fillId="0" borderId="5" xfId="0" applyNumberFormat="1" applyBorder="1"/>
    <xf numFmtId="14" fontId="0" fillId="0" borderId="6" xfId="0" applyNumberFormat="1" applyBorder="1"/>
    <xf numFmtId="10" fontId="0" fillId="0" borderId="2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14" fontId="0" fillId="0" borderId="7" xfId="0" applyNumberFormat="1" applyBorder="1"/>
    <xf numFmtId="14" fontId="0" fillId="0" borderId="8" xfId="0" applyNumberFormat="1" applyBorder="1"/>
    <xf numFmtId="10" fontId="0" fillId="0" borderId="3" xfId="0" applyNumberFormat="1" applyBorder="1"/>
    <xf numFmtId="14" fontId="0" fillId="0" borderId="9" xfId="0" applyNumberFormat="1" applyBorder="1"/>
    <xf numFmtId="14" fontId="0" fillId="0" borderId="10" xfId="0" applyNumberFormat="1" applyBorder="1"/>
    <xf numFmtId="10" fontId="0" fillId="0" borderId="4" xfId="0" applyNumberFormat="1" applyBorder="1"/>
    <xf numFmtId="0" fontId="3" fillId="4" borderId="11" xfId="0" applyFont="1" applyFill="1" applyBorder="1" applyAlignment="1">
      <alignment horizontal="centerContinuous"/>
    </xf>
    <xf numFmtId="0" fontId="3" fillId="4" borderId="12" xfId="0" applyFont="1" applyFill="1" applyBorder="1" applyAlignment="1">
      <alignment horizontal="centerContinuous"/>
    </xf>
    <xf numFmtId="0" fontId="3" fillId="4" borderId="13" xfId="0" applyFont="1" applyFill="1" applyBorder="1" applyAlignment="1">
      <alignment horizontal="centerContinuous"/>
    </xf>
    <xf numFmtId="0" fontId="1" fillId="2" borderId="14" xfId="0" applyFont="1" applyFill="1" applyBorder="1" applyAlignment="1">
      <alignment horizontal="centerContinuous"/>
    </xf>
    <xf numFmtId="0" fontId="1" fillId="2" borderId="0" xfId="0" applyFont="1" applyFill="1" applyBorder="1" applyAlignment="1">
      <alignment horizontal="centerContinuous"/>
    </xf>
    <xf numFmtId="0" fontId="1" fillId="2" borderId="0" xfId="0" applyFont="1" applyFill="1" applyBorder="1" applyAlignment="1"/>
    <xf numFmtId="0" fontId="1" fillId="2" borderId="0" xfId="0" applyFont="1" applyFill="1" applyBorder="1"/>
    <xf numFmtId="0" fontId="1" fillId="2" borderId="15" xfId="0" applyFont="1" applyFill="1" applyBorder="1" applyAlignment="1">
      <alignment horizontal="centerContinuous"/>
    </xf>
    <xf numFmtId="0" fontId="2" fillId="3" borderId="14" xfId="0" applyFont="1" applyFill="1" applyBorder="1"/>
    <xf numFmtId="0" fontId="2" fillId="3" borderId="0" xfId="0" applyFont="1" applyFill="1" applyBorder="1"/>
    <xf numFmtId="0" fontId="2" fillId="3" borderId="0" xfId="0" applyFont="1" applyFill="1" applyBorder="1" applyAlignment="1">
      <alignment horizontal="centerContinuous"/>
    </xf>
    <xf numFmtId="0" fontId="2" fillId="3" borderId="15" xfId="0" applyFont="1" applyFill="1" applyBorder="1" applyAlignment="1">
      <alignment horizontal="centerContinuous"/>
    </xf>
    <xf numFmtId="0" fontId="0" fillId="0" borderId="0" xfId="0" applyBorder="1"/>
    <xf numFmtId="10" fontId="0" fillId="0" borderId="0" xfId="0" applyNumberFormat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10" fontId="0" fillId="0" borderId="19" xfId="0" applyNumberFormat="1" applyBorder="1"/>
    <xf numFmtId="165" fontId="0" fillId="0" borderId="20" xfId="0" applyNumberFormat="1" applyBorder="1"/>
    <xf numFmtId="0" fontId="2" fillId="3" borderId="0" xfId="0" applyFont="1" applyFill="1" applyAlignment="1">
      <alignment horizontal="centerContinuous"/>
    </xf>
    <xf numFmtId="10" fontId="0" fillId="0" borderId="1" xfId="0" applyNumberFormat="1" applyBorder="1" applyAlignment="1">
      <alignment horizontal="centerContinuous"/>
    </xf>
    <xf numFmtId="165" fontId="0" fillId="0" borderId="1" xfId="0" applyNumberFormat="1" applyBorder="1" applyAlignment="1">
      <alignment horizontal="centerContinuous"/>
    </xf>
    <xf numFmtId="14" fontId="0" fillId="0" borderId="19" xfId="0" applyNumberFormat="1" applyBorder="1"/>
    <xf numFmtId="166" fontId="0" fillId="0" borderId="19" xfId="0" applyNumberFormat="1" applyBorder="1"/>
    <xf numFmtId="166" fontId="0" fillId="0" borderId="18" xfId="0" applyNumberFormat="1" applyBorder="1"/>
    <xf numFmtId="166" fontId="0" fillId="0" borderId="1" xfId="0" applyNumberFormat="1" applyBorder="1"/>
    <xf numFmtId="165" fontId="0" fillId="0" borderId="1" xfId="0" applyNumberFormat="1" applyBorder="1"/>
    <xf numFmtId="165" fontId="0" fillId="0" borderId="0" xfId="0" applyNumberFormat="1"/>
    <xf numFmtId="167" fontId="0" fillId="0" borderId="0" xfId="0" applyNumberFormat="1"/>
    <xf numFmtId="9" fontId="0" fillId="0" borderId="0" xfId="0" applyNumberFormat="1"/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Fill="1"/>
    <xf numFmtId="9" fontId="0" fillId="0" borderId="0" xfId="0" applyNumberFormat="1" applyFill="1" applyBorder="1" applyAlignment="1">
      <alignment horizontal="centerContinuous"/>
    </xf>
    <xf numFmtId="0" fontId="0" fillId="0" borderId="0" xfId="0" applyFill="1" applyBorder="1" applyAlignment="1">
      <alignment horizontal="centerContinuous"/>
    </xf>
  </cellXfs>
  <cellStyles count="1"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 Value - 0.8%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[1]Sheet1!$DF$5</c:f>
              <c:strCache>
                <c:ptCount val="1"/>
                <c:pt idx="0">
                  <c:v>Portfolio Value</c:v>
                </c:pt>
              </c:strCache>
            </c:strRef>
          </c:tx>
          <c:marker>
            <c:symbol val="none"/>
          </c:marker>
          <c:cat>
            <c:numRef>
              <c:f>[1]Sheet1!$DE$6:$DE$142</c:f>
              <c:numCache>
                <c:formatCode>General</c:formatCode>
                <c:ptCount val="137"/>
                <c:pt idx="0">
                  <c:v>40546</c:v>
                </c:pt>
                <c:pt idx="1">
                  <c:v>40570</c:v>
                </c:pt>
                <c:pt idx="2">
                  <c:v>40598</c:v>
                </c:pt>
                <c:pt idx="3">
                  <c:v>40633</c:v>
                </c:pt>
                <c:pt idx="4">
                  <c:v>40661</c:v>
                </c:pt>
                <c:pt idx="5">
                  <c:v>40689</c:v>
                </c:pt>
                <c:pt idx="6">
                  <c:v>40724</c:v>
                </c:pt>
                <c:pt idx="7">
                  <c:v>40752</c:v>
                </c:pt>
                <c:pt idx="8">
                  <c:v>40780</c:v>
                </c:pt>
                <c:pt idx="9">
                  <c:v>40815</c:v>
                </c:pt>
                <c:pt idx="10">
                  <c:v>40841</c:v>
                </c:pt>
                <c:pt idx="11">
                  <c:v>40871</c:v>
                </c:pt>
                <c:pt idx="12">
                  <c:v>40906</c:v>
                </c:pt>
                <c:pt idx="13">
                  <c:v>40933</c:v>
                </c:pt>
                <c:pt idx="14">
                  <c:v>40962</c:v>
                </c:pt>
                <c:pt idx="15">
                  <c:v>40997</c:v>
                </c:pt>
                <c:pt idx="16">
                  <c:v>41025</c:v>
                </c:pt>
                <c:pt idx="17">
                  <c:v>41060</c:v>
                </c:pt>
                <c:pt idx="18">
                  <c:v>41088</c:v>
                </c:pt>
                <c:pt idx="19">
                  <c:v>41116</c:v>
                </c:pt>
                <c:pt idx="20">
                  <c:v>41151</c:v>
                </c:pt>
                <c:pt idx="21">
                  <c:v>41179</c:v>
                </c:pt>
                <c:pt idx="22">
                  <c:v>41207</c:v>
                </c:pt>
                <c:pt idx="23">
                  <c:v>41242</c:v>
                </c:pt>
                <c:pt idx="24">
                  <c:v>41270</c:v>
                </c:pt>
                <c:pt idx="25">
                  <c:v>41305</c:v>
                </c:pt>
                <c:pt idx="26">
                  <c:v>41333</c:v>
                </c:pt>
                <c:pt idx="27">
                  <c:v>41361</c:v>
                </c:pt>
                <c:pt idx="28">
                  <c:v>41389</c:v>
                </c:pt>
                <c:pt idx="29">
                  <c:v>41424</c:v>
                </c:pt>
                <c:pt idx="30">
                  <c:v>41452</c:v>
                </c:pt>
                <c:pt idx="31">
                  <c:v>41480</c:v>
                </c:pt>
                <c:pt idx="32">
                  <c:v>41515</c:v>
                </c:pt>
                <c:pt idx="33">
                  <c:v>41543</c:v>
                </c:pt>
                <c:pt idx="34">
                  <c:v>41578</c:v>
                </c:pt>
                <c:pt idx="35">
                  <c:v>41606</c:v>
                </c:pt>
                <c:pt idx="36">
                  <c:v>41634</c:v>
                </c:pt>
                <c:pt idx="37">
                  <c:v>41669</c:v>
                </c:pt>
                <c:pt idx="38">
                  <c:v>41696</c:v>
                </c:pt>
                <c:pt idx="39">
                  <c:v>41725</c:v>
                </c:pt>
                <c:pt idx="40">
                  <c:v>41752</c:v>
                </c:pt>
                <c:pt idx="41">
                  <c:v>41788</c:v>
                </c:pt>
                <c:pt idx="42">
                  <c:v>41816</c:v>
                </c:pt>
                <c:pt idx="43">
                  <c:v>41851</c:v>
                </c:pt>
                <c:pt idx="44">
                  <c:v>41879</c:v>
                </c:pt>
                <c:pt idx="45">
                  <c:v>41907</c:v>
                </c:pt>
                <c:pt idx="46">
                  <c:v>41942</c:v>
                </c:pt>
                <c:pt idx="47">
                  <c:v>41970</c:v>
                </c:pt>
                <c:pt idx="48">
                  <c:v>41997</c:v>
                </c:pt>
                <c:pt idx="49">
                  <c:v>42033</c:v>
                </c:pt>
                <c:pt idx="50">
                  <c:v>42061</c:v>
                </c:pt>
                <c:pt idx="51">
                  <c:v>42089</c:v>
                </c:pt>
                <c:pt idx="52">
                  <c:v>42124</c:v>
                </c:pt>
                <c:pt idx="53">
                  <c:v>42152</c:v>
                </c:pt>
                <c:pt idx="54">
                  <c:v>42180</c:v>
                </c:pt>
                <c:pt idx="55">
                  <c:v>42215</c:v>
                </c:pt>
                <c:pt idx="56">
                  <c:v>42243</c:v>
                </c:pt>
                <c:pt idx="57">
                  <c:v>42271</c:v>
                </c:pt>
                <c:pt idx="58">
                  <c:v>42306</c:v>
                </c:pt>
                <c:pt idx="59">
                  <c:v>42334</c:v>
                </c:pt>
                <c:pt idx="60">
                  <c:v>42369</c:v>
                </c:pt>
                <c:pt idx="61">
                  <c:v>42397</c:v>
                </c:pt>
                <c:pt idx="62">
                  <c:v>42425</c:v>
                </c:pt>
                <c:pt idx="63">
                  <c:v>42460</c:v>
                </c:pt>
                <c:pt idx="64">
                  <c:v>42488</c:v>
                </c:pt>
                <c:pt idx="65">
                  <c:v>42516</c:v>
                </c:pt>
                <c:pt idx="66">
                  <c:v>42551</c:v>
                </c:pt>
                <c:pt idx="67">
                  <c:v>42579</c:v>
                </c:pt>
                <c:pt idx="68">
                  <c:v>42607</c:v>
                </c:pt>
                <c:pt idx="69">
                  <c:v>42642</c:v>
                </c:pt>
                <c:pt idx="70">
                  <c:v>42670</c:v>
                </c:pt>
                <c:pt idx="71">
                  <c:v>42698</c:v>
                </c:pt>
                <c:pt idx="72">
                  <c:v>42733</c:v>
                </c:pt>
                <c:pt idx="73">
                  <c:v>42760</c:v>
                </c:pt>
                <c:pt idx="74">
                  <c:v>42789</c:v>
                </c:pt>
                <c:pt idx="75">
                  <c:v>42824</c:v>
                </c:pt>
                <c:pt idx="76">
                  <c:v>42852</c:v>
                </c:pt>
                <c:pt idx="77">
                  <c:v>42880</c:v>
                </c:pt>
                <c:pt idx="78">
                  <c:v>42915</c:v>
                </c:pt>
                <c:pt idx="79">
                  <c:v>42943</c:v>
                </c:pt>
                <c:pt idx="80">
                  <c:v>42978</c:v>
                </c:pt>
                <c:pt idx="81">
                  <c:v>43006</c:v>
                </c:pt>
                <c:pt idx="82">
                  <c:v>43034</c:v>
                </c:pt>
                <c:pt idx="83">
                  <c:v>43069</c:v>
                </c:pt>
                <c:pt idx="84">
                  <c:v>43097</c:v>
                </c:pt>
                <c:pt idx="85">
                  <c:v>43125</c:v>
                </c:pt>
                <c:pt idx="86">
                  <c:v>43153</c:v>
                </c:pt>
                <c:pt idx="87">
                  <c:v>43187</c:v>
                </c:pt>
                <c:pt idx="88">
                  <c:v>43216</c:v>
                </c:pt>
                <c:pt idx="89">
                  <c:v>43251</c:v>
                </c:pt>
                <c:pt idx="90">
                  <c:v>43279</c:v>
                </c:pt>
                <c:pt idx="91">
                  <c:v>43307</c:v>
                </c:pt>
                <c:pt idx="92">
                  <c:v>43342</c:v>
                </c:pt>
                <c:pt idx="93">
                  <c:v>43370</c:v>
                </c:pt>
                <c:pt idx="94">
                  <c:v>43398</c:v>
                </c:pt>
                <c:pt idx="95">
                  <c:v>43433</c:v>
                </c:pt>
                <c:pt idx="96">
                  <c:v>43461</c:v>
                </c:pt>
                <c:pt idx="97">
                  <c:v>43496</c:v>
                </c:pt>
                <c:pt idx="98">
                  <c:v>43524</c:v>
                </c:pt>
                <c:pt idx="99">
                  <c:v>43552</c:v>
                </c:pt>
                <c:pt idx="100">
                  <c:v>43580</c:v>
                </c:pt>
                <c:pt idx="101">
                  <c:v>43615</c:v>
                </c:pt>
                <c:pt idx="102">
                  <c:v>43643</c:v>
                </c:pt>
                <c:pt idx="103">
                  <c:v>43671</c:v>
                </c:pt>
                <c:pt idx="104">
                  <c:v>43706</c:v>
                </c:pt>
                <c:pt idx="105">
                  <c:v>43734</c:v>
                </c:pt>
                <c:pt idx="106">
                  <c:v>43769</c:v>
                </c:pt>
                <c:pt idx="107">
                  <c:v>43797</c:v>
                </c:pt>
                <c:pt idx="108">
                  <c:v>43825</c:v>
                </c:pt>
                <c:pt idx="109">
                  <c:v>43860</c:v>
                </c:pt>
                <c:pt idx="110">
                  <c:v>43888</c:v>
                </c:pt>
                <c:pt idx="111">
                  <c:v>43916</c:v>
                </c:pt>
                <c:pt idx="112">
                  <c:v>43951</c:v>
                </c:pt>
                <c:pt idx="113">
                  <c:v>43979</c:v>
                </c:pt>
                <c:pt idx="114">
                  <c:v>44007</c:v>
                </c:pt>
                <c:pt idx="115">
                  <c:v>44042</c:v>
                </c:pt>
                <c:pt idx="116">
                  <c:v>44070</c:v>
                </c:pt>
                <c:pt idx="117">
                  <c:v>44098</c:v>
                </c:pt>
                <c:pt idx="118">
                  <c:v>44133</c:v>
                </c:pt>
                <c:pt idx="119">
                  <c:v>44161</c:v>
                </c:pt>
                <c:pt idx="120">
                  <c:v>44196</c:v>
                </c:pt>
                <c:pt idx="121">
                  <c:v>44224</c:v>
                </c:pt>
                <c:pt idx="122">
                  <c:v>44252</c:v>
                </c:pt>
                <c:pt idx="123">
                  <c:v>44280</c:v>
                </c:pt>
                <c:pt idx="124">
                  <c:v>44315</c:v>
                </c:pt>
                <c:pt idx="125">
                  <c:v>44343</c:v>
                </c:pt>
                <c:pt idx="126">
                  <c:v>44371</c:v>
                </c:pt>
                <c:pt idx="127">
                  <c:v>44406</c:v>
                </c:pt>
                <c:pt idx="128">
                  <c:v>44434</c:v>
                </c:pt>
                <c:pt idx="129">
                  <c:v>44469</c:v>
                </c:pt>
                <c:pt idx="130">
                  <c:v>44497</c:v>
                </c:pt>
                <c:pt idx="131">
                  <c:v>44525</c:v>
                </c:pt>
                <c:pt idx="132">
                  <c:v>44560</c:v>
                </c:pt>
                <c:pt idx="133">
                  <c:v>44588</c:v>
                </c:pt>
                <c:pt idx="134">
                  <c:v>44616</c:v>
                </c:pt>
                <c:pt idx="135">
                  <c:v>44651</c:v>
                </c:pt>
                <c:pt idx="136">
                  <c:v>44679</c:v>
                </c:pt>
              </c:numCache>
            </c:numRef>
          </c:cat>
          <c:val>
            <c:numRef>
              <c:f>[1]Sheet1!$DF$6:$DF$142</c:f>
              <c:numCache>
                <c:formatCode>General</c:formatCode>
                <c:ptCount val="137"/>
                <c:pt idx="0">
                  <c:v>110000000</c:v>
                </c:pt>
                <c:pt idx="1">
                  <c:v>110589757.57000001</c:v>
                </c:pt>
                <c:pt idx="2">
                  <c:v>110839947.93215877</c:v>
                </c:pt>
                <c:pt idx="3">
                  <c:v>110778145.79613134</c:v>
                </c:pt>
                <c:pt idx="4">
                  <c:v>111093816.90652968</c:v>
                </c:pt>
                <c:pt idx="5">
                  <c:v>111444915.75800709</c:v>
                </c:pt>
                <c:pt idx="6">
                  <c:v>111799873.49665852</c:v>
                </c:pt>
                <c:pt idx="7">
                  <c:v>112525810.17041685</c:v>
                </c:pt>
                <c:pt idx="8">
                  <c:v>112739536.16645019</c:v>
                </c:pt>
                <c:pt idx="9">
                  <c:v>113779887.95890509</c:v>
                </c:pt>
                <c:pt idx="10">
                  <c:v>113953747.30827606</c:v>
                </c:pt>
                <c:pt idx="11">
                  <c:v>114403319.65992957</c:v>
                </c:pt>
                <c:pt idx="12">
                  <c:v>114684058.12407058</c:v>
                </c:pt>
                <c:pt idx="13">
                  <c:v>115320594.95312276</c:v>
                </c:pt>
                <c:pt idx="14">
                  <c:v>115689498.58083469</c:v>
                </c:pt>
                <c:pt idx="15">
                  <c:v>116103277.78946632</c:v>
                </c:pt>
                <c:pt idx="16">
                  <c:v>116251992.4022456</c:v>
                </c:pt>
                <c:pt idx="17">
                  <c:v>117176233.63999517</c:v>
                </c:pt>
                <c:pt idx="18">
                  <c:v>117669401.92774349</c:v>
                </c:pt>
                <c:pt idx="19">
                  <c:v>118360001.10859448</c:v>
                </c:pt>
                <c:pt idx="20">
                  <c:v>119157818.87446027</c:v>
                </c:pt>
                <c:pt idx="21">
                  <c:v>119311324.73188061</c:v>
                </c:pt>
                <c:pt idx="22">
                  <c:v>119913380.83995357</c:v>
                </c:pt>
                <c:pt idx="23">
                  <c:v>120118237.86855137</c:v>
                </c:pt>
                <c:pt idx="24">
                  <c:v>120767941.0480611</c:v>
                </c:pt>
                <c:pt idx="25">
                  <c:v>121467921.04054543</c:v>
                </c:pt>
                <c:pt idx="26">
                  <c:v>122211832.48079735</c:v>
                </c:pt>
                <c:pt idx="27">
                  <c:v>122875490.67275947</c:v>
                </c:pt>
                <c:pt idx="28">
                  <c:v>123780060.82718681</c:v>
                </c:pt>
                <c:pt idx="29">
                  <c:v>124461895.42461249</c:v>
                </c:pt>
                <c:pt idx="30">
                  <c:v>124768059.13303134</c:v>
                </c:pt>
                <c:pt idx="31">
                  <c:v>124840765.07306062</c:v>
                </c:pt>
                <c:pt idx="32">
                  <c:v>125049267.86918043</c:v>
                </c:pt>
                <c:pt idx="33">
                  <c:v>125107411.67822087</c:v>
                </c:pt>
                <c:pt idx="34">
                  <c:v>126406500.08425254</c:v>
                </c:pt>
                <c:pt idx="35">
                  <c:v>127032174.67250268</c:v>
                </c:pt>
                <c:pt idx="36">
                  <c:v>128435701.50237323</c:v>
                </c:pt>
                <c:pt idx="37">
                  <c:v>129134723.39387481</c:v>
                </c:pt>
                <c:pt idx="38">
                  <c:v>129799449.74734442</c:v>
                </c:pt>
                <c:pt idx="39">
                  <c:v>130270094.74724664</c:v>
                </c:pt>
                <c:pt idx="40">
                  <c:v>130569507.39159982</c:v>
                </c:pt>
                <c:pt idx="41">
                  <c:v>131003599.20749062</c:v>
                </c:pt>
                <c:pt idx="42">
                  <c:v>131773658.00677261</c:v>
                </c:pt>
                <c:pt idx="43">
                  <c:v>132461826.73514669</c:v>
                </c:pt>
                <c:pt idx="44">
                  <c:v>133279900.04525875</c:v>
                </c:pt>
                <c:pt idx="45">
                  <c:v>133676954.64215319</c:v>
                </c:pt>
                <c:pt idx="46">
                  <c:v>133520408.57760729</c:v>
                </c:pt>
                <c:pt idx="47">
                  <c:v>134309184.53313985</c:v>
                </c:pt>
                <c:pt idx="48">
                  <c:v>134767285.74170896</c:v>
                </c:pt>
                <c:pt idx="49">
                  <c:v>135197531.09914589</c:v>
                </c:pt>
                <c:pt idx="50">
                  <c:v>135374685.03763488</c:v>
                </c:pt>
                <c:pt idx="51">
                  <c:v>135830024.3590714</c:v>
                </c:pt>
                <c:pt idx="52">
                  <c:v>135817431.8247188</c:v>
                </c:pt>
                <c:pt idx="53">
                  <c:v>136590861.17394564</c:v>
                </c:pt>
                <c:pt idx="54">
                  <c:v>136640095.71206304</c:v>
                </c:pt>
                <c:pt idx="55">
                  <c:v>137073387.33026275</c:v>
                </c:pt>
                <c:pt idx="56">
                  <c:v>136681609.62905514</c:v>
                </c:pt>
                <c:pt idx="57">
                  <c:v>137825418.37965807</c:v>
                </c:pt>
                <c:pt idx="58">
                  <c:v>138187579.5494639</c:v>
                </c:pt>
                <c:pt idx="59">
                  <c:v>138732912.09328479</c:v>
                </c:pt>
                <c:pt idx="60">
                  <c:v>139146617.39592627</c:v>
                </c:pt>
                <c:pt idx="61">
                  <c:v>139282759.00186449</c:v>
                </c:pt>
                <c:pt idx="62">
                  <c:v>140901987.02293524</c:v>
                </c:pt>
                <c:pt idx="63">
                  <c:v>141657922.11410511</c:v>
                </c:pt>
                <c:pt idx="64">
                  <c:v>142672916.17478171</c:v>
                </c:pt>
                <c:pt idx="65">
                  <c:v>143235116.3259663</c:v>
                </c:pt>
                <c:pt idx="66">
                  <c:v>143089062.10830241</c:v>
                </c:pt>
                <c:pt idx="67">
                  <c:v>144118082.66427308</c:v>
                </c:pt>
                <c:pt idx="68">
                  <c:v>144199368.43996018</c:v>
                </c:pt>
                <c:pt idx="69">
                  <c:v>144520011.66602823</c:v>
                </c:pt>
                <c:pt idx="70">
                  <c:v>145336587.99555853</c:v>
                </c:pt>
                <c:pt idx="71">
                  <c:v>145246679.72827971</c:v>
                </c:pt>
                <c:pt idx="72">
                  <c:v>146001537.73397934</c:v>
                </c:pt>
                <c:pt idx="73">
                  <c:v>146303662.28730285</c:v>
                </c:pt>
                <c:pt idx="74">
                  <c:v>145980017.45219126</c:v>
                </c:pt>
                <c:pt idx="75">
                  <c:v>146183239.19540757</c:v>
                </c:pt>
                <c:pt idx="76">
                  <c:v>146511614.98373526</c:v>
                </c:pt>
                <c:pt idx="77">
                  <c:v>146711556.1032393</c:v>
                </c:pt>
                <c:pt idx="78">
                  <c:v>146741102.12291431</c:v>
                </c:pt>
                <c:pt idx="79">
                  <c:v>147513121.07672215</c:v>
                </c:pt>
                <c:pt idx="80">
                  <c:v>147793982.93649283</c:v>
                </c:pt>
                <c:pt idx="81">
                  <c:v>148720551.30457756</c:v>
                </c:pt>
                <c:pt idx="82">
                  <c:v>149482133.34881535</c:v>
                </c:pt>
                <c:pt idx="83">
                  <c:v>149716920.99674362</c:v>
                </c:pt>
                <c:pt idx="84">
                  <c:v>149981376.54998714</c:v>
                </c:pt>
                <c:pt idx="85">
                  <c:v>150419160.6743865</c:v>
                </c:pt>
                <c:pt idx="86">
                  <c:v>151110419.46249256</c:v>
                </c:pt>
                <c:pt idx="87">
                  <c:v>152083696.35134578</c:v>
                </c:pt>
                <c:pt idx="88">
                  <c:v>152443590.47785401</c:v>
                </c:pt>
                <c:pt idx="89">
                  <c:v>153337315.44572255</c:v>
                </c:pt>
                <c:pt idx="90">
                  <c:v>154189244.06247938</c:v>
                </c:pt>
                <c:pt idx="91">
                  <c:v>154528398.7321161</c:v>
                </c:pt>
                <c:pt idx="92">
                  <c:v>154811978.84955588</c:v>
                </c:pt>
                <c:pt idx="93">
                  <c:v>154597236.25737</c:v>
                </c:pt>
                <c:pt idx="94">
                  <c:v>154530883.15821201</c:v>
                </c:pt>
                <c:pt idx="95">
                  <c:v>155143047.4111402</c:v>
                </c:pt>
                <c:pt idx="96">
                  <c:v>155935471.30346841</c:v>
                </c:pt>
                <c:pt idx="97">
                  <c:v>156200119.58732247</c:v>
                </c:pt>
                <c:pt idx="98">
                  <c:v>156672102.68956199</c:v>
                </c:pt>
                <c:pt idx="99">
                  <c:v>157188110.00035384</c:v>
                </c:pt>
                <c:pt idx="100">
                  <c:v>157983461.64912426</c:v>
                </c:pt>
                <c:pt idx="101">
                  <c:v>159175857.72126496</c:v>
                </c:pt>
                <c:pt idx="102">
                  <c:v>159423733.5940659</c:v>
                </c:pt>
                <c:pt idx="103">
                  <c:v>160234424.13652945</c:v>
                </c:pt>
                <c:pt idx="104">
                  <c:v>160644408.30790022</c:v>
                </c:pt>
                <c:pt idx="105">
                  <c:v>161062846.25826892</c:v>
                </c:pt>
                <c:pt idx="106">
                  <c:v>161110618.44943151</c:v>
                </c:pt>
                <c:pt idx="107">
                  <c:v>162142836.64414382</c:v>
                </c:pt>
                <c:pt idx="108">
                  <c:v>162839165.6620141</c:v>
                </c:pt>
                <c:pt idx="109">
                  <c:v>163370212.01177299</c:v>
                </c:pt>
                <c:pt idx="110">
                  <c:v>164074620.02621907</c:v>
                </c:pt>
                <c:pt idx="111">
                  <c:v>164195486.43587989</c:v>
                </c:pt>
                <c:pt idx="112">
                  <c:v>165347008.99731588</c:v>
                </c:pt>
                <c:pt idx="113">
                  <c:v>167704011.14568895</c:v>
                </c:pt>
                <c:pt idx="114">
                  <c:v>169208210.041951</c:v>
                </c:pt>
                <c:pt idx="115">
                  <c:v>170620085.47345906</c:v>
                </c:pt>
                <c:pt idx="116">
                  <c:v>171579026.64545524</c:v>
                </c:pt>
                <c:pt idx="117">
                  <c:v>172271883.65108979</c:v>
                </c:pt>
                <c:pt idx="118">
                  <c:v>173608975.79991487</c:v>
                </c:pt>
                <c:pt idx="119">
                  <c:v>175415151.78051123</c:v>
                </c:pt>
                <c:pt idx="120">
                  <c:v>176756333.59150445</c:v>
                </c:pt>
                <c:pt idx="121">
                  <c:v>177462367.69159338</c:v>
                </c:pt>
                <c:pt idx="122">
                  <c:v>178579835.6440683</c:v>
                </c:pt>
                <c:pt idx="123">
                  <c:v>179519489.11313942</c:v>
                </c:pt>
                <c:pt idx="124">
                  <c:v>181055263.92298785</c:v>
                </c:pt>
                <c:pt idx="125">
                  <c:v>182326277.89287835</c:v>
                </c:pt>
                <c:pt idx="126">
                  <c:v>183934328.14696926</c:v>
                </c:pt>
                <c:pt idx="127">
                  <c:v>184488596.28773633</c:v>
                </c:pt>
                <c:pt idx="128">
                  <c:v>185343096.28980708</c:v>
                </c:pt>
                <c:pt idx="129">
                  <c:v>186032533.09036475</c:v>
                </c:pt>
                <c:pt idx="130">
                  <c:v>187175351.44940725</c:v>
                </c:pt>
                <c:pt idx="131">
                  <c:v>188542047.84161934</c:v>
                </c:pt>
                <c:pt idx="132">
                  <c:v>190361274.74851358</c:v>
                </c:pt>
                <c:pt idx="133">
                  <c:v>191119495.79255262</c:v>
                </c:pt>
                <c:pt idx="134">
                  <c:v>193100841.42155501</c:v>
                </c:pt>
                <c:pt idx="135">
                  <c:v>194116508.43211266</c:v>
                </c:pt>
                <c:pt idx="136">
                  <c:v>194776354.79051149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398400"/>
        <c:axId val="227399936"/>
      </c:lineChart>
      <c:catAx>
        <c:axId val="227398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7399936"/>
        <c:crosses val="autoZero"/>
        <c:auto val="1"/>
        <c:lblAlgn val="ctr"/>
        <c:lblOffset val="100"/>
        <c:noMultiLvlLbl val="0"/>
      </c:catAx>
      <c:valAx>
        <c:axId val="227399936"/>
        <c:scaling>
          <c:orientation val="minMax"/>
          <c:min val="105000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3984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chart" Target="../charts/chart1.xml"/><Relationship Id="rId7" Type="http://schemas.openxmlformats.org/officeDocument/2006/relationships/image" Target="../media/image6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image" Target="../media/image10.png"/><Relationship Id="rId5" Type="http://schemas.openxmlformats.org/officeDocument/2006/relationships/image" Target="../media/image4.png"/><Relationship Id="rId10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</xdr:colOff>
      <xdr:row>31</xdr:row>
      <xdr:rowOff>0</xdr:rowOff>
    </xdr:from>
    <xdr:to>
      <xdr:col>12</xdr:col>
      <xdr:colOff>76200</xdr:colOff>
      <xdr:row>46</xdr:row>
      <xdr:rowOff>134423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2626" y="6000750"/>
          <a:ext cx="4695824" cy="2991923"/>
        </a:xfrm>
        <a:prstGeom prst="rect">
          <a:avLst/>
        </a:prstGeom>
      </xdr:spPr>
    </xdr:pic>
    <xdr:clientData/>
  </xdr:twoCellAnchor>
  <xdr:twoCellAnchor editAs="oneCell">
    <xdr:from>
      <xdr:col>13</xdr:col>
      <xdr:colOff>1</xdr:colOff>
      <xdr:row>31</xdr:row>
      <xdr:rowOff>0</xdr:rowOff>
    </xdr:from>
    <xdr:to>
      <xdr:col>23</xdr:col>
      <xdr:colOff>66676</xdr:colOff>
      <xdr:row>46</xdr:row>
      <xdr:rowOff>79804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1851" y="6000750"/>
          <a:ext cx="4610100" cy="2937304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31</xdr:row>
      <xdr:rowOff>1</xdr:rowOff>
    </xdr:from>
    <xdr:to>
      <xdr:col>34</xdr:col>
      <xdr:colOff>142876</xdr:colOff>
      <xdr:row>46</xdr:row>
      <xdr:rowOff>57151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35</xdr:col>
      <xdr:colOff>0</xdr:colOff>
      <xdr:row>31</xdr:row>
      <xdr:rowOff>0</xdr:rowOff>
    </xdr:from>
    <xdr:to>
      <xdr:col>45</xdr:col>
      <xdr:colOff>38100</xdr:colOff>
      <xdr:row>46</xdr:row>
      <xdr:rowOff>106628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411700" y="6000750"/>
          <a:ext cx="4648200" cy="2964128"/>
        </a:xfrm>
        <a:prstGeom prst="rect">
          <a:avLst/>
        </a:prstGeom>
      </xdr:spPr>
    </xdr:pic>
    <xdr:clientData/>
  </xdr:twoCellAnchor>
  <xdr:twoCellAnchor editAs="oneCell">
    <xdr:from>
      <xdr:col>46</xdr:col>
      <xdr:colOff>0</xdr:colOff>
      <xdr:row>30</xdr:row>
      <xdr:rowOff>190499</xdr:rowOff>
    </xdr:from>
    <xdr:to>
      <xdr:col>56</xdr:col>
      <xdr:colOff>38100</xdr:colOff>
      <xdr:row>46</xdr:row>
      <xdr:rowOff>142874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631400" y="6000749"/>
          <a:ext cx="4314825" cy="3000375"/>
        </a:xfrm>
        <a:prstGeom prst="rect">
          <a:avLst/>
        </a:prstGeom>
      </xdr:spPr>
    </xdr:pic>
    <xdr:clientData/>
  </xdr:twoCellAnchor>
  <xdr:twoCellAnchor editAs="oneCell">
    <xdr:from>
      <xdr:col>57</xdr:col>
      <xdr:colOff>0</xdr:colOff>
      <xdr:row>31</xdr:row>
      <xdr:rowOff>0</xdr:rowOff>
    </xdr:from>
    <xdr:to>
      <xdr:col>67</xdr:col>
      <xdr:colOff>61173</xdr:colOff>
      <xdr:row>46</xdr:row>
      <xdr:rowOff>66675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7517725" y="6000750"/>
          <a:ext cx="4585548" cy="2924175"/>
        </a:xfrm>
        <a:prstGeom prst="rect">
          <a:avLst/>
        </a:prstGeom>
      </xdr:spPr>
    </xdr:pic>
    <xdr:clientData/>
  </xdr:twoCellAnchor>
  <xdr:twoCellAnchor editAs="oneCell">
    <xdr:from>
      <xdr:col>68</xdr:col>
      <xdr:colOff>0</xdr:colOff>
      <xdr:row>31</xdr:row>
      <xdr:rowOff>0</xdr:rowOff>
    </xdr:from>
    <xdr:to>
      <xdr:col>78</xdr:col>
      <xdr:colOff>137373</xdr:colOff>
      <xdr:row>46</xdr:row>
      <xdr:rowOff>66675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2651700" y="6000750"/>
          <a:ext cx="4585548" cy="2924175"/>
        </a:xfrm>
        <a:prstGeom prst="rect">
          <a:avLst/>
        </a:prstGeom>
      </xdr:spPr>
    </xdr:pic>
    <xdr:clientData/>
  </xdr:twoCellAnchor>
  <xdr:twoCellAnchor editAs="oneCell">
    <xdr:from>
      <xdr:col>79</xdr:col>
      <xdr:colOff>0</xdr:colOff>
      <xdr:row>31</xdr:row>
      <xdr:rowOff>0</xdr:rowOff>
    </xdr:from>
    <xdr:to>
      <xdr:col>89</xdr:col>
      <xdr:colOff>9525</xdr:colOff>
      <xdr:row>46</xdr:row>
      <xdr:rowOff>123825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7709475" y="6000750"/>
          <a:ext cx="5381625" cy="2981325"/>
        </a:xfrm>
        <a:prstGeom prst="rect">
          <a:avLst/>
        </a:prstGeom>
      </xdr:spPr>
    </xdr:pic>
    <xdr:clientData/>
  </xdr:twoCellAnchor>
  <xdr:twoCellAnchor editAs="oneCell">
    <xdr:from>
      <xdr:col>90</xdr:col>
      <xdr:colOff>0</xdr:colOff>
      <xdr:row>31</xdr:row>
      <xdr:rowOff>0</xdr:rowOff>
    </xdr:from>
    <xdr:to>
      <xdr:col>100</xdr:col>
      <xdr:colOff>58345</xdr:colOff>
      <xdr:row>46</xdr:row>
      <xdr:rowOff>85725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691175" y="6000750"/>
          <a:ext cx="5287570" cy="2943225"/>
        </a:xfrm>
        <a:prstGeom prst="rect">
          <a:avLst/>
        </a:prstGeom>
      </xdr:spPr>
    </xdr:pic>
    <xdr:clientData/>
  </xdr:twoCellAnchor>
  <xdr:twoCellAnchor editAs="oneCell">
    <xdr:from>
      <xdr:col>101</xdr:col>
      <xdr:colOff>0</xdr:colOff>
      <xdr:row>31</xdr:row>
      <xdr:rowOff>0</xdr:rowOff>
    </xdr:from>
    <xdr:to>
      <xdr:col>110</xdr:col>
      <xdr:colOff>651710</xdr:colOff>
      <xdr:row>46</xdr:row>
      <xdr:rowOff>9525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9530000" y="6000750"/>
          <a:ext cx="5242760" cy="2867025"/>
        </a:xfrm>
        <a:prstGeom prst="rect">
          <a:avLst/>
        </a:prstGeom>
      </xdr:spPr>
    </xdr:pic>
    <xdr:clientData/>
  </xdr:twoCellAnchor>
  <xdr:twoCellAnchor editAs="oneCell">
    <xdr:from>
      <xdr:col>112</xdr:col>
      <xdr:colOff>0</xdr:colOff>
      <xdr:row>31</xdr:row>
      <xdr:rowOff>0</xdr:rowOff>
    </xdr:from>
    <xdr:to>
      <xdr:col>122</xdr:col>
      <xdr:colOff>268126</xdr:colOff>
      <xdr:row>46</xdr:row>
      <xdr:rowOff>28575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5387875" y="6000750"/>
          <a:ext cx="4525801" cy="28860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8%25/Equity%20Curv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5">
          <cell r="DF5" t="str">
            <v>Portfolio Value</v>
          </cell>
        </row>
        <row r="6">
          <cell r="DE6">
            <v>40546</v>
          </cell>
          <cell r="DF6">
            <v>110000000</v>
          </cell>
        </row>
        <row r="7">
          <cell r="DE7">
            <v>40570</v>
          </cell>
          <cell r="DF7">
            <v>110589757.57000001</v>
          </cell>
        </row>
        <row r="8">
          <cell r="DE8">
            <v>40598</v>
          </cell>
          <cell r="DF8">
            <v>110839947.93215877</v>
          </cell>
        </row>
        <row r="9">
          <cell r="DE9">
            <v>40633</v>
          </cell>
          <cell r="DF9">
            <v>110778145.79613134</v>
          </cell>
        </row>
        <row r="10">
          <cell r="DE10">
            <v>40661</v>
          </cell>
          <cell r="DF10">
            <v>111093816.90652968</v>
          </cell>
        </row>
        <row r="11">
          <cell r="DE11">
            <v>40689</v>
          </cell>
          <cell r="DF11">
            <v>111444915.75800709</v>
          </cell>
        </row>
        <row r="12">
          <cell r="DE12">
            <v>40724</v>
          </cell>
          <cell r="DF12">
            <v>111799873.49665852</v>
          </cell>
        </row>
        <row r="13">
          <cell r="DE13">
            <v>40752</v>
          </cell>
          <cell r="DF13">
            <v>112525810.17041685</v>
          </cell>
        </row>
        <row r="14">
          <cell r="DE14">
            <v>40780</v>
          </cell>
          <cell r="DF14">
            <v>112739536.16645019</v>
          </cell>
        </row>
        <row r="15">
          <cell r="DE15">
            <v>40815</v>
          </cell>
          <cell r="DF15">
            <v>113779887.95890509</v>
          </cell>
        </row>
        <row r="16">
          <cell r="DE16">
            <v>40841</v>
          </cell>
          <cell r="DF16">
            <v>113953747.30827606</v>
          </cell>
        </row>
        <row r="17">
          <cell r="DE17">
            <v>40871</v>
          </cell>
          <cell r="DF17">
            <v>114403319.65992957</v>
          </cell>
        </row>
        <row r="18">
          <cell r="DE18">
            <v>40906</v>
          </cell>
          <cell r="DF18">
            <v>114684058.12407058</v>
          </cell>
        </row>
        <row r="19">
          <cell r="DE19">
            <v>40933</v>
          </cell>
          <cell r="DF19">
            <v>115320594.95312276</v>
          </cell>
        </row>
        <row r="20">
          <cell r="DE20">
            <v>40962</v>
          </cell>
          <cell r="DF20">
            <v>115689498.58083469</v>
          </cell>
        </row>
        <row r="21">
          <cell r="DE21">
            <v>40997</v>
          </cell>
          <cell r="DF21">
            <v>116103277.78946632</v>
          </cell>
        </row>
        <row r="22">
          <cell r="DE22">
            <v>41025</v>
          </cell>
          <cell r="DF22">
            <v>116251992.4022456</v>
          </cell>
        </row>
        <row r="23">
          <cell r="DE23">
            <v>41060</v>
          </cell>
          <cell r="DF23">
            <v>117176233.63999517</v>
          </cell>
        </row>
        <row r="24">
          <cell r="DE24">
            <v>41088</v>
          </cell>
          <cell r="DF24">
            <v>117669401.92774349</v>
          </cell>
        </row>
        <row r="25">
          <cell r="DE25">
            <v>41116</v>
          </cell>
          <cell r="DF25">
            <v>118360001.10859448</v>
          </cell>
        </row>
        <row r="26">
          <cell r="DE26">
            <v>41151</v>
          </cell>
          <cell r="DF26">
            <v>119157818.87446027</v>
          </cell>
        </row>
        <row r="27">
          <cell r="DE27">
            <v>41179</v>
          </cell>
          <cell r="DF27">
            <v>119311324.73188061</v>
          </cell>
        </row>
        <row r="28">
          <cell r="DE28">
            <v>41207</v>
          </cell>
          <cell r="DF28">
            <v>119913380.83995357</v>
          </cell>
        </row>
        <row r="29">
          <cell r="DE29">
            <v>41242</v>
          </cell>
          <cell r="DF29">
            <v>120118237.86855137</v>
          </cell>
        </row>
        <row r="30">
          <cell r="DE30">
            <v>41270</v>
          </cell>
          <cell r="DF30">
            <v>120767941.0480611</v>
          </cell>
        </row>
        <row r="31">
          <cell r="DE31">
            <v>41305</v>
          </cell>
          <cell r="DF31">
            <v>121467921.04054543</v>
          </cell>
        </row>
        <row r="32">
          <cell r="DE32">
            <v>41333</v>
          </cell>
          <cell r="DF32">
            <v>122211832.48079735</v>
          </cell>
        </row>
        <row r="33">
          <cell r="DE33">
            <v>41361</v>
          </cell>
          <cell r="DF33">
            <v>122875490.67275947</v>
          </cell>
        </row>
        <row r="34">
          <cell r="DE34">
            <v>41389</v>
          </cell>
          <cell r="DF34">
            <v>123780060.82718681</v>
          </cell>
        </row>
        <row r="35">
          <cell r="DE35">
            <v>41424</v>
          </cell>
          <cell r="DF35">
            <v>124461895.42461249</v>
          </cell>
        </row>
        <row r="36">
          <cell r="DE36">
            <v>41452</v>
          </cell>
          <cell r="DF36">
            <v>124768059.13303134</v>
          </cell>
        </row>
        <row r="37">
          <cell r="DE37">
            <v>41480</v>
          </cell>
          <cell r="DF37">
            <v>124840765.07306062</v>
          </cell>
        </row>
        <row r="38">
          <cell r="DE38">
            <v>41515</v>
          </cell>
          <cell r="DF38">
            <v>125049267.86918043</v>
          </cell>
        </row>
        <row r="39">
          <cell r="DE39">
            <v>41543</v>
          </cell>
          <cell r="DF39">
            <v>125107411.67822087</v>
          </cell>
        </row>
        <row r="40">
          <cell r="DE40">
            <v>41578</v>
          </cell>
          <cell r="DF40">
            <v>126406500.08425254</v>
          </cell>
        </row>
        <row r="41">
          <cell r="DE41">
            <v>41606</v>
          </cell>
          <cell r="DF41">
            <v>127032174.67250268</v>
          </cell>
        </row>
        <row r="42">
          <cell r="DE42">
            <v>41634</v>
          </cell>
          <cell r="DF42">
            <v>128435701.50237323</v>
          </cell>
        </row>
        <row r="43">
          <cell r="DE43">
            <v>41669</v>
          </cell>
          <cell r="DF43">
            <v>129134723.39387481</v>
          </cell>
        </row>
        <row r="44">
          <cell r="DE44">
            <v>41696</v>
          </cell>
          <cell r="DF44">
            <v>129799449.74734442</v>
          </cell>
        </row>
        <row r="45">
          <cell r="DE45">
            <v>41725</v>
          </cell>
          <cell r="DF45">
            <v>130270094.74724664</v>
          </cell>
        </row>
        <row r="46">
          <cell r="DE46">
            <v>41752</v>
          </cell>
          <cell r="DF46">
            <v>130569507.39159982</v>
          </cell>
        </row>
        <row r="47">
          <cell r="DE47">
            <v>41788</v>
          </cell>
          <cell r="DF47">
            <v>131003599.20749062</v>
          </cell>
        </row>
        <row r="48">
          <cell r="DE48">
            <v>41816</v>
          </cell>
          <cell r="DF48">
            <v>131773658.00677261</v>
          </cell>
        </row>
        <row r="49">
          <cell r="DE49">
            <v>41851</v>
          </cell>
          <cell r="DF49">
            <v>132461826.73514669</v>
          </cell>
        </row>
        <row r="50">
          <cell r="DE50">
            <v>41879</v>
          </cell>
          <cell r="DF50">
            <v>133279900.04525875</v>
          </cell>
        </row>
        <row r="51">
          <cell r="DE51">
            <v>41907</v>
          </cell>
          <cell r="DF51">
            <v>133676954.64215319</v>
          </cell>
        </row>
        <row r="52">
          <cell r="DE52">
            <v>41942</v>
          </cell>
          <cell r="DF52">
            <v>133520408.57760729</v>
          </cell>
        </row>
        <row r="53">
          <cell r="DE53">
            <v>41970</v>
          </cell>
          <cell r="DF53">
            <v>134309184.53313985</v>
          </cell>
        </row>
        <row r="54">
          <cell r="DE54">
            <v>41997</v>
          </cell>
          <cell r="DF54">
            <v>134767285.74170896</v>
          </cell>
        </row>
        <row r="55">
          <cell r="DE55">
            <v>42033</v>
          </cell>
          <cell r="DF55">
            <v>135197531.09914589</v>
          </cell>
        </row>
        <row r="56">
          <cell r="DE56">
            <v>42061</v>
          </cell>
          <cell r="DF56">
            <v>135374685.03763488</v>
          </cell>
        </row>
        <row r="57">
          <cell r="DE57">
            <v>42089</v>
          </cell>
          <cell r="DF57">
            <v>135830024.3590714</v>
          </cell>
        </row>
        <row r="58">
          <cell r="DE58">
            <v>42124</v>
          </cell>
          <cell r="DF58">
            <v>135817431.8247188</v>
          </cell>
        </row>
        <row r="59">
          <cell r="DE59">
            <v>42152</v>
          </cell>
          <cell r="DF59">
            <v>136590861.17394564</v>
          </cell>
        </row>
        <row r="60">
          <cell r="DE60">
            <v>42180</v>
          </cell>
          <cell r="DF60">
            <v>136640095.71206304</v>
          </cell>
        </row>
        <row r="61">
          <cell r="DE61">
            <v>42215</v>
          </cell>
          <cell r="DF61">
            <v>137073387.33026275</v>
          </cell>
        </row>
        <row r="62">
          <cell r="DE62">
            <v>42243</v>
          </cell>
          <cell r="DF62">
            <v>136681609.62905514</v>
          </cell>
        </row>
        <row r="63">
          <cell r="DE63">
            <v>42271</v>
          </cell>
          <cell r="DF63">
            <v>137825418.37965807</v>
          </cell>
        </row>
        <row r="64">
          <cell r="DE64">
            <v>42306</v>
          </cell>
          <cell r="DF64">
            <v>138187579.5494639</v>
          </cell>
        </row>
        <row r="65">
          <cell r="DE65">
            <v>42334</v>
          </cell>
          <cell r="DF65">
            <v>138732912.09328479</v>
          </cell>
        </row>
        <row r="66">
          <cell r="DE66">
            <v>42369</v>
          </cell>
          <cell r="DF66">
            <v>139146617.39592627</v>
          </cell>
        </row>
        <row r="67">
          <cell r="DE67">
            <v>42397</v>
          </cell>
          <cell r="DF67">
            <v>139282759.00186449</v>
          </cell>
        </row>
        <row r="68">
          <cell r="DE68">
            <v>42425</v>
          </cell>
          <cell r="DF68">
            <v>140901987.02293524</v>
          </cell>
        </row>
        <row r="69">
          <cell r="DE69">
            <v>42460</v>
          </cell>
          <cell r="DF69">
            <v>141657922.11410511</v>
          </cell>
        </row>
        <row r="70">
          <cell r="DE70">
            <v>42488</v>
          </cell>
          <cell r="DF70">
            <v>142672916.17478171</v>
          </cell>
        </row>
        <row r="71">
          <cell r="DE71">
            <v>42516</v>
          </cell>
          <cell r="DF71">
            <v>143235116.3259663</v>
          </cell>
        </row>
        <row r="72">
          <cell r="DE72">
            <v>42551</v>
          </cell>
          <cell r="DF72">
            <v>143089062.10830241</v>
          </cell>
        </row>
        <row r="73">
          <cell r="DE73">
            <v>42579</v>
          </cell>
          <cell r="DF73">
            <v>144118082.66427308</v>
          </cell>
        </row>
        <row r="74">
          <cell r="DE74">
            <v>42607</v>
          </cell>
          <cell r="DF74">
            <v>144199368.43996018</v>
          </cell>
        </row>
        <row r="75">
          <cell r="DE75">
            <v>42642</v>
          </cell>
          <cell r="DF75">
            <v>144520011.66602823</v>
          </cell>
        </row>
        <row r="76">
          <cell r="DE76">
            <v>42670</v>
          </cell>
          <cell r="DF76">
            <v>145336587.99555853</v>
          </cell>
        </row>
        <row r="77">
          <cell r="DE77">
            <v>42698</v>
          </cell>
          <cell r="DF77">
            <v>145246679.72827971</v>
          </cell>
        </row>
        <row r="78">
          <cell r="DE78">
            <v>42733</v>
          </cell>
          <cell r="DF78">
            <v>146001537.73397934</v>
          </cell>
        </row>
        <row r="79">
          <cell r="DE79">
            <v>42760</v>
          </cell>
          <cell r="DF79">
            <v>146303662.28730285</v>
          </cell>
        </row>
        <row r="80">
          <cell r="DE80">
            <v>42789</v>
          </cell>
          <cell r="DF80">
            <v>145980017.45219126</v>
          </cell>
        </row>
        <row r="81">
          <cell r="DE81">
            <v>42824</v>
          </cell>
          <cell r="DF81">
            <v>146183239.19540757</v>
          </cell>
        </row>
        <row r="82">
          <cell r="DE82">
            <v>42852</v>
          </cell>
          <cell r="DF82">
            <v>146511614.98373526</v>
          </cell>
        </row>
        <row r="83">
          <cell r="DE83">
            <v>42880</v>
          </cell>
          <cell r="DF83">
            <v>146711556.1032393</v>
          </cell>
        </row>
        <row r="84">
          <cell r="DE84">
            <v>42915</v>
          </cell>
          <cell r="DF84">
            <v>146741102.12291431</v>
          </cell>
        </row>
        <row r="85">
          <cell r="DE85">
            <v>42943</v>
          </cell>
          <cell r="DF85">
            <v>147513121.07672215</v>
          </cell>
        </row>
        <row r="86">
          <cell r="DE86">
            <v>42978</v>
          </cell>
          <cell r="DF86">
            <v>147793982.93649283</v>
          </cell>
        </row>
        <row r="87">
          <cell r="DE87">
            <v>43006</v>
          </cell>
          <cell r="DF87">
            <v>148720551.30457756</v>
          </cell>
        </row>
        <row r="88">
          <cell r="DE88">
            <v>43034</v>
          </cell>
          <cell r="DF88">
            <v>149482133.34881535</v>
          </cell>
        </row>
        <row r="89">
          <cell r="DE89">
            <v>43069</v>
          </cell>
          <cell r="DF89">
            <v>149716920.99674362</v>
          </cell>
        </row>
        <row r="90">
          <cell r="DE90">
            <v>43097</v>
          </cell>
          <cell r="DF90">
            <v>149981376.54998714</v>
          </cell>
        </row>
        <row r="91">
          <cell r="DE91">
            <v>43125</v>
          </cell>
          <cell r="DF91">
            <v>150419160.6743865</v>
          </cell>
        </row>
        <row r="92">
          <cell r="DE92">
            <v>43153</v>
          </cell>
          <cell r="DF92">
            <v>151110419.46249256</v>
          </cell>
        </row>
        <row r="93">
          <cell r="DE93">
            <v>43187</v>
          </cell>
          <cell r="DF93">
            <v>152083696.35134578</v>
          </cell>
        </row>
        <row r="94">
          <cell r="DE94">
            <v>43216</v>
          </cell>
          <cell r="DF94">
            <v>152443590.47785401</v>
          </cell>
        </row>
        <row r="95">
          <cell r="DE95">
            <v>43251</v>
          </cell>
          <cell r="DF95">
            <v>153337315.44572255</v>
          </cell>
        </row>
        <row r="96">
          <cell r="DE96">
            <v>43279</v>
          </cell>
          <cell r="DF96">
            <v>154189244.06247938</v>
          </cell>
        </row>
        <row r="97">
          <cell r="DE97">
            <v>43307</v>
          </cell>
          <cell r="DF97">
            <v>154528398.7321161</v>
          </cell>
        </row>
        <row r="98">
          <cell r="DE98">
            <v>43342</v>
          </cell>
          <cell r="DF98">
            <v>154811978.84955588</v>
          </cell>
        </row>
        <row r="99">
          <cell r="DE99">
            <v>43370</v>
          </cell>
          <cell r="DF99">
            <v>154597236.25737</v>
          </cell>
        </row>
        <row r="100">
          <cell r="DE100">
            <v>43398</v>
          </cell>
          <cell r="DF100">
            <v>154530883.15821201</v>
          </cell>
        </row>
        <row r="101">
          <cell r="DE101">
            <v>43433</v>
          </cell>
          <cell r="DF101">
            <v>155143047.4111402</v>
          </cell>
        </row>
        <row r="102">
          <cell r="DE102">
            <v>43461</v>
          </cell>
          <cell r="DF102">
            <v>155935471.30346841</v>
          </cell>
        </row>
        <row r="103">
          <cell r="DE103">
            <v>43496</v>
          </cell>
          <cell r="DF103">
            <v>156200119.58732247</v>
          </cell>
        </row>
        <row r="104">
          <cell r="DE104">
            <v>43524</v>
          </cell>
          <cell r="DF104">
            <v>156672102.68956199</v>
          </cell>
        </row>
        <row r="105">
          <cell r="DE105">
            <v>43552</v>
          </cell>
          <cell r="DF105">
            <v>157188110.00035384</v>
          </cell>
        </row>
        <row r="106">
          <cell r="DE106">
            <v>43580</v>
          </cell>
          <cell r="DF106">
            <v>157983461.64912426</v>
          </cell>
        </row>
        <row r="107">
          <cell r="DE107">
            <v>43615</v>
          </cell>
          <cell r="DF107">
            <v>159175857.72126496</v>
          </cell>
        </row>
        <row r="108">
          <cell r="DE108">
            <v>43643</v>
          </cell>
          <cell r="DF108">
            <v>159423733.5940659</v>
          </cell>
        </row>
        <row r="109">
          <cell r="DE109">
            <v>43671</v>
          </cell>
          <cell r="DF109">
            <v>160234424.13652945</v>
          </cell>
        </row>
        <row r="110">
          <cell r="DE110">
            <v>43706</v>
          </cell>
          <cell r="DF110">
            <v>160644408.30790022</v>
          </cell>
        </row>
        <row r="111">
          <cell r="DE111">
            <v>43734</v>
          </cell>
          <cell r="DF111">
            <v>161062846.25826892</v>
          </cell>
        </row>
        <row r="112">
          <cell r="DE112">
            <v>43769</v>
          </cell>
          <cell r="DF112">
            <v>161110618.44943151</v>
          </cell>
        </row>
        <row r="113">
          <cell r="DE113">
            <v>43797</v>
          </cell>
          <cell r="DF113">
            <v>162142836.64414382</v>
          </cell>
        </row>
        <row r="114">
          <cell r="DE114">
            <v>43825</v>
          </cell>
          <cell r="DF114">
            <v>162839165.6620141</v>
          </cell>
        </row>
        <row r="115">
          <cell r="DE115">
            <v>43860</v>
          </cell>
          <cell r="DF115">
            <v>163370212.01177299</v>
          </cell>
        </row>
        <row r="116">
          <cell r="DE116">
            <v>43888</v>
          </cell>
          <cell r="DF116">
            <v>164074620.02621907</v>
          </cell>
        </row>
        <row r="117">
          <cell r="DE117">
            <v>43916</v>
          </cell>
          <cell r="DF117">
            <v>164195486.43587989</v>
          </cell>
        </row>
        <row r="118">
          <cell r="DE118">
            <v>43951</v>
          </cell>
          <cell r="DF118">
            <v>165347008.99731588</v>
          </cell>
        </row>
        <row r="119">
          <cell r="DE119">
            <v>43979</v>
          </cell>
          <cell r="DF119">
            <v>167704011.14568895</v>
          </cell>
        </row>
        <row r="120">
          <cell r="DE120">
            <v>44007</v>
          </cell>
          <cell r="DF120">
            <v>169208210.041951</v>
          </cell>
        </row>
        <row r="121">
          <cell r="DE121">
            <v>44042</v>
          </cell>
          <cell r="DF121">
            <v>170620085.47345906</v>
          </cell>
        </row>
        <row r="122">
          <cell r="DE122">
            <v>44070</v>
          </cell>
          <cell r="DF122">
            <v>171579026.64545524</v>
          </cell>
        </row>
        <row r="123">
          <cell r="DE123">
            <v>44098</v>
          </cell>
          <cell r="DF123">
            <v>172271883.65108979</v>
          </cell>
        </row>
        <row r="124">
          <cell r="DE124">
            <v>44133</v>
          </cell>
          <cell r="DF124">
            <v>173608975.79991487</v>
          </cell>
        </row>
        <row r="125">
          <cell r="DE125">
            <v>44161</v>
          </cell>
          <cell r="DF125">
            <v>175415151.78051123</v>
          </cell>
        </row>
        <row r="126">
          <cell r="DE126">
            <v>44196</v>
          </cell>
          <cell r="DF126">
            <v>176756333.59150445</v>
          </cell>
        </row>
        <row r="127">
          <cell r="DE127">
            <v>44224</v>
          </cell>
          <cell r="DF127">
            <v>177462367.69159338</v>
          </cell>
        </row>
        <row r="128">
          <cell r="DE128">
            <v>44252</v>
          </cell>
          <cell r="DF128">
            <v>178579835.6440683</v>
          </cell>
        </row>
        <row r="129">
          <cell r="DE129">
            <v>44280</v>
          </cell>
          <cell r="DF129">
            <v>179519489.11313942</v>
          </cell>
        </row>
        <row r="130">
          <cell r="DE130">
            <v>44315</v>
          </cell>
          <cell r="DF130">
            <v>181055263.92298785</v>
          </cell>
        </row>
        <row r="131">
          <cell r="DE131">
            <v>44343</v>
          </cell>
          <cell r="DF131">
            <v>182326277.89287835</v>
          </cell>
        </row>
        <row r="132">
          <cell r="DE132">
            <v>44371</v>
          </cell>
          <cell r="DF132">
            <v>183934328.14696926</v>
          </cell>
        </row>
        <row r="133">
          <cell r="DE133">
            <v>44406</v>
          </cell>
          <cell r="DF133">
            <v>184488596.28773633</v>
          </cell>
        </row>
        <row r="134">
          <cell r="DE134">
            <v>44434</v>
          </cell>
          <cell r="DF134">
            <v>185343096.28980708</v>
          </cell>
        </row>
        <row r="135">
          <cell r="DE135">
            <v>44469</v>
          </cell>
          <cell r="DF135">
            <v>186032533.09036475</v>
          </cell>
        </row>
        <row r="136">
          <cell r="DE136">
            <v>44497</v>
          </cell>
          <cell r="DF136">
            <v>187175351.44940725</v>
          </cell>
        </row>
        <row r="137">
          <cell r="DE137">
            <v>44525</v>
          </cell>
          <cell r="DF137">
            <v>188542047.84161934</v>
          </cell>
        </row>
        <row r="138">
          <cell r="DE138">
            <v>44560</v>
          </cell>
          <cell r="DF138">
            <v>190361274.74851358</v>
          </cell>
        </row>
        <row r="139">
          <cell r="DE139">
            <v>44588</v>
          </cell>
          <cell r="DF139">
            <v>191119495.79255262</v>
          </cell>
        </row>
        <row r="140">
          <cell r="DE140">
            <v>44616</v>
          </cell>
          <cell r="DF140">
            <v>193100841.42155501</v>
          </cell>
        </row>
        <row r="141">
          <cell r="DE141">
            <v>44651</v>
          </cell>
          <cell r="DF141">
            <v>194116508.43211266</v>
          </cell>
        </row>
        <row r="142">
          <cell r="DE142">
            <v>44679</v>
          </cell>
          <cell r="DF142">
            <v>194776354.79051149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0"/>
  <sheetViews>
    <sheetView showGridLines="0" tabSelected="1" workbookViewId="0">
      <selection activeCell="C2" sqref="C2"/>
    </sheetView>
  </sheetViews>
  <sheetFormatPr defaultRowHeight="15" x14ac:dyDescent="0.25"/>
  <cols>
    <col min="1" max="2" width="13.140625" bestFit="1" customWidth="1"/>
    <col min="3" max="3" width="18.5703125" bestFit="1" customWidth="1"/>
    <col min="4" max="4" width="17.7109375" bestFit="1" customWidth="1"/>
    <col min="7" max="7" width="16.85546875" bestFit="1" customWidth="1"/>
    <col min="8" max="8" width="14.28515625" bestFit="1" customWidth="1"/>
    <col min="9" max="9" width="20.42578125" bestFit="1" customWidth="1"/>
    <col min="10" max="10" width="19.7109375" bestFit="1" customWidth="1"/>
  </cols>
  <sheetData>
    <row r="1" spans="1:10" x14ac:dyDescent="0.25">
      <c r="A1" s="1" t="s">
        <v>0</v>
      </c>
      <c r="B1" s="1" t="s">
        <v>1</v>
      </c>
      <c r="J1" s="46"/>
    </row>
    <row r="2" spans="1:10" x14ac:dyDescent="0.25">
      <c r="A2" s="1" t="s">
        <v>2</v>
      </c>
      <c r="B2" s="1">
        <v>0.02</v>
      </c>
    </row>
    <row r="3" spans="1:10" x14ac:dyDescent="0.25">
      <c r="A3" s="1" t="s">
        <v>3</v>
      </c>
      <c r="B3" s="1" t="s">
        <v>4</v>
      </c>
    </row>
    <row r="4" spans="1:10" x14ac:dyDescent="0.25">
      <c r="A4" s="51"/>
      <c r="B4" s="50"/>
    </row>
    <row r="6" spans="1:10" ht="17.25" x14ac:dyDescent="0.4">
      <c r="A6" s="36" t="s">
        <v>43</v>
      </c>
      <c r="B6" s="36" t="s">
        <v>44</v>
      </c>
      <c r="C6" s="36" t="s">
        <v>45</v>
      </c>
      <c r="D6" s="36" t="s">
        <v>46</v>
      </c>
      <c r="G6" s="36" t="s">
        <v>43</v>
      </c>
      <c r="H6" s="36" t="s">
        <v>49</v>
      </c>
      <c r="I6" s="36" t="s">
        <v>50</v>
      </c>
      <c r="J6" s="36" t="s">
        <v>51</v>
      </c>
    </row>
    <row r="7" spans="1:10" x14ac:dyDescent="0.25">
      <c r="A7" s="37">
        <v>0.01</v>
      </c>
      <c r="B7" s="37">
        <f>Output!H27</f>
        <v>6.087222222222223E-2</v>
      </c>
      <c r="C7" s="37">
        <f>Output!J27</f>
        <v>-3.4627777777777778E-2</v>
      </c>
      <c r="D7" s="38">
        <f>Output!L27</f>
        <v>2.3014921558349917</v>
      </c>
      <c r="G7" s="37">
        <v>0.01</v>
      </c>
      <c r="H7" s="42">
        <f>Output!H29</f>
        <v>5.3223130106925975E-2</v>
      </c>
      <c r="I7" s="42">
        <f>Output!J29</f>
        <v>-4.2962549496738944E-3</v>
      </c>
      <c r="J7" s="43">
        <f>Output!L29</f>
        <v>12.388261574412816</v>
      </c>
    </row>
    <row r="8" spans="1:10" x14ac:dyDescent="0.25">
      <c r="A8" s="37">
        <f>A7-0.1%</f>
        <v>9.0000000000000011E-3</v>
      </c>
      <c r="B8" s="37">
        <f>Output!S27</f>
        <v>6.2288888888888901E-2</v>
      </c>
      <c r="C8" s="37">
        <f>Output!U27</f>
        <v>-3.5872222222222222E-2</v>
      </c>
      <c r="D8" s="38">
        <f>Output!W27</f>
        <v>2.3335834347231064</v>
      </c>
      <c r="G8" s="37">
        <f>G7-0.1%</f>
        <v>9.0000000000000011E-3</v>
      </c>
      <c r="H8" s="42">
        <f>Output!S29</f>
        <v>5.0180330872535719E-2</v>
      </c>
      <c r="I8" s="42">
        <f>Output!U29</f>
        <v>-3.5328103054949045E-3</v>
      </c>
      <c r="J8" s="43">
        <f>Output!W29</f>
        <v>14.204083019822955</v>
      </c>
    </row>
    <row r="9" spans="1:10" x14ac:dyDescent="0.25">
      <c r="A9" s="37">
        <f t="shared" ref="A9:A16" si="0">A8-0.1%</f>
        <v>8.0000000000000002E-3</v>
      </c>
      <c r="B9" s="37">
        <f>Output!AD27</f>
        <v>6.3611111111111104E-2</v>
      </c>
      <c r="C9" s="37">
        <f>Output!AF27</f>
        <v>-3.7811111111111115E-2</v>
      </c>
      <c r="D9" s="38">
        <f>Output!AH27</f>
        <v>2.3117924063718518</v>
      </c>
      <c r="G9" s="37">
        <f t="shared" ref="G9:G16" si="1">G8-0.1%</f>
        <v>8.0000000000000002E-3</v>
      </c>
      <c r="H9" s="42">
        <f>Output!AD29</f>
        <v>5.1754656434059146E-2</v>
      </c>
      <c r="I9" s="42">
        <f>Output!AF29</f>
        <v>-2.8581602077408785E-3</v>
      </c>
      <c r="J9" s="43">
        <f>Output!AH29</f>
        <v>18.1076821004959</v>
      </c>
    </row>
    <row r="10" spans="1:10" x14ac:dyDescent="0.25">
      <c r="A10" s="37">
        <f t="shared" si="0"/>
        <v>7.0000000000000001E-3</v>
      </c>
      <c r="B10" s="37">
        <f>Output!AO27</f>
        <v>6.5294444444444447E-2</v>
      </c>
      <c r="C10" s="37">
        <f>Output!AQ27</f>
        <v>-3.5922222222222223E-2</v>
      </c>
      <c r="D10" s="38">
        <f>Output!AS27</f>
        <v>2.4006292998156744</v>
      </c>
      <c r="G10" s="37">
        <f t="shared" si="1"/>
        <v>7.0000000000000001E-3</v>
      </c>
      <c r="H10" s="42">
        <f>Output!AO29</f>
        <v>5.2844032645225539E-2</v>
      </c>
      <c r="I10" s="42">
        <f>Output!AQ29</f>
        <v>-3.4319737178974963E-3</v>
      </c>
      <c r="J10" s="43">
        <f>Output!AS29</f>
        <v>15.397563323299273</v>
      </c>
    </row>
    <row r="11" spans="1:10" x14ac:dyDescent="0.25">
      <c r="A11" s="37">
        <f t="shared" si="0"/>
        <v>6.0000000000000001E-3</v>
      </c>
      <c r="B11" s="37">
        <f>Output!AZ27</f>
        <v>6.745555555555556E-2</v>
      </c>
      <c r="C11" s="37">
        <f>Output!BB27</f>
        <v>-3.4733333333333338E-2</v>
      </c>
      <c r="D11" s="38">
        <f>Output!BD27</f>
        <v>2.5175321108767323</v>
      </c>
      <c r="G11" s="37">
        <f t="shared" si="1"/>
        <v>6.0000000000000001E-3</v>
      </c>
      <c r="H11" s="42">
        <f>Output!AZ29</f>
        <v>5.5040183663368228E-2</v>
      </c>
      <c r="I11" s="42">
        <f>Output!BB29</f>
        <v>-3.3826115532177292E-3</v>
      </c>
      <c r="J11" s="43">
        <f>Output!BD29</f>
        <v>16.271505846129724</v>
      </c>
    </row>
    <row r="12" spans="1:10" x14ac:dyDescent="0.25">
      <c r="A12" s="37">
        <f t="shared" si="0"/>
        <v>5.0000000000000001E-3</v>
      </c>
      <c r="B12" s="37">
        <f>Output!BK27</f>
        <v>6.8372222222222223E-2</v>
      </c>
      <c r="C12" s="37">
        <f>Output!BM27</f>
        <v>-3.6466666666666668E-2</v>
      </c>
      <c r="D12" s="38">
        <f>Output!BO27</f>
        <v>2.5203870788764373</v>
      </c>
      <c r="G12" s="37">
        <f t="shared" si="1"/>
        <v>5.0000000000000001E-3</v>
      </c>
      <c r="H12" s="42">
        <f>Output!BK29</f>
        <v>5.6790408492088315E-2</v>
      </c>
      <c r="I12" s="42">
        <f>Output!BM29</f>
        <v>-4.1840507658533754E-3</v>
      </c>
      <c r="J12" s="43">
        <f>Output!BO29</f>
        <v>13.573068700686616</v>
      </c>
    </row>
    <row r="13" spans="1:10" x14ac:dyDescent="0.25">
      <c r="A13" s="37">
        <f t="shared" si="0"/>
        <v>4.0000000000000001E-3</v>
      </c>
      <c r="B13" s="37">
        <f>Output!BV27</f>
        <v>7.0061111111111102E-2</v>
      </c>
      <c r="C13" s="37">
        <f>Output!BX27</f>
        <v>-3.5922222222222217E-2</v>
      </c>
      <c r="D13" s="38">
        <f>Output!BZ27</f>
        <v>2.3989288727554361</v>
      </c>
      <c r="G13" s="37">
        <f t="shared" si="1"/>
        <v>4.0000000000000001E-3</v>
      </c>
      <c r="H13" s="42">
        <f>Output!BV29</f>
        <v>5.8512100577354426E-2</v>
      </c>
      <c r="I13" s="42">
        <f>Output!BX29</f>
        <v>-4.0993482174697116E-3</v>
      </c>
      <c r="J13" s="43">
        <f>Output!BZ29</f>
        <v>14.273513122891163</v>
      </c>
    </row>
    <row r="14" spans="1:10" x14ac:dyDescent="0.25">
      <c r="A14" s="37">
        <f t="shared" si="0"/>
        <v>3.0000000000000001E-3</v>
      </c>
      <c r="B14" s="37">
        <f>Output!CG27</f>
        <v>7.0533333333333337E-2</v>
      </c>
      <c r="C14" s="37">
        <f>Output!CI27</f>
        <v>-3.6766666666666663E-2</v>
      </c>
      <c r="D14" s="38">
        <f>Output!CK27</f>
        <v>2.2859762371929793</v>
      </c>
      <c r="G14" s="37">
        <f t="shared" si="1"/>
        <v>3.0000000000000001E-3</v>
      </c>
      <c r="H14" s="42">
        <f>Output!CG29</f>
        <v>5.9783253073692311E-2</v>
      </c>
      <c r="I14" s="42">
        <f>Output!CI29</f>
        <v>-4.6762760558843874E-3</v>
      </c>
      <c r="J14" s="43">
        <f>Output!CK29</f>
        <v>12.784372085660792</v>
      </c>
    </row>
    <row r="15" spans="1:10" x14ac:dyDescent="0.25">
      <c r="A15" s="37">
        <f t="shared" si="0"/>
        <v>2E-3</v>
      </c>
      <c r="B15" s="37">
        <f>Output!CR27</f>
        <v>7.1344444444444446E-2</v>
      </c>
      <c r="C15" s="37">
        <f>Output!CT27</f>
        <v>-3.8100000000000002E-2</v>
      </c>
      <c r="D15" s="38">
        <f>Output!CV27</f>
        <v>2.1657429003038464</v>
      </c>
      <c r="G15" s="37">
        <f t="shared" si="1"/>
        <v>2E-3</v>
      </c>
      <c r="H15" s="42">
        <f>Output!CR29</f>
        <v>6.1147966980934138E-2</v>
      </c>
      <c r="I15" s="42">
        <f>Output!CT29</f>
        <v>-5.4543142595497862E-3</v>
      </c>
      <c r="J15" s="43">
        <f>Output!CV29</f>
        <v>11.210935797084316</v>
      </c>
    </row>
    <row r="16" spans="1:10" x14ac:dyDescent="0.25">
      <c r="A16" s="37">
        <f t="shared" si="0"/>
        <v>1E-3</v>
      </c>
      <c r="B16" s="37">
        <f>Output!DC27</f>
        <v>7.0972222222222242E-2</v>
      </c>
      <c r="C16" s="37">
        <f>Output!DE27</f>
        <v>-4.1611111111111106E-2</v>
      </c>
      <c r="D16" s="38">
        <f>Output!DG27</f>
        <v>2.0333843806387346</v>
      </c>
      <c r="G16" s="37">
        <f t="shared" si="1"/>
        <v>1E-3</v>
      </c>
      <c r="H16" s="42">
        <f>Output!DC29</f>
        <v>6.1423489451408381E-2</v>
      </c>
      <c r="I16" s="42">
        <f>Output!DE29</f>
        <v>-5.2277689345271439E-3</v>
      </c>
      <c r="J16" s="43">
        <f>Output!DG29</f>
        <v>11.749465253854833</v>
      </c>
    </row>
    <row r="17" spans="1:10" x14ac:dyDescent="0.25">
      <c r="A17" s="1" t="s">
        <v>47</v>
      </c>
      <c r="B17" s="37">
        <f>Output!DN27</f>
        <v>6.0005555555555548E-2</v>
      </c>
      <c r="C17" s="37">
        <f>Output!DP27</f>
        <v>-0.11687222222222221</v>
      </c>
      <c r="D17" s="38">
        <f>Output!DR27</f>
        <v>1.4000615902526592</v>
      </c>
      <c r="G17" s="1" t="s">
        <v>47</v>
      </c>
      <c r="H17" s="42">
        <f>Output!DN29</f>
        <v>5.0596258044242864E-2</v>
      </c>
      <c r="I17" s="42">
        <f>Output!DP29</f>
        <v>-3.1655368268159623E-2</v>
      </c>
      <c r="J17" s="43">
        <f>Output!DR29</f>
        <v>1.5983468464378863</v>
      </c>
    </row>
    <row r="20" spans="1:10" x14ac:dyDescent="0.25">
      <c r="J20" s="44"/>
    </row>
    <row r="21" spans="1:10" x14ac:dyDescent="0.25">
      <c r="J21" s="45"/>
    </row>
    <row r="23" spans="1:10" x14ac:dyDescent="0.25">
      <c r="A23" s="47"/>
    </row>
    <row r="25" spans="1:10" x14ac:dyDescent="0.25">
      <c r="A25" s="48"/>
    </row>
    <row r="26" spans="1:10" x14ac:dyDescent="0.25">
      <c r="A26" s="48"/>
    </row>
    <row r="27" spans="1:10" x14ac:dyDescent="0.25">
      <c r="A27" s="48"/>
    </row>
    <row r="28" spans="1:10" x14ac:dyDescent="0.25">
      <c r="A28" s="48"/>
      <c r="D28" s="49"/>
    </row>
    <row r="29" spans="1:10" x14ac:dyDescent="0.25">
      <c r="A29" s="48"/>
    </row>
    <row r="30" spans="1:10" x14ac:dyDescent="0.25">
      <c r="A30" s="48"/>
    </row>
  </sheetData>
  <conditionalFormatting sqref="B7:B17">
    <cfRule type="top10" dxfId="5" priority="7" rank="1"/>
  </conditionalFormatting>
  <conditionalFormatting sqref="C7:C17">
    <cfRule type="top10" dxfId="4" priority="5" rank="1"/>
  </conditionalFormatting>
  <conditionalFormatting sqref="D7:D17">
    <cfRule type="top10" dxfId="3" priority="4" rank="1"/>
  </conditionalFormatting>
  <conditionalFormatting sqref="H7:H17">
    <cfRule type="top10" dxfId="2" priority="3" rank="1"/>
  </conditionalFormatting>
  <conditionalFormatting sqref="I7:I17">
    <cfRule type="top10" dxfId="1" priority="2" rank="1"/>
  </conditionalFormatting>
  <conditionalFormatting sqref="J7:J17">
    <cfRule type="top10" dxfId="0" priority="1" rank="1"/>
  </conditionalFormatting>
  <pageMargins left="0.7" right="0.7" top="0.75" bottom="0.75" header="0.3" footer="0.3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R29"/>
  <sheetViews>
    <sheetView showGridLines="0" topLeftCell="AI1" workbookViewId="0">
      <selection activeCell="AJ27" sqref="AJ27"/>
    </sheetView>
  </sheetViews>
  <sheetFormatPr defaultRowHeight="15" x14ac:dyDescent="0.25"/>
  <cols>
    <col min="1" max="1" width="16.140625" bestFit="1" customWidth="1"/>
    <col min="2" max="2" width="13.140625" bestFit="1" customWidth="1"/>
    <col min="3" max="3" width="14" bestFit="1" customWidth="1"/>
    <col min="4" max="4" width="1" customWidth="1"/>
    <col min="5" max="5" width="10.7109375" bestFit="1" customWidth="1"/>
    <col min="6" max="6" width="10.7109375" customWidth="1"/>
    <col min="7" max="7" width="1.42578125" customWidth="1"/>
    <col min="9" max="9" width="1" customWidth="1"/>
    <col min="11" max="11" width="1.28515625" customWidth="1"/>
    <col min="12" max="12" width="10.85546875" customWidth="1"/>
    <col min="14" max="14" width="14" bestFit="1" customWidth="1"/>
    <col min="15" max="15" width="1.42578125" customWidth="1"/>
    <col min="16" max="17" width="10.7109375" bestFit="1" customWidth="1"/>
    <col min="18" max="18" width="1.28515625" customWidth="1"/>
    <col min="20" max="20" width="1.28515625" customWidth="1"/>
    <col min="22" max="22" width="1.28515625" customWidth="1"/>
    <col min="25" max="25" width="14" bestFit="1" customWidth="1"/>
    <col min="26" max="26" width="1.28515625" customWidth="1"/>
    <col min="27" max="28" width="10.7109375" bestFit="1" customWidth="1"/>
    <col min="29" max="29" width="1" customWidth="1"/>
    <col min="31" max="31" width="1.28515625" customWidth="1"/>
    <col min="33" max="33" width="0.5703125" customWidth="1"/>
    <col min="36" max="36" width="14" bestFit="1" customWidth="1"/>
    <col min="37" max="37" width="1" customWidth="1"/>
    <col min="38" max="39" width="10.7109375" bestFit="1" customWidth="1"/>
    <col min="40" max="40" width="1" customWidth="1"/>
    <col min="41" max="41" width="7.85546875" customWidth="1"/>
    <col min="42" max="42" width="1" customWidth="1"/>
    <col min="43" max="43" width="11.85546875" customWidth="1"/>
    <col min="44" max="44" width="1.140625" customWidth="1"/>
    <col min="45" max="45" width="9.85546875" bestFit="1" customWidth="1"/>
    <col min="47" max="47" width="14" bestFit="1" customWidth="1"/>
    <col min="48" max="48" width="1" customWidth="1"/>
    <col min="49" max="50" width="10.7109375" bestFit="1" customWidth="1"/>
    <col min="51" max="51" width="1" customWidth="1"/>
    <col min="52" max="52" width="8.140625" customWidth="1"/>
    <col min="53" max="53" width="0.85546875" customWidth="1"/>
    <col min="54" max="54" width="8.5703125" customWidth="1"/>
    <col min="55" max="55" width="1.140625" customWidth="1"/>
    <col min="56" max="56" width="8" customWidth="1"/>
    <col min="58" max="58" width="14" bestFit="1" customWidth="1"/>
    <col min="59" max="59" width="1.28515625" customWidth="1"/>
    <col min="60" max="61" width="10.7109375" bestFit="1" customWidth="1"/>
    <col min="62" max="62" width="1.28515625" customWidth="1"/>
    <col min="64" max="64" width="1.42578125" customWidth="1"/>
    <col min="66" max="66" width="1" customWidth="1"/>
    <col min="69" max="69" width="14" bestFit="1" customWidth="1"/>
    <col min="70" max="70" width="1.140625" customWidth="1"/>
    <col min="71" max="72" width="10.7109375" bestFit="1" customWidth="1"/>
    <col min="73" max="73" width="1.140625" customWidth="1"/>
    <col min="75" max="75" width="0.85546875" customWidth="1"/>
    <col min="77" max="77" width="0.7109375" customWidth="1"/>
    <col min="80" max="80" width="14" bestFit="1" customWidth="1"/>
    <col min="81" max="81" width="1.42578125" customWidth="1"/>
    <col min="82" max="82" width="10.7109375" bestFit="1" customWidth="1"/>
    <col min="83" max="83" width="10.7109375" customWidth="1"/>
    <col min="84" max="84" width="1.140625" customWidth="1"/>
    <col min="85" max="85" width="8.5703125" customWidth="1"/>
    <col min="86" max="86" width="1" customWidth="1"/>
    <col min="87" max="87" width="22.140625" bestFit="1" customWidth="1"/>
    <col min="88" max="88" width="1" customWidth="1"/>
    <col min="89" max="89" width="9.85546875" bestFit="1" customWidth="1"/>
    <col min="91" max="91" width="14" bestFit="1" customWidth="1"/>
    <col min="92" max="92" width="0.85546875" customWidth="1"/>
    <col min="93" max="94" width="10.7109375" bestFit="1" customWidth="1"/>
    <col min="95" max="95" width="0.7109375" customWidth="1"/>
    <col min="96" max="96" width="7.85546875" customWidth="1"/>
    <col min="97" max="97" width="0.85546875" customWidth="1"/>
    <col min="98" max="98" width="22.140625" bestFit="1" customWidth="1"/>
    <col min="99" max="99" width="0.7109375" customWidth="1"/>
    <col min="100" max="100" width="9.85546875" bestFit="1" customWidth="1"/>
    <col min="102" max="102" width="14" customWidth="1"/>
    <col min="103" max="103" width="1" customWidth="1"/>
    <col min="104" max="105" width="10.7109375" bestFit="1" customWidth="1"/>
    <col min="106" max="106" width="0.7109375" customWidth="1"/>
    <col min="107" max="107" width="7.85546875" customWidth="1"/>
    <col min="108" max="108" width="0.7109375" customWidth="1"/>
    <col min="109" max="109" width="22.140625" customWidth="1"/>
    <col min="110" max="110" width="1" customWidth="1"/>
    <col min="111" max="111" width="9.85546875" bestFit="1" customWidth="1"/>
    <col min="113" max="113" width="14" bestFit="1" customWidth="1"/>
    <col min="114" max="114" width="1.140625" customWidth="1"/>
    <col min="115" max="116" width="10.7109375" bestFit="1" customWidth="1"/>
    <col min="117" max="117" width="1.140625" customWidth="1"/>
    <col min="118" max="118" width="7.85546875" customWidth="1"/>
    <col min="119" max="119" width="0.85546875" customWidth="1"/>
    <col min="120" max="120" width="8.5703125" customWidth="1"/>
    <col min="121" max="121" width="0.85546875" customWidth="1"/>
    <col min="122" max="122" width="8" customWidth="1"/>
  </cols>
  <sheetData>
    <row r="1" spans="1:122" x14ac:dyDescent="0.25">
      <c r="A1" s="1" t="s">
        <v>0</v>
      </c>
      <c r="B1" s="1" t="s">
        <v>1</v>
      </c>
    </row>
    <row r="2" spans="1:122" x14ac:dyDescent="0.25">
      <c r="A2" s="1" t="s">
        <v>2</v>
      </c>
      <c r="B2" s="1">
        <v>0.02</v>
      </c>
    </row>
    <row r="3" spans="1:122" x14ac:dyDescent="0.25">
      <c r="A3" s="1" t="s">
        <v>3</v>
      </c>
      <c r="B3" s="1" t="s">
        <v>4</v>
      </c>
    </row>
    <row r="4" spans="1:122" ht="15.75" thickBot="1" x14ac:dyDescent="0.3"/>
    <row r="5" spans="1:122" x14ac:dyDescent="0.25">
      <c r="C5" s="17" t="s">
        <v>31</v>
      </c>
      <c r="D5" s="18"/>
      <c r="E5" s="18"/>
      <c r="F5" s="18"/>
      <c r="G5" s="18"/>
      <c r="H5" s="18"/>
      <c r="I5" s="18"/>
      <c r="J5" s="18"/>
      <c r="K5" s="18"/>
      <c r="L5" s="19"/>
      <c r="N5" s="17" t="s">
        <v>32</v>
      </c>
      <c r="O5" s="18"/>
      <c r="P5" s="18"/>
      <c r="Q5" s="18"/>
      <c r="R5" s="18"/>
      <c r="S5" s="18"/>
      <c r="T5" s="18"/>
      <c r="U5" s="18"/>
      <c r="V5" s="18"/>
      <c r="W5" s="19"/>
      <c r="Y5" s="17" t="s">
        <v>33</v>
      </c>
      <c r="Z5" s="18"/>
      <c r="AA5" s="18"/>
      <c r="AB5" s="18"/>
      <c r="AC5" s="18"/>
      <c r="AD5" s="18"/>
      <c r="AE5" s="18"/>
      <c r="AF5" s="18"/>
      <c r="AG5" s="18"/>
      <c r="AH5" s="19"/>
      <c r="AJ5" s="17" t="s">
        <v>34</v>
      </c>
      <c r="AK5" s="18"/>
      <c r="AL5" s="18"/>
      <c r="AM5" s="18"/>
      <c r="AN5" s="18"/>
      <c r="AO5" s="18"/>
      <c r="AP5" s="18"/>
      <c r="AQ5" s="18"/>
      <c r="AR5" s="18"/>
      <c r="AS5" s="19"/>
      <c r="AU5" s="17" t="s">
        <v>35</v>
      </c>
      <c r="AV5" s="18"/>
      <c r="AW5" s="18"/>
      <c r="AX5" s="18"/>
      <c r="AY5" s="18"/>
      <c r="AZ5" s="18"/>
      <c r="BA5" s="18"/>
      <c r="BB5" s="18"/>
      <c r="BC5" s="18"/>
      <c r="BD5" s="19"/>
      <c r="BF5" s="17" t="s">
        <v>36</v>
      </c>
      <c r="BG5" s="18"/>
      <c r="BH5" s="18"/>
      <c r="BI5" s="18"/>
      <c r="BJ5" s="18"/>
      <c r="BK5" s="18"/>
      <c r="BL5" s="18"/>
      <c r="BM5" s="18"/>
      <c r="BN5" s="18"/>
      <c r="BO5" s="19"/>
      <c r="BQ5" s="17" t="s">
        <v>37</v>
      </c>
      <c r="BR5" s="18"/>
      <c r="BS5" s="18"/>
      <c r="BT5" s="18"/>
      <c r="BU5" s="18"/>
      <c r="BV5" s="18"/>
      <c r="BW5" s="18"/>
      <c r="BX5" s="18"/>
      <c r="BY5" s="18"/>
      <c r="BZ5" s="19"/>
      <c r="CB5" s="17" t="s">
        <v>38</v>
      </c>
      <c r="CC5" s="18"/>
      <c r="CD5" s="18"/>
      <c r="CE5" s="18"/>
      <c r="CF5" s="18"/>
      <c r="CG5" s="18"/>
      <c r="CH5" s="18"/>
      <c r="CI5" s="18"/>
      <c r="CJ5" s="18"/>
      <c r="CK5" s="19"/>
      <c r="CM5" s="17" t="s">
        <v>39</v>
      </c>
      <c r="CN5" s="18"/>
      <c r="CO5" s="18"/>
      <c r="CP5" s="18"/>
      <c r="CQ5" s="18"/>
      <c r="CR5" s="18"/>
      <c r="CS5" s="18"/>
      <c r="CT5" s="18"/>
      <c r="CU5" s="18"/>
      <c r="CV5" s="19"/>
      <c r="CX5" s="17" t="s">
        <v>40</v>
      </c>
      <c r="CY5" s="18"/>
      <c r="CZ5" s="18"/>
      <c r="DA5" s="18"/>
      <c r="DB5" s="18"/>
      <c r="DC5" s="18"/>
      <c r="DD5" s="18"/>
      <c r="DE5" s="18"/>
      <c r="DF5" s="18"/>
      <c r="DG5" s="19"/>
      <c r="DI5" s="17" t="s">
        <v>41</v>
      </c>
      <c r="DJ5" s="18"/>
      <c r="DK5" s="18"/>
      <c r="DL5" s="18"/>
      <c r="DM5" s="18"/>
      <c r="DN5" s="18"/>
      <c r="DO5" s="18"/>
      <c r="DP5" s="18"/>
      <c r="DQ5" s="18"/>
      <c r="DR5" s="19"/>
    </row>
    <row r="6" spans="1:122" x14ac:dyDescent="0.25">
      <c r="C6" s="20" t="s">
        <v>5</v>
      </c>
      <c r="D6" s="21"/>
      <c r="E6" s="21" t="s">
        <v>6</v>
      </c>
      <c r="F6" s="21"/>
      <c r="G6" s="22"/>
      <c r="H6" s="21" t="s">
        <v>7</v>
      </c>
      <c r="I6" s="23"/>
      <c r="J6" s="21" t="s">
        <v>8</v>
      </c>
      <c r="K6" s="23"/>
      <c r="L6" s="24" t="s">
        <v>9</v>
      </c>
      <c r="N6" s="20" t="s">
        <v>5</v>
      </c>
      <c r="O6" s="21"/>
      <c r="P6" s="21" t="s">
        <v>6</v>
      </c>
      <c r="Q6" s="21"/>
      <c r="R6" s="22"/>
      <c r="S6" s="21" t="s">
        <v>7</v>
      </c>
      <c r="T6" s="23"/>
      <c r="U6" s="21" t="s">
        <v>8</v>
      </c>
      <c r="V6" s="23"/>
      <c r="W6" s="24" t="s">
        <v>9</v>
      </c>
      <c r="Y6" s="20" t="s">
        <v>5</v>
      </c>
      <c r="Z6" s="21"/>
      <c r="AA6" s="21" t="s">
        <v>6</v>
      </c>
      <c r="AB6" s="21"/>
      <c r="AC6" s="22"/>
      <c r="AD6" s="21" t="s">
        <v>7</v>
      </c>
      <c r="AE6" s="23"/>
      <c r="AF6" s="21" t="s">
        <v>8</v>
      </c>
      <c r="AG6" s="23"/>
      <c r="AH6" s="24" t="s">
        <v>9</v>
      </c>
      <c r="AJ6" s="20" t="s">
        <v>5</v>
      </c>
      <c r="AK6" s="21"/>
      <c r="AL6" s="21" t="s">
        <v>6</v>
      </c>
      <c r="AM6" s="21"/>
      <c r="AN6" s="22"/>
      <c r="AO6" s="21" t="s">
        <v>7</v>
      </c>
      <c r="AP6" s="23"/>
      <c r="AQ6" s="21" t="s">
        <v>8</v>
      </c>
      <c r="AR6" s="23"/>
      <c r="AS6" s="24" t="s">
        <v>9</v>
      </c>
      <c r="AU6" s="20" t="s">
        <v>5</v>
      </c>
      <c r="AV6" s="21"/>
      <c r="AW6" s="21" t="s">
        <v>6</v>
      </c>
      <c r="AX6" s="21"/>
      <c r="AY6" s="22"/>
      <c r="AZ6" s="21" t="s">
        <v>7</v>
      </c>
      <c r="BA6" s="23"/>
      <c r="BB6" s="21" t="s">
        <v>8</v>
      </c>
      <c r="BC6" s="23"/>
      <c r="BD6" s="24" t="s">
        <v>9</v>
      </c>
      <c r="BF6" s="20" t="s">
        <v>5</v>
      </c>
      <c r="BG6" s="21"/>
      <c r="BH6" s="21" t="s">
        <v>6</v>
      </c>
      <c r="BI6" s="21"/>
      <c r="BJ6" s="22"/>
      <c r="BK6" s="21" t="s">
        <v>7</v>
      </c>
      <c r="BL6" s="23"/>
      <c r="BM6" s="21" t="s">
        <v>8</v>
      </c>
      <c r="BN6" s="23"/>
      <c r="BO6" s="24" t="s">
        <v>9</v>
      </c>
      <c r="BQ6" s="20" t="s">
        <v>5</v>
      </c>
      <c r="BR6" s="21"/>
      <c r="BS6" s="21" t="s">
        <v>6</v>
      </c>
      <c r="BT6" s="21"/>
      <c r="BU6" s="22"/>
      <c r="BV6" s="21" t="s">
        <v>7</v>
      </c>
      <c r="BW6" s="23"/>
      <c r="BX6" s="21" t="s">
        <v>8</v>
      </c>
      <c r="BY6" s="23"/>
      <c r="BZ6" s="24" t="s">
        <v>9</v>
      </c>
      <c r="CB6" s="20" t="s">
        <v>5</v>
      </c>
      <c r="CC6" s="21"/>
      <c r="CD6" s="21" t="s">
        <v>6</v>
      </c>
      <c r="CE6" s="21"/>
      <c r="CF6" s="22"/>
      <c r="CG6" s="21" t="s">
        <v>7</v>
      </c>
      <c r="CH6" s="23"/>
      <c r="CI6" s="21" t="s">
        <v>8</v>
      </c>
      <c r="CJ6" s="23"/>
      <c r="CK6" s="24" t="s">
        <v>9</v>
      </c>
      <c r="CM6" s="20" t="s">
        <v>5</v>
      </c>
      <c r="CN6" s="21"/>
      <c r="CO6" s="21" t="s">
        <v>6</v>
      </c>
      <c r="CP6" s="21"/>
      <c r="CQ6" s="22"/>
      <c r="CR6" s="21" t="s">
        <v>7</v>
      </c>
      <c r="CS6" s="23"/>
      <c r="CT6" s="21" t="s">
        <v>8</v>
      </c>
      <c r="CU6" s="23"/>
      <c r="CV6" s="24" t="s">
        <v>9</v>
      </c>
      <c r="CX6" s="20" t="s">
        <v>5</v>
      </c>
      <c r="CY6" s="21"/>
      <c r="CZ6" s="21" t="s">
        <v>6</v>
      </c>
      <c r="DA6" s="21"/>
      <c r="DB6" s="22"/>
      <c r="DC6" s="21" t="s">
        <v>7</v>
      </c>
      <c r="DD6" s="23"/>
      <c r="DE6" s="21" t="s">
        <v>8</v>
      </c>
      <c r="DF6" s="23"/>
      <c r="DG6" s="24" t="s">
        <v>9</v>
      </c>
      <c r="DI6" s="20" t="s">
        <v>5</v>
      </c>
      <c r="DJ6" s="21"/>
      <c r="DK6" s="21" t="s">
        <v>6</v>
      </c>
      <c r="DL6" s="21"/>
      <c r="DM6" s="22"/>
      <c r="DN6" s="21" t="s">
        <v>7</v>
      </c>
      <c r="DO6" s="23"/>
      <c r="DP6" s="21" t="s">
        <v>8</v>
      </c>
      <c r="DQ6" s="23"/>
      <c r="DR6" s="24" t="s">
        <v>9</v>
      </c>
    </row>
    <row r="7" spans="1:122" ht="18" thickBot="1" x14ac:dyDescent="0.45">
      <c r="C7" s="25"/>
      <c r="D7" s="26"/>
      <c r="E7" s="27" t="s">
        <v>10</v>
      </c>
      <c r="F7" s="27" t="s">
        <v>11</v>
      </c>
      <c r="G7" s="27"/>
      <c r="H7" s="27" t="s">
        <v>12</v>
      </c>
      <c r="I7" s="27"/>
      <c r="J7" s="27" t="s">
        <v>12</v>
      </c>
      <c r="K7" s="27"/>
      <c r="L7" s="28" t="s">
        <v>12</v>
      </c>
      <c r="N7" s="25"/>
      <c r="O7" s="26"/>
      <c r="P7" s="27" t="s">
        <v>10</v>
      </c>
      <c r="Q7" s="27" t="s">
        <v>11</v>
      </c>
      <c r="R7" s="27"/>
      <c r="S7" s="27" t="s">
        <v>12</v>
      </c>
      <c r="T7" s="27"/>
      <c r="U7" s="27" t="s">
        <v>12</v>
      </c>
      <c r="V7" s="27"/>
      <c r="W7" s="28" t="s">
        <v>12</v>
      </c>
      <c r="Y7" s="25"/>
      <c r="Z7" s="26"/>
      <c r="AA7" s="27" t="s">
        <v>10</v>
      </c>
      <c r="AB7" s="27" t="s">
        <v>11</v>
      </c>
      <c r="AC7" s="27"/>
      <c r="AD7" s="27" t="s">
        <v>12</v>
      </c>
      <c r="AE7" s="27"/>
      <c r="AF7" s="27" t="s">
        <v>12</v>
      </c>
      <c r="AG7" s="27"/>
      <c r="AH7" s="28" t="s">
        <v>12</v>
      </c>
      <c r="AJ7" s="25"/>
      <c r="AK7" s="26"/>
      <c r="AL7" s="27" t="s">
        <v>10</v>
      </c>
      <c r="AM7" s="27" t="s">
        <v>11</v>
      </c>
      <c r="AN7" s="27"/>
      <c r="AO7" s="27" t="s">
        <v>12</v>
      </c>
      <c r="AP7" s="27"/>
      <c r="AQ7" s="27" t="s">
        <v>12</v>
      </c>
      <c r="AR7" s="27"/>
      <c r="AS7" s="28" t="s">
        <v>12</v>
      </c>
      <c r="AU7" s="25"/>
      <c r="AV7" s="26"/>
      <c r="AW7" s="27" t="s">
        <v>10</v>
      </c>
      <c r="AX7" s="27" t="s">
        <v>11</v>
      </c>
      <c r="AY7" s="27"/>
      <c r="AZ7" s="27" t="s">
        <v>12</v>
      </c>
      <c r="BA7" s="27"/>
      <c r="BB7" s="27" t="s">
        <v>12</v>
      </c>
      <c r="BC7" s="27"/>
      <c r="BD7" s="28" t="s">
        <v>12</v>
      </c>
      <c r="BF7" s="25"/>
      <c r="BG7" s="26"/>
      <c r="BH7" s="27" t="s">
        <v>10</v>
      </c>
      <c r="BI7" s="27" t="s">
        <v>11</v>
      </c>
      <c r="BJ7" s="27"/>
      <c r="BK7" s="27" t="s">
        <v>12</v>
      </c>
      <c r="BL7" s="27"/>
      <c r="BM7" s="27" t="s">
        <v>12</v>
      </c>
      <c r="BN7" s="27"/>
      <c r="BO7" s="28" t="s">
        <v>12</v>
      </c>
      <c r="BQ7" s="25"/>
      <c r="BR7" s="26"/>
      <c r="BS7" s="27" t="s">
        <v>10</v>
      </c>
      <c r="BT7" s="27" t="s">
        <v>11</v>
      </c>
      <c r="BU7" s="27"/>
      <c r="BV7" s="27" t="s">
        <v>12</v>
      </c>
      <c r="BW7" s="27"/>
      <c r="BX7" s="27" t="s">
        <v>12</v>
      </c>
      <c r="BY7" s="27"/>
      <c r="BZ7" s="28" t="s">
        <v>12</v>
      </c>
      <c r="CB7" s="25"/>
      <c r="CC7" s="26"/>
      <c r="CD7" s="27" t="s">
        <v>10</v>
      </c>
      <c r="CE7" s="27" t="s">
        <v>11</v>
      </c>
      <c r="CF7" s="27"/>
      <c r="CG7" s="27" t="s">
        <v>12</v>
      </c>
      <c r="CH7" s="27"/>
      <c r="CI7" s="27" t="s">
        <v>12</v>
      </c>
      <c r="CJ7" s="27"/>
      <c r="CK7" s="28" t="s">
        <v>12</v>
      </c>
      <c r="CM7" s="25"/>
      <c r="CN7" s="26"/>
      <c r="CO7" s="27" t="s">
        <v>10</v>
      </c>
      <c r="CP7" s="27" t="s">
        <v>11</v>
      </c>
      <c r="CQ7" s="27"/>
      <c r="CR7" s="27" t="s">
        <v>12</v>
      </c>
      <c r="CS7" s="27"/>
      <c r="CT7" s="27" t="s">
        <v>12</v>
      </c>
      <c r="CU7" s="27"/>
      <c r="CV7" s="28" t="s">
        <v>12</v>
      </c>
      <c r="CX7" s="25"/>
      <c r="CY7" s="26"/>
      <c r="CZ7" s="27" t="s">
        <v>10</v>
      </c>
      <c r="DA7" s="27" t="s">
        <v>11</v>
      </c>
      <c r="DB7" s="27"/>
      <c r="DC7" s="27" t="s">
        <v>12</v>
      </c>
      <c r="DD7" s="27"/>
      <c r="DE7" s="27" t="s">
        <v>12</v>
      </c>
      <c r="DF7" s="27"/>
      <c r="DG7" s="28" t="s">
        <v>12</v>
      </c>
      <c r="DI7" s="25"/>
      <c r="DJ7" s="26"/>
      <c r="DK7" s="27" t="s">
        <v>10</v>
      </c>
      <c r="DL7" s="27" t="s">
        <v>11</v>
      </c>
      <c r="DM7" s="27"/>
      <c r="DN7" s="27" t="s">
        <v>12</v>
      </c>
      <c r="DO7" s="27"/>
      <c r="DP7" s="27" t="s">
        <v>12</v>
      </c>
      <c r="DQ7" s="27"/>
      <c r="DR7" s="28" t="s">
        <v>12</v>
      </c>
    </row>
    <row r="8" spans="1:122" x14ac:dyDescent="0.25">
      <c r="C8" s="2" t="s">
        <v>13</v>
      </c>
      <c r="D8" s="29"/>
      <c r="E8" s="5">
        <v>44256</v>
      </c>
      <c r="F8" s="6">
        <v>44679</v>
      </c>
      <c r="G8" s="29"/>
      <c r="H8" s="7">
        <v>0.1046</v>
      </c>
      <c r="I8" s="30"/>
      <c r="J8" s="7">
        <v>-1.54E-2</v>
      </c>
      <c r="K8" s="29"/>
      <c r="L8" s="8">
        <f>H8/-J8</f>
        <v>6.7922077922077921</v>
      </c>
      <c r="N8" s="2" t="s">
        <v>13</v>
      </c>
      <c r="O8" s="29"/>
      <c r="P8" s="5">
        <v>44256</v>
      </c>
      <c r="Q8" s="6">
        <v>44679</v>
      </c>
      <c r="R8" s="29"/>
      <c r="S8" s="7">
        <v>0.10639999999999999</v>
      </c>
      <c r="T8" s="30"/>
      <c r="U8" s="7">
        <v>-1.54E-2</v>
      </c>
      <c r="V8" s="29"/>
      <c r="W8" s="8">
        <f>S8/-U8</f>
        <v>6.9090909090909083</v>
      </c>
      <c r="Y8" s="2" t="s">
        <v>13</v>
      </c>
      <c r="Z8" s="29"/>
      <c r="AA8" s="5">
        <v>44256</v>
      </c>
      <c r="AB8" s="6">
        <v>44679</v>
      </c>
      <c r="AC8" s="29"/>
      <c r="AD8" s="7">
        <v>0.1075</v>
      </c>
      <c r="AE8" s="30"/>
      <c r="AF8" s="7">
        <v>-1.54E-2</v>
      </c>
      <c r="AG8" s="29"/>
      <c r="AH8" s="8">
        <f>AD8/-AF8</f>
        <v>6.9805194805194803</v>
      </c>
      <c r="AJ8" s="2" t="s">
        <v>13</v>
      </c>
      <c r="AK8" s="29"/>
      <c r="AL8" s="5">
        <v>44256</v>
      </c>
      <c r="AM8" s="6">
        <v>44679</v>
      </c>
      <c r="AN8" s="29"/>
      <c r="AO8" s="7">
        <v>0.11360000000000001</v>
      </c>
      <c r="AP8" s="30"/>
      <c r="AQ8" s="7">
        <v>-1.55E-2</v>
      </c>
      <c r="AR8" s="29"/>
      <c r="AS8" s="8">
        <f>AO8/-AQ8</f>
        <v>7.3290322580645162</v>
      </c>
      <c r="AU8" s="2" t="s">
        <v>13</v>
      </c>
      <c r="AV8" s="29"/>
      <c r="AW8" s="5">
        <v>44256</v>
      </c>
      <c r="AX8" s="6">
        <v>44679</v>
      </c>
      <c r="AY8" s="29"/>
      <c r="AZ8" s="7">
        <v>0.11600000000000001</v>
      </c>
      <c r="BA8" s="30"/>
      <c r="BB8" s="7">
        <v>-1.54E-2</v>
      </c>
      <c r="BC8" s="29"/>
      <c r="BD8" s="8">
        <f>AZ8/-BB8</f>
        <v>7.5324675324675328</v>
      </c>
      <c r="BF8" s="2" t="s">
        <v>13</v>
      </c>
      <c r="BG8" s="29"/>
      <c r="BH8" s="5">
        <v>44256</v>
      </c>
      <c r="BI8" s="6">
        <v>44679</v>
      </c>
      <c r="BJ8" s="29"/>
      <c r="BK8" s="7">
        <v>0.1239</v>
      </c>
      <c r="BL8" s="30"/>
      <c r="BM8" s="7">
        <v>-1.29E-2</v>
      </c>
      <c r="BN8" s="29"/>
      <c r="BO8" s="8">
        <f>BK8/-BM8</f>
        <v>9.604651162790697</v>
      </c>
      <c r="BQ8" s="2" t="s">
        <v>13</v>
      </c>
      <c r="BR8" s="29"/>
      <c r="BS8" s="5">
        <v>44256</v>
      </c>
      <c r="BT8" s="6">
        <v>44679</v>
      </c>
      <c r="BU8" s="29"/>
      <c r="BV8" s="7">
        <v>0.121</v>
      </c>
      <c r="BW8" s="30"/>
      <c r="BX8" s="7">
        <v>-1.5100000000000001E-2</v>
      </c>
      <c r="BY8" s="29"/>
      <c r="BZ8" s="8">
        <f>BV8/-BX8</f>
        <v>8.0132450331125824</v>
      </c>
      <c r="CB8" s="2" t="s">
        <v>13</v>
      </c>
      <c r="CC8" s="29"/>
      <c r="CD8" s="5">
        <v>44253</v>
      </c>
      <c r="CE8" s="6">
        <v>44679</v>
      </c>
      <c r="CF8" s="29"/>
      <c r="CG8" s="7">
        <v>0.1152</v>
      </c>
      <c r="CH8" s="30"/>
      <c r="CI8" s="7">
        <v>-1.7899999999999999E-2</v>
      </c>
      <c r="CJ8" s="29"/>
      <c r="CK8" s="8">
        <f>CG8/-CI8</f>
        <v>6.4357541899441344</v>
      </c>
      <c r="CM8" s="2" t="s">
        <v>13</v>
      </c>
      <c r="CN8" s="29"/>
      <c r="CO8" s="5">
        <v>44253</v>
      </c>
      <c r="CP8" s="6">
        <v>44679</v>
      </c>
      <c r="CQ8" s="29"/>
      <c r="CR8" s="7">
        <v>0.1079</v>
      </c>
      <c r="CS8" s="30"/>
      <c r="CT8" s="7">
        <v>-1.8700000000000001E-2</v>
      </c>
      <c r="CU8" s="29"/>
      <c r="CV8" s="8">
        <f>CR8/-CT8</f>
        <v>5.7700534759358284</v>
      </c>
      <c r="CX8" s="2" t="s">
        <v>13</v>
      </c>
      <c r="CY8" s="29"/>
      <c r="CZ8" s="5">
        <v>44253</v>
      </c>
      <c r="DA8" s="6">
        <v>44679</v>
      </c>
      <c r="DB8" s="29"/>
      <c r="DC8" s="7">
        <v>0.1145</v>
      </c>
      <c r="DD8" s="30"/>
      <c r="DE8" s="7">
        <v>-1.8599999999999998E-2</v>
      </c>
      <c r="DF8" s="29"/>
      <c r="DG8" s="8">
        <f>DC8/-DE8</f>
        <v>6.155913978494624</v>
      </c>
      <c r="DI8" s="2" t="s">
        <v>13</v>
      </c>
      <c r="DJ8" s="29"/>
      <c r="DK8" s="5">
        <v>44253</v>
      </c>
      <c r="DL8" s="6">
        <v>44679</v>
      </c>
      <c r="DM8" s="29"/>
      <c r="DN8" s="7">
        <v>0.1186</v>
      </c>
      <c r="DO8" s="30"/>
      <c r="DP8" s="7">
        <v>-1.8499999999999999E-2</v>
      </c>
      <c r="DQ8" s="29"/>
      <c r="DR8" s="8">
        <f>DN8/-DP8</f>
        <v>6.4108108108108111</v>
      </c>
    </row>
    <row r="9" spans="1:122" x14ac:dyDescent="0.25">
      <c r="C9" s="3" t="s">
        <v>14</v>
      </c>
      <c r="D9" s="29"/>
      <c r="E9" s="11">
        <v>40546</v>
      </c>
      <c r="F9" s="12">
        <v>44679</v>
      </c>
      <c r="G9" s="29"/>
      <c r="H9" s="13">
        <v>4.1799999999999997E-2</v>
      </c>
      <c r="I9" s="29"/>
      <c r="J9" s="13">
        <v>-2.9000000000000001E-2</v>
      </c>
      <c r="K9" s="29"/>
      <c r="L9" s="9">
        <f>H9/-J9</f>
        <v>1.4413793103448274</v>
      </c>
      <c r="N9" s="3" t="s">
        <v>14</v>
      </c>
      <c r="O9" s="29"/>
      <c r="P9" s="11">
        <v>40546</v>
      </c>
      <c r="Q9" s="12">
        <v>44679</v>
      </c>
      <c r="R9" s="29"/>
      <c r="S9" s="13">
        <v>4.5499999999999999E-2</v>
      </c>
      <c r="T9" s="29"/>
      <c r="U9" s="13">
        <v>-2.3E-2</v>
      </c>
      <c r="V9" s="29"/>
      <c r="W9" s="9">
        <f>S9/-U9</f>
        <v>1.9782608695652173</v>
      </c>
      <c r="Y9" s="3" t="s">
        <v>14</v>
      </c>
      <c r="Z9" s="29"/>
      <c r="AA9" s="11">
        <v>40546</v>
      </c>
      <c r="AB9" s="12">
        <v>44679</v>
      </c>
      <c r="AC9" s="29"/>
      <c r="AD9" s="13">
        <v>4.4499999999999998E-2</v>
      </c>
      <c r="AE9" s="29"/>
      <c r="AF9" s="13">
        <v>-2.29E-2</v>
      </c>
      <c r="AG9" s="29"/>
      <c r="AH9" s="9">
        <f>AD9/-AF9</f>
        <v>1.9432314410480349</v>
      </c>
      <c r="AJ9" s="3" t="s">
        <v>14</v>
      </c>
      <c r="AK9" s="29"/>
      <c r="AL9" s="11">
        <v>40546</v>
      </c>
      <c r="AM9" s="12">
        <v>44679</v>
      </c>
      <c r="AN9" s="29"/>
      <c r="AO9" s="13">
        <v>4.7300000000000002E-2</v>
      </c>
      <c r="AP9" s="29"/>
      <c r="AQ9" s="13">
        <v>-2.2800000000000001E-2</v>
      </c>
      <c r="AR9" s="29"/>
      <c r="AS9" s="9">
        <f>AO9/-AQ9</f>
        <v>2.0745614035087718</v>
      </c>
      <c r="AU9" s="3" t="s">
        <v>14</v>
      </c>
      <c r="AV9" s="29"/>
      <c r="AW9" s="11">
        <v>40546</v>
      </c>
      <c r="AX9" s="12">
        <v>44679</v>
      </c>
      <c r="AY9" s="29"/>
      <c r="AZ9" s="13">
        <v>4.9700000000000001E-2</v>
      </c>
      <c r="BA9" s="29"/>
      <c r="BB9" s="13">
        <v>-2.2700000000000001E-2</v>
      </c>
      <c r="BC9" s="29"/>
      <c r="BD9" s="9">
        <f>AZ9/-BB9</f>
        <v>2.1894273127753303</v>
      </c>
      <c r="BF9" s="3" t="s">
        <v>14</v>
      </c>
      <c r="BG9" s="29"/>
      <c r="BH9" s="11">
        <v>40546</v>
      </c>
      <c r="BI9" s="12">
        <v>44679</v>
      </c>
      <c r="BJ9" s="29"/>
      <c r="BK9" s="13">
        <v>5.21E-2</v>
      </c>
      <c r="BL9" s="29"/>
      <c r="BM9" s="13">
        <v>-2.6499999999999999E-2</v>
      </c>
      <c r="BN9" s="29"/>
      <c r="BO9" s="9">
        <f>BK9/-BM9</f>
        <v>1.9660377358490566</v>
      </c>
      <c r="BQ9" s="3" t="s">
        <v>14</v>
      </c>
      <c r="BR9" s="29"/>
      <c r="BS9" s="11">
        <v>40546</v>
      </c>
      <c r="BT9" s="12">
        <v>44679</v>
      </c>
      <c r="BU9" s="29"/>
      <c r="BV9" s="13">
        <v>5.1900000000000002E-2</v>
      </c>
      <c r="BW9" s="29"/>
      <c r="BX9" s="13">
        <v>-2.4500000000000001E-2</v>
      </c>
      <c r="BY9" s="29"/>
      <c r="BZ9" s="9">
        <f>BV9/-BX9</f>
        <v>2.1183673469387756</v>
      </c>
      <c r="CB9" s="3" t="s">
        <v>14</v>
      </c>
      <c r="CC9" s="29"/>
      <c r="CD9" s="11">
        <v>40546</v>
      </c>
      <c r="CE9" s="12">
        <v>44679</v>
      </c>
      <c r="CF9" s="29"/>
      <c r="CG9" s="13">
        <v>5.5399999999999998E-2</v>
      </c>
      <c r="CH9" s="29"/>
      <c r="CI9" s="13">
        <v>-2.23E-2</v>
      </c>
      <c r="CJ9" s="29"/>
      <c r="CK9" s="9">
        <f>CG9/-CI9</f>
        <v>2.4843049327354261</v>
      </c>
      <c r="CM9" s="3" t="s">
        <v>14</v>
      </c>
      <c r="CN9" s="29"/>
      <c r="CO9" s="11">
        <v>40546</v>
      </c>
      <c r="CP9" s="12">
        <v>44679</v>
      </c>
      <c r="CQ9" s="29"/>
      <c r="CR9" s="13">
        <v>5.5100000000000003E-2</v>
      </c>
      <c r="CS9" s="29"/>
      <c r="CT9" s="13">
        <v>-2.23E-2</v>
      </c>
      <c r="CU9" s="29"/>
      <c r="CV9" s="9">
        <f>CR9/-CT9</f>
        <v>2.47085201793722</v>
      </c>
      <c r="CX9" s="3" t="s">
        <v>14</v>
      </c>
      <c r="CY9" s="29"/>
      <c r="CZ9" s="11">
        <v>40546</v>
      </c>
      <c r="DA9" s="12">
        <v>44679</v>
      </c>
      <c r="DB9" s="29"/>
      <c r="DC9" s="13">
        <v>5.62E-2</v>
      </c>
      <c r="DD9" s="29"/>
      <c r="DE9" s="13">
        <v>-2.23E-2</v>
      </c>
      <c r="DF9" s="29"/>
      <c r="DG9" s="9">
        <f>DC9/-DE9</f>
        <v>2.5201793721973096</v>
      </c>
      <c r="DI9" s="3" t="s">
        <v>14</v>
      </c>
      <c r="DJ9" s="29"/>
      <c r="DK9" s="11">
        <v>40546</v>
      </c>
      <c r="DL9" s="12">
        <v>44679</v>
      </c>
      <c r="DM9" s="29"/>
      <c r="DN9" s="13">
        <v>5.7299999999999997E-2</v>
      </c>
      <c r="DO9" s="29"/>
      <c r="DP9" s="13">
        <v>-2.2800000000000001E-2</v>
      </c>
      <c r="DQ9" s="29"/>
      <c r="DR9" s="9">
        <f>DN9/-DP9</f>
        <v>2.513157894736842</v>
      </c>
    </row>
    <row r="10" spans="1:122" x14ac:dyDescent="0.25">
      <c r="C10" s="3" t="s">
        <v>15</v>
      </c>
      <c r="D10" s="29"/>
      <c r="E10" s="11">
        <v>43889</v>
      </c>
      <c r="F10" s="12">
        <v>44678</v>
      </c>
      <c r="G10" s="29"/>
      <c r="H10" s="13">
        <v>7.9399999999999998E-2</v>
      </c>
      <c r="I10" s="29"/>
      <c r="J10" s="13">
        <v>-2.87E-2</v>
      </c>
      <c r="K10" s="29"/>
      <c r="L10" s="9">
        <f t="shared" ref="L10:L25" si="0">H10/-J10</f>
        <v>2.7665505226480835</v>
      </c>
      <c r="N10" s="3" t="s">
        <v>15</v>
      </c>
      <c r="O10" s="29"/>
      <c r="P10" s="11">
        <v>43889</v>
      </c>
      <c r="Q10" s="12">
        <v>44678</v>
      </c>
      <c r="R10" s="29"/>
      <c r="S10" s="13">
        <v>8.3299999999999999E-2</v>
      </c>
      <c r="T10" s="29"/>
      <c r="U10" s="13">
        <v>-2.3900000000000001E-2</v>
      </c>
      <c r="V10" s="29"/>
      <c r="W10" s="9">
        <f t="shared" ref="W10:W25" si="1">S10/-U10</f>
        <v>3.4853556485355646</v>
      </c>
      <c r="Y10" s="3" t="s">
        <v>15</v>
      </c>
      <c r="Z10" s="29"/>
      <c r="AA10" s="11">
        <v>43889</v>
      </c>
      <c r="AB10" s="12">
        <v>44678</v>
      </c>
      <c r="AC10" s="29"/>
      <c r="AD10" s="13">
        <v>8.2699999999999996E-2</v>
      </c>
      <c r="AE10" s="29"/>
      <c r="AF10" s="13">
        <v>-2.4E-2</v>
      </c>
      <c r="AG10" s="29"/>
      <c r="AH10" s="9">
        <f t="shared" ref="AH10:AH25" si="2">AD10/-AF10</f>
        <v>3.4458333333333333</v>
      </c>
      <c r="AJ10" s="3" t="s">
        <v>15</v>
      </c>
      <c r="AK10" s="29"/>
      <c r="AL10" s="11">
        <v>43889</v>
      </c>
      <c r="AM10" s="12">
        <v>44678</v>
      </c>
      <c r="AN10" s="29"/>
      <c r="AO10" s="13">
        <v>8.3599999999999994E-2</v>
      </c>
      <c r="AP10" s="29"/>
      <c r="AQ10" s="13">
        <v>-2.3900000000000001E-2</v>
      </c>
      <c r="AR10" s="29"/>
      <c r="AS10" s="9">
        <f t="shared" ref="AS10:AS25" si="3">AO10/-AQ10</f>
        <v>3.4979079497907946</v>
      </c>
      <c r="AU10" s="3" t="s">
        <v>15</v>
      </c>
      <c r="AV10" s="29"/>
      <c r="AW10" s="11">
        <v>43889</v>
      </c>
      <c r="AX10" s="12">
        <v>44678</v>
      </c>
      <c r="AY10" s="29"/>
      <c r="AZ10" s="13">
        <v>8.6599999999999996E-2</v>
      </c>
      <c r="BA10" s="29"/>
      <c r="BB10" s="13">
        <v>-2.3699999999999999E-2</v>
      </c>
      <c r="BC10" s="29"/>
      <c r="BD10" s="9">
        <f t="shared" ref="BD10:BD25" si="4">AZ10/-BB10</f>
        <v>3.6540084388185656</v>
      </c>
      <c r="BF10" s="3" t="s">
        <v>15</v>
      </c>
      <c r="BG10" s="29"/>
      <c r="BH10" s="11">
        <v>43889</v>
      </c>
      <c r="BI10" s="12">
        <v>44678</v>
      </c>
      <c r="BJ10" s="29"/>
      <c r="BK10" s="13">
        <v>6.8000000000000005E-2</v>
      </c>
      <c r="BL10" s="29"/>
      <c r="BM10" s="13">
        <v>-5.16E-2</v>
      </c>
      <c r="BN10" s="29"/>
      <c r="BO10" s="9">
        <f t="shared" ref="BO10:BO25" si="5">BK10/-BM10</f>
        <v>1.3178294573643412</v>
      </c>
      <c r="BQ10" s="3" t="s">
        <v>15</v>
      </c>
      <c r="BR10" s="29"/>
      <c r="BS10" s="11">
        <v>43889</v>
      </c>
      <c r="BT10" s="12">
        <v>44678</v>
      </c>
      <c r="BU10" s="29"/>
      <c r="BV10" s="13">
        <v>6.9699999999999998E-2</v>
      </c>
      <c r="BW10" s="29"/>
      <c r="BX10" s="13">
        <v>-5.1400000000000001E-2</v>
      </c>
      <c r="BY10" s="29"/>
      <c r="BZ10" s="9">
        <f t="shared" ref="BZ10:BZ25" si="6">BV10/-BX10</f>
        <v>1.3560311284046691</v>
      </c>
      <c r="CB10" s="3" t="s">
        <v>15</v>
      </c>
      <c r="CC10" s="29"/>
      <c r="CD10" s="11">
        <v>43889</v>
      </c>
      <c r="CE10" s="12">
        <v>44679</v>
      </c>
      <c r="CF10" s="29"/>
      <c r="CG10" s="13">
        <v>6.2600000000000003E-2</v>
      </c>
      <c r="CH10" s="29"/>
      <c r="CI10" s="13">
        <v>-5.21E-2</v>
      </c>
      <c r="CJ10" s="29"/>
      <c r="CK10" s="9">
        <f t="shared" ref="CK10:CK25" si="7">CG10/-CI10</f>
        <v>1.2015355086372361</v>
      </c>
      <c r="CM10" s="3" t="s">
        <v>15</v>
      </c>
      <c r="CN10" s="29"/>
      <c r="CO10" s="11">
        <v>43889</v>
      </c>
      <c r="CP10" s="12">
        <v>44679</v>
      </c>
      <c r="CQ10" s="29"/>
      <c r="CR10" s="13">
        <v>6.6600000000000006E-2</v>
      </c>
      <c r="CS10" s="29"/>
      <c r="CT10" s="13">
        <v>-4.8300000000000003E-2</v>
      </c>
      <c r="CU10" s="29"/>
      <c r="CV10" s="9">
        <f t="shared" ref="CV10:CV25" si="8">CR10/-CT10</f>
        <v>1.3788819875776399</v>
      </c>
      <c r="CX10" s="3" t="s">
        <v>15</v>
      </c>
      <c r="CY10" s="29"/>
      <c r="CZ10" s="11">
        <v>43889</v>
      </c>
      <c r="DA10" s="12">
        <v>44679</v>
      </c>
      <c r="DB10" s="29"/>
      <c r="DC10" s="13">
        <v>6.7299999999999999E-2</v>
      </c>
      <c r="DD10" s="29"/>
      <c r="DE10" s="13">
        <v>-4.82E-2</v>
      </c>
      <c r="DF10" s="29"/>
      <c r="DG10" s="9">
        <f t="shared" ref="DG10:DG25" si="9">DC10/-DE10</f>
        <v>1.396265560165975</v>
      </c>
      <c r="DI10" s="3" t="s">
        <v>15</v>
      </c>
      <c r="DJ10" s="29"/>
      <c r="DK10" s="11">
        <v>43889</v>
      </c>
      <c r="DL10" s="12">
        <v>44679</v>
      </c>
      <c r="DM10" s="29"/>
      <c r="DN10" s="13">
        <v>6.6600000000000006E-2</v>
      </c>
      <c r="DO10" s="29"/>
      <c r="DP10" s="13">
        <v>-4.8300000000000003E-2</v>
      </c>
      <c r="DQ10" s="29"/>
      <c r="DR10" s="9">
        <f t="shared" ref="DR10:DR25" si="10">DN10/-DP10</f>
        <v>1.3788819875776399</v>
      </c>
    </row>
    <row r="11" spans="1:122" x14ac:dyDescent="0.25">
      <c r="C11" s="3" t="s">
        <v>16</v>
      </c>
      <c r="D11" s="29"/>
      <c r="E11" s="11">
        <v>40560</v>
      </c>
      <c r="F11" s="12">
        <v>44679</v>
      </c>
      <c r="G11" s="29"/>
      <c r="H11" s="13">
        <v>3.3300000000000003E-2</v>
      </c>
      <c r="I11" s="29"/>
      <c r="J11" s="13">
        <v>-3.9300000000000002E-2</v>
      </c>
      <c r="K11" s="29"/>
      <c r="L11" s="9">
        <f t="shared" si="0"/>
        <v>0.84732824427480924</v>
      </c>
      <c r="N11" s="3" t="s">
        <v>16</v>
      </c>
      <c r="O11" s="29"/>
      <c r="P11" s="11">
        <v>40560</v>
      </c>
      <c r="Q11" s="12">
        <v>44679</v>
      </c>
      <c r="R11" s="29"/>
      <c r="S11" s="13">
        <v>3.61E-2</v>
      </c>
      <c r="T11" s="29"/>
      <c r="U11" s="13">
        <v>-3.4099999999999998E-2</v>
      </c>
      <c r="V11" s="29"/>
      <c r="W11" s="9">
        <f t="shared" si="1"/>
        <v>1.0586510263929618</v>
      </c>
      <c r="Y11" s="3" t="s">
        <v>16</v>
      </c>
      <c r="Z11" s="29"/>
      <c r="AA11" s="11">
        <v>40560</v>
      </c>
      <c r="AB11" s="12">
        <v>44679</v>
      </c>
      <c r="AC11" s="29"/>
      <c r="AD11" s="13">
        <v>3.6799999999999999E-2</v>
      </c>
      <c r="AE11" s="29"/>
      <c r="AF11" s="13">
        <v>-3.3799999999999997E-2</v>
      </c>
      <c r="AG11" s="29"/>
      <c r="AH11" s="9">
        <f t="shared" si="2"/>
        <v>1.0887573964497042</v>
      </c>
      <c r="AJ11" s="3" t="s">
        <v>16</v>
      </c>
      <c r="AK11" s="29"/>
      <c r="AL11" s="11">
        <v>40560</v>
      </c>
      <c r="AM11" s="12">
        <v>44679</v>
      </c>
      <c r="AN11" s="29"/>
      <c r="AO11" s="13">
        <v>3.8100000000000002E-2</v>
      </c>
      <c r="AP11" s="29"/>
      <c r="AQ11" s="13">
        <v>-3.2099999999999997E-2</v>
      </c>
      <c r="AR11" s="29"/>
      <c r="AS11" s="9">
        <f t="shared" si="3"/>
        <v>1.1869158878504675</v>
      </c>
      <c r="AU11" s="3" t="s">
        <v>16</v>
      </c>
      <c r="AV11" s="29"/>
      <c r="AW11" s="11">
        <v>40560</v>
      </c>
      <c r="AX11" s="12">
        <v>44679</v>
      </c>
      <c r="AY11" s="29"/>
      <c r="AZ11" s="13">
        <v>3.9800000000000002E-2</v>
      </c>
      <c r="BA11" s="29"/>
      <c r="BB11" s="13">
        <v>-2.63E-2</v>
      </c>
      <c r="BC11" s="29"/>
      <c r="BD11" s="9">
        <f t="shared" si="4"/>
        <v>1.5133079847908746</v>
      </c>
      <c r="BF11" s="3" t="s">
        <v>16</v>
      </c>
      <c r="BG11" s="29"/>
      <c r="BH11" s="11">
        <v>40560</v>
      </c>
      <c r="BI11" s="12">
        <v>44679</v>
      </c>
      <c r="BJ11" s="29"/>
      <c r="BK11" s="13">
        <v>4.2099999999999999E-2</v>
      </c>
      <c r="BL11" s="29"/>
      <c r="BM11" s="13">
        <v>-2.4199999999999999E-2</v>
      </c>
      <c r="BN11" s="29"/>
      <c r="BO11" s="9">
        <f t="shared" si="5"/>
        <v>1.7396694214876034</v>
      </c>
      <c r="BQ11" s="3" t="s">
        <v>16</v>
      </c>
      <c r="BR11" s="29"/>
      <c r="BS11" s="11">
        <v>40560</v>
      </c>
      <c r="BT11" s="12">
        <v>44679</v>
      </c>
      <c r="BU11" s="29"/>
      <c r="BV11" s="13">
        <v>4.2299999999999997E-2</v>
      </c>
      <c r="BW11" s="29"/>
      <c r="BX11" s="13">
        <v>-2.3900000000000001E-2</v>
      </c>
      <c r="BY11" s="29"/>
      <c r="BZ11" s="9">
        <f t="shared" si="6"/>
        <v>1.7698744769874475</v>
      </c>
      <c r="CB11" s="3" t="s">
        <v>16</v>
      </c>
      <c r="CC11" s="29"/>
      <c r="CD11" s="11">
        <v>40560</v>
      </c>
      <c r="CE11" s="12">
        <v>44679</v>
      </c>
      <c r="CF11" s="29"/>
      <c r="CG11" s="13">
        <v>4.58E-2</v>
      </c>
      <c r="CH11" s="29"/>
      <c r="CI11" s="13">
        <v>-2.5899999999999999E-2</v>
      </c>
      <c r="CJ11" s="29"/>
      <c r="CK11" s="9">
        <f t="shared" si="7"/>
        <v>1.7683397683397684</v>
      </c>
      <c r="CM11" s="3" t="s">
        <v>16</v>
      </c>
      <c r="CN11" s="29"/>
      <c r="CO11" s="11">
        <v>40560</v>
      </c>
      <c r="CP11" s="12">
        <v>44679</v>
      </c>
      <c r="CQ11" s="29"/>
      <c r="CR11" s="13">
        <v>4.7199999999999999E-2</v>
      </c>
      <c r="CS11" s="29"/>
      <c r="CT11" s="13">
        <v>-2.5600000000000001E-2</v>
      </c>
      <c r="CU11" s="29"/>
      <c r="CV11" s="9">
        <f t="shared" si="8"/>
        <v>1.8437499999999998</v>
      </c>
      <c r="CX11" s="3" t="s">
        <v>16</v>
      </c>
      <c r="CY11" s="29"/>
      <c r="CZ11" s="11">
        <v>40560</v>
      </c>
      <c r="DA11" s="12">
        <v>44679</v>
      </c>
      <c r="DB11" s="29"/>
      <c r="DC11" s="13">
        <v>4.8899999999999999E-2</v>
      </c>
      <c r="DD11" s="29"/>
      <c r="DE11" s="13">
        <v>-2.5000000000000001E-2</v>
      </c>
      <c r="DF11" s="29"/>
      <c r="DG11" s="9">
        <f t="shared" si="9"/>
        <v>1.956</v>
      </c>
      <c r="DI11" s="3" t="s">
        <v>16</v>
      </c>
      <c r="DJ11" s="29"/>
      <c r="DK11" s="11">
        <v>40560</v>
      </c>
      <c r="DL11" s="12">
        <v>44679</v>
      </c>
      <c r="DM11" s="29"/>
      <c r="DN11" s="13">
        <v>3.7400000000000003E-2</v>
      </c>
      <c r="DO11" s="29"/>
      <c r="DP11" s="13">
        <v>-0.13789999999999999</v>
      </c>
      <c r="DQ11" s="29"/>
      <c r="DR11" s="9">
        <f t="shared" si="10"/>
        <v>0.27121102248005802</v>
      </c>
    </row>
    <row r="12" spans="1:122" x14ac:dyDescent="0.25">
      <c r="C12" s="3" t="s">
        <v>17</v>
      </c>
      <c r="D12" s="29"/>
      <c r="E12" s="11">
        <v>40546</v>
      </c>
      <c r="F12" s="12">
        <v>44678</v>
      </c>
      <c r="G12" s="29"/>
      <c r="H12" s="13">
        <v>6.2799999999999995E-2</v>
      </c>
      <c r="I12" s="29"/>
      <c r="J12" s="13">
        <v>-2.5100000000000001E-2</v>
      </c>
      <c r="K12" s="29"/>
      <c r="L12" s="9">
        <f t="shared" si="0"/>
        <v>2.5019920318725095</v>
      </c>
      <c r="N12" s="3" t="s">
        <v>17</v>
      </c>
      <c r="O12" s="29"/>
      <c r="P12" s="11">
        <v>40546</v>
      </c>
      <c r="Q12" s="12">
        <v>44678</v>
      </c>
      <c r="R12" s="29"/>
      <c r="S12" s="13">
        <v>6.2199999999999998E-2</v>
      </c>
      <c r="T12" s="29"/>
      <c r="U12" s="13">
        <v>-2.5999999999999999E-2</v>
      </c>
      <c r="V12" s="29"/>
      <c r="W12" s="9">
        <f t="shared" si="1"/>
        <v>2.3923076923076922</v>
      </c>
      <c r="Y12" s="3" t="s">
        <v>17</v>
      </c>
      <c r="Z12" s="29"/>
      <c r="AA12" s="11">
        <v>40546</v>
      </c>
      <c r="AB12" s="12">
        <v>44679</v>
      </c>
      <c r="AC12" s="29"/>
      <c r="AD12" s="13">
        <v>6.4399999999999999E-2</v>
      </c>
      <c r="AE12" s="29"/>
      <c r="AF12" s="13">
        <v>-2.7300000000000001E-2</v>
      </c>
      <c r="AG12" s="29"/>
      <c r="AH12" s="9">
        <f t="shared" si="2"/>
        <v>2.358974358974359</v>
      </c>
      <c r="AJ12" s="3" t="s">
        <v>17</v>
      </c>
      <c r="AK12" s="29"/>
      <c r="AL12" s="11">
        <v>40546</v>
      </c>
      <c r="AM12" s="12">
        <v>44679</v>
      </c>
      <c r="AN12" s="29"/>
      <c r="AO12" s="13">
        <v>6.6900000000000001E-2</v>
      </c>
      <c r="AP12" s="29"/>
      <c r="AQ12" s="13">
        <v>-2.4799999999999999E-2</v>
      </c>
      <c r="AR12" s="29"/>
      <c r="AS12" s="9">
        <f t="shared" si="3"/>
        <v>2.6975806451612905</v>
      </c>
      <c r="AU12" s="3" t="s">
        <v>17</v>
      </c>
      <c r="AV12" s="29"/>
      <c r="AW12" s="11">
        <v>40546</v>
      </c>
      <c r="AX12" s="12">
        <v>44679</v>
      </c>
      <c r="AY12" s="29"/>
      <c r="AZ12" s="13">
        <v>6.9800000000000001E-2</v>
      </c>
      <c r="BA12" s="29"/>
      <c r="BB12" s="13">
        <v>-2.4E-2</v>
      </c>
      <c r="BC12" s="29"/>
      <c r="BD12" s="9">
        <f t="shared" si="4"/>
        <v>2.9083333333333332</v>
      </c>
      <c r="BF12" s="3" t="s">
        <v>17</v>
      </c>
      <c r="BG12" s="29"/>
      <c r="BH12" s="11">
        <v>40546</v>
      </c>
      <c r="BI12" s="12">
        <v>44679</v>
      </c>
      <c r="BJ12" s="29"/>
      <c r="BK12" s="13">
        <v>7.1499999999999994E-2</v>
      </c>
      <c r="BL12" s="29"/>
      <c r="BM12" s="13">
        <v>-2.3699999999999999E-2</v>
      </c>
      <c r="BN12" s="29"/>
      <c r="BO12" s="9">
        <f t="shared" si="5"/>
        <v>3.0168776371308015</v>
      </c>
      <c r="BQ12" s="3" t="s">
        <v>17</v>
      </c>
      <c r="BR12" s="29"/>
      <c r="BS12" s="11">
        <v>40546</v>
      </c>
      <c r="BT12" s="12">
        <v>44679</v>
      </c>
      <c r="BU12" s="29"/>
      <c r="BV12" s="13">
        <v>7.2499999999999995E-2</v>
      </c>
      <c r="BW12" s="29"/>
      <c r="BX12" s="13">
        <v>-2.7300000000000001E-2</v>
      </c>
      <c r="BY12" s="29"/>
      <c r="BZ12" s="9">
        <f t="shared" si="6"/>
        <v>2.6556776556776556</v>
      </c>
      <c r="CB12" s="3" t="s">
        <v>17</v>
      </c>
      <c r="CC12" s="29"/>
      <c r="CD12" s="11">
        <v>40546</v>
      </c>
      <c r="CE12" s="12">
        <v>44679</v>
      </c>
      <c r="CF12" s="29"/>
      <c r="CG12" s="13">
        <v>7.5300000000000006E-2</v>
      </c>
      <c r="CH12" s="29"/>
      <c r="CI12" s="13">
        <v>-3.4799999999999998E-2</v>
      </c>
      <c r="CJ12" s="29"/>
      <c r="CK12" s="9">
        <f t="shared" si="7"/>
        <v>2.1637931034482762</v>
      </c>
      <c r="CM12" s="3" t="s">
        <v>17</v>
      </c>
      <c r="CN12" s="29"/>
      <c r="CO12" s="11">
        <v>40546</v>
      </c>
      <c r="CP12" s="12">
        <v>44679</v>
      </c>
      <c r="CQ12" s="29"/>
      <c r="CR12" s="13">
        <v>7.1800000000000003E-2</v>
      </c>
      <c r="CS12" s="29"/>
      <c r="CT12" s="13">
        <v>-4.3400000000000001E-2</v>
      </c>
      <c r="CU12" s="29"/>
      <c r="CV12" s="9">
        <f t="shared" si="8"/>
        <v>1.6543778801843319</v>
      </c>
      <c r="CX12" s="3" t="s">
        <v>17</v>
      </c>
      <c r="CY12" s="29"/>
      <c r="CZ12" s="11">
        <v>40546</v>
      </c>
      <c r="DA12" s="12">
        <v>44679</v>
      </c>
      <c r="DB12" s="29"/>
      <c r="DC12" s="13">
        <v>7.2599999999999998E-2</v>
      </c>
      <c r="DD12" s="29"/>
      <c r="DE12" s="13">
        <v>-4.2900000000000001E-2</v>
      </c>
      <c r="DF12" s="29"/>
      <c r="DG12" s="9">
        <f t="shared" si="9"/>
        <v>1.6923076923076923</v>
      </c>
      <c r="DI12" s="3" t="s">
        <v>17</v>
      </c>
      <c r="DJ12" s="29"/>
      <c r="DK12" s="11">
        <v>40546</v>
      </c>
      <c r="DL12" s="12">
        <v>44679</v>
      </c>
      <c r="DM12" s="29"/>
      <c r="DN12" s="13">
        <v>6.8900000000000003E-2</v>
      </c>
      <c r="DO12" s="29"/>
      <c r="DP12" s="13">
        <v>-4.2900000000000001E-2</v>
      </c>
      <c r="DQ12" s="29"/>
      <c r="DR12" s="9">
        <f t="shared" si="10"/>
        <v>1.6060606060606062</v>
      </c>
    </row>
    <row r="13" spans="1:122" x14ac:dyDescent="0.25">
      <c r="C13" s="3" t="s">
        <v>18</v>
      </c>
      <c r="D13" s="29"/>
      <c r="E13" s="11">
        <v>40547</v>
      </c>
      <c r="F13" s="12">
        <v>44678</v>
      </c>
      <c r="G13" s="29"/>
      <c r="H13" s="13">
        <v>1.3899999999999999E-2</v>
      </c>
      <c r="I13" s="29"/>
      <c r="J13" s="13">
        <v>-0.121</v>
      </c>
      <c r="K13" s="29"/>
      <c r="L13" s="9">
        <f t="shared" si="0"/>
        <v>0.11487603305785124</v>
      </c>
      <c r="N13" s="3" t="s">
        <v>18</v>
      </c>
      <c r="O13" s="29"/>
      <c r="P13" s="11">
        <v>40547</v>
      </c>
      <c r="Q13" s="12">
        <v>44678</v>
      </c>
      <c r="R13" s="29"/>
      <c r="S13" s="13">
        <v>1.26E-2</v>
      </c>
      <c r="T13" s="29"/>
      <c r="U13" s="13">
        <v>-0.14449999999999999</v>
      </c>
      <c r="V13" s="29"/>
      <c r="W13" s="9">
        <f t="shared" si="1"/>
        <v>8.7197231833910038E-2</v>
      </c>
      <c r="Y13" s="3" t="s">
        <v>18</v>
      </c>
      <c r="Z13" s="29"/>
      <c r="AA13" s="11">
        <v>40547</v>
      </c>
      <c r="AB13" s="12">
        <v>44678</v>
      </c>
      <c r="AC13" s="29"/>
      <c r="AD13" s="13">
        <v>1.3299999999999999E-2</v>
      </c>
      <c r="AE13" s="29"/>
      <c r="AF13" s="13">
        <v>-0.14069999999999999</v>
      </c>
      <c r="AG13" s="29"/>
      <c r="AH13" s="9">
        <f t="shared" si="2"/>
        <v>9.4527363184079602E-2</v>
      </c>
      <c r="AJ13" s="3" t="s">
        <v>18</v>
      </c>
      <c r="AK13" s="29"/>
      <c r="AL13" s="11">
        <v>40547</v>
      </c>
      <c r="AM13" s="12">
        <v>44678</v>
      </c>
      <c r="AN13" s="29"/>
      <c r="AO13" s="13">
        <v>1.54E-2</v>
      </c>
      <c r="AP13" s="29"/>
      <c r="AQ13" s="13">
        <v>-0.1108</v>
      </c>
      <c r="AR13" s="29"/>
      <c r="AS13" s="9">
        <f t="shared" si="3"/>
        <v>0.13898916967509026</v>
      </c>
      <c r="AU13" s="3" t="s">
        <v>18</v>
      </c>
      <c r="AV13" s="29"/>
      <c r="AW13" s="11">
        <v>40547</v>
      </c>
      <c r="AX13" s="12">
        <v>44678</v>
      </c>
      <c r="AY13" s="29"/>
      <c r="AZ13" s="13">
        <v>1.83E-2</v>
      </c>
      <c r="BA13" s="29"/>
      <c r="BB13" s="13">
        <v>-0.1069</v>
      </c>
      <c r="BC13" s="29"/>
      <c r="BD13" s="9">
        <f t="shared" si="4"/>
        <v>0.17118802619270349</v>
      </c>
      <c r="BF13" s="3" t="s">
        <v>18</v>
      </c>
      <c r="BG13" s="29"/>
      <c r="BH13" s="11">
        <v>40547</v>
      </c>
      <c r="BI13" s="12">
        <v>44679</v>
      </c>
      <c r="BJ13" s="29"/>
      <c r="BK13" s="13">
        <v>2.3E-2</v>
      </c>
      <c r="BL13" s="29"/>
      <c r="BM13" s="13">
        <v>-8.0299999999999996E-2</v>
      </c>
      <c r="BN13" s="29"/>
      <c r="BO13" s="9">
        <f t="shared" si="5"/>
        <v>0.28642590286425906</v>
      </c>
      <c r="BQ13" s="3" t="s">
        <v>18</v>
      </c>
      <c r="BR13" s="29"/>
      <c r="BS13" s="11">
        <v>40547</v>
      </c>
      <c r="BT13" s="12">
        <v>44679</v>
      </c>
      <c r="BU13" s="29"/>
      <c r="BV13" s="13">
        <v>2.5000000000000001E-2</v>
      </c>
      <c r="BW13" s="29"/>
      <c r="BX13" s="13">
        <v>-6.4100000000000004E-2</v>
      </c>
      <c r="BY13" s="29"/>
      <c r="BZ13" s="9">
        <f t="shared" si="6"/>
        <v>0.39001560062402496</v>
      </c>
      <c r="CB13" s="3" t="s">
        <v>18</v>
      </c>
      <c r="CC13" s="29"/>
      <c r="CD13" s="11">
        <v>40546</v>
      </c>
      <c r="CE13" s="12">
        <v>44679</v>
      </c>
      <c r="CF13" s="29"/>
      <c r="CG13" s="13">
        <v>2.6599999999999999E-2</v>
      </c>
      <c r="CH13" s="29"/>
      <c r="CI13" s="13">
        <v>-6.0600000000000001E-2</v>
      </c>
      <c r="CJ13" s="29"/>
      <c r="CK13" s="9">
        <f t="shared" si="7"/>
        <v>0.43894389438943893</v>
      </c>
      <c r="CM13" s="3" t="s">
        <v>18</v>
      </c>
      <c r="CN13" s="29"/>
      <c r="CO13" s="11">
        <v>40546</v>
      </c>
      <c r="CP13" s="12">
        <v>44679</v>
      </c>
      <c r="CQ13" s="29"/>
      <c r="CR13" s="13">
        <v>3.2800000000000003E-2</v>
      </c>
      <c r="CS13" s="29"/>
      <c r="CT13" s="13">
        <v>-3.6299999999999999E-2</v>
      </c>
      <c r="CU13" s="29"/>
      <c r="CV13" s="9">
        <f t="shared" si="8"/>
        <v>0.90358126721763099</v>
      </c>
      <c r="CX13" s="3" t="s">
        <v>18</v>
      </c>
      <c r="CY13" s="29"/>
      <c r="CZ13" s="11">
        <v>40546</v>
      </c>
      <c r="DA13" s="12">
        <v>44679</v>
      </c>
      <c r="DB13" s="29"/>
      <c r="DC13" s="13">
        <v>3.44E-2</v>
      </c>
      <c r="DD13" s="29"/>
      <c r="DE13" s="13">
        <v>-4.3099999999999999E-2</v>
      </c>
      <c r="DF13" s="29"/>
      <c r="DG13" s="9">
        <f t="shared" si="9"/>
        <v>0.79814385150812062</v>
      </c>
      <c r="DI13" s="3" t="s">
        <v>18</v>
      </c>
      <c r="DJ13" s="29"/>
      <c r="DK13" s="11">
        <v>40546</v>
      </c>
      <c r="DL13" s="12">
        <v>44679</v>
      </c>
      <c r="DM13" s="29"/>
      <c r="DN13" s="13">
        <v>1.61E-2</v>
      </c>
      <c r="DO13" s="29"/>
      <c r="DP13" s="13">
        <v>-0.1651</v>
      </c>
      <c r="DQ13" s="29"/>
      <c r="DR13" s="9">
        <f t="shared" si="10"/>
        <v>9.7516656571774676E-2</v>
      </c>
    </row>
    <row r="14" spans="1:122" x14ac:dyDescent="0.25">
      <c r="C14" s="3" t="s">
        <v>19</v>
      </c>
      <c r="D14" s="29"/>
      <c r="E14" s="11">
        <v>40546</v>
      </c>
      <c r="F14" s="12">
        <v>44679</v>
      </c>
      <c r="G14" s="29"/>
      <c r="H14" s="13">
        <v>4.07E-2</v>
      </c>
      <c r="I14" s="29"/>
      <c r="J14" s="13">
        <v>-3.2800000000000003E-2</v>
      </c>
      <c r="K14" s="29"/>
      <c r="L14" s="9">
        <f t="shared" si="0"/>
        <v>1.2408536585365852</v>
      </c>
      <c r="N14" s="3" t="s">
        <v>19</v>
      </c>
      <c r="O14" s="29"/>
      <c r="P14" s="11">
        <v>40546</v>
      </c>
      <c r="Q14" s="12">
        <v>44679</v>
      </c>
      <c r="R14" s="29"/>
      <c r="S14" s="13">
        <v>4.3200000000000002E-2</v>
      </c>
      <c r="T14" s="29"/>
      <c r="U14" s="13">
        <v>-3.2199999999999999E-2</v>
      </c>
      <c r="V14" s="29"/>
      <c r="W14" s="9">
        <f t="shared" si="1"/>
        <v>1.3416149068322982</v>
      </c>
      <c r="Y14" s="3" t="s">
        <v>19</v>
      </c>
      <c r="Z14" s="29"/>
      <c r="AA14" s="11">
        <v>40546</v>
      </c>
      <c r="AB14" s="12">
        <v>44679</v>
      </c>
      <c r="AC14" s="29"/>
      <c r="AD14" s="13">
        <v>4.41E-2</v>
      </c>
      <c r="AE14" s="29"/>
      <c r="AF14" s="13">
        <v>-3.8399999999999997E-2</v>
      </c>
      <c r="AG14" s="29"/>
      <c r="AH14" s="9">
        <f t="shared" si="2"/>
        <v>1.1484375</v>
      </c>
      <c r="AJ14" s="3" t="s">
        <v>19</v>
      </c>
      <c r="AK14" s="29"/>
      <c r="AL14" s="11">
        <v>40546</v>
      </c>
      <c r="AM14" s="12">
        <v>44679</v>
      </c>
      <c r="AN14" s="29"/>
      <c r="AO14" s="13">
        <v>4.7500000000000001E-2</v>
      </c>
      <c r="AP14" s="29"/>
      <c r="AQ14" s="13">
        <v>-4.5100000000000001E-2</v>
      </c>
      <c r="AR14" s="29"/>
      <c r="AS14" s="9">
        <f t="shared" si="3"/>
        <v>1.0532150776053215</v>
      </c>
      <c r="AU14" s="3" t="s">
        <v>19</v>
      </c>
      <c r="AV14" s="29"/>
      <c r="AW14" s="11">
        <v>40546</v>
      </c>
      <c r="AX14" s="12">
        <v>44679</v>
      </c>
      <c r="AY14" s="29"/>
      <c r="AZ14" s="13">
        <v>4.6899999999999997E-2</v>
      </c>
      <c r="BA14" s="29"/>
      <c r="BB14" s="13">
        <v>-4.4600000000000001E-2</v>
      </c>
      <c r="BC14" s="29"/>
      <c r="BD14" s="9">
        <f t="shared" si="4"/>
        <v>1.0515695067264572</v>
      </c>
      <c r="BF14" s="3" t="s">
        <v>19</v>
      </c>
      <c r="BG14" s="29"/>
      <c r="BH14" s="11">
        <v>40546</v>
      </c>
      <c r="BI14" s="12">
        <v>44679</v>
      </c>
      <c r="BJ14" s="29"/>
      <c r="BK14" s="13">
        <v>4.7399999999999998E-2</v>
      </c>
      <c r="BL14" s="29"/>
      <c r="BM14" s="13">
        <v>-4.7399999999999998E-2</v>
      </c>
      <c r="BN14" s="29"/>
      <c r="BO14" s="9">
        <f t="shared" si="5"/>
        <v>1</v>
      </c>
      <c r="BQ14" s="3" t="s">
        <v>19</v>
      </c>
      <c r="BR14" s="29"/>
      <c r="BS14" s="11">
        <v>40546</v>
      </c>
      <c r="BT14" s="12">
        <v>44679</v>
      </c>
      <c r="BU14" s="29"/>
      <c r="BV14" s="13">
        <v>4.9000000000000002E-2</v>
      </c>
      <c r="BW14" s="29"/>
      <c r="BX14" s="13">
        <v>-4.6699999999999998E-2</v>
      </c>
      <c r="BY14" s="29"/>
      <c r="BZ14" s="9">
        <f t="shared" si="6"/>
        <v>1.0492505353319059</v>
      </c>
      <c r="CB14" s="3" t="s">
        <v>19</v>
      </c>
      <c r="CC14" s="29"/>
      <c r="CD14" s="11">
        <v>40546</v>
      </c>
      <c r="CE14" s="12">
        <v>44679</v>
      </c>
      <c r="CF14" s="29"/>
      <c r="CG14" s="13">
        <v>4.9099999999999998E-2</v>
      </c>
      <c r="CH14" s="29"/>
      <c r="CI14" s="13">
        <v>-4.8399999999999999E-2</v>
      </c>
      <c r="CJ14" s="29"/>
      <c r="CK14" s="9">
        <f t="shared" si="7"/>
        <v>1.0144628099173554</v>
      </c>
      <c r="CM14" s="3" t="s">
        <v>19</v>
      </c>
      <c r="CN14" s="29"/>
      <c r="CO14" s="11">
        <v>40546</v>
      </c>
      <c r="CP14" s="12">
        <v>44679</v>
      </c>
      <c r="CQ14" s="29"/>
      <c r="CR14" s="13">
        <v>5.28E-2</v>
      </c>
      <c r="CS14" s="29"/>
      <c r="CT14" s="13">
        <v>-4.5499999999999999E-2</v>
      </c>
      <c r="CU14" s="29"/>
      <c r="CV14" s="9">
        <f t="shared" si="8"/>
        <v>1.1604395604395605</v>
      </c>
      <c r="CX14" s="3" t="s">
        <v>19</v>
      </c>
      <c r="CY14" s="29"/>
      <c r="CZ14" s="11">
        <v>40546</v>
      </c>
      <c r="DA14" s="12">
        <v>44679</v>
      </c>
      <c r="DB14" s="29"/>
      <c r="DC14" s="13">
        <v>5.28E-2</v>
      </c>
      <c r="DD14" s="29"/>
      <c r="DE14" s="13">
        <v>-4.5699999999999998E-2</v>
      </c>
      <c r="DF14" s="29"/>
      <c r="DG14" s="9">
        <f t="shared" si="9"/>
        <v>1.1553610503282277</v>
      </c>
      <c r="DI14" s="3" t="s">
        <v>19</v>
      </c>
      <c r="DJ14" s="29"/>
      <c r="DK14" s="11">
        <v>40546</v>
      </c>
      <c r="DL14" s="12">
        <v>44679</v>
      </c>
      <c r="DM14" s="29"/>
      <c r="DN14" s="13">
        <v>5.4100000000000002E-2</v>
      </c>
      <c r="DO14" s="29"/>
      <c r="DP14" s="13">
        <v>-4.7300000000000002E-2</v>
      </c>
      <c r="DQ14" s="29"/>
      <c r="DR14" s="9">
        <f t="shared" si="10"/>
        <v>1.1437632135306555</v>
      </c>
    </row>
    <row r="15" spans="1:122" x14ac:dyDescent="0.25">
      <c r="C15" s="3" t="s">
        <v>20</v>
      </c>
      <c r="D15" s="29"/>
      <c r="E15" s="11">
        <v>43481</v>
      </c>
      <c r="F15" s="12">
        <v>44679</v>
      </c>
      <c r="G15" s="29"/>
      <c r="H15" s="13">
        <v>0.10680000000000001</v>
      </c>
      <c r="I15" s="29"/>
      <c r="J15" s="13">
        <v>-2.81E-2</v>
      </c>
      <c r="K15" s="29"/>
      <c r="L15" s="9">
        <f t="shared" si="0"/>
        <v>3.8007117437722422</v>
      </c>
      <c r="N15" s="3" t="s">
        <v>20</v>
      </c>
      <c r="O15" s="29"/>
      <c r="P15" s="11">
        <v>43481</v>
      </c>
      <c r="Q15" s="12">
        <v>44679</v>
      </c>
      <c r="R15" s="29"/>
      <c r="S15" s="13">
        <v>0.11260000000000001</v>
      </c>
      <c r="T15" s="29"/>
      <c r="U15" s="13">
        <v>-2.76E-2</v>
      </c>
      <c r="V15" s="29"/>
      <c r="W15" s="9">
        <f t="shared" si="1"/>
        <v>4.0797101449275361</v>
      </c>
      <c r="Y15" s="3" t="s">
        <v>20</v>
      </c>
      <c r="Z15" s="29"/>
      <c r="AA15" s="11">
        <v>43481</v>
      </c>
      <c r="AB15" s="12">
        <v>44679</v>
      </c>
      <c r="AC15" s="29"/>
      <c r="AD15" s="13">
        <v>0.1192</v>
      </c>
      <c r="AE15" s="29"/>
      <c r="AF15" s="13">
        <v>-2.7099999999999999E-2</v>
      </c>
      <c r="AG15" s="29"/>
      <c r="AH15" s="9">
        <f t="shared" si="2"/>
        <v>4.3985239852398523</v>
      </c>
      <c r="AJ15" s="3" t="s">
        <v>20</v>
      </c>
      <c r="AK15" s="29"/>
      <c r="AL15" s="11">
        <v>43481</v>
      </c>
      <c r="AM15" s="12">
        <v>44679</v>
      </c>
      <c r="AN15" s="29"/>
      <c r="AO15" s="13">
        <v>0.1208</v>
      </c>
      <c r="AP15" s="29"/>
      <c r="AQ15" s="13">
        <v>-2.7E-2</v>
      </c>
      <c r="AR15" s="29"/>
      <c r="AS15" s="9">
        <f t="shared" si="3"/>
        <v>4.4740740740740739</v>
      </c>
      <c r="AU15" s="3" t="s">
        <v>20</v>
      </c>
      <c r="AV15" s="29"/>
      <c r="AW15" s="11">
        <v>43481</v>
      </c>
      <c r="AX15" s="12">
        <v>44679</v>
      </c>
      <c r="AY15" s="29"/>
      <c r="AZ15" s="13">
        <v>0.12640000000000001</v>
      </c>
      <c r="BA15" s="29"/>
      <c r="BB15" s="13">
        <v>-2.6599999999999999E-2</v>
      </c>
      <c r="BC15" s="29"/>
      <c r="BD15" s="9">
        <f t="shared" si="4"/>
        <v>4.7518796992481214</v>
      </c>
      <c r="BF15" s="3" t="s">
        <v>20</v>
      </c>
      <c r="BG15" s="29"/>
      <c r="BH15" s="11">
        <v>43481</v>
      </c>
      <c r="BI15" s="12">
        <v>44679</v>
      </c>
      <c r="BJ15" s="29"/>
      <c r="BK15" s="13">
        <v>0.13089999999999999</v>
      </c>
      <c r="BL15" s="29"/>
      <c r="BM15" s="13">
        <v>-2.63E-2</v>
      </c>
      <c r="BN15" s="29"/>
      <c r="BO15" s="9">
        <f t="shared" si="5"/>
        <v>4.9771863117870714</v>
      </c>
      <c r="BQ15" s="3" t="s">
        <v>20</v>
      </c>
      <c r="BR15" s="29"/>
      <c r="BS15" s="11">
        <v>43481</v>
      </c>
      <c r="BT15" s="12">
        <v>44679</v>
      </c>
      <c r="BU15" s="29"/>
      <c r="BV15" s="13">
        <v>0.13569999999999999</v>
      </c>
      <c r="BW15" s="29"/>
      <c r="BX15" s="13">
        <v>-2.5899999999999999E-2</v>
      </c>
      <c r="BY15" s="29"/>
      <c r="BZ15" s="9">
        <f t="shared" si="6"/>
        <v>5.2393822393822393</v>
      </c>
      <c r="CB15" s="3" t="s">
        <v>20</v>
      </c>
      <c r="CC15" s="29"/>
      <c r="CD15" s="11">
        <v>43481</v>
      </c>
      <c r="CE15" s="12">
        <v>44679</v>
      </c>
      <c r="CF15" s="29"/>
      <c r="CG15" s="13">
        <v>0.13400000000000001</v>
      </c>
      <c r="CH15" s="29"/>
      <c r="CI15" s="13">
        <v>-2.5999999999999999E-2</v>
      </c>
      <c r="CJ15" s="29"/>
      <c r="CK15" s="9">
        <f t="shared" si="7"/>
        <v>5.1538461538461542</v>
      </c>
      <c r="CM15" s="3" t="s">
        <v>20</v>
      </c>
      <c r="CN15" s="29"/>
      <c r="CO15" s="11">
        <v>43481</v>
      </c>
      <c r="CP15" s="12">
        <v>44679</v>
      </c>
      <c r="CQ15" s="29"/>
      <c r="CR15" s="13">
        <v>0.13189999999999999</v>
      </c>
      <c r="CS15" s="29"/>
      <c r="CT15" s="13">
        <v>-2.6200000000000001E-2</v>
      </c>
      <c r="CU15" s="29"/>
      <c r="CV15" s="9">
        <f t="shared" si="8"/>
        <v>5.0343511450381673</v>
      </c>
      <c r="CX15" s="3" t="s">
        <v>20</v>
      </c>
      <c r="CY15" s="29"/>
      <c r="CZ15" s="11">
        <v>43481</v>
      </c>
      <c r="DA15" s="12">
        <v>44679</v>
      </c>
      <c r="DB15" s="29"/>
      <c r="DC15" s="13">
        <v>0.1305</v>
      </c>
      <c r="DD15" s="29"/>
      <c r="DE15" s="13">
        <v>-2.63E-2</v>
      </c>
      <c r="DF15" s="29"/>
      <c r="DG15" s="9">
        <f t="shared" si="9"/>
        <v>4.9619771863117874</v>
      </c>
      <c r="DI15" s="3" t="s">
        <v>20</v>
      </c>
      <c r="DJ15" s="29"/>
      <c r="DK15" s="11">
        <v>43481</v>
      </c>
      <c r="DL15" s="12">
        <v>44679</v>
      </c>
      <c r="DM15" s="29"/>
      <c r="DN15" s="13">
        <v>0.1305</v>
      </c>
      <c r="DO15" s="29"/>
      <c r="DP15" s="13">
        <v>-2.63E-2</v>
      </c>
      <c r="DQ15" s="29"/>
      <c r="DR15" s="9">
        <f t="shared" si="10"/>
        <v>4.9619771863117874</v>
      </c>
    </row>
    <row r="16" spans="1:122" x14ac:dyDescent="0.25">
      <c r="C16" s="3" t="s">
        <v>21</v>
      </c>
      <c r="D16" s="29"/>
      <c r="E16" s="11">
        <v>40550</v>
      </c>
      <c r="F16" s="12">
        <v>44678</v>
      </c>
      <c r="G16" s="29"/>
      <c r="H16" s="13">
        <v>3.6700000000000003E-2</v>
      </c>
      <c r="I16" s="29"/>
      <c r="J16" s="13">
        <v>-2.24E-2</v>
      </c>
      <c r="K16" s="29"/>
      <c r="L16" s="9">
        <f t="shared" si="0"/>
        <v>1.6383928571428572</v>
      </c>
      <c r="N16" s="3" t="s">
        <v>21</v>
      </c>
      <c r="O16" s="29"/>
      <c r="P16" s="11">
        <v>40550</v>
      </c>
      <c r="Q16" s="12">
        <v>44678</v>
      </c>
      <c r="R16" s="29"/>
      <c r="S16" s="13">
        <v>3.7999999999999999E-2</v>
      </c>
      <c r="T16" s="29"/>
      <c r="U16" s="13">
        <v>-3.04E-2</v>
      </c>
      <c r="V16" s="29"/>
      <c r="W16" s="9">
        <f t="shared" si="1"/>
        <v>1.25</v>
      </c>
      <c r="Y16" s="3" t="s">
        <v>21</v>
      </c>
      <c r="Z16" s="29"/>
      <c r="AA16" s="11">
        <v>40550</v>
      </c>
      <c r="AB16" s="12">
        <v>44678</v>
      </c>
      <c r="AC16" s="29"/>
      <c r="AD16" s="13">
        <v>4.07E-2</v>
      </c>
      <c r="AE16" s="29"/>
      <c r="AF16" s="13">
        <v>-3.44E-2</v>
      </c>
      <c r="AG16" s="29"/>
      <c r="AH16" s="9">
        <f t="shared" si="2"/>
        <v>1.183139534883721</v>
      </c>
      <c r="AJ16" s="3" t="s">
        <v>21</v>
      </c>
      <c r="AK16" s="29"/>
      <c r="AL16" s="11">
        <v>40550</v>
      </c>
      <c r="AM16" s="12">
        <v>44678</v>
      </c>
      <c r="AN16" s="29"/>
      <c r="AO16" s="13">
        <v>3.95E-2</v>
      </c>
      <c r="AP16" s="29"/>
      <c r="AQ16" s="13">
        <v>-3.9300000000000002E-2</v>
      </c>
      <c r="AR16" s="29"/>
      <c r="AS16" s="9">
        <f t="shared" si="3"/>
        <v>1.005089058524173</v>
      </c>
      <c r="AU16" s="3" t="s">
        <v>21</v>
      </c>
      <c r="AV16" s="29"/>
      <c r="AW16" s="11">
        <v>40550</v>
      </c>
      <c r="AX16" s="12">
        <v>44679</v>
      </c>
      <c r="AY16" s="29"/>
      <c r="AZ16" s="13">
        <v>4.0800000000000003E-2</v>
      </c>
      <c r="BA16" s="29"/>
      <c r="BB16" s="13">
        <v>-4.6399999999999997E-2</v>
      </c>
      <c r="BC16" s="29"/>
      <c r="BD16" s="9">
        <f t="shared" si="4"/>
        <v>0.8793103448275863</v>
      </c>
      <c r="BF16" s="3" t="s">
        <v>21</v>
      </c>
      <c r="BG16" s="29"/>
      <c r="BH16" s="11">
        <v>40550</v>
      </c>
      <c r="BI16" s="12">
        <v>44679</v>
      </c>
      <c r="BJ16" s="29"/>
      <c r="BK16" s="13">
        <v>4.2000000000000003E-2</v>
      </c>
      <c r="BL16" s="29"/>
      <c r="BM16" s="13">
        <v>-5.0700000000000002E-2</v>
      </c>
      <c r="BN16" s="29"/>
      <c r="BO16" s="9">
        <f t="shared" si="5"/>
        <v>0.82840236686390534</v>
      </c>
      <c r="BQ16" s="3" t="s">
        <v>21</v>
      </c>
      <c r="BR16" s="29"/>
      <c r="BS16" s="11">
        <v>40550</v>
      </c>
      <c r="BT16" s="12">
        <v>44679</v>
      </c>
      <c r="BU16" s="29"/>
      <c r="BV16" s="13">
        <v>4.2599999999999999E-2</v>
      </c>
      <c r="BW16" s="29"/>
      <c r="BX16" s="13">
        <v>-5.45E-2</v>
      </c>
      <c r="BY16" s="29"/>
      <c r="BZ16" s="9">
        <f t="shared" si="6"/>
        <v>0.78165137614678892</v>
      </c>
      <c r="CB16" s="3" t="s">
        <v>21</v>
      </c>
      <c r="CC16" s="29"/>
      <c r="CD16" s="11">
        <v>40550</v>
      </c>
      <c r="CE16" s="12">
        <v>44679</v>
      </c>
      <c r="CF16" s="29"/>
      <c r="CG16" s="13">
        <v>4.6600000000000003E-2</v>
      </c>
      <c r="CH16" s="29"/>
      <c r="CI16" s="13">
        <v>-5.7000000000000002E-2</v>
      </c>
      <c r="CJ16" s="29"/>
      <c r="CK16" s="9">
        <f t="shared" si="7"/>
        <v>0.81754385964912279</v>
      </c>
      <c r="CM16" s="3" t="s">
        <v>21</v>
      </c>
      <c r="CN16" s="29"/>
      <c r="CO16" s="11">
        <v>40550</v>
      </c>
      <c r="CP16" s="12">
        <v>44679</v>
      </c>
      <c r="CQ16" s="29"/>
      <c r="CR16" s="13">
        <v>4.7199999999999999E-2</v>
      </c>
      <c r="CS16" s="29"/>
      <c r="CT16" s="13">
        <v>-5.6500000000000002E-2</v>
      </c>
      <c r="CU16" s="29"/>
      <c r="CV16" s="9">
        <f t="shared" si="8"/>
        <v>0.83539823008849556</v>
      </c>
      <c r="CX16" s="3" t="s">
        <v>21</v>
      </c>
      <c r="CY16" s="29"/>
      <c r="CZ16" s="11">
        <v>40550</v>
      </c>
      <c r="DA16" s="12">
        <v>44679</v>
      </c>
      <c r="DB16" s="29"/>
      <c r="DC16" s="13">
        <v>4.9700000000000001E-2</v>
      </c>
      <c r="DD16" s="29"/>
      <c r="DE16" s="13">
        <v>-5.5100000000000003E-2</v>
      </c>
      <c r="DF16" s="29"/>
      <c r="DG16" s="9">
        <f t="shared" si="9"/>
        <v>0.9019963702359346</v>
      </c>
      <c r="DI16" s="3" t="s">
        <v>21</v>
      </c>
      <c r="DJ16" s="29"/>
      <c r="DK16" s="11">
        <v>40550</v>
      </c>
      <c r="DL16" s="12">
        <v>44679</v>
      </c>
      <c r="DM16" s="29"/>
      <c r="DN16" s="13">
        <v>3.9800000000000002E-2</v>
      </c>
      <c r="DO16" s="29"/>
      <c r="DP16" s="13">
        <v>-9.6500000000000002E-2</v>
      </c>
      <c r="DQ16" s="29"/>
      <c r="DR16" s="9">
        <f t="shared" si="10"/>
        <v>0.41243523316062175</v>
      </c>
    </row>
    <row r="17" spans="3:122" x14ac:dyDescent="0.25">
      <c r="C17" s="3" t="s">
        <v>22</v>
      </c>
      <c r="D17" s="29"/>
      <c r="E17" s="11">
        <v>40546</v>
      </c>
      <c r="F17" s="12">
        <v>44676</v>
      </c>
      <c r="G17" s="29"/>
      <c r="H17" s="13">
        <v>5.1299999999999998E-2</v>
      </c>
      <c r="I17" s="29"/>
      <c r="J17" s="13">
        <v>-5.0200000000000002E-2</v>
      </c>
      <c r="K17" s="29"/>
      <c r="L17" s="9">
        <f t="shared" si="0"/>
        <v>1.0219123505976095</v>
      </c>
      <c r="N17" s="3" t="s">
        <v>22</v>
      </c>
      <c r="O17" s="29"/>
      <c r="P17" s="11">
        <v>40546</v>
      </c>
      <c r="Q17" s="12">
        <v>44676</v>
      </c>
      <c r="R17" s="29"/>
      <c r="S17" s="13">
        <v>5.2200000000000003E-2</v>
      </c>
      <c r="T17" s="29"/>
      <c r="U17" s="13">
        <v>-4.0899999999999999E-2</v>
      </c>
      <c r="V17" s="29"/>
      <c r="W17" s="9">
        <f t="shared" si="1"/>
        <v>1.2762836185819073</v>
      </c>
      <c r="Y17" s="3" t="s">
        <v>22</v>
      </c>
      <c r="Z17" s="29"/>
      <c r="AA17" s="11">
        <v>40546</v>
      </c>
      <c r="AB17" s="12">
        <v>44677</v>
      </c>
      <c r="AC17" s="29"/>
      <c r="AD17" s="13">
        <v>5.3499999999999999E-2</v>
      </c>
      <c r="AE17" s="29"/>
      <c r="AF17" s="13">
        <v>-5.28E-2</v>
      </c>
      <c r="AG17" s="29"/>
      <c r="AH17" s="9">
        <f t="shared" si="2"/>
        <v>1.0132575757575757</v>
      </c>
      <c r="AJ17" s="3" t="s">
        <v>22</v>
      </c>
      <c r="AK17" s="29"/>
      <c r="AL17" s="11">
        <v>40546</v>
      </c>
      <c r="AM17" s="12">
        <v>44678</v>
      </c>
      <c r="AN17" s="29"/>
      <c r="AO17" s="13">
        <v>5.3600000000000002E-2</v>
      </c>
      <c r="AP17" s="29"/>
      <c r="AQ17" s="13">
        <v>-4.07E-2</v>
      </c>
      <c r="AR17" s="29"/>
      <c r="AS17" s="9">
        <f t="shared" si="3"/>
        <v>1.316953316953317</v>
      </c>
      <c r="AU17" s="3" t="s">
        <v>22</v>
      </c>
      <c r="AV17" s="29"/>
      <c r="AW17" s="11">
        <v>40546</v>
      </c>
      <c r="AX17" s="12">
        <v>44678</v>
      </c>
      <c r="AY17" s="29"/>
      <c r="AZ17" s="13">
        <v>5.6800000000000003E-2</v>
      </c>
      <c r="BA17" s="29"/>
      <c r="BB17" s="13">
        <v>-2.9000000000000001E-2</v>
      </c>
      <c r="BC17" s="29"/>
      <c r="BD17" s="9">
        <f t="shared" si="4"/>
        <v>1.9586206896551723</v>
      </c>
      <c r="BF17" s="3" t="s">
        <v>22</v>
      </c>
      <c r="BG17" s="29"/>
      <c r="BH17" s="11">
        <v>40546</v>
      </c>
      <c r="BI17" s="12">
        <v>44679</v>
      </c>
      <c r="BJ17" s="29"/>
      <c r="BK17" s="13">
        <v>6.1199999999999997E-2</v>
      </c>
      <c r="BL17" s="29"/>
      <c r="BM17" s="13">
        <v>-2.5399999999999999E-2</v>
      </c>
      <c r="BN17" s="29"/>
      <c r="BO17" s="9">
        <f t="shared" si="5"/>
        <v>2.409448818897638</v>
      </c>
      <c r="BQ17" s="3" t="s">
        <v>22</v>
      </c>
      <c r="BR17" s="29"/>
      <c r="BS17" s="11">
        <v>40546</v>
      </c>
      <c r="BT17" s="12">
        <v>44679</v>
      </c>
      <c r="BU17" s="29"/>
      <c r="BV17" s="13">
        <v>6.3299999999999995E-2</v>
      </c>
      <c r="BW17" s="29"/>
      <c r="BX17" s="13">
        <v>-3.3000000000000002E-2</v>
      </c>
      <c r="BY17" s="29"/>
      <c r="BZ17" s="9">
        <f t="shared" si="6"/>
        <v>1.918181818181818</v>
      </c>
      <c r="CB17" s="3" t="s">
        <v>22</v>
      </c>
      <c r="CC17" s="29"/>
      <c r="CD17" s="11">
        <v>40546</v>
      </c>
      <c r="CE17" s="12">
        <v>44679</v>
      </c>
      <c r="CF17" s="29"/>
      <c r="CG17" s="13">
        <v>6.2600000000000003E-2</v>
      </c>
      <c r="CH17" s="29"/>
      <c r="CI17" s="13">
        <v>-3.8899999999999997E-2</v>
      </c>
      <c r="CJ17" s="29"/>
      <c r="CK17" s="9">
        <f t="shared" si="7"/>
        <v>1.6092544987146531</v>
      </c>
      <c r="CM17" s="3" t="s">
        <v>22</v>
      </c>
      <c r="CN17" s="29"/>
      <c r="CO17" s="11">
        <v>40546</v>
      </c>
      <c r="CP17" s="12">
        <v>44679</v>
      </c>
      <c r="CQ17" s="29"/>
      <c r="CR17" s="13">
        <v>5.8700000000000002E-2</v>
      </c>
      <c r="CS17" s="29"/>
      <c r="CT17" s="13">
        <v>-4.1099999999999998E-2</v>
      </c>
      <c r="CU17" s="29"/>
      <c r="CV17" s="9">
        <f t="shared" si="8"/>
        <v>1.4282238442822386</v>
      </c>
      <c r="CX17" s="3" t="s">
        <v>22</v>
      </c>
      <c r="CY17" s="29"/>
      <c r="CZ17" s="11">
        <v>40546</v>
      </c>
      <c r="DA17" s="12">
        <v>44679</v>
      </c>
      <c r="DB17" s="29"/>
      <c r="DC17" s="13">
        <v>5.6899999999999999E-2</v>
      </c>
      <c r="DD17" s="29"/>
      <c r="DE17" s="13">
        <v>-4.6600000000000003E-2</v>
      </c>
      <c r="DF17" s="29"/>
      <c r="DG17" s="9">
        <f t="shared" si="9"/>
        <v>1.2210300429184548</v>
      </c>
      <c r="DI17" s="3" t="s">
        <v>22</v>
      </c>
      <c r="DJ17" s="29"/>
      <c r="DK17" s="11">
        <v>40546</v>
      </c>
      <c r="DL17" s="12">
        <v>44679</v>
      </c>
      <c r="DM17" s="29"/>
      <c r="DN17" s="13">
        <v>-3.9300000000000002E-2</v>
      </c>
      <c r="DO17" s="29"/>
      <c r="DP17" s="13">
        <v>-0.65629999999999999</v>
      </c>
      <c r="DQ17" s="29"/>
      <c r="DR17" s="9">
        <f t="shared" si="10"/>
        <v>-5.988115191223526E-2</v>
      </c>
    </row>
    <row r="18" spans="3:122" x14ac:dyDescent="0.25">
      <c r="C18" s="3" t="s">
        <v>23</v>
      </c>
      <c r="D18" s="29"/>
      <c r="E18" s="11">
        <v>40547</v>
      </c>
      <c r="F18" s="12">
        <v>44679</v>
      </c>
      <c r="G18" s="29"/>
      <c r="H18" s="13">
        <v>6.9099999999999995E-2</v>
      </c>
      <c r="I18" s="29"/>
      <c r="J18" s="13">
        <v>-2.69E-2</v>
      </c>
      <c r="K18" s="29"/>
      <c r="L18" s="9">
        <f t="shared" si="0"/>
        <v>2.5687732342007434</v>
      </c>
      <c r="N18" s="3" t="s">
        <v>23</v>
      </c>
      <c r="O18" s="29"/>
      <c r="P18" s="11">
        <v>40547</v>
      </c>
      <c r="Q18" s="12">
        <v>44679</v>
      </c>
      <c r="R18" s="29"/>
      <c r="S18" s="13">
        <v>7.0599999999999996E-2</v>
      </c>
      <c r="T18" s="29"/>
      <c r="U18" s="13">
        <v>-2.8500000000000001E-2</v>
      </c>
      <c r="V18" s="29"/>
      <c r="W18" s="9">
        <f t="shared" si="1"/>
        <v>2.4771929824561401</v>
      </c>
      <c r="Y18" s="3" t="s">
        <v>23</v>
      </c>
      <c r="Z18" s="29"/>
      <c r="AA18" s="11">
        <v>40546</v>
      </c>
      <c r="AB18" s="12">
        <v>44679</v>
      </c>
      <c r="AC18" s="29"/>
      <c r="AD18" s="13">
        <v>7.4099999999999999E-2</v>
      </c>
      <c r="AE18" s="29"/>
      <c r="AF18" s="13">
        <v>-2.7699999999999999E-2</v>
      </c>
      <c r="AG18" s="29"/>
      <c r="AH18" s="9">
        <f t="shared" si="2"/>
        <v>2.6750902527075815</v>
      </c>
      <c r="AJ18" s="3" t="s">
        <v>23</v>
      </c>
      <c r="AK18" s="29"/>
      <c r="AL18" s="11">
        <v>40546</v>
      </c>
      <c r="AM18" s="12">
        <v>44679</v>
      </c>
      <c r="AN18" s="29"/>
      <c r="AO18" s="13">
        <v>7.5700000000000003E-2</v>
      </c>
      <c r="AP18" s="29"/>
      <c r="AQ18" s="13">
        <v>-2.92E-2</v>
      </c>
      <c r="AR18" s="29"/>
      <c r="AS18" s="9">
        <f t="shared" si="3"/>
        <v>2.5924657534246576</v>
      </c>
      <c r="AU18" s="3" t="s">
        <v>23</v>
      </c>
      <c r="AV18" s="29"/>
      <c r="AW18" s="11">
        <v>40546</v>
      </c>
      <c r="AX18" s="12">
        <v>44679</v>
      </c>
      <c r="AY18" s="29"/>
      <c r="AZ18" s="13">
        <v>7.6499999999999999E-2</v>
      </c>
      <c r="BA18" s="29"/>
      <c r="BB18" s="13">
        <v>-2.9100000000000001E-2</v>
      </c>
      <c r="BC18" s="29"/>
      <c r="BD18" s="9">
        <f t="shared" si="4"/>
        <v>2.6288659793814433</v>
      </c>
      <c r="BF18" s="3" t="s">
        <v>23</v>
      </c>
      <c r="BG18" s="29"/>
      <c r="BH18" s="11">
        <v>40546</v>
      </c>
      <c r="BI18" s="12">
        <v>44679</v>
      </c>
      <c r="BJ18" s="29"/>
      <c r="BK18" s="13">
        <v>7.7200000000000005E-2</v>
      </c>
      <c r="BL18" s="29"/>
      <c r="BM18" s="13">
        <v>-2.46E-2</v>
      </c>
      <c r="BN18" s="29"/>
      <c r="BO18" s="9">
        <f t="shared" si="5"/>
        <v>3.1382113821138211</v>
      </c>
      <c r="BQ18" s="3" t="s">
        <v>23</v>
      </c>
      <c r="BR18" s="29"/>
      <c r="BS18" s="11">
        <v>40546</v>
      </c>
      <c r="BT18" s="12">
        <v>44679</v>
      </c>
      <c r="BU18" s="29"/>
      <c r="BV18" s="13">
        <v>7.9399999999999998E-2</v>
      </c>
      <c r="BW18" s="29"/>
      <c r="BX18" s="13">
        <v>-2.4299999999999999E-2</v>
      </c>
      <c r="BY18" s="29"/>
      <c r="BZ18" s="9">
        <f t="shared" si="6"/>
        <v>3.2674897119341564</v>
      </c>
      <c r="CB18" s="3" t="s">
        <v>23</v>
      </c>
      <c r="CC18" s="29"/>
      <c r="CD18" s="11">
        <v>40546</v>
      </c>
      <c r="CE18" s="12">
        <v>44679</v>
      </c>
      <c r="CF18" s="29"/>
      <c r="CG18" s="13">
        <v>8.0100000000000005E-2</v>
      </c>
      <c r="CH18" s="29"/>
      <c r="CI18" s="13">
        <v>-2.4199999999999999E-2</v>
      </c>
      <c r="CJ18" s="29"/>
      <c r="CK18" s="9">
        <f t="shared" si="7"/>
        <v>3.3099173553719012</v>
      </c>
      <c r="CM18" s="3" t="s">
        <v>23</v>
      </c>
      <c r="CN18" s="29"/>
      <c r="CO18" s="11">
        <v>40546</v>
      </c>
      <c r="CP18" s="12">
        <v>44679</v>
      </c>
      <c r="CQ18" s="29"/>
      <c r="CR18" s="13">
        <v>7.9100000000000004E-2</v>
      </c>
      <c r="CS18" s="29"/>
      <c r="CT18" s="13">
        <v>-7.0999999999999994E-2</v>
      </c>
      <c r="CU18" s="29"/>
      <c r="CV18" s="9">
        <f t="shared" si="8"/>
        <v>1.1140845070422536</v>
      </c>
      <c r="CX18" s="3" t="s">
        <v>23</v>
      </c>
      <c r="CY18" s="29"/>
      <c r="CZ18" s="11">
        <v>40546</v>
      </c>
      <c r="DA18" s="12">
        <v>44679</v>
      </c>
      <c r="DB18" s="29"/>
      <c r="DC18" s="13">
        <v>7.8100000000000003E-2</v>
      </c>
      <c r="DD18" s="29"/>
      <c r="DE18" s="13">
        <v>-6.9699999999999998E-2</v>
      </c>
      <c r="DF18" s="29"/>
      <c r="DG18" s="9">
        <f t="shared" si="9"/>
        <v>1.12051649928264</v>
      </c>
      <c r="DI18" s="3" t="s">
        <v>23</v>
      </c>
      <c r="DJ18" s="29"/>
      <c r="DK18" s="11">
        <v>40546</v>
      </c>
      <c r="DL18" s="12">
        <v>44679</v>
      </c>
      <c r="DM18" s="29"/>
      <c r="DN18" s="13">
        <v>7.7100000000000002E-2</v>
      </c>
      <c r="DO18" s="29"/>
      <c r="DP18" s="13">
        <v>-7.0599999999999996E-2</v>
      </c>
      <c r="DQ18" s="29"/>
      <c r="DR18" s="9">
        <f t="shared" si="10"/>
        <v>1.0920679886685554</v>
      </c>
    </row>
    <row r="19" spans="3:122" x14ac:dyDescent="0.25">
      <c r="C19" s="3" t="s">
        <v>24</v>
      </c>
      <c r="D19" s="29"/>
      <c r="E19" s="11">
        <v>40546</v>
      </c>
      <c r="F19" s="12">
        <v>44678</v>
      </c>
      <c r="G19" s="29"/>
      <c r="H19" s="13">
        <v>7.3400000000000007E-2</v>
      </c>
      <c r="I19" s="29"/>
      <c r="J19" s="13">
        <v>-3.3599999999999998E-2</v>
      </c>
      <c r="K19" s="29"/>
      <c r="L19" s="9">
        <f t="shared" si="0"/>
        <v>2.1845238095238098</v>
      </c>
      <c r="N19" s="3" t="s">
        <v>24</v>
      </c>
      <c r="O19" s="29"/>
      <c r="P19" s="11">
        <v>40546</v>
      </c>
      <c r="Q19" s="12">
        <v>44678</v>
      </c>
      <c r="R19" s="29"/>
      <c r="S19" s="13">
        <v>7.5700000000000003E-2</v>
      </c>
      <c r="T19" s="29"/>
      <c r="U19" s="13">
        <v>-2.5499999999999998E-2</v>
      </c>
      <c r="V19" s="29"/>
      <c r="W19" s="9">
        <f t="shared" si="1"/>
        <v>2.9686274509803923</v>
      </c>
      <c r="Y19" s="3" t="s">
        <v>24</v>
      </c>
      <c r="Z19" s="29"/>
      <c r="AA19" s="11">
        <v>40546</v>
      </c>
      <c r="AB19" s="12">
        <v>44678</v>
      </c>
      <c r="AC19" s="29"/>
      <c r="AD19" s="13">
        <v>8.1799999999999998E-2</v>
      </c>
      <c r="AE19" s="29"/>
      <c r="AF19" s="13">
        <v>-2.47E-2</v>
      </c>
      <c r="AG19" s="29"/>
      <c r="AH19" s="9">
        <f t="shared" si="2"/>
        <v>3.3117408906882591</v>
      </c>
      <c r="AJ19" s="3" t="s">
        <v>24</v>
      </c>
      <c r="AK19" s="29"/>
      <c r="AL19" s="11">
        <v>40546</v>
      </c>
      <c r="AM19" s="12">
        <v>44678</v>
      </c>
      <c r="AN19" s="29"/>
      <c r="AO19" s="13">
        <v>8.1299999999999997E-2</v>
      </c>
      <c r="AP19" s="29"/>
      <c r="AQ19" s="13">
        <v>-2.1299999999999999E-2</v>
      </c>
      <c r="AR19" s="29"/>
      <c r="AS19" s="9">
        <f t="shared" si="3"/>
        <v>3.816901408450704</v>
      </c>
      <c r="AU19" s="3" t="s">
        <v>24</v>
      </c>
      <c r="AV19" s="29"/>
      <c r="AW19" s="11">
        <v>40546</v>
      </c>
      <c r="AX19" s="12">
        <v>44678</v>
      </c>
      <c r="AY19" s="29"/>
      <c r="AZ19" s="13">
        <v>8.5199999999999998E-2</v>
      </c>
      <c r="BA19" s="29"/>
      <c r="BB19" s="13">
        <v>-2.2700000000000001E-2</v>
      </c>
      <c r="BC19" s="29"/>
      <c r="BD19" s="9">
        <f t="shared" si="4"/>
        <v>3.7533039647577091</v>
      </c>
      <c r="BF19" s="3" t="s">
        <v>24</v>
      </c>
      <c r="BG19" s="29"/>
      <c r="BH19" s="11">
        <v>40546</v>
      </c>
      <c r="BI19" s="12">
        <v>44678</v>
      </c>
      <c r="BJ19" s="29"/>
      <c r="BK19" s="13">
        <v>8.9499999999999996E-2</v>
      </c>
      <c r="BL19" s="29"/>
      <c r="BM19" s="13">
        <v>-1.8700000000000001E-2</v>
      </c>
      <c r="BN19" s="29"/>
      <c r="BO19" s="9">
        <f t="shared" si="5"/>
        <v>4.7860962566844911</v>
      </c>
      <c r="BQ19" s="3" t="s">
        <v>24</v>
      </c>
      <c r="BR19" s="29"/>
      <c r="BS19" s="11">
        <v>40546</v>
      </c>
      <c r="BT19" s="12">
        <v>44678</v>
      </c>
      <c r="BU19" s="29"/>
      <c r="BV19" s="13">
        <v>9.06E-2</v>
      </c>
      <c r="BW19" s="29"/>
      <c r="BX19" s="13">
        <v>-2.64E-2</v>
      </c>
      <c r="BY19" s="29"/>
      <c r="BZ19" s="9">
        <f t="shared" si="6"/>
        <v>3.4318181818181817</v>
      </c>
      <c r="CB19" s="3" t="s">
        <v>24</v>
      </c>
      <c r="CC19" s="29"/>
      <c r="CD19" s="11">
        <v>40546</v>
      </c>
      <c r="CE19" s="12">
        <v>44678</v>
      </c>
      <c r="CF19" s="29"/>
      <c r="CG19" s="13">
        <v>8.9899999999999994E-2</v>
      </c>
      <c r="CH19" s="29"/>
      <c r="CI19" s="13">
        <v>-3.15E-2</v>
      </c>
      <c r="CJ19" s="29"/>
      <c r="CK19" s="9">
        <f t="shared" si="7"/>
        <v>2.8539682539682536</v>
      </c>
      <c r="CM19" s="3" t="s">
        <v>24</v>
      </c>
      <c r="CN19" s="29"/>
      <c r="CO19" s="11">
        <v>40546</v>
      </c>
      <c r="CP19" s="12">
        <v>44679</v>
      </c>
      <c r="CQ19" s="29"/>
      <c r="CR19" s="13">
        <v>9.2799999999999994E-2</v>
      </c>
      <c r="CS19" s="29"/>
      <c r="CT19" s="13">
        <v>-2.8899999999999999E-2</v>
      </c>
      <c r="CU19" s="29"/>
      <c r="CV19" s="9">
        <f t="shared" si="8"/>
        <v>3.2110726643598615</v>
      </c>
      <c r="CX19" s="3" t="s">
        <v>24</v>
      </c>
      <c r="CY19" s="29"/>
      <c r="CZ19" s="11">
        <v>40546</v>
      </c>
      <c r="DA19" s="12">
        <v>44679</v>
      </c>
      <c r="DB19" s="29"/>
      <c r="DC19" s="13">
        <v>9.1200000000000003E-2</v>
      </c>
      <c r="DD19" s="29"/>
      <c r="DE19" s="13">
        <v>-3.5799999999999998E-2</v>
      </c>
      <c r="DF19" s="29"/>
      <c r="DG19" s="9">
        <f t="shared" si="9"/>
        <v>2.5474860335195531</v>
      </c>
      <c r="DI19" s="3" t="s">
        <v>24</v>
      </c>
      <c r="DJ19" s="29"/>
      <c r="DK19" s="11">
        <v>40546</v>
      </c>
      <c r="DL19" s="12">
        <v>44679</v>
      </c>
      <c r="DM19" s="29"/>
      <c r="DN19" s="13">
        <v>8.5099999999999995E-2</v>
      </c>
      <c r="DO19" s="29"/>
      <c r="DP19" s="13">
        <v>-0.1065</v>
      </c>
      <c r="DQ19" s="29"/>
      <c r="DR19" s="9">
        <f t="shared" si="10"/>
        <v>0.79906103286384977</v>
      </c>
    </row>
    <row r="20" spans="3:122" x14ac:dyDescent="0.25">
      <c r="C20" s="3" t="s">
        <v>25</v>
      </c>
      <c r="D20" s="29"/>
      <c r="E20" s="11">
        <v>40546</v>
      </c>
      <c r="F20" s="12">
        <v>43797</v>
      </c>
      <c r="G20" s="29"/>
      <c r="H20" s="13">
        <v>5.8200000000000002E-2</v>
      </c>
      <c r="I20" s="29"/>
      <c r="J20" s="13">
        <v>-2.8500000000000001E-2</v>
      </c>
      <c r="K20" s="29"/>
      <c r="L20" s="9">
        <f t="shared" si="0"/>
        <v>2.0421052631578949</v>
      </c>
      <c r="N20" s="3" t="s">
        <v>25</v>
      </c>
      <c r="O20" s="29"/>
      <c r="P20" s="11">
        <v>40546</v>
      </c>
      <c r="Q20" s="12">
        <v>43797</v>
      </c>
      <c r="R20" s="29"/>
      <c r="S20" s="13">
        <v>5.8099999999999999E-2</v>
      </c>
      <c r="T20" s="29"/>
      <c r="U20" s="13">
        <v>-3.3500000000000002E-2</v>
      </c>
      <c r="V20" s="29"/>
      <c r="W20" s="9">
        <f t="shared" si="1"/>
        <v>1.734328358208955</v>
      </c>
      <c r="Y20" s="3" t="s">
        <v>25</v>
      </c>
      <c r="Z20" s="29"/>
      <c r="AA20" s="11">
        <v>40546</v>
      </c>
      <c r="AB20" s="12">
        <v>43797</v>
      </c>
      <c r="AC20" s="29"/>
      <c r="AD20" s="13">
        <v>5.8299999999999998E-2</v>
      </c>
      <c r="AE20" s="29"/>
      <c r="AF20" s="13">
        <v>-3.4599999999999999E-2</v>
      </c>
      <c r="AG20" s="29"/>
      <c r="AH20" s="9">
        <f t="shared" si="2"/>
        <v>1.6849710982658959</v>
      </c>
      <c r="AJ20" s="3" t="s">
        <v>25</v>
      </c>
      <c r="AK20" s="29"/>
      <c r="AL20" s="11">
        <v>40546</v>
      </c>
      <c r="AM20" s="12">
        <v>43797</v>
      </c>
      <c r="AN20" s="29"/>
      <c r="AO20" s="13">
        <v>5.8599999999999999E-2</v>
      </c>
      <c r="AP20" s="29"/>
      <c r="AQ20" s="13">
        <v>-3.3700000000000001E-2</v>
      </c>
      <c r="AR20" s="29"/>
      <c r="AS20" s="9">
        <f t="shared" si="3"/>
        <v>1.7388724035608307</v>
      </c>
      <c r="AU20" s="3" t="s">
        <v>25</v>
      </c>
      <c r="AV20" s="29"/>
      <c r="AW20" s="11">
        <v>40546</v>
      </c>
      <c r="AX20" s="12">
        <v>43797</v>
      </c>
      <c r="AY20" s="29"/>
      <c r="AZ20" s="13">
        <v>6.0600000000000001E-2</v>
      </c>
      <c r="BA20" s="29"/>
      <c r="BB20" s="13">
        <v>-3.8899999999999997E-2</v>
      </c>
      <c r="BC20" s="29"/>
      <c r="BD20" s="9">
        <f t="shared" si="4"/>
        <v>1.557840616966581</v>
      </c>
      <c r="BF20" s="3" t="s">
        <v>25</v>
      </c>
      <c r="BG20" s="29"/>
      <c r="BH20" s="11">
        <v>40546</v>
      </c>
      <c r="BI20" s="12">
        <v>43797</v>
      </c>
      <c r="BJ20" s="29"/>
      <c r="BK20" s="13">
        <v>6.08E-2</v>
      </c>
      <c r="BL20" s="29"/>
      <c r="BM20" s="13">
        <v>-4.0399999999999998E-2</v>
      </c>
      <c r="BN20" s="29"/>
      <c r="BO20" s="9">
        <f t="shared" si="5"/>
        <v>1.504950495049505</v>
      </c>
      <c r="BQ20" s="3" t="s">
        <v>25</v>
      </c>
      <c r="BR20" s="29"/>
      <c r="BS20" s="11">
        <v>40546</v>
      </c>
      <c r="BT20" s="12">
        <v>43797</v>
      </c>
      <c r="BU20" s="29"/>
      <c r="BV20" s="13">
        <v>6.3799999999999996E-2</v>
      </c>
      <c r="BW20" s="29"/>
      <c r="BX20" s="13">
        <v>-3.8100000000000002E-2</v>
      </c>
      <c r="BY20" s="29"/>
      <c r="BZ20" s="9">
        <f t="shared" si="6"/>
        <v>1.674540682414698</v>
      </c>
      <c r="CB20" s="3" t="s">
        <v>25</v>
      </c>
      <c r="CC20" s="29"/>
      <c r="CD20" s="11">
        <v>40546</v>
      </c>
      <c r="CE20" s="12">
        <v>43797</v>
      </c>
      <c r="CF20" s="29"/>
      <c r="CG20" s="13">
        <v>6.7199999999999996E-2</v>
      </c>
      <c r="CH20" s="29"/>
      <c r="CI20" s="13">
        <v>-2.6599999999999999E-2</v>
      </c>
      <c r="CJ20" s="29"/>
      <c r="CK20" s="9">
        <f t="shared" si="7"/>
        <v>2.5263157894736841</v>
      </c>
      <c r="CM20" s="3" t="s">
        <v>25</v>
      </c>
      <c r="CN20" s="29"/>
      <c r="CO20" s="11">
        <v>40546</v>
      </c>
      <c r="CP20" s="12">
        <v>43797</v>
      </c>
      <c r="CQ20" s="29"/>
      <c r="CR20" s="13">
        <v>6.83E-2</v>
      </c>
      <c r="CS20" s="29"/>
      <c r="CT20" s="13">
        <v>-2.8500000000000001E-2</v>
      </c>
      <c r="CU20" s="29"/>
      <c r="CV20" s="9">
        <f t="shared" si="8"/>
        <v>2.3964912280701753</v>
      </c>
      <c r="CX20" s="3" t="s">
        <v>25</v>
      </c>
      <c r="CY20" s="29"/>
      <c r="CZ20" s="11">
        <v>40546</v>
      </c>
      <c r="DA20" s="12">
        <v>43797</v>
      </c>
      <c r="DB20" s="29"/>
      <c r="DC20" s="13">
        <v>6.13E-2</v>
      </c>
      <c r="DD20" s="29"/>
      <c r="DE20" s="13">
        <v>-5.8200000000000002E-2</v>
      </c>
      <c r="DF20" s="29"/>
      <c r="DG20" s="9">
        <f t="shared" si="9"/>
        <v>1.0532646048109966</v>
      </c>
      <c r="DI20" s="3" t="s">
        <v>25</v>
      </c>
      <c r="DJ20" s="29"/>
      <c r="DK20" s="11">
        <v>40546</v>
      </c>
      <c r="DL20" s="12">
        <v>43797</v>
      </c>
      <c r="DM20" s="29"/>
      <c r="DN20" s="13">
        <v>4.9799999999999997E-2</v>
      </c>
      <c r="DO20" s="29"/>
      <c r="DP20" s="13">
        <v>-0.15160000000000001</v>
      </c>
      <c r="DQ20" s="29"/>
      <c r="DR20" s="9">
        <f t="shared" si="10"/>
        <v>0.32849604221635881</v>
      </c>
    </row>
    <row r="21" spans="3:122" x14ac:dyDescent="0.25">
      <c r="C21" s="3" t="s">
        <v>26</v>
      </c>
      <c r="D21" s="29"/>
      <c r="E21" s="11">
        <v>40549</v>
      </c>
      <c r="F21" s="12">
        <v>44679</v>
      </c>
      <c r="G21" s="29"/>
      <c r="H21" s="13">
        <v>8.2799999999999999E-2</v>
      </c>
      <c r="I21" s="29"/>
      <c r="J21" s="13">
        <v>-2.5000000000000001E-2</v>
      </c>
      <c r="K21" s="29"/>
      <c r="L21" s="9">
        <f t="shared" si="0"/>
        <v>3.3119999999999998</v>
      </c>
      <c r="N21" s="3" t="s">
        <v>26</v>
      </c>
      <c r="O21" s="29"/>
      <c r="P21" s="11">
        <v>40549</v>
      </c>
      <c r="Q21" s="12">
        <v>44679</v>
      </c>
      <c r="R21" s="29"/>
      <c r="S21" s="13">
        <v>8.2900000000000001E-2</v>
      </c>
      <c r="T21" s="29"/>
      <c r="U21" s="13">
        <v>-3.6499999999999998E-2</v>
      </c>
      <c r="V21" s="29"/>
      <c r="W21" s="9">
        <f t="shared" si="1"/>
        <v>2.2712328767123289</v>
      </c>
      <c r="Y21" s="3" t="s">
        <v>26</v>
      </c>
      <c r="Z21" s="29"/>
      <c r="AA21" s="11">
        <v>40549</v>
      </c>
      <c r="AB21" s="12">
        <v>44679</v>
      </c>
      <c r="AC21" s="29"/>
      <c r="AD21" s="13">
        <v>8.3699999999999997E-2</v>
      </c>
      <c r="AE21" s="29"/>
      <c r="AF21" s="13">
        <v>-3.5999999999999997E-2</v>
      </c>
      <c r="AG21" s="29"/>
      <c r="AH21" s="9">
        <f t="shared" si="2"/>
        <v>2.3250000000000002</v>
      </c>
      <c r="AJ21" s="3" t="s">
        <v>26</v>
      </c>
      <c r="AK21" s="29"/>
      <c r="AL21" s="11">
        <v>40549</v>
      </c>
      <c r="AM21" s="12">
        <v>44679</v>
      </c>
      <c r="AN21" s="29"/>
      <c r="AO21" s="13">
        <v>8.43E-2</v>
      </c>
      <c r="AP21" s="29"/>
      <c r="AQ21" s="13">
        <v>-3.5799999999999998E-2</v>
      </c>
      <c r="AR21" s="29"/>
      <c r="AS21" s="9">
        <f t="shared" si="3"/>
        <v>2.3547486033519553</v>
      </c>
      <c r="AU21" s="3" t="s">
        <v>26</v>
      </c>
      <c r="AV21" s="29"/>
      <c r="AW21" s="11">
        <v>40549</v>
      </c>
      <c r="AX21" s="12">
        <v>44679</v>
      </c>
      <c r="AY21" s="29"/>
      <c r="AZ21" s="13">
        <v>8.5599999999999996E-2</v>
      </c>
      <c r="BA21" s="29"/>
      <c r="BB21" s="13">
        <v>-3.5200000000000002E-2</v>
      </c>
      <c r="BC21" s="29"/>
      <c r="BD21" s="9">
        <f t="shared" si="4"/>
        <v>2.4318181818181817</v>
      </c>
      <c r="BF21" s="3" t="s">
        <v>26</v>
      </c>
      <c r="BG21" s="29"/>
      <c r="BH21" s="11">
        <v>40549</v>
      </c>
      <c r="BI21" s="12">
        <v>44679</v>
      </c>
      <c r="BJ21" s="29"/>
      <c r="BK21" s="13">
        <v>8.5400000000000004E-2</v>
      </c>
      <c r="BL21" s="29"/>
      <c r="BM21" s="13">
        <v>-3.5299999999999998E-2</v>
      </c>
      <c r="BN21" s="29"/>
      <c r="BO21" s="9">
        <f t="shared" si="5"/>
        <v>2.4192634560906519</v>
      </c>
      <c r="BQ21" s="3" t="s">
        <v>26</v>
      </c>
      <c r="BR21" s="29"/>
      <c r="BS21" s="11">
        <v>40549</v>
      </c>
      <c r="BT21" s="12">
        <v>44679</v>
      </c>
      <c r="BU21" s="29"/>
      <c r="BV21" s="13">
        <v>8.8099999999999998E-2</v>
      </c>
      <c r="BW21" s="29"/>
      <c r="BX21" s="13">
        <v>-3.4599999999999999E-2</v>
      </c>
      <c r="BY21" s="29"/>
      <c r="BZ21" s="9">
        <f t="shared" si="6"/>
        <v>2.546242774566474</v>
      </c>
      <c r="CB21" s="3" t="s">
        <v>26</v>
      </c>
      <c r="CC21" s="29"/>
      <c r="CD21" s="11">
        <v>40549</v>
      </c>
      <c r="CE21" s="12">
        <v>44679</v>
      </c>
      <c r="CF21" s="29"/>
      <c r="CG21" s="13">
        <v>8.9099999999999999E-2</v>
      </c>
      <c r="CH21" s="29"/>
      <c r="CI21" s="13">
        <v>-3.49E-2</v>
      </c>
      <c r="CJ21" s="29"/>
      <c r="CK21" s="9">
        <f t="shared" si="7"/>
        <v>2.5530085959885387</v>
      </c>
      <c r="CM21" s="3" t="s">
        <v>26</v>
      </c>
      <c r="CN21" s="29"/>
      <c r="CO21" s="11">
        <v>40549</v>
      </c>
      <c r="CP21" s="12">
        <v>44679</v>
      </c>
      <c r="CQ21" s="29"/>
      <c r="CR21" s="13">
        <v>9.11E-2</v>
      </c>
      <c r="CS21" s="29"/>
      <c r="CT21" s="13">
        <v>-3.4700000000000002E-2</v>
      </c>
      <c r="CU21" s="29"/>
      <c r="CV21" s="9">
        <f t="shared" si="8"/>
        <v>2.6253602305475505</v>
      </c>
      <c r="CX21" s="3" t="s">
        <v>26</v>
      </c>
      <c r="CY21" s="29"/>
      <c r="CZ21" s="11">
        <v>40549</v>
      </c>
      <c r="DA21" s="12">
        <v>44679</v>
      </c>
      <c r="DB21" s="29"/>
      <c r="DC21" s="13">
        <v>9.1300000000000006E-2</v>
      </c>
      <c r="DD21" s="29"/>
      <c r="DE21" s="13">
        <v>-3.3599999999999998E-2</v>
      </c>
      <c r="DF21" s="29"/>
      <c r="DG21" s="9">
        <f t="shared" si="9"/>
        <v>2.7172619047619051</v>
      </c>
      <c r="DI21" s="3" t="s">
        <v>26</v>
      </c>
      <c r="DJ21" s="29"/>
      <c r="DK21" s="11">
        <v>40549</v>
      </c>
      <c r="DL21" s="12">
        <v>44679</v>
      </c>
      <c r="DM21" s="29"/>
      <c r="DN21" s="13">
        <v>8.7900000000000006E-2</v>
      </c>
      <c r="DO21" s="29"/>
      <c r="DP21" s="13">
        <v>-5.6300000000000003E-2</v>
      </c>
      <c r="DQ21" s="29"/>
      <c r="DR21" s="9">
        <f t="shared" si="10"/>
        <v>1.5612788632326822</v>
      </c>
    </row>
    <row r="22" spans="3:122" x14ac:dyDescent="0.25">
      <c r="C22" s="3" t="s">
        <v>27</v>
      </c>
      <c r="D22" s="29"/>
      <c r="E22" s="11">
        <v>40546</v>
      </c>
      <c r="F22" s="12">
        <v>43734</v>
      </c>
      <c r="G22" s="29"/>
      <c r="H22" s="13">
        <v>6.2100000000000002E-2</v>
      </c>
      <c r="I22" s="29"/>
      <c r="J22" s="13">
        <v>-2.01E-2</v>
      </c>
      <c r="K22" s="29"/>
      <c r="L22" s="9">
        <f t="shared" si="0"/>
        <v>3.0895522388059704</v>
      </c>
      <c r="N22" s="3" t="s">
        <v>27</v>
      </c>
      <c r="O22" s="29"/>
      <c r="P22" s="11">
        <v>40546</v>
      </c>
      <c r="Q22" s="12">
        <v>43734</v>
      </c>
      <c r="R22" s="29"/>
      <c r="S22" s="13">
        <v>6.3299999999999995E-2</v>
      </c>
      <c r="T22" s="29"/>
      <c r="U22" s="13">
        <v>-1.9900000000000001E-2</v>
      </c>
      <c r="V22" s="29"/>
      <c r="W22" s="9">
        <f t="shared" si="1"/>
        <v>3.1809045226130648</v>
      </c>
      <c r="Y22" s="3" t="s">
        <v>27</v>
      </c>
      <c r="Z22" s="29"/>
      <c r="AA22" s="11">
        <v>40546</v>
      </c>
      <c r="AB22" s="12">
        <v>43734</v>
      </c>
      <c r="AC22" s="29"/>
      <c r="AD22" s="13">
        <v>6.3799999999999996E-2</v>
      </c>
      <c r="AE22" s="29"/>
      <c r="AF22" s="13">
        <v>-2.52E-2</v>
      </c>
      <c r="AG22" s="29"/>
      <c r="AH22" s="9">
        <f t="shared" si="2"/>
        <v>2.5317460317460316</v>
      </c>
      <c r="AJ22" s="3" t="s">
        <v>27</v>
      </c>
      <c r="AK22" s="29"/>
      <c r="AL22" s="11">
        <v>40546</v>
      </c>
      <c r="AM22" s="12">
        <v>43734</v>
      </c>
      <c r="AN22" s="29"/>
      <c r="AO22" s="13">
        <v>6.4600000000000005E-2</v>
      </c>
      <c r="AP22" s="29"/>
      <c r="AQ22" s="13">
        <v>-2.5000000000000001E-2</v>
      </c>
      <c r="AR22" s="29"/>
      <c r="AS22" s="9">
        <f t="shared" si="3"/>
        <v>2.5840000000000001</v>
      </c>
      <c r="AU22" s="3" t="s">
        <v>27</v>
      </c>
      <c r="AV22" s="29"/>
      <c r="AW22" s="11">
        <v>40546</v>
      </c>
      <c r="AX22" s="12">
        <v>43734</v>
      </c>
      <c r="AY22" s="29"/>
      <c r="AZ22" s="13">
        <v>6.5699999999999995E-2</v>
      </c>
      <c r="BA22" s="29"/>
      <c r="BB22" s="13">
        <v>-2.5100000000000001E-2</v>
      </c>
      <c r="BC22" s="29"/>
      <c r="BD22" s="9">
        <f t="shared" si="4"/>
        <v>2.6175298804780875</v>
      </c>
      <c r="BF22" s="3" t="s">
        <v>27</v>
      </c>
      <c r="BG22" s="29"/>
      <c r="BH22" s="11">
        <v>40546</v>
      </c>
      <c r="BI22" s="12">
        <v>43734</v>
      </c>
      <c r="BJ22" s="29"/>
      <c r="BK22" s="13">
        <v>6.7900000000000002E-2</v>
      </c>
      <c r="BL22" s="29"/>
      <c r="BM22" s="13">
        <v>-4.8500000000000001E-2</v>
      </c>
      <c r="BN22" s="29"/>
      <c r="BO22" s="9">
        <f t="shared" si="5"/>
        <v>1.4</v>
      </c>
      <c r="BQ22" s="3" t="s">
        <v>27</v>
      </c>
      <c r="BR22" s="29"/>
      <c r="BS22" s="11">
        <v>40546</v>
      </c>
      <c r="BT22" s="12">
        <v>43734</v>
      </c>
      <c r="BU22" s="29"/>
      <c r="BV22" s="13">
        <v>6.8500000000000005E-2</v>
      </c>
      <c r="BW22" s="29"/>
      <c r="BX22" s="13">
        <v>-4.6800000000000001E-2</v>
      </c>
      <c r="BY22" s="29"/>
      <c r="BZ22" s="9">
        <f t="shared" si="6"/>
        <v>1.4636752136752138</v>
      </c>
      <c r="CB22" s="3" t="s">
        <v>27</v>
      </c>
      <c r="CC22" s="29"/>
      <c r="CD22" s="11">
        <v>40546</v>
      </c>
      <c r="CE22" s="12">
        <v>43734</v>
      </c>
      <c r="CF22" s="29"/>
      <c r="CG22" s="13">
        <v>6.6199999999999995E-2</v>
      </c>
      <c r="CH22" s="29"/>
      <c r="CI22" s="13">
        <v>-4.58E-2</v>
      </c>
      <c r="CJ22" s="29"/>
      <c r="CK22" s="9">
        <f t="shared" si="7"/>
        <v>1.445414847161572</v>
      </c>
      <c r="CM22" s="3" t="s">
        <v>27</v>
      </c>
      <c r="CN22" s="29"/>
      <c r="CO22" s="11">
        <v>40546</v>
      </c>
      <c r="CP22" s="12">
        <v>43734</v>
      </c>
      <c r="CQ22" s="29"/>
      <c r="CR22" s="13">
        <v>7.2999999999999995E-2</v>
      </c>
      <c r="CS22" s="29"/>
      <c r="CT22" s="13">
        <v>-4.4200000000000003E-2</v>
      </c>
      <c r="CU22" s="29"/>
      <c r="CV22" s="9">
        <f t="shared" si="8"/>
        <v>1.6515837104072395</v>
      </c>
      <c r="CX22" s="3" t="s">
        <v>27</v>
      </c>
      <c r="CY22" s="29"/>
      <c r="CZ22" s="11">
        <v>40546</v>
      </c>
      <c r="DA22" s="12">
        <v>43734</v>
      </c>
      <c r="DB22" s="29"/>
      <c r="DC22" s="13">
        <v>6.3600000000000004E-2</v>
      </c>
      <c r="DD22" s="29"/>
      <c r="DE22" s="13">
        <v>-5.79E-2</v>
      </c>
      <c r="DF22" s="29"/>
      <c r="DG22" s="9">
        <f t="shared" si="9"/>
        <v>1.0984455958549224</v>
      </c>
      <c r="DI22" s="3" t="s">
        <v>27</v>
      </c>
      <c r="DJ22" s="29"/>
      <c r="DK22" s="11">
        <v>40546</v>
      </c>
      <c r="DL22" s="12">
        <v>43734</v>
      </c>
      <c r="DM22" s="29"/>
      <c r="DN22" s="13">
        <v>6.1100000000000002E-2</v>
      </c>
      <c r="DO22" s="29"/>
      <c r="DP22" s="13">
        <v>-5.91E-2</v>
      </c>
      <c r="DQ22" s="29"/>
      <c r="DR22" s="9">
        <f t="shared" si="10"/>
        <v>1.0338409475465313</v>
      </c>
    </row>
    <row r="23" spans="3:122" x14ac:dyDescent="0.25">
      <c r="C23" s="3" t="s">
        <v>28</v>
      </c>
      <c r="D23" s="29"/>
      <c r="E23" s="11">
        <v>42881</v>
      </c>
      <c r="F23" s="12">
        <v>44679</v>
      </c>
      <c r="G23" s="29"/>
      <c r="H23" s="13">
        <v>6.0600000000000001E-2</v>
      </c>
      <c r="I23" s="30"/>
      <c r="J23" s="13">
        <v>-4.7500000000000001E-2</v>
      </c>
      <c r="K23" s="29"/>
      <c r="L23" s="9">
        <f t="shared" si="0"/>
        <v>1.2757894736842106</v>
      </c>
      <c r="N23" s="3" t="s">
        <v>28</v>
      </c>
      <c r="O23" s="29"/>
      <c r="P23" s="11">
        <v>42881</v>
      </c>
      <c r="Q23" s="12">
        <v>44679</v>
      </c>
      <c r="R23" s="29"/>
      <c r="S23" s="13">
        <v>5.8000000000000003E-2</v>
      </c>
      <c r="T23" s="30"/>
      <c r="U23" s="13">
        <v>-4.7600000000000003E-2</v>
      </c>
      <c r="V23" s="29"/>
      <c r="W23" s="9">
        <f t="shared" si="1"/>
        <v>1.2184873949579831</v>
      </c>
      <c r="Y23" s="3" t="s">
        <v>28</v>
      </c>
      <c r="Z23" s="29"/>
      <c r="AA23" s="11">
        <v>42881</v>
      </c>
      <c r="AB23" s="12">
        <v>44679</v>
      </c>
      <c r="AC23" s="29"/>
      <c r="AD23" s="13">
        <v>5.21E-2</v>
      </c>
      <c r="AE23" s="30"/>
      <c r="AF23" s="13">
        <v>-6.1199999999999997E-2</v>
      </c>
      <c r="AG23" s="29"/>
      <c r="AH23" s="9">
        <f t="shared" si="2"/>
        <v>0.85130718954248374</v>
      </c>
      <c r="AJ23" s="3" t="s">
        <v>28</v>
      </c>
      <c r="AK23" s="29"/>
      <c r="AL23" s="11">
        <v>42881</v>
      </c>
      <c r="AM23" s="12">
        <v>44679</v>
      </c>
      <c r="AN23" s="29"/>
      <c r="AO23" s="13">
        <v>5.3999999999999999E-2</v>
      </c>
      <c r="AP23" s="30"/>
      <c r="AQ23" s="13">
        <v>-6.13E-2</v>
      </c>
      <c r="AR23" s="29"/>
      <c r="AS23" s="9">
        <f t="shared" si="3"/>
        <v>0.88091353996737354</v>
      </c>
      <c r="AU23" s="3" t="s">
        <v>28</v>
      </c>
      <c r="AV23" s="29"/>
      <c r="AW23" s="11">
        <v>42881</v>
      </c>
      <c r="AX23" s="12">
        <v>44679</v>
      </c>
      <c r="AY23" s="29"/>
      <c r="AZ23" s="13">
        <v>5.7500000000000002E-2</v>
      </c>
      <c r="BA23" s="30"/>
      <c r="BB23" s="13">
        <v>-5.1200000000000002E-2</v>
      </c>
      <c r="BC23" s="29"/>
      <c r="BD23" s="9">
        <f t="shared" si="4"/>
        <v>1.123046875</v>
      </c>
      <c r="BF23" s="3" t="s">
        <v>28</v>
      </c>
      <c r="BG23" s="29"/>
      <c r="BH23" s="11">
        <v>42881</v>
      </c>
      <c r="BI23" s="12">
        <v>44679</v>
      </c>
      <c r="BJ23" s="29"/>
      <c r="BK23" s="13">
        <v>5.6800000000000003E-2</v>
      </c>
      <c r="BL23" s="30"/>
      <c r="BM23" s="13">
        <v>-5.2299999999999999E-2</v>
      </c>
      <c r="BN23" s="29"/>
      <c r="BO23" s="9">
        <f t="shared" si="5"/>
        <v>1.0860420650095604</v>
      </c>
      <c r="BQ23" s="3" t="s">
        <v>28</v>
      </c>
      <c r="BR23" s="29"/>
      <c r="BS23" s="11">
        <v>42881</v>
      </c>
      <c r="BT23" s="12">
        <v>44679</v>
      </c>
      <c r="BU23" s="29"/>
      <c r="BV23" s="13">
        <v>6.2899999999999998E-2</v>
      </c>
      <c r="BW23" s="30"/>
      <c r="BX23" s="13">
        <v>-4.3700000000000003E-2</v>
      </c>
      <c r="BY23" s="29"/>
      <c r="BZ23" s="9">
        <f t="shared" si="6"/>
        <v>1.4393592677345537</v>
      </c>
      <c r="CB23" s="3" t="s">
        <v>28</v>
      </c>
      <c r="CC23" s="29"/>
      <c r="CD23" s="11">
        <v>42881</v>
      </c>
      <c r="CE23" s="12">
        <v>44679</v>
      </c>
      <c r="CF23" s="29"/>
      <c r="CG23" s="13">
        <v>6.54E-2</v>
      </c>
      <c r="CH23" s="30"/>
      <c r="CI23" s="13">
        <v>-4.2700000000000002E-2</v>
      </c>
      <c r="CJ23" s="29"/>
      <c r="CK23" s="9">
        <f t="shared" si="7"/>
        <v>1.5316159250585479</v>
      </c>
      <c r="CM23" s="3" t="s">
        <v>28</v>
      </c>
      <c r="CN23" s="29"/>
      <c r="CO23" s="11">
        <v>42881</v>
      </c>
      <c r="CP23" s="12">
        <v>44679</v>
      </c>
      <c r="CQ23" s="29"/>
      <c r="CR23" s="13">
        <v>6.4600000000000005E-2</v>
      </c>
      <c r="CS23" s="30"/>
      <c r="CT23" s="13">
        <v>-4.2900000000000001E-2</v>
      </c>
      <c r="CU23" s="29"/>
      <c r="CV23" s="9">
        <f t="shared" si="8"/>
        <v>1.5058275058275059</v>
      </c>
      <c r="CX23" s="3" t="s">
        <v>28</v>
      </c>
      <c r="CY23" s="29"/>
      <c r="CZ23" s="11">
        <v>42881</v>
      </c>
      <c r="DA23" s="12">
        <v>44679</v>
      </c>
      <c r="DB23" s="29"/>
      <c r="DC23" s="13">
        <v>6.6699999999999995E-2</v>
      </c>
      <c r="DD23" s="30"/>
      <c r="DE23" s="13">
        <v>-4.0300000000000002E-2</v>
      </c>
      <c r="DF23" s="29"/>
      <c r="DG23" s="9">
        <f t="shared" si="9"/>
        <v>1.6550868486352355</v>
      </c>
      <c r="DI23" s="3" t="s">
        <v>28</v>
      </c>
      <c r="DJ23" s="29"/>
      <c r="DK23" s="11">
        <v>42881</v>
      </c>
      <c r="DL23" s="12">
        <v>44679</v>
      </c>
      <c r="DM23" s="29"/>
      <c r="DN23" s="13">
        <v>5.8200000000000002E-2</v>
      </c>
      <c r="DO23" s="30"/>
      <c r="DP23" s="13">
        <v>-5.96E-2</v>
      </c>
      <c r="DQ23" s="29"/>
      <c r="DR23" s="9">
        <f t="shared" si="10"/>
        <v>0.97651006711409394</v>
      </c>
    </row>
    <row r="24" spans="3:122" x14ac:dyDescent="0.25">
      <c r="C24" s="3" t="s">
        <v>29</v>
      </c>
      <c r="D24" s="29"/>
      <c r="E24" s="11">
        <v>40619</v>
      </c>
      <c r="F24" s="12">
        <v>43825</v>
      </c>
      <c r="G24" s="29"/>
      <c r="H24" s="13">
        <v>5.4300000000000001E-2</v>
      </c>
      <c r="I24" s="29"/>
      <c r="J24" s="13">
        <v>-2.1600000000000001E-2</v>
      </c>
      <c r="K24" s="29"/>
      <c r="L24" s="9">
        <f t="shared" si="0"/>
        <v>2.5138888888888888</v>
      </c>
      <c r="N24" s="3" t="s">
        <v>29</v>
      </c>
      <c r="O24" s="29"/>
      <c r="P24" s="11">
        <v>40619</v>
      </c>
      <c r="Q24" s="12">
        <v>43825</v>
      </c>
      <c r="R24" s="29"/>
      <c r="S24" s="13">
        <v>5.4199999999999998E-2</v>
      </c>
      <c r="T24" s="29"/>
      <c r="U24" s="13">
        <v>-2.8500000000000001E-2</v>
      </c>
      <c r="V24" s="29"/>
      <c r="W24" s="9">
        <f t="shared" si="1"/>
        <v>1.9017543859649122</v>
      </c>
      <c r="Y24" s="3" t="s">
        <v>29</v>
      </c>
      <c r="Z24" s="29"/>
      <c r="AA24" s="11">
        <v>40612</v>
      </c>
      <c r="AB24" s="12">
        <v>43825</v>
      </c>
      <c r="AC24" s="29"/>
      <c r="AD24" s="13">
        <v>5.62E-2</v>
      </c>
      <c r="AE24" s="29"/>
      <c r="AF24" s="13">
        <v>-2.7199999999999998E-2</v>
      </c>
      <c r="AG24" s="29"/>
      <c r="AH24" s="9">
        <f t="shared" si="2"/>
        <v>2.0661764705882355</v>
      </c>
      <c r="AJ24" s="3" t="s">
        <v>29</v>
      </c>
      <c r="AK24" s="29"/>
      <c r="AL24" s="11">
        <v>40612</v>
      </c>
      <c r="AM24" s="12">
        <v>43825</v>
      </c>
      <c r="AN24" s="29"/>
      <c r="AO24" s="13">
        <v>5.8599999999999999E-2</v>
      </c>
      <c r="AP24" s="29"/>
      <c r="AQ24" s="13">
        <v>-2.6800000000000001E-2</v>
      </c>
      <c r="AR24" s="29"/>
      <c r="AS24" s="9">
        <f t="shared" si="3"/>
        <v>2.1865671641791042</v>
      </c>
      <c r="AU24" s="3" t="s">
        <v>29</v>
      </c>
      <c r="AV24" s="29"/>
      <c r="AW24" s="11">
        <v>40612</v>
      </c>
      <c r="AX24" s="12">
        <v>43825</v>
      </c>
      <c r="AY24" s="29"/>
      <c r="AZ24" s="13">
        <v>5.96E-2</v>
      </c>
      <c r="BA24" s="29"/>
      <c r="BB24" s="13">
        <v>-2.64E-2</v>
      </c>
      <c r="BC24" s="29"/>
      <c r="BD24" s="9">
        <f t="shared" si="4"/>
        <v>2.2575757575757578</v>
      </c>
      <c r="BF24" s="3" t="s">
        <v>29</v>
      </c>
      <c r="BG24" s="29"/>
      <c r="BH24" s="11">
        <v>40612</v>
      </c>
      <c r="BI24" s="12">
        <v>43825</v>
      </c>
      <c r="BJ24" s="29"/>
      <c r="BK24" s="13">
        <v>5.7599999999999998E-2</v>
      </c>
      <c r="BL24" s="29"/>
      <c r="BM24" s="13">
        <v>-2.9100000000000001E-2</v>
      </c>
      <c r="BN24" s="29"/>
      <c r="BO24" s="9">
        <f t="shared" si="5"/>
        <v>1.9793814432989689</v>
      </c>
      <c r="BQ24" s="3" t="s">
        <v>29</v>
      </c>
      <c r="BR24" s="29"/>
      <c r="BS24" s="11">
        <v>40612</v>
      </c>
      <c r="BT24" s="12">
        <v>43825</v>
      </c>
      <c r="BU24" s="29"/>
      <c r="BV24" s="13">
        <v>5.8500000000000003E-2</v>
      </c>
      <c r="BW24" s="29"/>
      <c r="BX24" s="13">
        <v>-2.8799999999999999E-2</v>
      </c>
      <c r="BY24" s="29"/>
      <c r="BZ24" s="9">
        <f t="shared" si="6"/>
        <v>2.03125</v>
      </c>
      <c r="CB24" s="3" t="s">
        <v>29</v>
      </c>
      <c r="CC24" s="29"/>
      <c r="CD24" s="11">
        <v>40612</v>
      </c>
      <c r="CE24" s="12">
        <v>43825</v>
      </c>
      <c r="CF24" s="29"/>
      <c r="CG24" s="13">
        <v>5.9900000000000002E-2</v>
      </c>
      <c r="CH24" s="29"/>
      <c r="CI24" s="13">
        <v>-3.6299999999999999E-2</v>
      </c>
      <c r="CJ24" s="29"/>
      <c r="CK24" s="9">
        <f t="shared" si="7"/>
        <v>1.6501377410468321</v>
      </c>
      <c r="CM24" s="3" t="s">
        <v>29</v>
      </c>
      <c r="CN24" s="29"/>
      <c r="CO24" s="11">
        <v>40612</v>
      </c>
      <c r="CP24" s="12">
        <v>43825</v>
      </c>
      <c r="CQ24" s="29"/>
      <c r="CR24" s="13">
        <v>6.4100000000000004E-2</v>
      </c>
      <c r="CS24" s="29"/>
      <c r="CT24" s="13">
        <v>-3.5999999999999997E-2</v>
      </c>
      <c r="CU24" s="29"/>
      <c r="CV24" s="9">
        <f t="shared" si="8"/>
        <v>1.7805555555555559</v>
      </c>
      <c r="CX24" s="3" t="s">
        <v>29</v>
      </c>
      <c r="CY24" s="29"/>
      <c r="CZ24" s="11">
        <v>40612</v>
      </c>
      <c r="DA24" s="12">
        <v>43825</v>
      </c>
      <c r="DB24" s="29"/>
      <c r="DC24" s="13">
        <v>6.1800000000000001E-2</v>
      </c>
      <c r="DD24" s="29"/>
      <c r="DE24" s="13">
        <v>-4.4400000000000002E-2</v>
      </c>
      <c r="DF24" s="29"/>
      <c r="DG24" s="9">
        <f t="shared" si="9"/>
        <v>1.3918918918918919</v>
      </c>
      <c r="DI24" s="3" t="s">
        <v>29</v>
      </c>
      <c r="DJ24" s="29"/>
      <c r="DK24" s="11">
        <v>40612</v>
      </c>
      <c r="DL24" s="12">
        <v>43825</v>
      </c>
      <c r="DM24" s="29"/>
      <c r="DN24" s="13">
        <v>4.41E-2</v>
      </c>
      <c r="DO24" s="29"/>
      <c r="DP24" s="13">
        <v>-0.1845</v>
      </c>
      <c r="DQ24" s="29"/>
      <c r="DR24" s="9">
        <f t="shared" si="10"/>
        <v>0.23902439024390246</v>
      </c>
    </row>
    <row r="25" spans="3:122" ht="15.75" thickBot="1" x14ac:dyDescent="0.3">
      <c r="C25" s="4" t="s">
        <v>30</v>
      </c>
      <c r="D25" s="31"/>
      <c r="E25" s="14">
        <v>40546</v>
      </c>
      <c r="F25" s="15">
        <v>43978</v>
      </c>
      <c r="G25" s="31"/>
      <c r="H25" s="16">
        <v>6.3899999999999998E-2</v>
      </c>
      <c r="I25" s="31"/>
      <c r="J25" s="16">
        <v>-2.81E-2</v>
      </c>
      <c r="K25" s="31"/>
      <c r="L25" s="10">
        <f t="shared" si="0"/>
        <v>2.2740213523131674</v>
      </c>
      <c r="N25" s="4" t="s">
        <v>30</v>
      </c>
      <c r="O25" s="31"/>
      <c r="P25" s="14">
        <v>40546</v>
      </c>
      <c r="Q25" s="15">
        <v>43978</v>
      </c>
      <c r="R25" s="31"/>
      <c r="S25" s="16">
        <v>6.6299999999999998E-2</v>
      </c>
      <c r="T25" s="31"/>
      <c r="U25" s="16">
        <v>-2.7699999999999999E-2</v>
      </c>
      <c r="V25" s="31"/>
      <c r="W25" s="10">
        <f t="shared" si="1"/>
        <v>2.3935018050541514</v>
      </c>
      <c r="Y25" s="4" t="s">
        <v>30</v>
      </c>
      <c r="Z25" s="31"/>
      <c r="AA25" s="14">
        <v>40546</v>
      </c>
      <c r="AB25" s="15">
        <v>43978</v>
      </c>
      <c r="AC25" s="31"/>
      <c r="AD25" s="16">
        <v>6.83E-2</v>
      </c>
      <c r="AE25" s="31"/>
      <c r="AF25" s="16">
        <v>-2.7199999999999998E-2</v>
      </c>
      <c r="AG25" s="31"/>
      <c r="AH25" s="10">
        <f t="shared" si="2"/>
        <v>2.5110294117647061</v>
      </c>
      <c r="AJ25" s="4" t="s">
        <v>30</v>
      </c>
      <c r="AK25" s="31"/>
      <c r="AL25" s="14">
        <v>40546</v>
      </c>
      <c r="AM25" s="15">
        <v>43979</v>
      </c>
      <c r="AN25" s="31"/>
      <c r="AO25" s="16">
        <v>7.1900000000000006E-2</v>
      </c>
      <c r="AP25" s="31"/>
      <c r="AQ25" s="16">
        <v>-3.15E-2</v>
      </c>
      <c r="AR25" s="31"/>
      <c r="AS25" s="10">
        <f t="shared" si="3"/>
        <v>2.2825396825396829</v>
      </c>
      <c r="AU25" s="4" t="s">
        <v>30</v>
      </c>
      <c r="AV25" s="31"/>
      <c r="AW25" s="14">
        <v>40546</v>
      </c>
      <c r="AX25" s="15">
        <v>43979</v>
      </c>
      <c r="AY25" s="31"/>
      <c r="AZ25" s="16">
        <v>7.2400000000000006E-2</v>
      </c>
      <c r="BA25" s="31"/>
      <c r="BB25" s="16">
        <v>-3.1E-2</v>
      </c>
      <c r="BC25" s="31"/>
      <c r="BD25" s="10">
        <f t="shared" si="4"/>
        <v>2.3354838709677423</v>
      </c>
      <c r="BF25" s="4" t="s">
        <v>30</v>
      </c>
      <c r="BG25" s="31"/>
      <c r="BH25" s="14">
        <v>40546</v>
      </c>
      <c r="BI25" s="15">
        <v>43979</v>
      </c>
      <c r="BJ25" s="31"/>
      <c r="BK25" s="16">
        <v>7.3400000000000007E-2</v>
      </c>
      <c r="BL25" s="31"/>
      <c r="BM25" s="16">
        <v>-3.85E-2</v>
      </c>
      <c r="BN25" s="31"/>
      <c r="BO25" s="10">
        <f t="shared" si="5"/>
        <v>1.9064935064935067</v>
      </c>
      <c r="BQ25" s="4" t="s">
        <v>30</v>
      </c>
      <c r="BR25" s="31"/>
      <c r="BS25" s="14">
        <v>40546</v>
      </c>
      <c r="BT25" s="15">
        <v>43979</v>
      </c>
      <c r="BU25" s="31"/>
      <c r="BV25" s="16">
        <v>7.6300000000000007E-2</v>
      </c>
      <c r="BW25" s="31"/>
      <c r="BX25" s="16">
        <v>-3.7499999999999999E-2</v>
      </c>
      <c r="BY25" s="31"/>
      <c r="BZ25" s="10">
        <f t="shared" si="6"/>
        <v>2.0346666666666668</v>
      </c>
      <c r="CB25" s="4" t="s">
        <v>30</v>
      </c>
      <c r="CC25" s="31"/>
      <c r="CD25" s="14">
        <v>40546</v>
      </c>
      <c r="CE25" s="15">
        <v>43979</v>
      </c>
      <c r="CF25" s="31"/>
      <c r="CG25" s="16">
        <v>7.8600000000000003E-2</v>
      </c>
      <c r="CH25" s="31"/>
      <c r="CI25" s="16">
        <v>-3.5900000000000001E-2</v>
      </c>
      <c r="CJ25" s="31"/>
      <c r="CK25" s="10">
        <f t="shared" si="7"/>
        <v>2.1894150417827296</v>
      </c>
      <c r="CM25" s="4" t="s">
        <v>30</v>
      </c>
      <c r="CN25" s="31"/>
      <c r="CO25" s="14">
        <v>40546</v>
      </c>
      <c r="CP25" s="15">
        <v>43979</v>
      </c>
      <c r="CQ25" s="31"/>
      <c r="CR25" s="16">
        <v>7.9200000000000007E-2</v>
      </c>
      <c r="CS25" s="31"/>
      <c r="CT25" s="16">
        <v>-3.5700000000000003E-2</v>
      </c>
      <c r="CU25" s="31"/>
      <c r="CV25" s="10">
        <f t="shared" si="8"/>
        <v>2.2184873949579833</v>
      </c>
      <c r="CX25" s="4" t="s">
        <v>30</v>
      </c>
      <c r="CY25" s="31"/>
      <c r="CZ25" s="14">
        <v>40546</v>
      </c>
      <c r="DA25" s="15">
        <v>43979</v>
      </c>
      <c r="DB25" s="31"/>
      <c r="DC25" s="16">
        <v>7.9699999999999993E-2</v>
      </c>
      <c r="DD25" s="31"/>
      <c r="DE25" s="16">
        <v>-3.5299999999999998E-2</v>
      </c>
      <c r="DF25" s="31"/>
      <c r="DG25" s="10">
        <f t="shared" si="9"/>
        <v>2.2577903682719547</v>
      </c>
      <c r="DI25" s="4" t="s">
        <v>30</v>
      </c>
      <c r="DJ25" s="31"/>
      <c r="DK25" s="14">
        <v>40546</v>
      </c>
      <c r="DL25" s="15">
        <v>43979</v>
      </c>
      <c r="DM25" s="31"/>
      <c r="DN25" s="16">
        <v>6.6799999999999998E-2</v>
      </c>
      <c r="DO25" s="31"/>
      <c r="DP25" s="16">
        <v>-0.15359999999999999</v>
      </c>
      <c r="DQ25" s="31"/>
      <c r="DR25" s="10">
        <f t="shared" si="10"/>
        <v>0.43489583333333337</v>
      </c>
    </row>
    <row r="26" spans="3:122" ht="15.75" thickBot="1" x14ac:dyDescent="0.3"/>
    <row r="27" spans="3:122" ht="15.75" thickBot="1" x14ac:dyDescent="0.3">
      <c r="C27" s="32" t="s">
        <v>42</v>
      </c>
      <c r="D27" s="33"/>
      <c r="E27" s="33"/>
      <c r="F27" s="33"/>
      <c r="G27" s="33"/>
      <c r="H27" s="34">
        <f>AVERAGE(H8:H25)</f>
        <v>6.087222222222223E-2</v>
      </c>
      <c r="I27" s="33"/>
      <c r="J27" s="34">
        <f>AVERAGE(J8:J25)</f>
        <v>-3.4627777777777778E-2</v>
      </c>
      <c r="K27" s="33"/>
      <c r="L27" s="35">
        <f>AVERAGE(L8:L25)</f>
        <v>2.3014921558349917</v>
      </c>
      <c r="N27" s="32" t="s">
        <v>42</v>
      </c>
      <c r="O27" s="33"/>
      <c r="P27" s="33"/>
      <c r="Q27" s="33"/>
      <c r="R27" s="33"/>
      <c r="S27" s="34">
        <f>AVERAGE(S8:S25)</f>
        <v>6.2288888888888901E-2</v>
      </c>
      <c r="T27" s="33"/>
      <c r="U27" s="34">
        <f>AVERAGE(U8:U25)</f>
        <v>-3.5872222222222222E-2</v>
      </c>
      <c r="V27" s="33"/>
      <c r="W27" s="35">
        <f>AVERAGE(W8:W25)</f>
        <v>2.3335834347231064</v>
      </c>
      <c r="Y27" s="32" t="s">
        <v>42</v>
      </c>
      <c r="Z27" s="33"/>
      <c r="AA27" s="33"/>
      <c r="AB27" s="33"/>
      <c r="AC27" s="33"/>
      <c r="AD27" s="34">
        <f>AVERAGE(AD8:AD25)</f>
        <v>6.3611111111111104E-2</v>
      </c>
      <c r="AE27" s="33"/>
      <c r="AF27" s="34">
        <f>AVERAGE(AF8:AF25)</f>
        <v>-3.7811111111111115E-2</v>
      </c>
      <c r="AG27" s="33"/>
      <c r="AH27" s="35">
        <f>AVERAGE(AH8:AH25)</f>
        <v>2.3117924063718518</v>
      </c>
      <c r="AJ27" s="32" t="s">
        <v>42</v>
      </c>
      <c r="AK27" s="33"/>
      <c r="AL27" s="33"/>
      <c r="AM27" s="33"/>
      <c r="AN27" s="33"/>
      <c r="AO27" s="34">
        <f>AVERAGE(AO8:AO25)</f>
        <v>6.5294444444444447E-2</v>
      </c>
      <c r="AP27" s="33"/>
      <c r="AQ27" s="34">
        <f>AVERAGE(AQ8:AQ25)</f>
        <v>-3.5922222222222223E-2</v>
      </c>
      <c r="AR27" s="33"/>
      <c r="AS27" s="35">
        <f>AVERAGE(AS8:AS25)</f>
        <v>2.4006292998156744</v>
      </c>
      <c r="AU27" s="32" t="s">
        <v>42</v>
      </c>
      <c r="AV27" s="33"/>
      <c r="AW27" s="33"/>
      <c r="AX27" s="33"/>
      <c r="AY27" s="33"/>
      <c r="AZ27" s="34">
        <f>AVERAGE(AZ8:AZ25)</f>
        <v>6.745555555555556E-2</v>
      </c>
      <c r="BA27" s="33"/>
      <c r="BB27" s="34">
        <f>AVERAGE(BB8:BB25)</f>
        <v>-3.4733333333333338E-2</v>
      </c>
      <c r="BC27" s="33"/>
      <c r="BD27" s="35">
        <f>AVERAGE(BD8:BD25)</f>
        <v>2.5175321108767323</v>
      </c>
      <c r="BF27" s="32" t="s">
        <v>42</v>
      </c>
      <c r="BG27" s="33"/>
      <c r="BH27" s="33"/>
      <c r="BI27" s="33"/>
      <c r="BJ27" s="33"/>
      <c r="BK27" s="34">
        <f>AVERAGE(BK8:BK25)</f>
        <v>6.8372222222222223E-2</v>
      </c>
      <c r="BL27" s="33"/>
      <c r="BM27" s="34">
        <f>AVERAGE(BM8:BM25)</f>
        <v>-3.6466666666666668E-2</v>
      </c>
      <c r="BN27" s="33"/>
      <c r="BO27" s="35">
        <f>AVERAGE(BO8:BO25)</f>
        <v>2.5203870788764373</v>
      </c>
      <c r="BQ27" s="32" t="s">
        <v>42</v>
      </c>
      <c r="BR27" s="33"/>
      <c r="BS27" s="33"/>
      <c r="BT27" s="33"/>
      <c r="BU27" s="33"/>
      <c r="BV27" s="34">
        <f>AVERAGE(BV8:BV25)</f>
        <v>7.0061111111111102E-2</v>
      </c>
      <c r="BW27" s="33"/>
      <c r="BX27" s="34">
        <f>AVERAGE(BX8:BX25)</f>
        <v>-3.5922222222222217E-2</v>
      </c>
      <c r="BY27" s="33"/>
      <c r="BZ27" s="35">
        <f>AVERAGE(BZ8:BZ25)</f>
        <v>2.3989288727554361</v>
      </c>
      <c r="CB27" s="32" t="s">
        <v>42</v>
      </c>
      <c r="CC27" s="33"/>
      <c r="CD27" s="33"/>
      <c r="CE27" s="33"/>
      <c r="CF27" s="33"/>
      <c r="CG27" s="34">
        <f>AVERAGE(CG8:CG25)</f>
        <v>7.0533333333333337E-2</v>
      </c>
      <c r="CH27" s="33"/>
      <c r="CI27" s="34">
        <f>AVERAGE(CI8:CI25)</f>
        <v>-3.6766666666666663E-2</v>
      </c>
      <c r="CJ27" s="33"/>
      <c r="CK27" s="35">
        <f>AVERAGE(CK8:CK25)</f>
        <v>2.2859762371929793</v>
      </c>
      <c r="CM27" s="32" t="s">
        <v>42</v>
      </c>
      <c r="CN27" s="33"/>
      <c r="CO27" s="33"/>
      <c r="CP27" s="33"/>
      <c r="CQ27" s="33"/>
      <c r="CR27" s="34">
        <f>AVERAGE(CR8:CR25)</f>
        <v>7.1344444444444446E-2</v>
      </c>
      <c r="CS27" s="33"/>
      <c r="CT27" s="34">
        <f>AVERAGE(CT8:CT25)</f>
        <v>-3.8100000000000002E-2</v>
      </c>
      <c r="CU27" s="33"/>
      <c r="CV27" s="35">
        <f>AVERAGE(CV8:CV25)</f>
        <v>2.1657429003038464</v>
      </c>
      <c r="CX27" s="32" t="s">
        <v>42</v>
      </c>
      <c r="CY27" s="33"/>
      <c r="CZ27" s="33"/>
      <c r="DA27" s="33"/>
      <c r="DB27" s="33"/>
      <c r="DC27" s="34">
        <f>AVERAGE(DC8:DC25)</f>
        <v>7.0972222222222242E-2</v>
      </c>
      <c r="DD27" s="33"/>
      <c r="DE27" s="34">
        <f>AVERAGE(DE8:DE25)</f>
        <v>-4.1611111111111106E-2</v>
      </c>
      <c r="DF27" s="33"/>
      <c r="DG27" s="35">
        <f>AVERAGE(DG8:DG25)</f>
        <v>2.0333843806387346</v>
      </c>
      <c r="DI27" s="32" t="s">
        <v>42</v>
      </c>
      <c r="DJ27" s="33"/>
      <c r="DK27" s="33"/>
      <c r="DL27" s="33"/>
      <c r="DM27" s="33"/>
      <c r="DN27" s="34">
        <f>AVERAGE(DN8:DN25)</f>
        <v>6.0005555555555548E-2</v>
      </c>
      <c r="DO27" s="33"/>
      <c r="DP27" s="34">
        <f>AVERAGE(DP8:DP25)</f>
        <v>-0.11687222222222221</v>
      </c>
      <c r="DQ27" s="33"/>
      <c r="DR27" s="35">
        <f>AVERAGE(DR8:DR25)</f>
        <v>1.4000615902526592</v>
      </c>
    </row>
    <row r="28" spans="3:122" ht="15.75" thickBot="1" x14ac:dyDescent="0.3"/>
    <row r="29" spans="3:122" ht="15.75" thickBot="1" x14ac:dyDescent="0.3">
      <c r="C29" s="32" t="s">
        <v>48</v>
      </c>
      <c r="D29" s="33"/>
      <c r="E29" s="39">
        <v>40546</v>
      </c>
      <c r="F29" s="39">
        <v>44679</v>
      </c>
      <c r="G29" s="33"/>
      <c r="H29" s="40">
        <v>5.3223130106925975E-2</v>
      </c>
      <c r="I29" s="41"/>
      <c r="J29" s="40">
        <v>-4.2962549496738944E-3</v>
      </c>
      <c r="K29" s="33"/>
      <c r="L29" s="35">
        <v>12.388261574412816</v>
      </c>
      <c r="N29" s="32" t="s">
        <v>48</v>
      </c>
      <c r="O29" s="33"/>
      <c r="P29" s="39">
        <v>40546</v>
      </c>
      <c r="Q29" s="39">
        <v>44679</v>
      </c>
      <c r="R29" s="33"/>
      <c r="S29" s="40">
        <v>5.0180330872535719E-2</v>
      </c>
      <c r="T29" s="41"/>
      <c r="U29" s="40">
        <v>-3.5328103054949045E-3</v>
      </c>
      <c r="V29" s="33"/>
      <c r="W29" s="35">
        <v>14.204083019822955</v>
      </c>
      <c r="Y29" s="32" t="s">
        <v>48</v>
      </c>
      <c r="Z29" s="33"/>
      <c r="AA29" s="39">
        <v>40546</v>
      </c>
      <c r="AB29" s="39">
        <v>44679</v>
      </c>
      <c r="AC29" s="33"/>
      <c r="AD29" s="40">
        <v>5.1754656434059146E-2</v>
      </c>
      <c r="AE29" s="41"/>
      <c r="AF29" s="40">
        <v>-2.8581602077408785E-3</v>
      </c>
      <c r="AG29" s="33"/>
      <c r="AH29" s="35">
        <v>18.1076821004959</v>
      </c>
      <c r="AJ29" s="32" t="s">
        <v>48</v>
      </c>
      <c r="AK29" s="33"/>
      <c r="AL29" s="39">
        <v>40546</v>
      </c>
      <c r="AM29" s="39">
        <v>44679</v>
      </c>
      <c r="AN29" s="33"/>
      <c r="AO29" s="40">
        <v>5.2844032645225539E-2</v>
      </c>
      <c r="AP29" s="41"/>
      <c r="AQ29" s="40">
        <v>-3.4319737178974963E-3</v>
      </c>
      <c r="AR29" s="33"/>
      <c r="AS29" s="35">
        <v>15.397563323299273</v>
      </c>
      <c r="AU29" s="32" t="s">
        <v>48</v>
      </c>
      <c r="AV29" s="33"/>
      <c r="AW29" s="39">
        <v>40546</v>
      </c>
      <c r="AX29" s="39">
        <v>44679</v>
      </c>
      <c r="AY29" s="33"/>
      <c r="AZ29" s="40">
        <v>5.5040183663368228E-2</v>
      </c>
      <c r="BA29" s="41"/>
      <c r="BB29" s="40">
        <v>-3.3826115532177292E-3</v>
      </c>
      <c r="BC29" s="33"/>
      <c r="BD29" s="35">
        <v>16.271505846129724</v>
      </c>
      <c r="BF29" s="32" t="s">
        <v>48</v>
      </c>
      <c r="BG29" s="33"/>
      <c r="BH29" s="39">
        <v>40546</v>
      </c>
      <c r="BI29" s="39">
        <v>44679</v>
      </c>
      <c r="BJ29" s="33"/>
      <c r="BK29" s="40">
        <v>5.6790408492088315E-2</v>
      </c>
      <c r="BL29" s="41"/>
      <c r="BM29" s="40">
        <v>-4.1840507658533754E-3</v>
      </c>
      <c r="BN29" s="33"/>
      <c r="BO29" s="35">
        <v>13.573068700686616</v>
      </c>
      <c r="BQ29" s="32" t="s">
        <v>48</v>
      </c>
      <c r="BR29" s="33"/>
      <c r="BS29" s="39">
        <v>40546</v>
      </c>
      <c r="BT29" s="39">
        <v>44679</v>
      </c>
      <c r="BU29" s="33"/>
      <c r="BV29" s="40">
        <v>5.8512100577354426E-2</v>
      </c>
      <c r="BW29" s="41"/>
      <c r="BX29" s="40">
        <v>-4.0993482174697116E-3</v>
      </c>
      <c r="BY29" s="33"/>
      <c r="BZ29" s="35">
        <v>14.273513122891163</v>
      </c>
      <c r="CB29" s="32" t="s">
        <v>48</v>
      </c>
      <c r="CC29" s="33"/>
      <c r="CD29" s="39">
        <v>40546</v>
      </c>
      <c r="CE29" s="39">
        <v>44679</v>
      </c>
      <c r="CF29" s="33"/>
      <c r="CG29" s="40">
        <v>5.9783253073692311E-2</v>
      </c>
      <c r="CH29" s="41"/>
      <c r="CI29" s="40">
        <v>-4.6762760558843874E-3</v>
      </c>
      <c r="CJ29" s="33"/>
      <c r="CK29" s="35">
        <v>12.784372085660792</v>
      </c>
      <c r="CM29" s="32" t="s">
        <v>48</v>
      </c>
      <c r="CN29" s="33"/>
      <c r="CO29" s="39">
        <v>40546</v>
      </c>
      <c r="CP29" s="39">
        <v>44679</v>
      </c>
      <c r="CQ29" s="33"/>
      <c r="CR29" s="40">
        <v>6.1147966980934138E-2</v>
      </c>
      <c r="CS29" s="41"/>
      <c r="CT29" s="40">
        <v>-5.4543142595497862E-3</v>
      </c>
      <c r="CU29" s="33"/>
      <c r="CV29" s="35">
        <v>11.210935797084316</v>
      </c>
      <c r="CX29" s="32" t="s">
        <v>48</v>
      </c>
      <c r="CY29" s="33"/>
      <c r="CZ29" s="39">
        <v>40546</v>
      </c>
      <c r="DA29" s="39">
        <v>44679</v>
      </c>
      <c r="DB29" s="33"/>
      <c r="DC29" s="40">
        <v>6.1423489451408381E-2</v>
      </c>
      <c r="DD29" s="41"/>
      <c r="DE29" s="40">
        <v>-5.2277689345271439E-3</v>
      </c>
      <c r="DF29" s="33"/>
      <c r="DG29" s="35">
        <v>11.749465253854833</v>
      </c>
      <c r="DI29" s="32" t="s">
        <v>48</v>
      </c>
      <c r="DJ29" s="33"/>
      <c r="DK29" s="39">
        <v>40546</v>
      </c>
      <c r="DL29" s="39">
        <v>44679</v>
      </c>
      <c r="DM29" s="33"/>
      <c r="DN29" s="40">
        <v>5.0596258044242864E-2</v>
      </c>
      <c r="DO29" s="41"/>
      <c r="DP29" s="40">
        <v>-3.1655368268159623E-2</v>
      </c>
      <c r="DQ29" s="33"/>
      <c r="DR29" s="35">
        <v>1.5983468464378863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Output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2022-12-02T06:27:56Z</dcterms:created>
  <dcterms:modified xsi:type="dcterms:W3CDTF">2022-12-05T09:35:00Z</dcterms:modified>
</cp:coreProperties>
</file>