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27795" windowHeight="12600"/>
  </bookViews>
  <sheets>
    <sheet name="Output" sheetId="1" r:id="rId1"/>
    <sheet name="Report" sheetId="2" r:id="rId2"/>
    <sheet name="Charts" sheetId="3" r:id="rId3"/>
  </sheets>
  <externalReferences>
    <externalReference r:id="rId4"/>
  </externalReferences>
  <definedNames>
    <definedName name="_xlnm._FilterDatabase" localSheetId="0" hidden="1">Output!$A$6:$AP$1528</definedName>
  </definedNames>
  <calcPr calcId="145621" calcMode="autoNoTable" iterate="1"/>
</workbook>
</file>

<file path=xl/calcChain.xml><?xml version="1.0" encoding="utf-8"?>
<calcChain xmlns="http://schemas.openxmlformats.org/spreadsheetml/2006/main">
  <c r="U8" i="1" l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7" i="1"/>
</calcChain>
</file>

<file path=xl/sharedStrings.xml><?xml version="1.0" encoding="utf-8"?>
<sst xmlns="http://schemas.openxmlformats.org/spreadsheetml/2006/main" count="10856" uniqueCount="216">
  <si>
    <t>Timeframe:</t>
  </si>
  <si>
    <t>PSAR:</t>
  </si>
  <si>
    <t>15 min</t>
  </si>
  <si>
    <t>Symbol</t>
  </si>
  <si>
    <t>Trade</t>
  </si>
  <si>
    <t>Date</t>
  </si>
  <si>
    <t>Price</t>
  </si>
  <si>
    <t>Ex. date</t>
  </si>
  <si>
    <t>Ex. Price</t>
  </si>
  <si>
    <t>% chg</t>
  </si>
  <si>
    <t>Profit</t>
  </si>
  <si>
    <t>% Profit</t>
  </si>
  <si>
    <t>Shares</t>
  </si>
  <si>
    <t>Position value</t>
  </si>
  <si>
    <t>Cum. Profit</t>
  </si>
  <si>
    <t># bars</t>
  </si>
  <si>
    <t>Profit/bar</t>
  </si>
  <si>
    <t>MAE</t>
  </si>
  <si>
    <t>MFE</t>
  </si>
  <si>
    <t>Scale In/Out</t>
  </si>
  <si>
    <t>Stock__Close</t>
  </si>
  <si>
    <t>PSARValue</t>
  </si>
  <si>
    <t>FixedIDFCFIRSTB.EQ-NSE - I</t>
  </si>
  <si>
    <t>Short</t>
  </si>
  <si>
    <t>0/0</t>
  </si>
  <si>
    <t>Long</t>
  </si>
  <si>
    <t>EQUITY</t>
  </si>
  <si>
    <t>1. Portfolio Equity</t>
  </si>
  <si>
    <t>2. Underwater Equity</t>
  </si>
  <si>
    <t>3. Profit Table</t>
  </si>
  <si>
    <t>Year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</si>
  <si>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</si>
  <si>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</si>
  <si>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</si>
  <si>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</si>
  <si>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</si>
  <si>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</si>
  <si>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</si>
  <si>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</si>
  <si>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</si>
  <si>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</si>
  <si>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</si>
  <si>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</si>
  <si>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Yr%</t>
  </si>
  <si>
    <t>N/A</t>
  </si>
  <si>
    <t>Avg</t>
  </si>
  <si>
    <r>
      <t>Statistics</t>
    </r>
    <r>
      <rPr>
        <sz val="10"/>
        <color theme="1"/>
        <rFont val="Tahoma,Arial,Helvetica,Sans Ser"/>
      </rPr>
      <t xml:space="preserve"> | Charts | Trades | Formula | Settings | Symbols | Monte Carlo</t>
    </r>
  </si>
  <si>
    <t>Statistics</t>
  </si>
  <si>
    <t>All trades</t>
  </si>
  <si>
    <t>Long trades</t>
  </si>
  <si>
    <t>Short trades</t>
  </si>
  <si>
    <t>Buy&amp;Hold (FixedIDFCFIRSTB.EQ-NSE - I)</t>
  </si>
  <si>
    <t>Initial capital</t>
  </si>
  <si>
    <t>Ending capital</t>
  </si>
  <si>
    <t>Net Profit</t>
  </si>
  <si>
    <t>Net Profit %</t>
  </si>
  <si>
    <t>Exposure %</t>
  </si>
  <si>
    <t>Net Risk Adjusted Return %</t>
  </si>
  <si>
    <t>Annual Return %</t>
  </si>
  <si>
    <t>Risk Adjusted Return %</t>
  </si>
  <si>
    <t>Total transaction costs</t>
  </si>
  <si>
    <t>763 (50.13 %)</t>
  </si>
  <si>
    <t>759 (49.87 %)</t>
  </si>
  <si>
    <t> Avg. Profit/Loss</t>
  </si>
  <si>
    <t> Avg. Profit/Loss %</t>
  </si>
  <si>
    <t> Avg. Bars Held</t>
  </si>
  <si>
    <t>Winners</t>
  </si>
  <si>
    <t>565 (37.12 %)</t>
  </si>
  <si>
    <t>272 (17.87 %)</t>
  </si>
  <si>
    <t>293 (19.25 %)</t>
  </si>
  <si>
    <t>0 (0.00 %)</t>
  </si>
  <si>
    <t> Total Profit</t>
  </si>
  <si>
    <t> Avg. Profit</t>
  </si>
  <si>
    <t> Avg. Profit %</t>
  </si>
  <si>
    <t> Max. Consecutive</t>
  </si>
  <si>
    <t> Largest win</t>
  </si>
  <si>
    <t> # bars in largest win</t>
  </si>
  <si>
    <t>Losers</t>
  </si>
  <si>
    <t>957 (62.88 %)</t>
  </si>
  <si>
    <t>491 (32.26 %)</t>
  </si>
  <si>
    <t>466 (30.62 %)</t>
  </si>
  <si>
    <t>1 (100.00 %)</t>
  </si>
  <si>
    <t> Total Loss</t>
  </si>
  <si>
    <t> Avg. Loss</t>
  </si>
  <si>
    <t> Avg. Loss %</t>
  </si>
  <si>
    <t> Largest loss</t>
  </si>
  <si>
    <t># bars in largest loss</t>
  </si>
  <si>
    <t>Max. trade drawdown</t>
  </si>
  <si>
    <t>Max. trade % drawdown</t>
  </si>
  <si>
    <t>Max. system drawdown</t>
  </si>
  <si>
    <t>Max. system % drawdown</t>
  </si>
  <si>
    <t>Recovery Factor</t>
  </si>
  <si>
    <t>CAR/MaxDD</t>
  </si>
  <si>
    <t>RAR/MaxDD</t>
  </si>
  <si>
    <t>Profit Factor</t>
  </si>
  <si>
    <t>Payoff Ratio</t>
  </si>
  <si>
    <t>Standard Error</t>
  </si>
  <si>
    <t>Risk-Reward Ratio</t>
  </si>
  <si>
    <t>Ulcer Index</t>
  </si>
  <si>
    <t>Ulcer Performance Index</t>
  </si>
  <si>
    <t>Sharpe Ratio of trades</t>
  </si>
  <si>
    <t>K-Ratio</t>
  </si>
  <si>
    <t>BN_Close</t>
  </si>
  <si>
    <t>ATM_Strike</t>
  </si>
  <si>
    <t>~NewIDFCFIRSTB47CE-I</t>
  </si>
  <si>
    <t>~NewIDFCFIRSTB47PE-I</t>
  </si>
  <si>
    <t>~NewIDFCFIRSTB48CE-I</t>
  </si>
  <si>
    <t>~NewIDFCFIRSTB46PE-I</t>
  </si>
  <si>
    <t>~NewIDFCFIRSTB48PE-I</t>
  </si>
  <si>
    <t>~NewIDFCFIRSTB45PE-I</t>
  </si>
  <si>
    <t>~NewIDFCFIRSTB46CE-I</t>
  </si>
  <si>
    <t>~NewIDFCFIRSTB44PE-I</t>
  </si>
  <si>
    <t>~NewIDFCFIRSTB45CE-I</t>
  </si>
  <si>
    <t>~NewIDFCFIRSTB40PE-I</t>
  </si>
  <si>
    <t>~NewIDFCFIRSTB43CE-I</t>
  </si>
  <si>
    <t>~NewIDFCFIRSTB42PE-I</t>
  </si>
  <si>
    <t>~NewIDFCFIRSTB42CE-I</t>
  </si>
  <si>
    <t>~NewIDFCFIRSTB44CE-I</t>
  </si>
  <si>
    <t>~NewIDFCFIRSTB43PE-I</t>
  </si>
  <si>
    <t>~NewIDFCFIRSTB51CE-I</t>
  </si>
  <si>
    <t>~NewIDFCFIRSTB51PE-I</t>
  </si>
  <si>
    <t>~NewIDFCFIRSTB50CE-I</t>
  </si>
  <si>
    <t>~NewIDFCFIRSTB49PE-I</t>
  </si>
  <si>
    <t>~NewIDFCFIRSTB49CE-I</t>
  </si>
  <si>
    <t>~NewIDFCFIRSTB50PE-I</t>
  </si>
  <si>
    <t>~NewIDFCFIRSTB52CE-I</t>
  </si>
  <si>
    <t>~NewIDFCFIRSTB52PE-I</t>
  </si>
  <si>
    <t>~NewIDFCFIRSTB53CE-I</t>
  </si>
  <si>
    <t>~NewIDFCFIRSTB54CE-I</t>
  </si>
  <si>
    <t>~NewIDFCFIRSTB53PE-I</t>
  </si>
  <si>
    <t>~NewIDFCFIRSTB55PE-I</t>
  </si>
  <si>
    <t>~NewIDFCFIRSTB55CE-I</t>
  </si>
  <si>
    <t>~NewIDFCFIRSTB56CE-I</t>
  </si>
  <si>
    <t>~NewIDFCFIRSTB54PE-I</t>
  </si>
  <si>
    <t>~NewIDFCFIRSTB41PE-I</t>
  </si>
  <si>
    <t>~NewIDFCFIRSTB38PE-I</t>
  </si>
  <si>
    <t>~NewIDFCFIRSTB41CE-I</t>
  </si>
  <si>
    <t>~NewIDFCFIRSTB39PE-I</t>
  </si>
  <si>
    <t>~NewIDFCFIRSTB30PE-I</t>
  </si>
  <si>
    <t>~NewIDFCFIRSTB40CE-I</t>
  </si>
  <si>
    <t>~NewIDFCFIRSTB38CE-I</t>
  </si>
  <si>
    <t>~NewIDFCFIRSTB39CE-I</t>
  </si>
  <si>
    <t>~NewIDFCFIRSTB37PE-I</t>
  </si>
  <si>
    <t>~NewIDFCFIRSTB36PE-I</t>
  </si>
  <si>
    <t>~NewIDFCFIRSTB37CE-I</t>
  </si>
  <si>
    <t>~NewIDFCFIRSTB36CE-I</t>
  </si>
  <si>
    <t>~NewIDFCFIRSTB34PE-I</t>
  </si>
  <si>
    <t>~NewIDFCFIRSTB33PE-I</t>
  </si>
  <si>
    <t>~NewIDFCFIRSTB35PE-I</t>
  </si>
  <si>
    <t>~NewIDFCFIRSTB35CE-I</t>
  </si>
  <si>
    <t>~NewIDFCFIRSTB34CE-I</t>
  </si>
  <si>
    <t>~NewIDFCFIRSTB26PE-I</t>
  </si>
  <si>
    <t>~NewIDFCFIRSTB28CE-I</t>
  </si>
  <si>
    <t>~NewIDFCFIRSTB27PE-I</t>
  </si>
  <si>
    <t>~NewIDFCFIRSTB26CE-I</t>
  </si>
  <si>
    <t>~NewIDFCFIRSTB22PE-I</t>
  </si>
  <si>
    <t>~NewIDFCFIRSTB22CE-I</t>
  </si>
  <si>
    <t>~NewIDFCFIRSTB21PE-I</t>
  </si>
  <si>
    <t>~NewIDFCFIRSTB20CE-I</t>
  </si>
  <si>
    <t>~NewIDFCFIRSTB18PE-I</t>
  </si>
  <si>
    <t>~NewIDFCFIRSTB16PE-I</t>
  </si>
  <si>
    <t>~NewIDFCFIRSTB19CE-I</t>
  </si>
  <si>
    <t>~NewIDFCFIRSTB17PE-I</t>
  </si>
  <si>
    <t>~NewIDFCFIRSTB21CE-I</t>
  </si>
  <si>
    <t>~NewIDFCFIRSTB20PE-I</t>
  </si>
  <si>
    <t>~NewIDFCFIRSTB25CE-I</t>
  </si>
  <si>
    <t>~NewIDFCFIRSTB15PE-I</t>
  </si>
  <si>
    <t>~NewIDFCFIRSTB23CE-I</t>
  </si>
  <si>
    <t>~NewIDFCFIRSTB23PE-I</t>
  </si>
  <si>
    <t>~NewIDFCFIRSTB19PE-I</t>
  </si>
  <si>
    <t>~NewIDFCFIRSTB24CE-I</t>
  </si>
  <si>
    <t>~NewIDFCFIRSTB24PE-I</t>
  </si>
  <si>
    <t>~NewIDFCFIRSTB25PE-I</t>
  </si>
  <si>
    <t>~NewIDFCFIRSTB28PE-I</t>
  </si>
  <si>
    <t>~NewIDFCFIRSTB27CE-I</t>
  </si>
  <si>
    <t>~NewIDFCFIRSTB29CE-I</t>
  </si>
  <si>
    <t>~NewIDFCFIRSTB31CE-I</t>
  </si>
  <si>
    <t>~NewIDFCFIRSTB31PE-I</t>
  </si>
  <si>
    <t>~NewIDFCFIRSTB29PE-I</t>
  </si>
  <si>
    <t>~NewIDFCFIRSTB32CE-I</t>
  </si>
  <si>
    <t>~NewIDFCFIRSTB32PE-I</t>
  </si>
  <si>
    <t>~NewIDFCFIRSTB33CE-I</t>
  </si>
  <si>
    <t>~NewIDFCFIRSTB30CE-I</t>
  </si>
  <si>
    <t>~NewIDFCFIRSTB57PE-I</t>
  </si>
  <si>
    <t>~NewIDFCFIRSTB58CE-I</t>
  </si>
  <si>
    <t>~NewIDFCFIRSTB58PE-I</t>
  </si>
  <si>
    <t>~NewIDFCFIRSTB61CE-I</t>
  </si>
  <si>
    <t>~NewIDFCFIRSTB63PE-I</t>
  </si>
  <si>
    <t>~NewIDFCFIRSTB62CE-I</t>
  </si>
  <si>
    <t>~NewIDFCFIRSTB62PE-I</t>
  </si>
  <si>
    <t>~NewIDFCFIRSTB64PE-I</t>
  </si>
  <si>
    <t>~NewIDFCFIRSTB65CE-I</t>
  </si>
  <si>
    <t>~NewIDFCFIRSTB64CE-I</t>
  </si>
  <si>
    <t>~NewIDFCFIRSTB63CE-I</t>
  </si>
  <si>
    <t>~NewIDFCFIRSTB65PE-I</t>
  </si>
  <si>
    <t>~NewIDFCFIRSTB67CE-I</t>
  </si>
  <si>
    <t>~NewIDFCFIRSTB68PE-I</t>
  </si>
  <si>
    <t>~NewIDFCFIRSTB68CE-I</t>
  </si>
  <si>
    <t>~NewIDFCFIRSTB69PE-I</t>
  </si>
  <si>
    <t>~NewIDFCFIRSTB67PE-I</t>
  </si>
  <si>
    <t>~NewIDFCFIRSTB66PE-I</t>
  </si>
  <si>
    <t>~NewIDFCFIRSTB59PE-I</t>
  </si>
  <si>
    <t>~NewIDFCFIRSTB60CE-I</t>
  </si>
  <si>
    <t>~NewIDFCFIRSTB60PE-I</t>
  </si>
  <si>
    <t>~NewIDFCFIRSTB61PE-I</t>
  </si>
  <si>
    <t>~NewIDFCFIRSTB59CE-I</t>
  </si>
  <si>
    <t>~NewIDFCFIRSTB57CE-I</t>
  </si>
  <si>
    <t>~NewIDFCFIRSTB56PE-I</t>
  </si>
  <si>
    <t>1513 (100.00 %)</t>
  </si>
  <si>
    <t>630 (41.64 %)</t>
  </si>
  <si>
    <t>883 (58.36 %)</t>
  </si>
  <si>
    <t>OPTIONS</t>
  </si>
  <si>
    <t>AM</t>
  </si>
  <si>
    <t>PM</t>
  </si>
  <si>
    <t>expiry date</t>
  </si>
  <si>
    <t>open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</si>
</sst>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_);\(#,##0.0\);\-\ "/>
    <numFmt numFmtId="165" formatCode="0.00%_);\(0.00%\)"/>
    <numFmt numFmtId="166" formatCode="0.000%_);\(0.000%\)"/>
    <numFmt numFmtId="167" formatCode="[$-409]m/d/yy\ h:mm\ AM/PM;@"/>
  </numFmts>
  <fonts count="11">
    <font>
      <sz val="11"/>
      <color theme="1"/>
      <name val="Calibri"/>
      <family val="2"/>
      <scheme val="minor"/>
    </font>
    <font>
      <sz val="8"/>
      <color theme="1"/>
      <name val="Tahoma,Arial,Helvetica,Sans Ser"/>
    </font>
    <font>
      <sz val="10"/>
      <color theme="1"/>
      <name val="Tahoma,Arial,Helvetica,Sans Ser"/>
    </font>
    <font>
      <b/>
      <sz val="10"/>
      <color theme="1"/>
      <name val="Tahoma,Arial,Helvetica,Sans Ser"/>
    </font>
    <font>
      <b/>
      <sz val="8"/>
      <color theme="1"/>
      <name val="Tahoma,Arial,Helvetica,Sans Ser"/>
    </font>
    <font>
      <sz val="8"/>
      <color rgb="FF880000"/>
      <name val="Tahoma,Arial,Helvetica,Sans Ser"/>
    </font>
    <font>
      <sz val="8"/>
      <color rgb="FF006600"/>
      <name val="Tahoma,Arial,Helvetica,Sans Ser"/>
    </font>
    <font>
      <sz val="8"/>
      <color rgb="FF000088"/>
      <name val="Tahoma,Arial,Helvetica,Sans Ser"/>
    </font>
    <font>
      <b/>
      <sz val="11"/>
      <color indexed="9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EFFEE"/>
        <bgColor indexed="64"/>
      </patternFill>
    </fill>
    <fill>
      <patternFill patternType="solid">
        <fgColor rgb="FFEE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EE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22" fontId="0" fillId="0" borderId="0" xfId="0" applyNumberFormat="1"/>
    <xf numFmtId="10" fontId="0" fillId="0" borderId="0" xfId="0" applyNumberFormat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4" fillId="3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10" fontId="1" fillId="5" borderId="2" xfId="0" applyNumberFormat="1" applyFont="1" applyFill="1" applyBorder="1" applyAlignment="1">
      <alignment horizontal="right" vertical="center"/>
    </xf>
    <xf numFmtId="10" fontId="5" fillId="5" borderId="2" xfId="0" applyNumberFormat="1" applyFont="1" applyFill="1" applyBorder="1" applyAlignment="1">
      <alignment horizontal="right" vertical="center"/>
    </xf>
    <xf numFmtId="10" fontId="4" fillId="4" borderId="2" xfId="0" applyNumberFormat="1" applyFont="1" applyFill="1" applyBorder="1" applyAlignment="1">
      <alignment horizontal="right" vertical="center"/>
    </xf>
    <xf numFmtId="10" fontId="1" fillId="6" borderId="2" xfId="0" applyNumberFormat="1" applyFont="1" applyFill="1" applyBorder="1" applyAlignment="1">
      <alignment horizontal="right" vertical="center"/>
    </xf>
    <xf numFmtId="10" fontId="5" fillId="6" borderId="2" xfId="0" applyNumberFormat="1" applyFont="1" applyFill="1" applyBorder="1" applyAlignment="1">
      <alignment horizontal="right" vertical="center"/>
    </xf>
    <xf numFmtId="10" fontId="4" fillId="3" borderId="2" xfId="0" applyNumberFormat="1" applyFont="1" applyFill="1" applyBorder="1" applyAlignment="1">
      <alignment horizontal="right" vertical="center"/>
    </xf>
    <xf numFmtId="0" fontId="1" fillId="6" borderId="2" xfId="0" applyFon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0" fillId="0" borderId="0" xfId="0" applyFill="1"/>
    <xf numFmtId="22" fontId="0" fillId="0" borderId="0" xfId="0" applyNumberFormat="1" applyFill="1"/>
    <xf numFmtId="10" fontId="0" fillId="0" borderId="0" xfId="0" applyNumberFormat="1" applyFill="1"/>
    <xf numFmtId="0" fontId="9" fillId="8" borderId="0" xfId="0" applyFont="1" applyFill="1" applyAlignment="1">
      <alignment horizontal="centerContinuous"/>
    </xf>
    <xf numFmtId="0" fontId="8" fillId="9" borderId="0" xfId="0" applyFont="1" applyFill="1" applyAlignment="1">
      <alignment horizontal="centerContinuous"/>
    </xf>
    <xf numFmtId="0" fontId="0" fillId="0" borderId="3" xfId="0" applyBorder="1"/>
    <xf numFmtId="0" fontId="0" fillId="0" borderId="4" xfId="0" applyBorder="1"/>
    <xf numFmtId="0" fontId="0" fillId="7" borderId="4" xfId="0" applyFill="1" applyBorder="1"/>
    <xf numFmtId="0" fontId="0" fillId="0" borderId="5" xfId="0" applyBorder="1"/>
    <xf numFmtId="22" fontId="0" fillId="0" borderId="3" xfId="0" applyNumberFormat="1" applyBorder="1"/>
    <xf numFmtId="22" fontId="0" fillId="0" borderId="4" xfId="0" applyNumberFormat="1" applyBorder="1"/>
    <xf numFmtId="22" fontId="0" fillId="7" borderId="4" xfId="0" applyNumberFormat="1" applyFill="1" applyBorder="1"/>
    <xf numFmtId="22" fontId="0" fillId="0" borderId="5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7" borderId="4" xfId="0" applyNumberFormat="1" applyFill="1" applyBorder="1"/>
    <xf numFmtId="10" fontId="0" fillId="0" borderId="5" xfId="0" applyNumberFormat="1" applyBorder="1"/>
    <xf numFmtId="0" fontId="4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10" fontId="6" fillId="0" borderId="1" xfId="0" applyNumberFormat="1" applyFont="1" applyBorder="1" applyAlignment="1">
      <alignment horizontal="right" vertical="center"/>
    </xf>
    <xf numFmtId="10" fontId="5" fillId="0" borderId="1" xfId="0" applyNumberFormat="1" applyFont="1" applyBorder="1" applyAlignment="1">
      <alignment horizontal="right" vertical="center"/>
    </xf>
    <xf numFmtId="10" fontId="1" fillId="0" borderId="1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8" fillId="9" borderId="0" xfId="0" applyFon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  <xf numFmtId="167" fontId="0" fillId="0" borderId="3" xfId="0" applyNumberFormat="1" applyBorder="1"/>
    <xf numFmtId="167" fontId="0" fillId="0" borderId="4" xfId="0" applyNumberFormat="1" applyBorder="1"/>
    <xf numFmtId="167" fontId="0" fillId="7" borderId="4" xfId="0" applyNumberFormat="1" applyFill="1" applyBorder="1"/>
    <xf numFmtId="167" fontId="0" fillId="0" borderId="5" xfId="0" applyNumberFormat="1" applyBorder="1"/>
    <xf numFmtId="21" fontId="0" fillId="0" borderId="0" xfId="0" applyNumberFormat="1"/>
    <xf numFmtId="0" fontId="3" fillId="2" borderId="0" xfId="0" applyFont="1" applyFill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Continuous"/>
    </xf>
    <xf numFmtId="0" fontId="10" fillId="0" borderId="0" xfId="0" applyFont="1" applyFill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12</xdr:col>
      <xdr:colOff>304800</xdr:colOff>
      <xdr:row>29</xdr:row>
      <xdr:rowOff>0</xdr:rowOff>
    </xdr:to>
    <xdr:pic>
      <xdr:nvPicPr>
        <xdr:cNvPr id="2" name="Picture 1" descr="C:\Program Files\AmiBroker\Reports\PSAR Individual stocks on EQ-20221128141330581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12</xdr:col>
      <xdr:colOff>304800</xdr:colOff>
      <xdr:row>56</xdr:row>
      <xdr:rowOff>0</xdr:rowOff>
    </xdr:to>
    <xdr:pic>
      <xdr:nvPicPr>
        <xdr:cNvPr id="3" name="Picture 2" descr="C:\Program Files\AmiBroker\Reports\PSAR Individual stocks on EQ-20221128141330581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96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5</xdr:row>
      <xdr:rowOff>0</xdr:rowOff>
    </xdr:from>
    <xdr:to>
      <xdr:col>28</xdr:col>
      <xdr:colOff>304800</xdr:colOff>
      <xdr:row>29</xdr:row>
      <xdr:rowOff>0</xdr:rowOff>
    </xdr:to>
    <xdr:pic>
      <xdr:nvPicPr>
        <xdr:cNvPr id="4" name="Picture 3" descr="C:\Program Files\AmiBroker\Reports\IDFCFIRSTB PSAR (long and short) and (short)-20221128141949709\1. Portfolio Equity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9525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32</xdr:row>
      <xdr:rowOff>0</xdr:rowOff>
    </xdr:from>
    <xdr:to>
      <xdr:col>28</xdr:col>
      <xdr:colOff>304800</xdr:colOff>
      <xdr:row>56</xdr:row>
      <xdr:rowOff>0</xdr:rowOff>
    </xdr:to>
    <xdr:pic>
      <xdr:nvPicPr>
        <xdr:cNvPr id="5" name="Picture 4" descr="C:\Program Files\AmiBroker\Reports\IDFCFIRSTB PSAR (long and short) and (short)-20221128141949709\2. Underwater Equity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6096000"/>
          <a:ext cx="7620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expiry_date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iry_dates"/>
    </sheetNames>
    <sheetDataSet>
      <sheetData sheetId="0">
        <row r="2">
          <cell r="B2">
            <v>40546</v>
          </cell>
          <cell r="C2">
            <v>40570</v>
          </cell>
        </row>
        <row r="3">
          <cell r="B3">
            <v>40547</v>
          </cell>
          <cell r="C3">
            <v>40570</v>
          </cell>
        </row>
        <row r="4">
          <cell r="B4">
            <v>40548</v>
          </cell>
          <cell r="C4">
            <v>40570</v>
          </cell>
        </row>
        <row r="5">
          <cell r="B5">
            <v>40549</v>
          </cell>
          <cell r="C5">
            <v>40570</v>
          </cell>
        </row>
        <row r="6">
          <cell r="B6">
            <v>40550</v>
          </cell>
          <cell r="C6">
            <v>40570</v>
          </cell>
        </row>
        <row r="7">
          <cell r="B7">
            <v>40553</v>
          </cell>
          <cell r="C7">
            <v>40570</v>
          </cell>
        </row>
        <row r="8">
          <cell r="B8">
            <v>40554</v>
          </cell>
          <cell r="C8">
            <v>40570</v>
          </cell>
        </row>
        <row r="9">
          <cell r="B9">
            <v>40555</v>
          </cell>
          <cell r="C9">
            <v>40570</v>
          </cell>
        </row>
        <row r="10">
          <cell r="B10">
            <v>40556</v>
          </cell>
          <cell r="C10">
            <v>40570</v>
          </cell>
        </row>
        <row r="11">
          <cell r="B11">
            <v>40557</v>
          </cell>
          <cell r="C11">
            <v>40570</v>
          </cell>
        </row>
        <row r="12">
          <cell r="B12">
            <v>40560</v>
          </cell>
          <cell r="C12">
            <v>40570</v>
          </cell>
        </row>
        <row r="13">
          <cell r="B13">
            <v>40561</v>
          </cell>
          <cell r="C13">
            <v>40570</v>
          </cell>
        </row>
        <row r="14">
          <cell r="B14">
            <v>40562</v>
          </cell>
          <cell r="C14">
            <v>40570</v>
          </cell>
        </row>
        <row r="15">
          <cell r="B15">
            <v>40563</v>
          </cell>
          <cell r="C15">
            <v>40570</v>
          </cell>
        </row>
        <row r="16">
          <cell r="B16">
            <v>40564</v>
          </cell>
          <cell r="C16">
            <v>40570</v>
          </cell>
        </row>
        <row r="17">
          <cell r="B17">
            <v>40567</v>
          </cell>
          <cell r="C17">
            <v>40570</v>
          </cell>
        </row>
        <row r="18">
          <cell r="B18">
            <v>40568</v>
          </cell>
          <cell r="C18">
            <v>40570</v>
          </cell>
        </row>
        <row r="19">
          <cell r="B19">
            <v>40570</v>
          </cell>
          <cell r="C19">
            <v>40570</v>
          </cell>
        </row>
        <row r="20">
          <cell r="B20">
            <v>40571</v>
          </cell>
          <cell r="C20">
            <v>40598</v>
          </cell>
        </row>
        <row r="21">
          <cell r="B21">
            <v>40574</v>
          </cell>
          <cell r="C21">
            <v>40598</v>
          </cell>
        </row>
        <row r="22">
          <cell r="B22">
            <v>40575</v>
          </cell>
          <cell r="C22">
            <v>40598</v>
          </cell>
        </row>
        <row r="23">
          <cell r="B23">
            <v>40576</v>
          </cell>
          <cell r="C23">
            <v>40598</v>
          </cell>
        </row>
        <row r="24">
          <cell r="B24">
            <v>40577</v>
          </cell>
          <cell r="C24">
            <v>40598</v>
          </cell>
        </row>
        <row r="25">
          <cell r="B25">
            <v>40578</v>
          </cell>
          <cell r="C25">
            <v>40598</v>
          </cell>
        </row>
        <row r="26">
          <cell r="B26">
            <v>40581</v>
          </cell>
          <cell r="C26">
            <v>40598</v>
          </cell>
        </row>
        <row r="27">
          <cell r="B27">
            <v>40582</v>
          </cell>
          <cell r="C27">
            <v>40598</v>
          </cell>
        </row>
        <row r="28">
          <cell r="B28">
            <v>40583</v>
          </cell>
          <cell r="C28">
            <v>40598</v>
          </cell>
        </row>
        <row r="29">
          <cell r="B29">
            <v>40584</v>
          </cell>
          <cell r="C29">
            <v>40598</v>
          </cell>
        </row>
        <row r="30">
          <cell r="B30">
            <v>40585</v>
          </cell>
          <cell r="C30">
            <v>40598</v>
          </cell>
        </row>
        <row r="31">
          <cell r="B31">
            <v>40588</v>
          </cell>
          <cell r="C31">
            <v>40598</v>
          </cell>
        </row>
        <row r="32">
          <cell r="B32">
            <v>40589</v>
          </cell>
          <cell r="C32">
            <v>40598</v>
          </cell>
        </row>
        <row r="33">
          <cell r="B33">
            <v>40590</v>
          </cell>
          <cell r="C33">
            <v>40598</v>
          </cell>
        </row>
        <row r="34">
          <cell r="B34">
            <v>40591</v>
          </cell>
          <cell r="C34">
            <v>40598</v>
          </cell>
        </row>
        <row r="35">
          <cell r="B35">
            <v>40592</v>
          </cell>
          <cell r="C35">
            <v>40598</v>
          </cell>
        </row>
        <row r="36">
          <cell r="B36">
            <v>40595</v>
          </cell>
          <cell r="C36">
            <v>40598</v>
          </cell>
        </row>
        <row r="37">
          <cell r="B37">
            <v>40596</v>
          </cell>
          <cell r="C37">
            <v>40598</v>
          </cell>
        </row>
        <row r="38">
          <cell r="B38">
            <v>40597</v>
          </cell>
          <cell r="C38">
            <v>40598</v>
          </cell>
        </row>
        <row r="39">
          <cell r="B39">
            <v>40598</v>
          </cell>
          <cell r="C39">
            <v>40598</v>
          </cell>
        </row>
        <row r="40">
          <cell r="B40">
            <v>40599</v>
          </cell>
          <cell r="C40">
            <v>40633</v>
          </cell>
        </row>
        <row r="41">
          <cell r="B41">
            <v>40602</v>
          </cell>
          <cell r="C41">
            <v>40633</v>
          </cell>
        </row>
        <row r="42">
          <cell r="B42">
            <v>40603</v>
          </cell>
          <cell r="C42">
            <v>40633</v>
          </cell>
        </row>
        <row r="43">
          <cell r="B43">
            <v>40605</v>
          </cell>
          <cell r="C43">
            <v>40633</v>
          </cell>
        </row>
        <row r="44">
          <cell r="B44">
            <v>40606</v>
          </cell>
          <cell r="C44">
            <v>40633</v>
          </cell>
        </row>
        <row r="45">
          <cell r="B45">
            <v>40609</v>
          </cell>
          <cell r="C45">
            <v>40633</v>
          </cell>
        </row>
        <row r="46">
          <cell r="B46">
            <v>40610</v>
          </cell>
          <cell r="C46">
            <v>40633</v>
          </cell>
        </row>
        <row r="47">
          <cell r="B47">
            <v>40611</v>
          </cell>
          <cell r="C47">
            <v>40633</v>
          </cell>
        </row>
        <row r="48">
          <cell r="B48">
            <v>40612</v>
          </cell>
          <cell r="C48">
            <v>40633</v>
          </cell>
        </row>
        <row r="49">
          <cell r="B49">
            <v>40613</v>
          </cell>
          <cell r="C49">
            <v>40633</v>
          </cell>
        </row>
        <row r="50">
          <cell r="B50">
            <v>40616</v>
          </cell>
          <cell r="C50">
            <v>40633</v>
          </cell>
        </row>
        <row r="51">
          <cell r="B51">
            <v>40617</v>
          </cell>
          <cell r="C51">
            <v>40633</v>
          </cell>
        </row>
        <row r="52">
          <cell r="B52">
            <v>40618</v>
          </cell>
          <cell r="C52">
            <v>40633</v>
          </cell>
        </row>
        <row r="53">
          <cell r="B53">
            <v>40619</v>
          </cell>
          <cell r="C53">
            <v>40633</v>
          </cell>
        </row>
        <row r="54">
          <cell r="B54">
            <v>40620</v>
          </cell>
          <cell r="C54">
            <v>40633</v>
          </cell>
        </row>
        <row r="55">
          <cell r="B55">
            <v>40623</v>
          </cell>
          <cell r="C55">
            <v>40633</v>
          </cell>
        </row>
        <row r="56">
          <cell r="B56">
            <v>40624</v>
          </cell>
          <cell r="C56">
            <v>40633</v>
          </cell>
        </row>
        <row r="57">
          <cell r="B57">
            <v>40625</v>
          </cell>
          <cell r="C57">
            <v>40633</v>
          </cell>
        </row>
        <row r="58">
          <cell r="B58">
            <v>40626</v>
          </cell>
          <cell r="C58">
            <v>40633</v>
          </cell>
        </row>
        <row r="59">
          <cell r="B59">
            <v>40627</v>
          </cell>
          <cell r="C59">
            <v>40633</v>
          </cell>
        </row>
        <row r="60">
          <cell r="B60">
            <v>40630</v>
          </cell>
          <cell r="C60">
            <v>40633</v>
          </cell>
        </row>
        <row r="61">
          <cell r="B61">
            <v>40631</v>
          </cell>
          <cell r="C61">
            <v>40633</v>
          </cell>
        </row>
        <row r="62">
          <cell r="B62">
            <v>40632</v>
          </cell>
          <cell r="C62">
            <v>40633</v>
          </cell>
        </row>
        <row r="63">
          <cell r="B63">
            <v>40633</v>
          </cell>
          <cell r="C63">
            <v>40633</v>
          </cell>
        </row>
        <row r="64">
          <cell r="B64">
            <v>40634</v>
          </cell>
          <cell r="C64">
            <v>40661</v>
          </cell>
        </row>
        <row r="65">
          <cell r="B65">
            <v>40637</v>
          </cell>
          <cell r="C65">
            <v>40661</v>
          </cell>
        </row>
        <row r="66">
          <cell r="B66">
            <v>40638</v>
          </cell>
          <cell r="C66">
            <v>40661</v>
          </cell>
        </row>
        <row r="67">
          <cell r="B67">
            <v>40639</v>
          </cell>
          <cell r="C67">
            <v>40661</v>
          </cell>
        </row>
        <row r="68">
          <cell r="B68">
            <v>40640</v>
          </cell>
          <cell r="C68">
            <v>40661</v>
          </cell>
        </row>
        <row r="69">
          <cell r="B69">
            <v>40641</v>
          </cell>
          <cell r="C69">
            <v>40661</v>
          </cell>
        </row>
        <row r="70">
          <cell r="B70">
            <v>40644</v>
          </cell>
          <cell r="C70">
            <v>40661</v>
          </cell>
        </row>
        <row r="71">
          <cell r="B71">
            <v>40646</v>
          </cell>
          <cell r="C71">
            <v>40661</v>
          </cell>
        </row>
        <row r="72">
          <cell r="B72">
            <v>40648</v>
          </cell>
          <cell r="C72">
            <v>40661</v>
          </cell>
        </row>
        <row r="73">
          <cell r="B73">
            <v>40651</v>
          </cell>
          <cell r="C73">
            <v>40661</v>
          </cell>
        </row>
        <row r="74">
          <cell r="B74">
            <v>40652</v>
          </cell>
          <cell r="C74">
            <v>40661</v>
          </cell>
        </row>
        <row r="75">
          <cell r="B75">
            <v>40653</v>
          </cell>
          <cell r="C75">
            <v>40661</v>
          </cell>
        </row>
        <row r="76">
          <cell r="B76">
            <v>40654</v>
          </cell>
          <cell r="C76">
            <v>40661</v>
          </cell>
        </row>
        <row r="77">
          <cell r="B77">
            <v>40658</v>
          </cell>
          <cell r="C77">
            <v>40661</v>
          </cell>
        </row>
        <row r="78">
          <cell r="B78">
            <v>40659</v>
          </cell>
          <cell r="C78">
            <v>40661</v>
          </cell>
        </row>
        <row r="79">
          <cell r="B79">
            <v>40660</v>
          </cell>
          <cell r="C79">
            <v>40661</v>
          </cell>
        </row>
        <row r="80">
          <cell r="B80">
            <v>40661</v>
          </cell>
          <cell r="C80">
            <v>40661</v>
          </cell>
        </row>
        <row r="81">
          <cell r="B81">
            <v>40662</v>
          </cell>
          <cell r="C81">
            <v>40689</v>
          </cell>
        </row>
        <row r="82">
          <cell r="B82">
            <v>40665</v>
          </cell>
          <cell r="C82">
            <v>40689</v>
          </cell>
        </row>
        <row r="83">
          <cell r="B83">
            <v>40666</v>
          </cell>
          <cell r="C83">
            <v>40689</v>
          </cell>
        </row>
        <row r="84">
          <cell r="B84">
            <v>40667</v>
          </cell>
          <cell r="C84">
            <v>40689</v>
          </cell>
        </row>
        <row r="85">
          <cell r="B85">
            <v>40668</v>
          </cell>
          <cell r="C85">
            <v>40689</v>
          </cell>
        </row>
        <row r="86">
          <cell r="B86">
            <v>40669</v>
          </cell>
          <cell r="C86">
            <v>40689</v>
          </cell>
        </row>
        <row r="87">
          <cell r="B87">
            <v>40672</v>
          </cell>
          <cell r="C87">
            <v>40689</v>
          </cell>
        </row>
        <row r="88">
          <cell r="B88">
            <v>40673</v>
          </cell>
          <cell r="C88">
            <v>40689</v>
          </cell>
        </row>
        <row r="89">
          <cell r="B89">
            <v>40674</v>
          </cell>
          <cell r="C89">
            <v>40689</v>
          </cell>
        </row>
        <row r="90">
          <cell r="B90">
            <v>40675</v>
          </cell>
          <cell r="C90">
            <v>40689</v>
          </cell>
        </row>
        <row r="91">
          <cell r="B91">
            <v>40676</v>
          </cell>
          <cell r="C91">
            <v>40689</v>
          </cell>
        </row>
        <row r="92">
          <cell r="B92">
            <v>40679</v>
          </cell>
          <cell r="C92">
            <v>40689</v>
          </cell>
        </row>
        <row r="93">
          <cell r="B93">
            <v>40680</v>
          </cell>
          <cell r="C93">
            <v>40689</v>
          </cell>
        </row>
        <row r="94">
          <cell r="B94">
            <v>40681</v>
          </cell>
          <cell r="C94">
            <v>40689</v>
          </cell>
        </row>
        <row r="95">
          <cell r="B95">
            <v>40682</v>
          </cell>
          <cell r="C95">
            <v>40689</v>
          </cell>
        </row>
        <row r="96">
          <cell r="B96">
            <v>40683</v>
          </cell>
          <cell r="C96">
            <v>40689</v>
          </cell>
        </row>
        <row r="97">
          <cell r="B97">
            <v>40686</v>
          </cell>
          <cell r="C97">
            <v>40689</v>
          </cell>
        </row>
        <row r="98">
          <cell r="B98">
            <v>40687</v>
          </cell>
          <cell r="C98">
            <v>40689</v>
          </cell>
        </row>
        <row r="99">
          <cell r="B99">
            <v>40688</v>
          </cell>
          <cell r="C99">
            <v>40689</v>
          </cell>
        </row>
        <row r="100">
          <cell r="B100">
            <v>40689</v>
          </cell>
          <cell r="C100">
            <v>40689</v>
          </cell>
        </row>
        <row r="101">
          <cell r="B101">
            <v>40690</v>
          </cell>
          <cell r="C101">
            <v>40724</v>
          </cell>
        </row>
        <row r="102">
          <cell r="B102">
            <v>40693</v>
          </cell>
          <cell r="C102">
            <v>40724</v>
          </cell>
        </row>
        <row r="103">
          <cell r="B103">
            <v>40694</v>
          </cell>
          <cell r="C103">
            <v>40724</v>
          </cell>
        </row>
        <row r="104">
          <cell r="B104">
            <v>40695</v>
          </cell>
          <cell r="C104">
            <v>40724</v>
          </cell>
        </row>
        <row r="105">
          <cell r="B105">
            <v>40696</v>
          </cell>
          <cell r="C105">
            <v>40724</v>
          </cell>
        </row>
        <row r="106">
          <cell r="B106">
            <v>40697</v>
          </cell>
          <cell r="C106">
            <v>40724</v>
          </cell>
        </row>
        <row r="107">
          <cell r="B107">
            <v>40700</v>
          </cell>
          <cell r="C107">
            <v>40724</v>
          </cell>
        </row>
        <row r="108">
          <cell r="B108">
            <v>40701</v>
          </cell>
          <cell r="C108">
            <v>40724</v>
          </cell>
        </row>
        <row r="109">
          <cell r="B109">
            <v>40702</v>
          </cell>
          <cell r="C109">
            <v>40724</v>
          </cell>
        </row>
        <row r="110">
          <cell r="B110">
            <v>40703</v>
          </cell>
          <cell r="C110">
            <v>40724</v>
          </cell>
        </row>
        <row r="111">
          <cell r="B111">
            <v>40704</v>
          </cell>
          <cell r="C111">
            <v>40724</v>
          </cell>
        </row>
        <row r="112">
          <cell r="B112">
            <v>40707</v>
          </cell>
          <cell r="C112">
            <v>40724</v>
          </cell>
        </row>
        <row r="113">
          <cell r="B113">
            <v>40708</v>
          </cell>
          <cell r="C113">
            <v>40724</v>
          </cell>
        </row>
        <row r="114">
          <cell r="B114">
            <v>40709</v>
          </cell>
          <cell r="C114">
            <v>40724</v>
          </cell>
        </row>
        <row r="115">
          <cell r="B115">
            <v>40710</v>
          </cell>
          <cell r="C115">
            <v>40724</v>
          </cell>
        </row>
        <row r="116">
          <cell r="B116">
            <v>40711</v>
          </cell>
          <cell r="C116">
            <v>40724</v>
          </cell>
        </row>
        <row r="117">
          <cell r="B117">
            <v>40714</v>
          </cell>
          <cell r="C117">
            <v>40724</v>
          </cell>
        </row>
        <row r="118">
          <cell r="B118">
            <v>40715</v>
          </cell>
          <cell r="C118">
            <v>40724</v>
          </cell>
        </row>
        <row r="119">
          <cell r="B119">
            <v>40716</v>
          </cell>
          <cell r="C119">
            <v>40724</v>
          </cell>
        </row>
        <row r="120">
          <cell r="B120">
            <v>40717</v>
          </cell>
          <cell r="C120">
            <v>40724</v>
          </cell>
        </row>
        <row r="121">
          <cell r="B121">
            <v>40718</v>
          </cell>
          <cell r="C121">
            <v>40724</v>
          </cell>
        </row>
        <row r="122">
          <cell r="B122">
            <v>40721</v>
          </cell>
          <cell r="C122">
            <v>40724</v>
          </cell>
        </row>
        <row r="123">
          <cell r="B123">
            <v>40722</v>
          </cell>
          <cell r="C123">
            <v>40724</v>
          </cell>
        </row>
        <row r="124">
          <cell r="B124">
            <v>40723</v>
          </cell>
          <cell r="C124">
            <v>40724</v>
          </cell>
        </row>
        <row r="125">
          <cell r="B125">
            <v>40724</v>
          </cell>
          <cell r="C125">
            <v>40724</v>
          </cell>
        </row>
        <row r="126">
          <cell r="B126">
            <v>40725</v>
          </cell>
          <cell r="C126">
            <v>40752</v>
          </cell>
        </row>
        <row r="127">
          <cell r="B127">
            <v>40728</v>
          </cell>
          <cell r="C127">
            <v>40752</v>
          </cell>
        </row>
        <row r="128">
          <cell r="B128">
            <v>40729</v>
          </cell>
          <cell r="C128">
            <v>40752</v>
          </cell>
        </row>
        <row r="129">
          <cell r="B129">
            <v>40730</v>
          </cell>
          <cell r="C129">
            <v>40752</v>
          </cell>
        </row>
        <row r="130">
          <cell r="B130">
            <v>40731</v>
          </cell>
          <cell r="C130">
            <v>40752</v>
          </cell>
        </row>
        <row r="131">
          <cell r="B131">
            <v>40732</v>
          </cell>
          <cell r="C131">
            <v>40752</v>
          </cell>
        </row>
        <row r="132">
          <cell r="B132">
            <v>40735</v>
          </cell>
          <cell r="C132">
            <v>40752</v>
          </cell>
        </row>
        <row r="133">
          <cell r="B133">
            <v>40736</v>
          </cell>
          <cell r="C133">
            <v>40752</v>
          </cell>
        </row>
        <row r="134">
          <cell r="B134">
            <v>40737</v>
          </cell>
          <cell r="C134">
            <v>40752</v>
          </cell>
        </row>
        <row r="135">
          <cell r="B135">
            <v>40738</v>
          </cell>
          <cell r="C135">
            <v>40752</v>
          </cell>
        </row>
        <row r="136">
          <cell r="B136">
            <v>40739</v>
          </cell>
          <cell r="C136">
            <v>40752</v>
          </cell>
        </row>
        <row r="137">
          <cell r="B137">
            <v>40742</v>
          </cell>
          <cell r="C137">
            <v>40752</v>
          </cell>
        </row>
        <row r="138">
          <cell r="B138">
            <v>40743</v>
          </cell>
          <cell r="C138">
            <v>40752</v>
          </cell>
        </row>
        <row r="139">
          <cell r="B139">
            <v>40744</v>
          </cell>
          <cell r="C139">
            <v>40752</v>
          </cell>
        </row>
        <row r="140">
          <cell r="B140">
            <v>40745</v>
          </cell>
          <cell r="C140">
            <v>40752</v>
          </cell>
        </row>
        <row r="141">
          <cell r="B141">
            <v>40746</v>
          </cell>
          <cell r="C141">
            <v>40752</v>
          </cell>
        </row>
        <row r="142">
          <cell r="B142">
            <v>40749</v>
          </cell>
          <cell r="C142">
            <v>40752</v>
          </cell>
        </row>
        <row r="143">
          <cell r="B143">
            <v>40750</v>
          </cell>
          <cell r="C143">
            <v>40752</v>
          </cell>
        </row>
        <row r="144">
          <cell r="B144">
            <v>40751</v>
          </cell>
          <cell r="C144">
            <v>40752</v>
          </cell>
        </row>
        <row r="145">
          <cell r="B145">
            <v>40752</v>
          </cell>
          <cell r="C145">
            <v>40752</v>
          </cell>
        </row>
        <row r="146">
          <cell r="B146">
            <v>40753</v>
          </cell>
          <cell r="C146">
            <v>40780</v>
          </cell>
        </row>
        <row r="147">
          <cell r="B147">
            <v>40756</v>
          </cell>
          <cell r="C147">
            <v>40780</v>
          </cell>
        </row>
        <row r="148">
          <cell r="B148">
            <v>40757</v>
          </cell>
          <cell r="C148">
            <v>40780</v>
          </cell>
        </row>
        <row r="149">
          <cell r="B149">
            <v>40758</v>
          </cell>
          <cell r="C149">
            <v>40780</v>
          </cell>
        </row>
        <row r="150">
          <cell r="B150">
            <v>40759</v>
          </cell>
          <cell r="C150">
            <v>40780</v>
          </cell>
        </row>
        <row r="151">
          <cell r="B151">
            <v>40760</v>
          </cell>
          <cell r="C151">
            <v>40780</v>
          </cell>
        </row>
        <row r="152">
          <cell r="B152">
            <v>40763</v>
          </cell>
          <cell r="C152">
            <v>40780</v>
          </cell>
        </row>
        <row r="153">
          <cell r="B153">
            <v>40764</v>
          </cell>
          <cell r="C153">
            <v>40780</v>
          </cell>
        </row>
        <row r="154">
          <cell r="B154">
            <v>40765</v>
          </cell>
          <cell r="C154">
            <v>40780</v>
          </cell>
        </row>
        <row r="155">
          <cell r="B155">
            <v>40766</v>
          </cell>
          <cell r="C155">
            <v>40780</v>
          </cell>
        </row>
        <row r="156">
          <cell r="B156">
            <v>40767</v>
          </cell>
          <cell r="C156">
            <v>40780</v>
          </cell>
        </row>
        <row r="157">
          <cell r="B157">
            <v>40771</v>
          </cell>
          <cell r="C157">
            <v>40780</v>
          </cell>
        </row>
        <row r="158">
          <cell r="B158">
            <v>40772</v>
          </cell>
          <cell r="C158">
            <v>40780</v>
          </cell>
        </row>
        <row r="159">
          <cell r="B159">
            <v>40773</v>
          </cell>
          <cell r="C159">
            <v>40780</v>
          </cell>
        </row>
        <row r="160">
          <cell r="B160">
            <v>40774</v>
          </cell>
          <cell r="C160">
            <v>40780</v>
          </cell>
        </row>
        <row r="161">
          <cell r="B161">
            <v>40777</v>
          </cell>
          <cell r="C161">
            <v>40780</v>
          </cell>
        </row>
        <row r="162">
          <cell r="B162">
            <v>40778</v>
          </cell>
          <cell r="C162">
            <v>40780</v>
          </cell>
        </row>
        <row r="163">
          <cell r="B163">
            <v>40779</v>
          </cell>
          <cell r="C163">
            <v>40780</v>
          </cell>
        </row>
        <row r="164">
          <cell r="B164">
            <v>40780</v>
          </cell>
          <cell r="C164">
            <v>40780</v>
          </cell>
        </row>
        <row r="165">
          <cell r="B165">
            <v>40781</v>
          </cell>
          <cell r="C165">
            <v>40815</v>
          </cell>
        </row>
        <row r="166">
          <cell r="B166">
            <v>40784</v>
          </cell>
          <cell r="C166">
            <v>40815</v>
          </cell>
        </row>
        <row r="167">
          <cell r="B167">
            <v>40785</v>
          </cell>
          <cell r="C167">
            <v>40815</v>
          </cell>
        </row>
        <row r="168">
          <cell r="B168">
            <v>40788</v>
          </cell>
          <cell r="C168">
            <v>40815</v>
          </cell>
        </row>
        <row r="169">
          <cell r="B169">
            <v>40791</v>
          </cell>
          <cell r="C169">
            <v>40815</v>
          </cell>
        </row>
        <row r="170">
          <cell r="B170">
            <v>40792</v>
          </cell>
          <cell r="C170">
            <v>40815</v>
          </cell>
        </row>
        <row r="171">
          <cell r="B171">
            <v>40793</v>
          </cell>
          <cell r="C171">
            <v>40815</v>
          </cell>
        </row>
        <row r="172">
          <cell r="B172">
            <v>40794</v>
          </cell>
          <cell r="C172">
            <v>40815</v>
          </cell>
        </row>
        <row r="173">
          <cell r="B173">
            <v>40795</v>
          </cell>
          <cell r="C173">
            <v>40815</v>
          </cell>
        </row>
        <row r="174">
          <cell r="B174">
            <v>40798</v>
          </cell>
          <cell r="C174">
            <v>40815</v>
          </cell>
        </row>
        <row r="175">
          <cell r="B175">
            <v>40799</v>
          </cell>
          <cell r="C175">
            <v>40815</v>
          </cell>
        </row>
        <row r="176">
          <cell r="B176">
            <v>40800</v>
          </cell>
          <cell r="C176">
            <v>40815</v>
          </cell>
        </row>
        <row r="177">
          <cell r="B177">
            <v>40801</v>
          </cell>
          <cell r="C177">
            <v>40815</v>
          </cell>
        </row>
        <row r="178">
          <cell r="B178">
            <v>40802</v>
          </cell>
          <cell r="C178">
            <v>40815</v>
          </cell>
        </row>
        <row r="179">
          <cell r="B179">
            <v>40805</v>
          </cell>
          <cell r="C179">
            <v>40815</v>
          </cell>
        </row>
        <row r="180">
          <cell r="B180">
            <v>40806</v>
          </cell>
          <cell r="C180">
            <v>40815</v>
          </cell>
        </row>
        <row r="181">
          <cell r="B181">
            <v>40807</v>
          </cell>
          <cell r="C181">
            <v>40815</v>
          </cell>
        </row>
        <row r="182">
          <cell r="B182">
            <v>40808</v>
          </cell>
          <cell r="C182">
            <v>40815</v>
          </cell>
        </row>
        <row r="183">
          <cell r="B183">
            <v>40809</v>
          </cell>
          <cell r="C183">
            <v>40815</v>
          </cell>
        </row>
        <row r="184">
          <cell r="B184">
            <v>40812</v>
          </cell>
          <cell r="C184">
            <v>40815</v>
          </cell>
        </row>
        <row r="185">
          <cell r="B185">
            <v>40813</v>
          </cell>
          <cell r="C185">
            <v>40815</v>
          </cell>
        </row>
        <row r="186">
          <cell r="B186">
            <v>40814</v>
          </cell>
          <cell r="C186">
            <v>40815</v>
          </cell>
        </row>
        <row r="187">
          <cell r="B187">
            <v>40815</v>
          </cell>
          <cell r="C187">
            <v>40815</v>
          </cell>
        </row>
        <row r="188">
          <cell r="B188">
            <v>40816</v>
          </cell>
          <cell r="C188">
            <v>40841</v>
          </cell>
        </row>
        <row r="189">
          <cell r="B189">
            <v>40819</v>
          </cell>
          <cell r="C189">
            <v>40841</v>
          </cell>
        </row>
        <row r="190">
          <cell r="B190">
            <v>40820</v>
          </cell>
          <cell r="C190">
            <v>40841</v>
          </cell>
        </row>
        <row r="191">
          <cell r="B191">
            <v>40821</v>
          </cell>
          <cell r="C191">
            <v>40841</v>
          </cell>
        </row>
        <row r="192">
          <cell r="B192">
            <v>40823</v>
          </cell>
          <cell r="C192">
            <v>40841</v>
          </cell>
        </row>
        <row r="193">
          <cell r="B193">
            <v>40826</v>
          </cell>
          <cell r="C193">
            <v>40841</v>
          </cell>
        </row>
        <row r="194">
          <cell r="B194">
            <v>40827</v>
          </cell>
          <cell r="C194">
            <v>40841</v>
          </cell>
        </row>
        <row r="195">
          <cell r="B195">
            <v>40828</v>
          </cell>
          <cell r="C195">
            <v>40841</v>
          </cell>
        </row>
        <row r="196">
          <cell r="B196">
            <v>40829</v>
          </cell>
          <cell r="C196">
            <v>40841</v>
          </cell>
        </row>
        <row r="197">
          <cell r="B197">
            <v>40830</v>
          </cell>
          <cell r="C197">
            <v>40841</v>
          </cell>
        </row>
        <row r="198">
          <cell r="B198">
            <v>40833</v>
          </cell>
          <cell r="C198">
            <v>40841</v>
          </cell>
        </row>
        <row r="199">
          <cell r="B199">
            <v>40834</v>
          </cell>
          <cell r="C199">
            <v>40841</v>
          </cell>
        </row>
        <row r="200">
          <cell r="B200">
            <v>40835</v>
          </cell>
          <cell r="C200">
            <v>40841</v>
          </cell>
        </row>
        <row r="201">
          <cell r="B201">
            <v>40836</v>
          </cell>
          <cell r="C201">
            <v>40841</v>
          </cell>
        </row>
        <row r="202">
          <cell r="B202">
            <v>40837</v>
          </cell>
          <cell r="C202">
            <v>40841</v>
          </cell>
        </row>
        <row r="203">
          <cell r="B203">
            <v>40840</v>
          </cell>
          <cell r="C203">
            <v>40841</v>
          </cell>
        </row>
        <row r="204">
          <cell r="B204">
            <v>40841</v>
          </cell>
          <cell r="C204">
            <v>40841</v>
          </cell>
        </row>
        <row r="205">
          <cell r="B205">
            <v>40842</v>
          </cell>
          <cell r="C205">
            <v>40871</v>
          </cell>
        </row>
        <row r="206">
          <cell r="B206">
            <v>40844</v>
          </cell>
          <cell r="C206">
            <v>40871</v>
          </cell>
        </row>
        <row r="207">
          <cell r="B207">
            <v>40847</v>
          </cell>
          <cell r="C207">
            <v>40871</v>
          </cell>
        </row>
        <row r="208">
          <cell r="B208">
            <v>40848</v>
          </cell>
          <cell r="C208">
            <v>40871</v>
          </cell>
        </row>
        <row r="209">
          <cell r="B209">
            <v>40849</v>
          </cell>
          <cell r="C209">
            <v>40871</v>
          </cell>
        </row>
        <row r="210">
          <cell r="B210">
            <v>40850</v>
          </cell>
          <cell r="C210">
            <v>40871</v>
          </cell>
        </row>
        <row r="211">
          <cell r="B211">
            <v>40851</v>
          </cell>
          <cell r="C211">
            <v>40871</v>
          </cell>
        </row>
        <row r="212">
          <cell r="B212">
            <v>40855</v>
          </cell>
          <cell r="C212">
            <v>40871</v>
          </cell>
        </row>
        <row r="213">
          <cell r="B213">
            <v>40856</v>
          </cell>
          <cell r="C213">
            <v>40871</v>
          </cell>
        </row>
        <row r="214">
          <cell r="B214">
            <v>40858</v>
          </cell>
          <cell r="C214">
            <v>40871</v>
          </cell>
        </row>
        <row r="215">
          <cell r="B215">
            <v>40861</v>
          </cell>
          <cell r="C215">
            <v>40871</v>
          </cell>
        </row>
        <row r="216">
          <cell r="B216">
            <v>40862</v>
          </cell>
          <cell r="C216">
            <v>40871</v>
          </cell>
        </row>
        <row r="217">
          <cell r="B217">
            <v>40863</v>
          </cell>
          <cell r="C217">
            <v>40871</v>
          </cell>
        </row>
        <row r="218">
          <cell r="B218">
            <v>40864</v>
          </cell>
          <cell r="C218">
            <v>40871</v>
          </cell>
        </row>
        <row r="219">
          <cell r="B219">
            <v>40865</v>
          </cell>
          <cell r="C219">
            <v>40871</v>
          </cell>
        </row>
        <row r="220">
          <cell r="B220">
            <v>40868</v>
          </cell>
          <cell r="C220">
            <v>40871</v>
          </cell>
        </row>
        <row r="221">
          <cell r="B221">
            <v>40869</v>
          </cell>
          <cell r="C221">
            <v>40871</v>
          </cell>
        </row>
        <row r="222">
          <cell r="B222">
            <v>40870</v>
          </cell>
          <cell r="C222">
            <v>40871</v>
          </cell>
        </row>
        <row r="223">
          <cell r="B223">
            <v>40871</v>
          </cell>
          <cell r="C223">
            <v>40871</v>
          </cell>
        </row>
        <row r="224">
          <cell r="B224">
            <v>40872</v>
          </cell>
          <cell r="C224">
            <v>40906</v>
          </cell>
        </row>
        <row r="225">
          <cell r="B225">
            <v>40875</v>
          </cell>
          <cell r="C225">
            <v>40906</v>
          </cell>
        </row>
        <row r="226">
          <cell r="B226">
            <v>40876</v>
          </cell>
          <cell r="C226">
            <v>40906</v>
          </cell>
        </row>
        <row r="227">
          <cell r="B227">
            <v>40877</v>
          </cell>
          <cell r="C227">
            <v>40906</v>
          </cell>
        </row>
        <row r="228">
          <cell r="B228">
            <v>40878</v>
          </cell>
          <cell r="C228">
            <v>40906</v>
          </cell>
        </row>
        <row r="229">
          <cell r="B229">
            <v>40879</v>
          </cell>
          <cell r="C229">
            <v>40906</v>
          </cell>
        </row>
        <row r="230">
          <cell r="B230">
            <v>40882</v>
          </cell>
          <cell r="C230">
            <v>40906</v>
          </cell>
        </row>
        <row r="231">
          <cell r="B231">
            <v>40884</v>
          </cell>
          <cell r="C231">
            <v>40906</v>
          </cell>
        </row>
        <row r="232">
          <cell r="B232">
            <v>40885</v>
          </cell>
          <cell r="C232">
            <v>40906</v>
          </cell>
        </row>
        <row r="233">
          <cell r="B233">
            <v>40886</v>
          </cell>
          <cell r="C233">
            <v>40906</v>
          </cell>
        </row>
        <row r="234">
          <cell r="B234">
            <v>40889</v>
          </cell>
          <cell r="C234">
            <v>40906</v>
          </cell>
        </row>
        <row r="235">
          <cell r="B235">
            <v>40890</v>
          </cell>
          <cell r="C235">
            <v>40906</v>
          </cell>
        </row>
        <row r="236">
          <cell r="B236">
            <v>40891</v>
          </cell>
          <cell r="C236">
            <v>40906</v>
          </cell>
        </row>
        <row r="237">
          <cell r="B237">
            <v>40892</v>
          </cell>
          <cell r="C237">
            <v>40906</v>
          </cell>
        </row>
        <row r="238">
          <cell r="B238">
            <v>40893</v>
          </cell>
          <cell r="C238">
            <v>40906</v>
          </cell>
        </row>
        <row r="239">
          <cell r="B239">
            <v>40896</v>
          </cell>
          <cell r="C239">
            <v>40906</v>
          </cell>
        </row>
        <row r="240">
          <cell r="B240">
            <v>40897</v>
          </cell>
          <cell r="C240">
            <v>40906</v>
          </cell>
        </row>
        <row r="241">
          <cell r="B241">
            <v>40898</v>
          </cell>
          <cell r="C241">
            <v>40906</v>
          </cell>
        </row>
        <row r="242">
          <cell r="B242">
            <v>40899</v>
          </cell>
          <cell r="C242">
            <v>40906</v>
          </cell>
        </row>
        <row r="243">
          <cell r="B243">
            <v>40900</v>
          </cell>
          <cell r="C243">
            <v>40906</v>
          </cell>
        </row>
        <row r="244">
          <cell r="B244">
            <v>40903</v>
          </cell>
          <cell r="C244">
            <v>40906</v>
          </cell>
        </row>
        <row r="245">
          <cell r="B245">
            <v>40904</v>
          </cell>
          <cell r="C245">
            <v>40906</v>
          </cell>
        </row>
        <row r="246">
          <cell r="B246">
            <v>40905</v>
          </cell>
          <cell r="C246">
            <v>40906</v>
          </cell>
        </row>
        <row r="247">
          <cell r="B247">
            <v>40906</v>
          </cell>
          <cell r="C247">
            <v>40906</v>
          </cell>
        </row>
        <row r="248">
          <cell r="B248">
            <v>40907</v>
          </cell>
          <cell r="C248">
            <v>40933</v>
          </cell>
        </row>
        <row r="249">
          <cell r="B249">
            <v>40910</v>
          </cell>
          <cell r="C249">
            <v>40933</v>
          </cell>
        </row>
        <row r="250">
          <cell r="B250">
            <v>40911</v>
          </cell>
          <cell r="C250">
            <v>40933</v>
          </cell>
        </row>
        <row r="251">
          <cell r="B251">
            <v>40912</v>
          </cell>
          <cell r="C251">
            <v>40933</v>
          </cell>
        </row>
        <row r="252">
          <cell r="B252">
            <v>40913</v>
          </cell>
          <cell r="C252">
            <v>40933</v>
          </cell>
        </row>
        <row r="253">
          <cell r="B253">
            <v>40914</v>
          </cell>
          <cell r="C253">
            <v>40933</v>
          </cell>
        </row>
        <row r="254">
          <cell r="B254">
            <v>40915</v>
          </cell>
          <cell r="C254">
            <v>40933</v>
          </cell>
        </row>
        <row r="255">
          <cell r="B255">
            <v>40917</v>
          </cell>
          <cell r="C255">
            <v>40933</v>
          </cell>
        </row>
        <row r="256">
          <cell r="B256">
            <v>40918</v>
          </cell>
          <cell r="C256">
            <v>40933</v>
          </cell>
        </row>
        <row r="257">
          <cell r="B257">
            <v>40919</v>
          </cell>
          <cell r="C257">
            <v>40933</v>
          </cell>
        </row>
        <row r="258">
          <cell r="B258">
            <v>40920</v>
          </cell>
          <cell r="C258">
            <v>40933</v>
          </cell>
        </row>
        <row r="259">
          <cell r="B259">
            <v>40921</v>
          </cell>
          <cell r="C259">
            <v>40933</v>
          </cell>
        </row>
        <row r="260">
          <cell r="B260">
            <v>40924</v>
          </cell>
          <cell r="C260">
            <v>40933</v>
          </cell>
        </row>
        <row r="261">
          <cell r="B261">
            <v>40925</v>
          </cell>
          <cell r="C261">
            <v>40933</v>
          </cell>
        </row>
        <row r="262">
          <cell r="B262">
            <v>40926</v>
          </cell>
          <cell r="C262">
            <v>40933</v>
          </cell>
        </row>
        <row r="263">
          <cell r="B263">
            <v>40927</v>
          </cell>
          <cell r="C263">
            <v>40933</v>
          </cell>
        </row>
        <row r="264">
          <cell r="B264">
            <v>40928</v>
          </cell>
          <cell r="C264">
            <v>40933</v>
          </cell>
        </row>
        <row r="265">
          <cell r="B265">
            <v>40931</v>
          </cell>
          <cell r="C265">
            <v>40933</v>
          </cell>
        </row>
        <row r="266">
          <cell r="B266">
            <v>40932</v>
          </cell>
          <cell r="C266">
            <v>40933</v>
          </cell>
        </row>
        <row r="267">
          <cell r="B267">
            <v>40933</v>
          </cell>
          <cell r="C267">
            <v>40933</v>
          </cell>
        </row>
        <row r="268">
          <cell r="B268">
            <v>40935</v>
          </cell>
          <cell r="C268">
            <v>40962</v>
          </cell>
        </row>
        <row r="269">
          <cell r="B269">
            <v>40938</v>
          </cell>
          <cell r="C269">
            <v>40962</v>
          </cell>
        </row>
        <row r="270">
          <cell r="B270">
            <v>40939</v>
          </cell>
          <cell r="C270">
            <v>40962</v>
          </cell>
        </row>
        <row r="271">
          <cell r="B271">
            <v>40940</v>
          </cell>
          <cell r="C271">
            <v>40962</v>
          </cell>
        </row>
        <row r="272">
          <cell r="B272">
            <v>40941</v>
          </cell>
          <cell r="C272">
            <v>40962</v>
          </cell>
        </row>
        <row r="273">
          <cell r="B273">
            <v>40942</v>
          </cell>
          <cell r="C273">
            <v>40962</v>
          </cell>
        </row>
        <row r="274">
          <cell r="B274">
            <v>40945</v>
          </cell>
          <cell r="C274">
            <v>40962</v>
          </cell>
        </row>
        <row r="275">
          <cell r="B275">
            <v>40946</v>
          </cell>
          <cell r="C275">
            <v>40962</v>
          </cell>
        </row>
        <row r="276">
          <cell r="B276">
            <v>40947</v>
          </cell>
          <cell r="C276">
            <v>40962</v>
          </cell>
        </row>
        <row r="277">
          <cell r="B277">
            <v>40948</v>
          </cell>
          <cell r="C277">
            <v>40962</v>
          </cell>
        </row>
        <row r="278">
          <cell r="B278">
            <v>40949</v>
          </cell>
          <cell r="C278">
            <v>40962</v>
          </cell>
        </row>
        <row r="279">
          <cell r="B279">
            <v>40952</v>
          </cell>
          <cell r="C279">
            <v>40962</v>
          </cell>
        </row>
        <row r="280">
          <cell r="B280">
            <v>40953</v>
          </cell>
          <cell r="C280">
            <v>40962</v>
          </cell>
        </row>
        <row r="281">
          <cell r="B281">
            <v>40954</v>
          </cell>
          <cell r="C281">
            <v>40962</v>
          </cell>
        </row>
        <row r="282">
          <cell r="B282">
            <v>40955</v>
          </cell>
          <cell r="C282">
            <v>40962</v>
          </cell>
        </row>
        <row r="283">
          <cell r="B283">
            <v>40956</v>
          </cell>
          <cell r="C283">
            <v>40962</v>
          </cell>
        </row>
        <row r="284">
          <cell r="B284">
            <v>40960</v>
          </cell>
          <cell r="C284">
            <v>40962</v>
          </cell>
        </row>
        <row r="285">
          <cell r="B285">
            <v>40961</v>
          </cell>
          <cell r="C285">
            <v>40962</v>
          </cell>
        </row>
        <row r="286">
          <cell r="B286">
            <v>40962</v>
          </cell>
          <cell r="C286">
            <v>40962</v>
          </cell>
        </row>
        <row r="287">
          <cell r="B287">
            <v>40963</v>
          </cell>
          <cell r="C287">
            <v>40997</v>
          </cell>
        </row>
        <row r="288">
          <cell r="B288">
            <v>40966</v>
          </cell>
          <cell r="C288">
            <v>40997</v>
          </cell>
        </row>
        <row r="289">
          <cell r="B289">
            <v>40967</v>
          </cell>
          <cell r="C289">
            <v>40997</v>
          </cell>
        </row>
        <row r="290">
          <cell r="B290">
            <v>40968</v>
          </cell>
          <cell r="C290">
            <v>40997</v>
          </cell>
        </row>
        <row r="291">
          <cell r="B291">
            <v>40969</v>
          </cell>
          <cell r="C291">
            <v>40997</v>
          </cell>
        </row>
        <row r="292">
          <cell r="B292">
            <v>40970</v>
          </cell>
          <cell r="C292">
            <v>40997</v>
          </cell>
        </row>
        <row r="293">
          <cell r="B293">
            <v>40971</v>
          </cell>
          <cell r="C293">
            <v>40997</v>
          </cell>
        </row>
        <row r="294">
          <cell r="B294">
            <v>40973</v>
          </cell>
          <cell r="C294">
            <v>40997</v>
          </cell>
        </row>
        <row r="295">
          <cell r="B295">
            <v>40974</v>
          </cell>
          <cell r="C295">
            <v>40997</v>
          </cell>
        </row>
        <row r="296">
          <cell r="B296">
            <v>40975</v>
          </cell>
          <cell r="C296">
            <v>40997</v>
          </cell>
        </row>
        <row r="297">
          <cell r="B297">
            <v>40977</v>
          </cell>
          <cell r="C297">
            <v>40997</v>
          </cell>
        </row>
        <row r="298">
          <cell r="B298">
            <v>40980</v>
          </cell>
          <cell r="C298">
            <v>40997</v>
          </cell>
        </row>
        <row r="299">
          <cell r="B299">
            <v>40981</v>
          </cell>
          <cell r="C299">
            <v>40997</v>
          </cell>
        </row>
        <row r="300">
          <cell r="B300">
            <v>40982</v>
          </cell>
          <cell r="C300">
            <v>40997</v>
          </cell>
        </row>
        <row r="301">
          <cell r="B301">
            <v>40983</v>
          </cell>
          <cell r="C301">
            <v>40997</v>
          </cell>
        </row>
        <row r="302">
          <cell r="B302">
            <v>40984</v>
          </cell>
          <cell r="C302">
            <v>40997</v>
          </cell>
        </row>
        <row r="303">
          <cell r="B303">
            <v>40987</v>
          </cell>
          <cell r="C303">
            <v>40997</v>
          </cell>
        </row>
        <row r="304">
          <cell r="B304">
            <v>40988</v>
          </cell>
          <cell r="C304">
            <v>40997</v>
          </cell>
        </row>
        <row r="305">
          <cell r="B305">
            <v>40989</v>
          </cell>
          <cell r="C305">
            <v>40997</v>
          </cell>
        </row>
        <row r="306">
          <cell r="B306">
            <v>40990</v>
          </cell>
          <cell r="C306">
            <v>40997</v>
          </cell>
        </row>
        <row r="307">
          <cell r="B307">
            <v>40991</v>
          </cell>
          <cell r="C307">
            <v>40997</v>
          </cell>
        </row>
        <row r="308">
          <cell r="B308">
            <v>40994</v>
          </cell>
          <cell r="C308">
            <v>40997</v>
          </cell>
        </row>
        <row r="309">
          <cell r="B309">
            <v>40995</v>
          </cell>
          <cell r="C309">
            <v>40997</v>
          </cell>
        </row>
        <row r="310">
          <cell r="B310">
            <v>40996</v>
          </cell>
          <cell r="C310">
            <v>40997</v>
          </cell>
        </row>
        <row r="311">
          <cell r="B311">
            <v>40997</v>
          </cell>
          <cell r="C311">
            <v>40997</v>
          </cell>
        </row>
        <row r="312">
          <cell r="B312">
            <v>40998</v>
          </cell>
          <cell r="C312">
            <v>41025</v>
          </cell>
        </row>
        <row r="313">
          <cell r="B313">
            <v>41001</v>
          </cell>
          <cell r="C313">
            <v>41025</v>
          </cell>
        </row>
        <row r="314">
          <cell r="B314">
            <v>41002</v>
          </cell>
          <cell r="C314">
            <v>41025</v>
          </cell>
        </row>
        <row r="315">
          <cell r="B315">
            <v>41003</v>
          </cell>
          <cell r="C315">
            <v>41025</v>
          </cell>
        </row>
        <row r="316">
          <cell r="B316">
            <v>41008</v>
          </cell>
          <cell r="C316">
            <v>41025</v>
          </cell>
        </row>
        <row r="317">
          <cell r="B317">
            <v>41009</v>
          </cell>
          <cell r="C317">
            <v>41025</v>
          </cell>
        </row>
        <row r="318">
          <cell r="B318">
            <v>41010</v>
          </cell>
          <cell r="C318">
            <v>41025</v>
          </cell>
        </row>
        <row r="319">
          <cell r="B319">
            <v>41011</v>
          </cell>
          <cell r="C319">
            <v>41025</v>
          </cell>
        </row>
        <row r="320">
          <cell r="B320">
            <v>41012</v>
          </cell>
          <cell r="C320">
            <v>41025</v>
          </cell>
        </row>
        <row r="321">
          <cell r="B321">
            <v>41015</v>
          </cell>
          <cell r="C321">
            <v>41025</v>
          </cell>
        </row>
        <row r="322">
          <cell r="B322">
            <v>41016</v>
          </cell>
          <cell r="C322">
            <v>41025</v>
          </cell>
        </row>
        <row r="323">
          <cell r="B323">
            <v>41017</v>
          </cell>
          <cell r="C323">
            <v>41025</v>
          </cell>
        </row>
        <row r="324">
          <cell r="B324">
            <v>41018</v>
          </cell>
          <cell r="C324">
            <v>41025</v>
          </cell>
        </row>
        <row r="325">
          <cell r="B325">
            <v>41019</v>
          </cell>
          <cell r="C325">
            <v>41025</v>
          </cell>
        </row>
        <row r="326">
          <cell r="B326">
            <v>41022</v>
          </cell>
          <cell r="C326">
            <v>41025</v>
          </cell>
        </row>
        <row r="327">
          <cell r="B327">
            <v>41023</v>
          </cell>
          <cell r="C327">
            <v>41025</v>
          </cell>
        </row>
        <row r="328">
          <cell r="B328">
            <v>41024</v>
          </cell>
          <cell r="C328">
            <v>41025</v>
          </cell>
        </row>
        <row r="329">
          <cell r="B329">
            <v>41025</v>
          </cell>
          <cell r="C329">
            <v>41025</v>
          </cell>
        </row>
        <row r="330">
          <cell r="B330">
            <v>41026</v>
          </cell>
          <cell r="C330">
            <v>41060</v>
          </cell>
        </row>
        <row r="331">
          <cell r="B331">
            <v>41027</v>
          </cell>
          <cell r="C331">
            <v>41060</v>
          </cell>
        </row>
        <row r="332">
          <cell r="B332">
            <v>41029</v>
          </cell>
          <cell r="C332">
            <v>41060</v>
          </cell>
        </row>
        <row r="333">
          <cell r="B333">
            <v>41031</v>
          </cell>
          <cell r="C333">
            <v>41060</v>
          </cell>
        </row>
        <row r="334">
          <cell r="B334">
            <v>41032</v>
          </cell>
          <cell r="C334">
            <v>41060</v>
          </cell>
        </row>
        <row r="335">
          <cell r="B335">
            <v>41033</v>
          </cell>
          <cell r="C335">
            <v>41060</v>
          </cell>
        </row>
        <row r="336">
          <cell r="B336">
            <v>41036</v>
          </cell>
          <cell r="C336">
            <v>41060</v>
          </cell>
        </row>
        <row r="337">
          <cell r="B337">
            <v>41037</v>
          </cell>
          <cell r="C337">
            <v>41060</v>
          </cell>
        </row>
        <row r="338">
          <cell r="B338">
            <v>41038</v>
          </cell>
          <cell r="C338">
            <v>41060</v>
          </cell>
        </row>
        <row r="339">
          <cell r="B339">
            <v>41039</v>
          </cell>
          <cell r="C339">
            <v>41060</v>
          </cell>
        </row>
        <row r="340">
          <cell r="B340">
            <v>41040</v>
          </cell>
          <cell r="C340">
            <v>41060</v>
          </cell>
        </row>
        <row r="341">
          <cell r="B341">
            <v>41043</v>
          </cell>
          <cell r="C341">
            <v>41060</v>
          </cell>
        </row>
        <row r="342">
          <cell r="B342">
            <v>41044</v>
          </cell>
          <cell r="C342">
            <v>41060</v>
          </cell>
        </row>
        <row r="343">
          <cell r="B343">
            <v>41045</v>
          </cell>
          <cell r="C343">
            <v>41060</v>
          </cell>
        </row>
        <row r="344">
          <cell r="B344">
            <v>41046</v>
          </cell>
          <cell r="C344">
            <v>41060</v>
          </cell>
        </row>
        <row r="345">
          <cell r="B345">
            <v>41047</v>
          </cell>
          <cell r="C345">
            <v>41060</v>
          </cell>
        </row>
        <row r="346">
          <cell r="B346">
            <v>41050</v>
          </cell>
          <cell r="C346">
            <v>41060</v>
          </cell>
        </row>
        <row r="347">
          <cell r="B347">
            <v>41051</v>
          </cell>
          <cell r="C347">
            <v>41060</v>
          </cell>
        </row>
        <row r="348">
          <cell r="B348">
            <v>41052</v>
          </cell>
          <cell r="C348">
            <v>41060</v>
          </cell>
        </row>
        <row r="349">
          <cell r="B349">
            <v>41053</v>
          </cell>
          <cell r="C349">
            <v>41060</v>
          </cell>
        </row>
        <row r="350">
          <cell r="B350">
            <v>41054</v>
          </cell>
          <cell r="C350">
            <v>41060</v>
          </cell>
        </row>
        <row r="351">
          <cell r="B351">
            <v>41057</v>
          </cell>
          <cell r="C351">
            <v>41060</v>
          </cell>
        </row>
        <row r="352">
          <cell r="B352">
            <v>41058</v>
          </cell>
          <cell r="C352">
            <v>41060</v>
          </cell>
        </row>
        <row r="353">
          <cell r="B353">
            <v>41059</v>
          </cell>
          <cell r="C353">
            <v>41060</v>
          </cell>
        </row>
        <row r="354">
          <cell r="B354">
            <v>41060</v>
          </cell>
          <cell r="C354">
            <v>41060</v>
          </cell>
        </row>
        <row r="355">
          <cell r="B355">
            <v>41061</v>
          </cell>
          <cell r="C355">
            <v>41088</v>
          </cell>
        </row>
        <row r="356">
          <cell r="B356">
            <v>41064</v>
          </cell>
          <cell r="C356">
            <v>41088</v>
          </cell>
        </row>
        <row r="357">
          <cell r="B357">
            <v>41065</v>
          </cell>
          <cell r="C357">
            <v>41088</v>
          </cell>
        </row>
        <row r="358">
          <cell r="B358">
            <v>41066</v>
          </cell>
          <cell r="C358">
            <v>41088</v>
          </cell>
        </row>
        <row r="359">
          <cell r="B359">
            <v>41067</v>
          </cell>
          <cell r="C359">
            <v>41088</v>
          </cell>
        </row>
        <row r="360">
          <cell r="B360">
            <v>41068</v>
          </cell>
          <cell r="C360">
            <v>41088</v>
          </cell>
        </row>
        <row r="361">
          <cell r="B361">
            <v>41071</v>
          </cell>
          <cell r="C361">
            <v>41088</v>
          </cell>
        </row>
        <row r="362">
          <cell r="B362">
            <v>41072</v>
          </cell>
          <cell r="C362">
            <v>41088</v>
          </cell>
        </row>
        <row r="363">
          <cell r="B363">
            <v>41073</v>
          </cell>
          <cell r="C363">
            <v>41088</v>
          </cell>
        </row>
        <row r="364">
          <cell r="B364">
            <v>41074</v>
          </cell>
          <cell r="C364">
            <v>41088</v>
          </cell>
        </row>
        <row r="365">
          <cell r="B365">
            <v>41075</v>
          </cell>
          <cell r="C365">
            <v>41088</v>
          </cell>
        </row>
        <row r="366">
          <cell r="B366">
            <v>41078</v>
          </cell>
          <cell r="C366">
            <v>41088</v>
          </cell>
        </row>
        <row r="367">
          <cell r="B367">
            <v>41079</v>
          </cell>
          <cell r="C367">
            <v>41088</v>
          </cell>
        </row>
        <row r="368">
          <cell r="B368">
            <v>41080</v>
          </cell>
          <cell r="C368">
            <v>41088</v>
          </cell>
        </row>
        <row r="369">
          <cell r="B369">
            <v>41081</v>
          </cell>
          <cell r="C369">
            <v>41088</v>
          </cell>
        </row>
        <row r="370">
          <cell r="B370">
            <v>41082</v>
          </cell>
          <cell r="C370">
            <v>41088</v>
          </cell>
        </row>
        <row r="371">
          <cell r="B371">
            <v>41085</v>
          </cell>
          <cell r="C371">
            <v>41088</v>
          </cell>
        </row>
        <row r="372">
          <cell r="B372">
            <v>41086</v>
          </cell>
          <cell r="C372">
            <v>41088</v>
          </cell>
        </row>
        <row r="373">
          <cell r="B373">
            <v>41087</v>
          </cell>
          <cell r="C373">
            <v>41088</v>
          </cell>
        </row>
        <row r="374">
          <cell r="B374">
            <v>41088</v>
          </cell>
          <cell r="C374">
            <v>41088</v>
          </cell>
        </row>
        <row r="375">
          <cell r="B375">
            <v>41089</v>
          </cell>
          <cell r="C375">
            <v>41116</v>
          </cell>
        </row>
        <row r="376">
          <cell r="B376">
            <v>41092</v>
          </cell>
          <cell r="C376">
            <v>41116</v>
          </cell>
        </row>
        <row r="377">
          <cell r="B377">
            <v>41093</v>
          </cell>
          <cell r="C377">
            <v>41116</v>
          </cell>
        </row>
        <row r="378">
          <cell r="B378">
            <v>41094</v>
          </cell>
          <cell r="C378">
            <v>41116</v>
          </cell>
        </row>
        <row r="379">
          <cell r="B379">
            <v>41095</v>
          </cell>
          <cell r="C379">
            <v>41116</v>
          </cell>
        </row>
        <row r="380">
          <cell r="B380">
            <v>41096</v>
          </cell>
          <cell r="C380">
            <v>41116</v>
          </cell>
        </row>
        <row r="381">
          <cell r="B381">
            <v>41099</v>
          </cell>
          <cell r="C381">
            <v>41116</v>
          </cell>
        </row>
        <row r="382">
          <cell r="B382">
            <v>41100</v>
          </cell>
          <cell r="C382">
            <v>41116</v>
          </cell>
        </row>
        <row r="383">
          <cell r="B383">
            <v>41101</v>
          </cell>
          <cell r="C383">
            <v>41116</v>
          </cell>
        </row>
        <row r="384">
          <cell r="B384">
            <v>41102</v>
          </cell>
          <cell r="C384">
            <v>41116</v>
          </cell>
        </row>
        <row r="385">
          <cell r="B385">
            <v>41103</v>
          </cell>
          <cell r="C385">
            <v>41116</v>
          </cell>
        </row>
        <row r="386">
          <cell r="B386">
            <v>41106</v>
          </cell>
          <cell r="C386">
            <v>41116</v>
          </cell>
        </row>
        <row r="387">
          <cell r="B387">
            <v>41107</v>
          </cell>
          <cell r="C387">
            <v>41116</v>
          </cell>
        </row>
        <row r="388">
          <cell r="B388">
            <v>41108</v>
          </cell>
          <cell r="C388">
            <v>41116</v>
          </cell>
        </row>
        <row r="389">
          <cell r="B389">
            <v>41109</v>
          </cell>
          <cell r="C389">
            <v>41116</v>
          </cell>
        </row>
        <row r="390">
          <cell r="B390">
            <v>41110</v>
          </cell>
          <cell r="C390">
            <v>41116</v>
          </cell>
        </row>
        <row r="391">
          <cell r="B391">
            <v>41113</v>
          </cell>
          <cell r="C391">
            <v>41116</v>
          </cell>
        </row>
        <row r="392">
          <cell r="B392">
            <v>41114</v>
          </cell>
          <cell r="C392">
            <v>41116</v>
          </cell>
        </row>
        <row r="393">
          <cell r="B393">
            <v>41115</v>
          </cell>
          <cell r="C393">
            <v>41116</v>
          </cell>
        </row>
        <row r="394">
          <cell r="B394">
            <v>41116</v>
          </cell>
          <cell r="C394">
            <v>41116</v>
          </cell>
        </row>
        <row r="395">
          <cell r="B395">
            <v>41117</v>
          </cell>
          <cell r="C395">
            <v>41151</v>
          </cell>
        </row>
        <row r="396">
          <cell r="B396">
            <v>41120</v>
          </cell>
          <cell r="C396">
            <v>41151</v>
          </cell>
        </row>
        <row r="397">
          <cell r="B397">
            <v>41121</v>
          </cell>
          <cell r="C397">
            <v>41151</v>
          </cell>
        </row>
        <row r="398">
          <cell r="B398">
            <v>41122</v>
          </cell>
          <cell r="C398">
            <v>41151</v>
          </cell>
        </row>
        <row r="399">
          <cell r="B399">
            <v>41123</v>
          </cell>
          <cell r="C399">
            <v>41151</v>
          </cell>
        </row>
        <row r="400">
          <cell r="B400">
            <v>41124</v>
          </cell>
          <cell r="C400">
            <v>41151</v>
          </cell>
        </row>
        <row r="401">
          <cell r="B401">
            <v>41127</v>
          </cell>
          <cell r="C401">
            <v>41151</v>
          </cell>
        </row>
        <row r="402">
          <cell r="B402">
            <v>41128</v>
          </cell>
          <cell r="C402">
            <v>41151</v>
          </cell>
        </row>
        <row r="403">
          <cell r="B403">
            <v>41129</v>
          </cell>
          <cell r="C403">
            <v>41151</v>
          </cell>
        </row>
        <row r="404">
          <cell r="B404">
            <v>41130</v>
          </cell>
          <cell r="C404">
            <v>41151</v>
          </cell>
        </row>
        <row r="405">
          <cell r="B405">
            <v>41131</v>
          </cell>
          <cell r="C405">
            <v>41151</v>
          </cell>
        </row>
        <row r="406">
          <cell r="B406">
            <v>41134</v>
          </cell>
          <cell r="C406">
            <v>41151</v>
          </cell>
        </row>
        <row r="407">
          <cell r="B407">
            <v>41135</v>
          </cell>
          <cell r="C407">
            <v>41151</v>
          </cell>
        </row>
        <row r="408">
          <cell r="B408">
            <v>41137</v>
          </cell>
          <cell r="C408">
            <v>41151</v>
          </cell>
        </row>
        <row r="409">
          <cell r="B409">
            <v>41138</v>
          </cell>
          <cell r="C409">
            <v>41151</v>
          </cell>
        </row>
        <row r="410">
          <cell r="B410">
            <v>41142</v>
          </cell>
          <cell r="C410">
            <v>41151</v>
          </cell>
        </row>
        <row r="411">
          <cell r="B411">
            <v>41143</v>
          </cell>
          <cell r="C411">
            <v>41151</v>
          </cell>
        </row>
        <row r="412">
          <cell r="B412">
            <v>41144</v>
          </cell>
          <cell r="C412">
            <v>41151</v>
          </cell>
        </row>
        <row r="413">
          <cell r="B413">
            <v>41145</v>
          </cell>
          <cell r="C413">
            <v>41151</v>
          </cell>
        </row>
        <row r="414">
          <cell r="B414">
            <v>41148</v>
          </cell>
          <cell r="C414">
            <v>41151</v>
          </cell>
        </row>
        <row r="415">
          <cell r="B415">
            <v>41149</v>
          </cell>
          <cell r="C415">
            <v>41151</v>
          </cell>
        </row>
        <row r="416">
          <cell r="B416">
            <v>41150</v>
          </cell>
          <cell r="C416">
            <v>41151</v>
          </cell>
        </row>
        <row r="417">
          <cell r="B417">
            <v>41151</v>
          </cell>
          <cell r="C417">
            <v>41151</v>
          </cell>
        </row>
        <row r="418">
          <cell r="B418">
            <v>41152</v>
          </cell>
          <cell r="C418">
            <v>41179</v>
          </cell>
        </row>
        <row r="419">
          <cell r="B419">
            <v>41155</v>
          </cell>
          <cell r="C419">
            <v>41179</v>
          </cell>
        </row>
        <row r="420">
          <cell r="B420">
            <v>41156</v>
          </cell>
          <cell r="C420">
            <v>41179</v>
          </cell>
        </row>
        <row r="421">
          <cell r="B421">
            <v>41157</v>
          </cell>
          <cell r="C421">
            <v>41179</v>
          </cell>
        </row>
        <row r="422">
          <cell r="B422">
            <v>41158</v>
          </cell>
          <cell r="C422">
            <v>41179</v>
          </cell>
        </row>
        <row r="423">
          <cell r="B423">
            <v>41159</v>
          </cell>
          <cell r="C423">
            <v>41179</v>
          </cell>
        </row>
        <row r="424">
          <cell r="B424">
            <v>41160</v>
          </cell>
          <cell r="C424">
            <v>41179</v>
          </cell>
        </row>
        <row r="425">
          <cell r="B425">
            <v>41162</v>
          </cell>
          <cell r="C425">
            <v>41179</v>
          </cell>
        </row>
        <row r="426">
          <cell r="B426">
            <v>41163</v>
          </cell>
          <cell r="C426">
            <v>41179</v>
          </cell>
        </row>
        <row r="427">
          <cell r="B427">
            <v>41164</v>
          </cell>
          <cell r="C427">
            <v>41179</v>
          </cell>
        </row>
        <row r="428">
          <cell r="B428">
            <v>41165</v>
          </cell>
          <cell r="C428">
            <v>41179</v>
          </cell>
        </row>
        <row r="429">
          <cell r="B429">
            <v>41166</v>
          </cell>
          <cell r="C429">
            <v>41179</v>
          </cell>
        </row>
        <row r="430">
          <cell r="B430">
            <v>41169</v>
          </cell>
          <cell r="C430">
            <v>41179</v>
          </cell>
        </row>
        <row r="431">
          <cell r="B431">
            <v>41170</v>
          </cell>
          <cell r="C431">
            <v>41179</v>
          </cell>
        </row>
        <row r="432">
          <cell r="B432">
            <v>41172</v>
          </cell>
          <cell r="C432">
            <v>41179</v>
          </cell>
        </row>
        <row r="433">
          <cell r="B433">
            <v>41173</v>
          </cell>
          <cell r="C433">
            <v>41179</v>
          </cell>
        </row>
        <row r="434">
          <cell r="B434">
            <v>41176</v>
          </cell>
          <cell r="C434">
            <v>41179</v>
          </cell>
        </row>
        <row r="435">
          <cell r="B435">
            <v>41177</v>
          </cell>
          <cell r="C435">
            <v>41179</v>
          </cell>
        </row>
        <row r="436">
          <cell r="B436">
            <v>41178</v>
          </cell>
          <cell r="C436">
            <v>41179</v>
          </cell>
        </row>
        <row r="437">
          <cell r="B437">
            <v>41179</v>
          </cell>
          <cell r="C437">
            <v>41179</v>
          </cell>
        </row>
        <row r="438">
          <cell r="B438">
            <v>41180</v>
          </cell>
          <cell r="C438">
            <v>41207</v>
          </cell>
        </row>
        <row r="439">
          <cell r="B439">
            <v>41183</v>
          </cell>
          <cell r="C439">
            <v>41207</v>
          </cell>
        </row>
        <row r="440">
          <cell r="B440">
            <v>41185</v>
          </cell>
          <cell r="C440">
            <v>41207</v>
          </cell>
        </row>
        <row r="441">
          <cell r="B441">
            <v>41186</v>
          </cell>
          <cell r="C441">
            <v>41207</v>
          </cell>
        </row>
        <row r="442">
          <cell r="B442">
            <v>41187</v>
          </cell>
          <cell r="C442">
            <v>41207</v>
          </cell>
        </row>
        <row r="443">
          <cell r="B443">
            <v>41190</v>
          </cell>
          <cell r="C443">
            <v>41207</v>
          </cell>
        </row>
        <row r="444">
          <cell r="B444">
            <v>41191</v>
          </cell>
          <cell r="C444">
            <v>41207</v>
          </cell>
        </row>
        <row r="445">
          <cell r="B445">
            <v>41192</v>
          </cell>
          <cell r="C445">
            <v>41207</v>
          </cell>
        </row>
        <row r="446">
          <cell r="B446">
            <v>41193</v>
          </cell>
          <cell r="C446">
            <v>41207</v>
          </cell>
        </row>
        <row r="447">
          <cell r="B447">
            <v>41194</v>
          </cell>
          <cell r="C447">
            <v>41207</v>
          </cell>
        </row>
        <row r="448">
          <cell r="B448">
            <v>41197</v>
          </cell>
          <cell r="C448">
            <v>41207</v>
          </cell>
        </row>
        <row r="449">
          <cell r="B449">
            <v>41198</v>
          </cell>
          <cell r="C449">
            <v>41207</v>
          </cell>
        </row>
        <row r="450">
          <cell r="B450">
            <v>41199</v>
          </cell>
          <cell r="C450">
            <v>41207</v>
          </cell>
        </row>
        <row r="451">
          <cell r="B451">
            <v>41200</v>
          </cell>
          <cell r="C451">
            <v>41207</v>
          </cell>
        </row>
        <row r="452">
          <cell r="B452">
            <v>41201</v>
          </cell>
          <cell r="C452">
            <v>41207</v>
          </cell>
        </row>
        <row r="453">
          <cell r="B453">
            <v>41204</v>
          </cell>
          <cell r="C453">
            <v>41207</v>
          </cell>
        </row>
        <row r="454">
          <cell r="B454">
            <v>41205</v>
          </cell>
          <cell r="C454">
            <v>41207</v>
          </cell>
        </row>
        <row r="455">
          <cell r="B455">
            <v>41207</v>
          </cell>
          <cell r="C455">
            <v>41207</v>
          </cell>
        </row>
        <row r="456">
          <cell r="B456">
            <v>41208</v>
          </cell>
          <cell r="C456">
            <v>41242</v>
          </cell>
        </row>
        <row r="457">
          <cell r="B457">
            <v>41211</v>
          </cell>
          <cell r="C457">
            <v>41242</v>
          </cell>
        </row>
        <row r="458">
          <cell r="B458">
            <v>41212</v>
          </cell>
          <cell r="C458">
            <v>41242</v>
          </cell>
        </row>
        <row r="459">
          <cell r="B459">
            <v>41213</v>
          </cell>
          <cell r="C459">
            <v>41242</v>
          </cell>
        </row>
        <row r="460">
          <cell r="B460">
            <v>41214</v>
          </cell>
          <cell r="C460">
            <v>41242</v>
          </cell>
        </row>
        <row r="461">
          <cell r="B461">
            <v>41215</v>
          </cell>
          <cell r="C461">
            <v>41242</v>
          </cell>
        </row>
        <row r="462">
          <cell r="B462">
            <v>41218</v>
          </cell>
          <cell r="C462">
            <v>41242</v>
          </cell>
        </row>
        <row r="463">
          <cell r="B463">
            <v>41219</v>
          </cell>
          <cell r="C463">
            <v>41242</v>
          </cell>
        </row>
        <row r="464">
          <cell r="B464">
            <v>41220</v>
          </cell>
          <cell r="C464">
            <v>41242</v>
          </cell>
        </row>
        <row r="465">
          <cell r="B465">
            <v>41221</v>
          </cell>
          <cell r="C465">
            <v>41242</v>
          </cell>
        </row>
        <row r="466">
          <cell r="B466">
            <v>41222</v>
          </cell>
          <cell r="C466">
            <v>41242</v>
          </cell>
        </row>
        <row r="467">
          <cell r="B467">
            <v>41225</v>
          </cell>
          <cell r="C467">
            <v>41242</v>
          </cell>
        </row>
        <row r="468">
          <cell r="B468">
            <v>41226</v>
          </cell>
          <cell r="C468">
            <v>41242</v>
          </cell>
        </row>
        <row r="469">
          <cell r="B469">
            <v>41228</v>
          </cell>
          <cell r="C469">
            <v>41242</v>
          </cell>
        </row>
        <row r="470">
          <cell r="B470">
            <v>41229</v>
          </cell>
          <cell r="C470">
            <v>41242</v>
          </cell>
        </row>
        <row r="471">
          <cell r="B471">
            <v>41232</v>
          </cell>
          <cell r="C471">
            <v>41242</v>
          </cell>
        </row>
        <row r="472">
          <cell r="B472">
            <v>41233</v>
          </cell>
          <cell r="C472">
            <v>41242</v>
          </cell>
        </row>
        <row r="473">
          <cell r="B473">
            <v>41234</v>
          </cell>
          <cell r="C473">
            <v>41242</v>
          </cell>
        </row>
        <row r="474">
          <cell r="B474">
            <v>41235</v>
          </cell>
          <cell r="C474">
            <v>41242</v>
          </cell>
        </row>
        <row r="475">
          <cell r="B475">
            <v>41236</v>
          </cell>
          <cell r="C475">
            <v>41242</v>
          </cell>
        </row>
        <row r="476">
          <cell r="B476">
            <v>41239</v>
          </cell>
          <cell r="C476">
            <v>41242</v>
          </cell>
        </row>
        <row r="477">
          <cell r="B477">
            <v>41240</v>
          </cell>
          <cell r="C477">
            <v>41242</v>
          </cell>
        </row>
        <row r="478">
          <cell r="B478">
            <v>41242</v>
          </cell>
          <cell r="C478">
            <v>41242</v>
          </cell>
        </row>
        <row r="479">
          <cell r="B479">
            <v>41243</v>
          </cell>
          <cell r="C479">
            <v>41270</v>
          </cell>
        </row>
        <row r="480">
          <cell r="B480">
            <v>41246</v>
          </cell>
          <cell r="C480">
            <v>41270</v>
          </cell>
        </row>
        <row r="481">
          <cell r="B481">
            <v>41247</v>
          </cell>
          <cell r="C481">
            <v>41270</v>
          </cell>
        </row>
        <row r="482">
          <cell r="B482">
            <v>41248</v>
          </cell>
          <cell r="C482">
            <v>41270</v>
          </cell>
        </row>
        <row r="483">
          <cell r="B483">
            <v>41249</v>
          </cell>
          <cell r="C483">
            <v>41270</v>
          </cell>
        </row>
        <row r="484">
          <cell r="B484">
            <v>41250</v>
          </cell>
          <cell r="C484">
            <v>41270</v>
          </cell>
        </row>
        <row r="485">
          <cell r="B485">
            <v>41253</v>
          </cell>
          <cell r="C485">
            <v>41270</v>
          </cell>
        </row>
        <row r="486">
          <cell r="B486">
            <v>41254</v>
          </cell>
          <cell r="C486">
            <v>41270</v>
          </cell>
        </row>
        <row r="487">
          <cell r="B487">
            <v>41255</v>
          </cell>
          <cell r="C487">
            <v>41270</v>
          </cell>
        </row>
        <row r="488">
          <cell r="B488">
            <v>41256</v>
          </cell>
          <cell r="C488">
            <v>41270</v>
          </cell>
        </row>
        <row r="489">
          <cell r="B489">
            <v>41257</v>
          </cell>
          <cell r="C489">
            <v>41270</v>
          </cell>
        </row>
        <row r="490">
          <cell r="B490">
            <v>41260</v>
          </cell>
          <cell r="C490">
            <v>41270</v>
          </cell>
        </row>
        <row r="491">
          <cell r="B491">
            <v>41261</v>
          </cell>
          <cell r="C491">
            <v>41270</v>
          </cell>
        </row>
        <row r="492">
          <cell r="B492">
            <v>41262</v>
          </cell>
          <cell r="C492">
            <v>41270</v>
          </cell>
        </row>
        <row r="493">
          <cell r="B493">
            <v>41263</v>
          </cell>
          <cell r="C493">
            <v>41270</v>
          </cell>
        </row>
        <row r="494">
          <cell r="B494">
            <v>41264</v>
          </cell>
          <cell r="C494">
            <v>41270</v>
          </cell>
        </row>
        <row r="495">
          <cell r="B495">
            <v>41267</v>
          </cell>
          <cell r="C495">
            <v>41270</v>
          </cell>
        </row>
        <row r="496">
          <cell r="B496">
            <v>41269</v>
          </cell>
          <cell r="C496">
            <v>41270</v>
          </cell>
        </row>
        <row r="497">
          <cell r="B497">
            <v>41270</v>
          </cell>
          <cell r="C497">
            <v>41270</v>
          </cell>
        </row>
        <row r="498">
          <cell r="B498">
            <v>41271</v>
          </cell>
          <cell r="C498">
            <v>41305</v>
          </cell>
        </row>
        <row r="499">
          <cell r="B499">
            <v>41274</v>
          </cell>
          <cell r="C499">
            <v>41305</v>
          </cell>
        </row>
        <row r="500">
          <cell r="B500">
            <v>41275</v>
          </cell>
          <cell r="C500">
            <v>41305</v>
          </cell>
        </row>
        <row r="501">
          <cell r="B501">
            <v>41276</v>
          </cell>
          <cell r="C501">
            <v>41305</v>
          </cell>
        </row>
        <row r="502">
          <cell r="B502">
            <v>41277</v>
          </cell>
          <cell r="C502">
            <v>41305</v>
          </cell>
        </row>
        <row r="503">
          <cell r="B503">
            <v>41278</v>
          </cell>
          <cell r="C503">
            <v>41305</v>
          </cell>
        </row>
        <row r="504">
          <cell r="B504">
            <v>41281</v>
          </cell>
          <cell r="C504">
            <v>41305</v>
          </cell>
        </row>
        <row r="505">
          <cell r="B505">
            <v>41282</v>
          </cell>
          <cell r="C505">
            <v>41305</v>
          </cell>
        </row>
        <row r="506">
          <cell r="B506">
            <v>41283</v>
          </cell>
          <cell r="C506">
            <v>41305</v>
          </cell>
        </row>
        <row r="507">
          <cell r="B507">
            <v>41284</v>
          </cell>
          <cell r="C507">
            <v>41305</v>
          </cell>
        </row>
        <row r="508">
          <cell r="B508">
            <v>41285</v>
          </cell>
          <cell r="C508">
            <v>41305</v>
          </cell>
        </row>
        <row r="509">
          <cell r="B509">
            <v>41288</v>
          </cell>
          <cell r="C509">
            <v>41305</v>
          </cell>
        </row>
        <row r="510">
          <cell r="B510">
            <v>41289</v>
          </cell>
          <cell r="C510">
            <v>41305</v>
          </cell>
        </row>
        <row r="511">
          <cell r="B511">
            <v>41290</v>
          </cell>
          <cell r="C511">
            <v>41305</v>
          </cell>
        </row>
        <row r="512">
          <cell r="B512">
            <v>41291</v>
          </cell>
          <cell r="C512">
            <v>41305</v>
          </cell>
        </row>
        <row r="513">
          <cell r="B513">
            <v>41292</v>
          </cell>
          <cell r="C513">
            <v>41305</v>
          </cell>
        </row>
        <row r="514">
          <cell r="B514">
            <v>41295</v>
          </cell>
          <cell r="C514">
            <v>41305</v>
          </cell>
        </row>
        <row r="515">
          <cell r="B515">
            <v>41296</v>
          </cell>
          <cell r="C515">
            <v>41305</v>
          </cell>
        </row>
        <row r="516">
          <cell r="B516">
            <v>41297</v>
          </cell>
          <cell r="C516">
            <v>41305</v>
          </cell>
        </row>
        <row r="517">
          <cell r="B517">
            <v>41298</v>
          </cell>
          <cell r="C517">
            <v>41305</v>
          </cell>
        </row>
        <row r="518">
          <cell r="B518">
            <v>41299</v>
          </cell>
          <cell r="C518">
            <v>41305</v>
          </cell>
        </row>
        <row r="519">
          <cell r="B519">
            <v>41302</v>
          </cell>
          <cell r="C519">
            <v>41305</v>
          </cell>
        </row>
        <row r="520">
          <cell r="B520">
            <v>41303</v>
          </cell>
          <cell r="C520">
            <v>41305</v>
          </cell>
        </row>
        <row r="521">
          <cell r="B521">
            <v>41304</v>
          </cell>
          <cell r="C521">
            <v>41305</v>
          </cell>
        </row>
        <row r="522">
          <cell r="B522">
            <v>41305</v>
          </cell>
          <cell r="C522">
            <v>41305</v>
          </cell>
        </row>
        <row r="523">
          <cell r="B523">
            <v>41306</v>
          </cell>
          <cell r="C523">
            <v>41333</v>
          </cell>
        </row>
        <row r="524">
          <cell r="B524">
            <v>41309</v>
          </cell>
          <cell r="C524">
            <v>41333</v>
          </cell>
        </row>
        <row r="525">
          <cell r="B525">
            <v>41310</v>
          </cell>
          <cell r="C525">
            <v>41333</v>
          </cell>
        </row>
        <row r="526">
          <cell r="B526">
            <v>41311</v>
          </cell>
          <cell r="C526">
            <v>41333</v>
          </cell>
        </row>
        <row r="527">
          <cell r="B527">
            <v>41312</v>
          </cell>
          <cell r="C527">
            <v>41333</v>
          </cell>
        </row>
        <row r="528">
          <cell r="B528">
            <v>41313</v>
          </cell>
          <cell r="C528">
            <v>41333</v>
          </cell>
        </row>
        <row r="529">
          <cell r="B529">
            <v>41316</v>
          </cell>
          <cell r="C529">
            <v>41333</v>
          </cell>
        </row>
        <row r="530">
          <cell r="B530">
            <v>41317</v>
          </cell>
          <cell r="C530">
            <v>41333</v>
          </cell>
        </row>
        <row r="531">
          <cell r="B531">
            <v>41318</v>
          </cell>
          <cell r="C531">
            <v>41333</v>
          </cell>
        </row>
        <row r="532">
          <cell r="B532">
            <v>41319</v>
          </cell>
          <cell r="C532">
            <v>41333</v>
          </cell>
        </row>
        <row r="533">
          <cell r="B533">
            <v>41320</v>
          </cell>
          <cell r="C533">
            <v>41333</v>
          </cell>
        </row>
        <row r="534">
          <cell r="B534">
            <v>41323</v>
          </cell>
          <cell r="C534">
            <v>41333</v>
          </cell>
        </row>
        <row r="535">
          <cell r="B535">
            <v>41324</v>
          </cell>
          <cell r="C535">
            <v>41333</v>
          </cell>
        </row>
        <row r="536">
          <cell r="B536">
            <v>41325</v>
          </cell>
          <cell r="C536">
            <v>41333</v>
          </cell>
        </row>
        <row r="537">
          <cell r="B537">
            <v>41326</v>
          </cell>
          <cell r="C537">
            <v>41333</v>
          </cell>
        </row>
        <row r="538">
          <cell r="B538">
            <v>41327</v>
          </cell>
          <cell r="C538">
            <v>41333</v>
          </cell>
        </row>
        <row r="539">
          <cell r="B539">
            <v>41330</v>
          </cell>
          <cell r="C539">
            <v>41333</v>
          </cell>
        </row>
        <row r="540">
          <cell r="B540">
            <v>41331</v>
          </cell>
          <cell r="C540">
            <v>41333</v>
          </cell>
        </row>
        <row r="541">
          <cell r="B541">
            <v>41332</v>
          </cell>
          <cell r="C541">
            <v>41333</v>
          </cell>
        </row>
        <row r="542">
          <cell r="B542">
            <v>41333</v>
          </cell>
          <cell r="C542">
            <v>41333</v>
          </cell>
        </row>
        <row r="543">
          <cell r="B543">
            <v>41334</v>
          </cell>
          <cell r="C543">
            <v>41361</v>
          </cell>
        </row>
        <row r="544">
          <cell r="B544">
            <v>41337</v>
          </cell>
          <cell r="C544">
            <v>41361</v>
          </cell>
        </row>
        <row r="545">
          <cell r="B545">
            <v>41338</v>
          </cell>
          <cell r="C545">
            <v>41361</v>
          </cell>
        </row>
        <row r="546">
          <cell r="B546">
            <v>41339</v>
          </cell>
          <cell r="C546">
            <v>41361</v>
          </cell>
        </row>
        <row r="547">
          <cell r="B547">
            <v>41340</v>
          </cell>
          <cell r="C547">
            <v>41361</v>
          </cell>
        </row>
        <row r="548">
          <cell r="B548">
            <v>41341</v>
          </cell>
          <cell r="C548">
            <v>41361</v>
          </cell>
        </row>
        <row r="549">
          <cell r="B549">
            <v>41344</v>
          </cell>
          <cell r="C549">
            <v>41361</v>
          </cell>
        </row>
        <row r="550">
          <cell r="B550">
            <v>41345</v>
          </cell>
          <cell r="C550">
            <v>41361</v>
          </cell>
        </row>
        <row r="551">
          <cell r="B551">
            <v>41346</v>
          </cell>
          <cell r="C551">
            <v>41361</v>
          </cell>
        </row>
        <row r="552">
          <cell r="B552">
            <v>41347</v>
          </cell>
          <cell r="C552">
            <v>41361</v>
          </cell>
        </row>
        <row r="553">
          <cell r="B553">
            <v>41348</v>
          </cell>
          <cell r="C553">
            <v>41361</v>
          </cell>
        </row>
        <row r="554">
          <cell r="B554">
            <v>41351</v>
          </cell>
          <cell r="C554">
            <v>41361</v>
          </cell>
        </row>
        <row r="555">
          <cell r="B555">
            <v>41352</v>
          </cell>
          <cell r="C555">
            <v>41361</v>
          </cell>
        </row>
        <row r="556">
          <cell r="B556">
            <v>41353</v>
          </cell>
          <cell r="C556">
            <v>41361</v>
          </cell>
        </row>
        <row r="557">
          <cell r="B557">
            <v>41354</v>
          </cell>
          <cell r="C557">
            <v>41361</v>
          </cell>
        </row>
        <row r="558">
          <cell r="B558">
            <v>41355</v>
          </cell>
          <cell r="C558">
            <v>41361</v>
          </cell>
        </row>
        <row r="559">
          <cell r="B559">
            <v>41358</v>
          </cell>
          <cell r="C559">
            <v>41361</v>
          </cell>
        </row>
        <row r="560">
          <cell r="B560">
            <v>41359</v>
          </cell>
          <cell r="C560">
            <v>41361</v>
          </cell>
        </row>
        <row r="561">
          <cell r="B561">
            <v>41361</v>
          </cell>
          <cell r="C561">
            <v>41361</v>
          </cell>
        </row>
        <row r="562">
          <cell r="B562">
            <v>41365</v>
          </cell>
          <cell r="C562">
            <v>41389</v>
          </cell>
        </row>
        <row r="563">
          <cell r="B563">
            <v>41366</v>
          </cell>
          <cell r="C563">
            <v>41389</v>
          </cell>
        </row>
        <row r="564">
          <cell r="B564">
            <v>41367</v>
          </cell>
          <cell r="C564">
            <v>41389</v>
          </cell>
        </row>
        <row r="565">
          <cell r="B565">
            <v>41368</v>
          </cell>
          <cell r="C565">
            <v>41389</v>
          </cell>
        </row>
        <row r="566">
          <cell r="B566">
            <v>41369</v>
          </cell>
          <cell r="C566">
            <v>41389</v>
          </cell>
        </row>
        <row r="567">
          <cell r="B567">
            <v>41372</v>
          </cell>
          <cell r="C567">
            <v>41389</v>
          </cell>
        </row>
        <row r="568">
          <cell r="B568">
            <v>41373</v>
          </cell>
          <cell r="C568">
            <v>41389</v>
          </cell>
        </row>
        <row r="569">
          <cell r="B569">
            <v>41374</v>
          </cell>
          <cell r="C569">
            <v>41389</v>
          </cell>
        </row>
        <row r="570">
          <cell r="B570">
            <v>41375</v>
          </cell>
          <cell r="C570">
            <v>41389</v>
          </cell>
        </row>
        <row r="571">
          <cell r="B571">
            <v>41376</v>
          </cell>
          <cell r="C571">
            <v>41389</v>
          </cell>
        </row>
        <row r="572">
          <cell r="B572">
            <v>41379</v>
          </cell>
          <cell r="C572">
            <v>41389</v>
          </cell>
        </row>
        <row r="573">
          <cell r="B573">
            <v>41380</v>
          </cell>
          <cell r="C573">
            <v>41389</v>
          </cell>
        </row>
        <row r="574">
          <cell r="B574">
            <v>41381</v>
          </cell>
          <cell r="C574">
            <v>41389</v>
          </cell>
        </row>
        <row r="575">
          <cell r="B575">
            <v>41382</v>
          </cell>
          <cell r="C575">
            <v>41389</v>
          </cell>
        </row>
        <row r="576">
          <cell r="B576">
            <v>41386</v>
          </cell>
          <cell r="C576">
            <v>41389</v>
          </cell>
        </row>
        <row r="577">
          <cell r="B577">
            <v>41387</v>
          </cell>
          <cell r="C577">
            <v>41389</v>
          </cell>
        </row>
        <row r="578">
          <cell r="B578">
            <v>41389</v>
          </cell>
          <cell r="C578">
            <v>41389</v>
          </cell>
        </row>
        <row r="579">
          <cell r="B579">
            <v>41390</v>
          </cell>
          <cell r="C579">
            <v>41424</v>
          </cell>
        </row>
        <row r="580">
          <cell r="B580">
            <v>41393</v>
          </cell>
          <cell r="C580">
            <v>41424</v>
          </cell>
        </row>
        <row r="581">
          <cell r="B581">
            <v>41394</v>
          </cell>
          <cell r="C581">
            <v>41424</v>
          </cell>
        </row>
        <row r="582">
          <cell r="B582">
            <v>41396</v>
          </cell>
          <cell r="C582">
            <v>41424</v>
          </cell>
        </row>
        <row r="583">
          <cell r="B583">
            <v>41397</v>
          </cell>
          <cell r="C583">
            <v>41424</v>
          </cell>
        </row>
        <row r="584">
          <cell r="B584">
            <v>41400</v>
          </cell>
          <cell r="C584">
            <v>41424</v>
          </cell>
        </row>
        <row r="585">
          <cell r="B585">
            <v>41401</v>
          </cell>
          <cell r="C585">
            <v>41424</v>
          </cell>
        </row>
        <row r="586">
          <cell r="B586">
            <v>41402</v>
          </cell>
          <cell r="C586">
            <v>41424</v>
          </cell>
        </row>
        <row r="587">
          <cell r="B587">
            <v>41403</v>
          </cell>
          <cell r="C587">
            <v>41424</v>
          </cell>
        </row>
        <row r="588">
          <cell r="B588">
            <v>41404</v>
          </cell>
          <cell r="C588">
            <v>41424</v>
          </cell>
        </row>
        <row r="589">
          <cell r="B589">
            <v>41405</v>
          </cell>
          <cell r="C589">
            <v>41424</v>
          </cell>
        </row>
        <row r="590">
          <cell r="B590">
            <v>41407</v>
          </cell>
          <cell r="C590">
            <v>41424</v>
          </cell>
        </row>
        <row r="591">
          <cell r="B591">
            <v>41408</v>
          </cell>
          <cell r="C591">
            <v>41424</v>
          </cell>
        </row>
        <row r="592">
          <cell r="B592">
            <v>41409</v>
          </cell>
          <cell r="C592">
            <v>41424</v>
          </cell>
        </row>
        <row r="593">
          <cell r="B593">
            <v>41410</v>
          </cell>
          <cell r="C593">
            <v>41424</v>
          </cell>
        </row>
        <row r="594">
          <cell r="B594">
            <v>41411</v>
          </cell>
          <cell r="C594">
            <v>41424</v>
          </cell>
        </row>
        <row r="595">
          <cell r="B595">
            <v>41414</v>
          </cell>
          <cell r="C595">
            <v>41424</v>
          </cell>
        </row>
        <row r="596">
          <cell r="B596">
            <v>41415</v>
          </cell>
          <cell r="C596">
            <v>41424</v>
          </cell>
        </row>
        <row r="597">
          <cell r="B597">
            <v>41416</v>
          </cell>
          <cell r="C597">
            <v>41424</v>
          </cell>
        </row>
        <row r="598">
          <cell r="B598">
            <v>41417</v>
          </cell>
          <cell r="C598">
            <v>41424</v>
          </cell>
        </row>
        <row r="599">
          <cell r="B599">
            <v>41418</v>
          </cell>
          <cell r="C599">
            <v>41424</v>
          </cell>
        </row>
        <row r="600">
          <cell r="B600">
            <v>41421</v>
          </cell>
          <cell r="C600">
            <v>41424</v>
          </cell>
        </row>
        <row r="601">
          <cell r="B601">
            <v>41422</v>
          </cell>
          <cell r="C601">
            <v>41424</v>
          </cell>
        </row>
        <row r="602">
          <cell r="B602">
            <v>41423</v>
          </cell>
          <cell r="C602">
            <v>41424</v>
          </cell>
        </row>
        <row r="603">
          <cell r="B603">
            <v>41424</v>
          </cell>
          <cell r="C603">
            <v>41424</v>
          </cell>
        </row>
        <row r="604">
          <cell r="B604">
            <v>41425</v>
          </cell>
          <cell r="C604">
            <v>41452</v>
          </cell>
        </row>
        <row r="605">
          <cell r="B605">
            <v>41428</v>
          </cell>
          <cell r="C605">
            <v>41452</v>
          </cell>
        </row>
        <row r="606">
          <cell r="B606">
            <v>41429</v>
          </cell>
          <cell r="C606">
            <v>41452</v>
          </cell>
        </row>
        <row r="607">
          <cell r="B607">
            <v>41430</v>
          </cell>
          <cell r="C607">
            <v>41452</v>
          </cell>
        </row>
        <row r="608">
          <cell r="B608">
            <v>41431</v>
          </cell>
          <cell r="C608">
            <v>41452</v>
          </cell>
        </row>
        <row r="609">
          <cell r="B609">
            <v>41432</v>
          </cell>
          <cell r="C609">
            <v>41452</v>
          </cell>
        </row>
        <row r="610">
          <cell r="B610">
            <v>41435</v>
          </cell>
          <cell r="C610">
            <v>41452</v>
          </cell>
        </row>
        <row r="611">
          <cell r="B611">
            <v>41436</v>
          </cell>
          <cell r="C611">
            <v>41452</v>
          </cell>
        </row>
        <row r="612">
          <cell r="B612">
            <v>41437</v>
          </cell>
          <cell r="C612">
            <v>41452</v>
          </cell>
        </row>
        <row r="613">
          <cell r="B613">
            <v>41438</v>
          </cell>
          <cell r="C613">
            <v>41452</v>
          </cell>
        </row>
        <row r="614">
          <cell r="B614">
            <v>41439</v>
          </cell>
          <cell r="C614">
            <v>41452</v>
          </cell>
        </row>
        <row r="615">
          <cell r="B615">
            <v>41442</v>
          </cell>
          <cell r="C615">
            <v>41452</v>
          </cell>
        </row>
        <row r="616">
          <cell r="B616">
            <v>41443</v>
          </cell>
          <cell r="C616">
            <v>41452</v>
          </cell>
        </row>
        <row r="617">
          <cell r="B617">
            <v>41444</v>
          </cell>
          <cell r="C617">
            <v>41452</v>
          </cell>
        </row>
        <row r="618">
          <cell r="B618">
            <v>41445</v>
          </cell>
          <cell r="C618">
            <v>41452</v>
          </cell>
        </row>
        <row r="619">
          <cell r="B619">
            <v>41446</v>
          </cell>
          <cell r="C619">
            <v>41452</v>
          </cell>
        </row>
        <row r="620">
          <cell r="B620">
            <v>41449</v>
          </cell>
          <cell r="C620">
            <v>41452</v>
          </cell>
        </row>
        <row r="621">
          <cell r="B621">
            <v>41450</v>
          </cell>
          <cell r="C621">
            <v>41452</v>
          </cell>
        </row>
        <row r="622">
          <cell r="B622">
            <v>41451</v>
          </cell>
          <cell r="C622">
            <v>41452</v>
          </cell>
        </row>
        <row r="623">
          <cell r="B623">
            <v>41452</v>
          </cell>
          <cell r="C623">
            <v>41452</v>
          </cell>
        </row>
        <row r="624">
          <cell r="B624">
            <v>41453</v>
          </cell>
          <cell r="C624">
            <v>41480</v>
          </cell>
        </row>
        <row r="625">
          <cell r="B625">
            <v>41456</v>
          </cell>
          <cell r="C625">
            <v>41480</v>
          </cell>
        </row>
        <row r="626">
          <cell r="B626">
            <v>41457</v>
          </cell>
          <cell r="C626">
            <v>41480</v>
          </cell>
        </row>
        <row r="627">
          <cell r="B627">
            <v>41458</v>
          </cell>
          <cell r="C627">
            <v>41480</v>
          </cell>
        </row>
        <row r="628">
          <cell r="B628">
            <v>41459</v>
          </cell>
          <cell r="C628">
            <v>41480</v>
          </cell>
        </row>
        <row r="629">
          <cell r="B629">
            <v>41460</v>
          </cell>
          <cell r="C629">
            <v>41480</v>
          </cell>
        </row>
        <row r="630">
          <cell r="B630">
            <v>41463</v>
          </cell>
          <cell r="C630">
            <v>41480</v>
          </cell>
        </row>
        <row r="631">
          <cell r="B631">
            <v>41464</v>
          </cell>
          <cell r="C631">
            <v>41480</v>
          </cell>
        </row>
        <row r="632">
          <cell r="B632">
            <v>41465</v>
          </cell>
          <cell r="C632">
            <v>41480</v>
          </cell>
        </row>
        <row r="633">
          <cell r="B633">
            <v>41466</v>
          </cell>
          <cell r="C633">
            <v>41480</v>
          </cell>
        </row>
        <row r="634">
          <cell r="B634">
            <v>41467</v>
          </cell>
          <cell r="C634">
            <v>41480</v>
          </cell>
        </row>
        <row r="635">
          <cell r="B635">
            <v>41470</v>
          </cell>
          <cell r="C635">
            <v>41480</v>
          </cell>
        </row>
        <row r="636">
          <cell r="B636">
            <v>41471</v>
          </cell>
          <cell r="C636">
            <v>41480</v>
          </cell>
        </row>
        <row r="637">
          <cell r="B637">
            <v>41472</v>
          </cell>
          <cell r="C637">
            <v>41480</v>
          </cell>
        </row>
        <row r="638">
          <cell r="B638">
            <v>41473</v>
          </cell>
          <cell r="C638">
            <v>41480</v>
          </cell>
        </row>
        <row r="639">
          <cell r="B639">
            <v>41474</v>
          </cell>
          <cell r="C639">
            <v>41480</v>
          </cell>
        </row>
        <row r="640">
          <cell r="B640">
            <v>41477</v>
          </cell>
          <cell r="C640">
            <v>41480</v>
          </cell>
        </row>
        <row r="641">
          <cell r="B641">
            <v>41478</v>
          </cell>
          <cell r="C641">
            <v>41480</v>
          </cell>
        </row>
        <row r="642">
          <cell r="B642">
            <v>41479</v>
          </cell>
          <cell r="C642">
            <v>41480</v>
          </cell>
        </row>
        <row r="643">
          <cell r="B643">
            <v>41480</v>
          </cell>
          <cell r="C643">
            <v>41480</v>
          </cell>
        </row>
        <row r="644">
          <cell r="B644">
            <v>41481</v>
          </cell>
          <cell r="C644">
            <v>41515</v>
          </cell>
        </row>
        <row r="645">
          <cell r="B645">
            <v>41484</v>
          </cell>
          <cell r="C645">
            <v>41515</v>
          </cell>
        </row>
        <row r="646">
          <cell r="B646">
            <v>41485</v>
          </cell>
          <cell r="C646">
            <v>41515</v>
          </cell>
        </row>
        <row r="647">
          <cell r="B647">
            <v>41486</v>
          </cell>
          <cell r="C647">
            <v>41515</v>
          </cell>
        </row>
        <row r="648">
          <cell r="B648">
            <v>41487</v>
          </cell>
          <cell r="C648">
            <v>41515</v>
          </cell>
        </row>
        <row r="649">
          <cell r="B649">
            <v>41488</v>
          </cell>
          <cell r="C649">
            <v>41515</v>
          </cell>
        </row>
        <row r="650">
          <cell r="B650">
            <v>41491</v>
          </cell>
          <cell r="C650">
            <v>41515</v>
          </cell>
        </row>
        <row r="651">
          <cell r="B651">
            <v>41492</v>
          </cell>
          <cell r="C651">
            <v>41515</v>
          </cell>
        </row>
        <row r="652">
          <cell r="B652">
            <v>41493</v>
          </cell>
          <cell r="C652">
            <v>41515</v>
          </cell>
        </row>
        <row r="653">
          <cell r="B653">
            <v>41494</v>
          </cell>
          <cell r="C653">
            <v>41515</v>
          </cell>
        </row>
        <row r="654">
          <cell r="B654">
            <v>41498</v>
          </cell>
          <cell r="C654">
            <v>41515</v>
          </cell>
        </row>
        <row r="655">
          <cell r="B655">
            <v>41499</v>
          </cell>
          <cell r="C655">
            <v>41515</v>
          </cell>
        </row>
        <row r="656">
          <cell r="B656">
            <v>41500</v>
          </cell>
          <cell r="C656">
            <v>41515</v>
          </cell>
        </row>
        <row r="657">
          <cell r="B657">
            <v>41502</v>
          </cell>
          <cell r="C657">
            <v>41515</v>
          </cell>
        </row>
        <row r="658">
          <cell r="B658">
            <v>41505</v>
          </cell>
          <cell r="C658">
            <v>41515</v>
          </cell>
        </row>
        <row r="659">
          <cell r="B659">
            <v>41506</v>
          </cell>
          <cell r="C659">
            <v>41515</v>
          </cell>
        </row>
        <row r="660">
          <cell r="B660">
            <v>41507</v>
          </cell>
          <cell r="C660">
            <v>41515</v>
          </cell>
        </row>
        <row r="661">
          <cell r="B661">
            <v>41508</v>
          </cell>
          <cell r="C661">
            <v>41515</v>
          </cell>
        </row>
        <row r="662">
          <cell r="B662">
            <v>41509</v>
          </cell>
          <cell r="C662">
            <v>41515</v>
          </cell>
        </row>
        <row r="663">
          <cell r="B663">
            <v>41512</v>
          </cell>
          <cell r="C663">
            <v>41515</v>
          </cell>
        </row>
        <row r="664">
          <cell r="B664">
            <v>41513</v>
          </cell>
          <cell r="C664">
            <v>41515</v>
          </cell>
        </row>
        <row r="665">
          <cell r="B665">
            <v>41514</v>
          </cell>
          <cell r="C665">
            <v>41515</v>
          </cell>
        </row>
        <row r="666">
          <cell r="B666">
            <v>41515</v>
          </cell>
          <cell r="C666">
            <v>41515</v>
          </cell>
        </row>
        <row r="667">
          <cell r="B667">
            <v>41516</v>
          </cell>
          <cell r="C667">
            <v>41543</v>
          </cell>
        </row>
        <row r="668">
          <cell r="B668">
            <v>41519</v>
          </cell>
          <cell r="C668">
            <v>41543</v>
          </cell>
        </row>
        <row r="669">
          <cell r="B669">
            <v>41520</v>
          </cell>
          <cell r="C669">
            <v>41543</v>
          </cell>
        </row>
        <row r="670">
          <cell r="B670">
            <v>41521</v>
          </cell>
          <cell r="C670">
            <v>41543</v>
          </cell>
        </row>
        <row r="671">
          <cell r="B671">
            <v>41522</v>
          </cell>
          <cell r="C671">
            <v>41543</v>
          </cell>
        </row>
        <row r="672">
          <cell r="B672">
            <v>41523</v>
          </cell>
          <cell r="C672">
            <v>41543</v>
          </cell>
        </row>
        <row r="673">
          <cell r="B673">
            <v>41527</v>
          </cell>
          <cell r="C673">
            <v>41543</v>
          </cell>
        </row>
        <row r="674">
          <cell r="B674">
            <v>41528</v>
          </cell>
          <cell r="C674">
            <v>41543</v>
          </cell>
        </row>
        <row r="675">
          <cell r="B675">
            <v>41529</v>
          </cell>
          <cell r="C675">
            <v>41543</v>
          </cell>
        </row>
        <row r="676">
          <cell r="B676">
            <v>41530</v>
          </cell>
          <cell r="C676">
            <v>41543</v>
          </cell>
        </row>
        <row r="677">
          <cell r="B677">
            <v>41533</v>
          </cell>
          <cell r="C677">
            <v>41543</v>
          </cell>
        </row>
        <row r="678">
          <cell r="B678">
            <v>41534</v>
          </cell>
          <cell r="C678">
            <v>41543</v>
          </cell>
        </row>
        <row r="679">
          <cell r="B679">
            <v>41535</v>
          </cell>
          <cell r="C679">
            <v>41543</v>
          </cell>
        </row>
        <row r="680">
          <cell r="B680">
            <v>41536</v>
          </cell>
          <cell r="C680">
            <v>41543</v>
          </cell>
        </row>
        <row r="681">
          <cell r="B681">
            <v>41537</v>
          </cell>
          <cell r="C681">
            <v>41543</v>
          </cell>
        </row>
        <row r="682">
          <cell r="B682">
            <v>41540</v>
          </cell>
          <cell r="C682">
            <v>41543</v>
          </cell>
        </row>
        <row r="683">
          <cell r="B683">
            <v>41541</v>
          </cell>
          <cell r="C683">
            <v>41543</v>
          </cell>
        </row>
        <row r="684">
          <cell r="B684">
            <v>41542</v>
          </cell>
          <cell r="C684">
            <v>41543</v>
          </cell>
        </row>
        <row r="685">
          <cell r="B685">
            <v>41543</v>
          </cell>
          <cell r="C685">
            <v>41543</v>
          </cell>
        </row>
        <row r="686">
          <cell r="B686">
            <v>41544</v>
          </cell>
          <cell r="C686">
            <v>41578</v>
          </cell>
        </row>
        <row r="687">
          <cell r="B687">
            <v>41547</v>
          </cell>
          <cell r="C687">
            <v>41578</v>
          </cell>
        </row>
        <row r="688">
          <cell r="B688">
            <v>41548</v>
          </cell>
          <cell r="C688">
            <v>41578</v>
          </cell>
        </row>
        <row r="689">
          <cell r="B689">
            <v>41550</v>
          </cell>
          <cell r="C689">
            <v>41578</v>
          </cell>
        </row>
        <row r="690">
          <cell r="B690">
            <v>41551</v>
          </cell>
          <cell r="C690">
            <v>41578</v>
          </cell>
        </row>
        <row r="691">
          <cell r="B691">
            <v>41554</v>
          </cell>
          <cell r="C691">
            <v>41578</v>
          </cell>
        </row>
        <row r="692">
          <cell r="B692">
            <v>41555</v>
          </cell>
          <cell r="C692">
            <v>41578</v>
          </cell>
        </row>
        <row r="693">
          <cell r="B693">
            <v>41556</v>
          </cell>
          <cell r="C693">
            <v>41578</v>
          </cell>
        </row>
        <row r="694">
          <cell r="B694">
            <v>41557</v>
          </cell>
          <cell r="C694">
            <v>41578</v>
          </cell>
        </row>
        <row r="695">
          <cell r="B695">
            <v>41558</v>
          </cell>
          <cell r="C695">
            <v>41578</v>
          </cell>
        </row>
        <row r="696">
          <cell r="B696">
            <v>41561</v>
          </cell>
          <cell r="C696">
            <v>41578</v>
          </cell>
        </row>
        <row r="697">
          <cell r="B697">
            <v>41562</v>
          </cell>
          <cell r="C697">
            <v>41578</v>
          </cell>
        </row>
        <row r="698">
          <cell r="B698">
            <v>41564</v>
          </cell>
          <cell r="C698">
            <v>41578</v>
          </cell>
        </row>
        <row r="699">
          <cell r="B699">
            <v>41565</v>
          </cell>
          <cell r="C699">
            <v>41578</v>
          </cell>
        </row>
        <row r="700">
          <cell r="B700">
            <v>41568</v>
          </cell>
          <cell r="C700">
            <v>41578</v>
          </cell>
        </row>
        <row r="701">
          <cell r="B701">
            <v>41569</v>
          </cell>
          <cell r="C701">
            <v>41578</v>
          </cell>
        </row>
        <row r="702">
          <cell r="B702">
            <v>41570</v>
          </cell>
          <cell r="C702">
            <v>41578</v>
          </cell>
        </row>
        <row r="703">
          <cell r="B703">
            <v>41571</v>
          </cell>
          <cell r="C703">
            <v>41578</v>
          </cell>
        </row>
        <row r="704">
          <cell r="B704">
            <v>41572</v>
          </cell>
          <cell r="C704">
            <v>41578</v>
          </cell>
        </row>
        <row r="705">
          <cell r="B705">
            <v>41575</v>
          </cell>
          <cell r="C705">
            <v>41578</v>
          </cell>
        </row>
        <row r="706">
          <cell r="B706">
            <v>41576</v>
          </cell>
          <cell r="C706">
            <v>41578</v>
          </cell>
        </row>
        <row r="707">
          <cell r="B707">
            <v>41577</v>
          </cell>
          <cell r="C707">
            <v>41578</v>
          </cell>
        </row>
        <row r="708">
          <cell r="B708">
            <v>41578</v>
          </cell>
          <cell r="C708">
            <v>41578</v>
          </cell>
        </row>
        <row r="709">
          <cell r="B709">
            <v>41579</v>
          </cell>
          <cell r="C709">
            <v>41606</v>
          </cell>
        </row>
        <row r="710">
          <cell r="B710">
            <v>41581</v>
          </cell>
          <cell r="C710">
            <v>41606</v>
          </cell>
        </row>
        <row r="711">
          <cell r="B711">
            <v>41583</v>
          </cell>
          <cell r="C711">
            <v>41606</v>
          </cell>
        </row>
        <row r="712">
          <cell r="B712">
            <v>41584</v>
          </cell>
          <cell r="C712">
            <v>41606</v>
          </cell>
        </row>
        <row r="713">
          <cell r="B713">
            <v>41585</v>
          </cell>
          <cell r="C713">
            <v>41606</v>
          </cell>
        </row>
        <row r="714">
          <cell r="B714">
            <v>41586</v>
          </cell>
          <cell r="C714">
            <v>41606</v>
          </cell>
        </row>
        <row r="715">
          <cell r="B715">
            <v>41589</v>
          </cell>
          <cell r="C715">
            <v>41606</v>
          </cell>
        </row>
        <row r="716">
          <cell r="B716">
            <v>41590</v>
          </cell>
          <cell r="C716">
            <v>41606</v>
          </cell>
        </row>
        <row r="717">
          <cell r="B717">
            <v>41591</v>
          </cell>
          <cell r="C717">
            <v>41606</v>
          </cell>
        </row>
        <row r="718">
          <cell r="B718">
            <v>41592</v>
          </cell>
          <cell r="C718">
            <v>41606</v>
          </cell>
        </row>
        <row r="719">
          <cell r="B719">
            <v>41596</v>
          </cell>
          <cell r="C719">
            <v>41606</v>
          </cell>
        </row>
        <row r="720">
          <cell r="B720">
            <v>41597</v>
          </cell>
          <cell r="C720">
            <v>41606</v>
          </cell>
        </row>
        <row r="721">
          <cell r="B721">
            <v>41598</v>
          </cell>
          <cell r="C721">
            <v>41606</v>
          </cell>
        </row>
        <row r="722">
          <cell r="B722">
            <v>41599</v>
          </cell>
          <cell r="C722">
            <v>41606</v>
          </cell>
        </row>
        <row r="723">
          <cell r="B723">
            <v>41600</v>
          </cell>
          <cell r="C723">
            <v>41606</v>
          </cell>
        </row>
        <row r="724">
          <cell r="B724">
            <v>41603</v>
          </cell>
          <cell r="C724">
            <v>41606</v>
          </cell>
        </row>
        <row r="725">
          <cell r="B725">
            <v>41604</v>
          </cell>
          <cell r="C725">
            <v>41606</v>
          </cell>
        </row>
        <row r="726">
          <cell r="B726">
            <v>41605</v>
          </cell>
          <cell r="C726">
            <v>41606</v>
          </cell>
        </row>
        <row r="727">
          <cell r="B727">
            <v>41606</v>
          </cell>
          <cell r="C727">
            <v>41606</v>
          </cell>
        </row>
        <row r="728">
          <cell r="B728">
            <v>41607</v>
          </cell>
          <cell r="C728">
            <v>41634</v>
          </cell>
        </row>
        <row r="729">
          <cell r="B729">
            <v>41610</v>
          </cell>
          <cell r="C729">
            <v>41634</v>
          </cell>
        </row>
        <row r="730">
          <cell r="B730">
            <v>41611</v>
          </cell>
          <cell r="C730">
            <v>41634</v>
          </cell>
        </row>
        <row r="731">
          <cell r="B731">
            <v>41612</v>
          </cell>
          <cell r="C731">
            <v>41634</v>
          </cell>
        </row>
        <row r="732">
          <cell r="B732">
            <v>41613</v>
          </cell>
          <cell r="C732">
            <v>41634</v>
          </cell>
        </row>
        <row r="733">
          <cell r="B733">
            <v>41614</v>
          </cell>
          <cell r="C733">
            <v>41634</v>
          </cell>
        </row>
        <row r="734">
          <cell r="B734">
            <v>41617</v>
          </cell>
          <cell r="C734">
            <v>41634</v>
          </cell>
        </row>
        <row r="735">
          <cell r="B735">
            <v>41618</v>
          </cell>
          <cell r="C735">
            <v>41634</v>
          </cell>
        </row>
        <row r="736">
          <cell r="B736">
            <v>41619</v>
          </cell>
          <cell r="C736">
            <v>41634</v>
          </cell>
        </row>
        <row r="737">
          <cell r="B737">
            <v>41620</v>
          </cell>
          <cell r="C737">
            <v>41634</v>
          </cell>
        </row>
        <row r="738">
          <cell r="B738">
            <v>41621</v>
          </cell>
          <cell r="C738">
            <v>41634</v>
          </cell>
        </row>
        <row r="739">
          <cell r="B739">
            <v>41624</v>
          </cell>
          <cell r="C739">
            <v>41634</v>
          </cell>
        </row>
        <row r="740">
          <cell r="B740">
            <v>41625</v>
          </cell>
          <cell r="C740">
            <v>41634</v>
          </cell>
        </row>
        <row r="741">
          <cell r="B741">
            <v>41626</v>
          </cell>
          <cell r="C741">
            <v>41634</v>
          </cell>
        </row>
        <row r="742">
          <cell r="B742">
            <v>41627</v>
          </cell>
          <cell r="C742">
            <v>41634</v>
          </cell>
        </row>
        <row r="743">
          <cell r="B743">
            <v>41628</v>
          </cell>
          <cell r="C743">
            <v>41634</v>
          </cell>
        </row>
        <row r="744">
          <cell r="B744">
            <v>41631</v>
          </cell>
          <cell r="C744">
            <v>41634</v>
          </cell>
        </row>
        <row r="745">
          <cell r="B745">
            <v>41632</v>
          </cell>
          <cell r="C745">
            <v>41634</v>
          </cell>
        </row>
        <row r="746">
          <cell r="B746">
            <v>41634</v>
          </cell>
          <cell r="C746">
            <v>41634</v>
          </cell>
        </row>
        <row r="747">
          <cell r="B747">
            <v>41635</v>
          </cell>
          <cell r="C747">
            <v>41669</v>
          </cell>
        </row>
        <row r="748">
          <cell r="B748">
            <v>41638</v>
          </cell>
          <cell r="C748">
            <v>41669</v>
          </cell>
        </row>
        <row r="749">
          <cell r="B749">
            <v>41639</v>
          </cell>
          <cell r="C749">
            <v>41669</v>
          </cell>
        </row>
        <row r="750">
          <cell r="B750">
            <v>41640</v>
          </cell>
          <cell r="C750">
            <v>41669</v>
          </cell>
        </row>
        <row r="751">
          <cell r="B751">
            <v>41641</v>
          </cell>
          <cell r="C751">
            <v>41669</v>
          </cell>
        </row>
        <row r="752">
          <cell r="B752">
            <v>41642</v>
          </cell>
          <cell r="C752">
            <v>41669</v>
          </cell>
        </row>
        <row r="753">
          <cell r="B753">
            <v>41645</v>
          </cell>
          <cell r="C753">
            <v>41669</v>
          </cell>
        </row>
        <row r="754">
          <cell r="B754">
            <v>41646</v>
          </cell>
          <cell r="C754">
            <v>41669</v>
          </cell>
        </row>
        <row r="755">
          <cell r="B755">
            <v>41647</v>
          </cell>
          <cell r="C755">
            <v>41669</v>
          </cell>
        </row>
        <row r="756">
          <cell r="B756">
            <v>41648</v>
          </cell>
          <cell r="C756">
            <v>41669</v>
          </cell>
        </row>
        <row r="757">
          <cell r="B757">
            <v>41649</v>
          </cell>
          <cell r="C757">
            <v>41669</v>
          </cell>
        </row>
        <row r="758">
          <cell r="B758">
            <v>41652</v>
          </cell>
          <cell r="C758">
            <v>41669</v>
          </cell>
        </row>
        <row r="759">
          <cell r="B759">
            <v>41653</v>
          </cell>
          <cell r="C759">
            <v>41669</v>
          </cell>
        </row>
        <row r="760">
          <cell r="B760">
            <v>41654</v>
          </cell>
          <cell r="C760">
            <v>41669</v>
          </cell>
        </row>
        <row r="761">
          <cell r="B761">
            <v>41655</v>
          </cell>
          <cell r="C761">
            <v>41669</v>
          </cell>
        </row>
        <row r="762">
          <cell r="B762">
            <v>41656</v>
          </cell>
          <cell r="C762">
            <v>41669</v>
          </cell>
        </row>
        <row r="763">
          <cell r="B763">
            <v>41659</v>
          </cell>
          <cell r="C763">
            <v>41669</v>
          </cell>
        </row>
        <row r="764">
          <cell r="B764">
            <v>41660</v>
          </cell>
          <cell r="C764">
            <v>41669</v>
          </cell>
        </row>
        <row r="765">
          <cell r="B765">
            <v>41661</v>
          </cell>
          <cell r="C765">
            <v>41669</v>
          </cell>
        </row>
        <row r="766">
          <cell r="B766">
            <v>41662</v>
          </cell>
          <cell r="C766">
            <v>41669</v>
          </cell>
        </row>
        <row r="767">
          <cell r="B767">
            <v>41663</v>
          </cell>
          <cell r="C767">
            <v>41669</v>
          </cell>
        </row>
        <row r="768">
          <cell r="B768">
            <v>41666</v>
          </cell>
          <cell r="C768">
            <v>41669</v>
          </cell>
        </row>
        <row r="769">
          <cell r="B769">
            <v>41667</v>
          </cell>
          <cell r="C769">
            <v>41669</v>
          </cell>
        </row>
        <row r="770">
          <cell r="B770">
            <v>41668</v>
          </cell>
          <cell r="C770">
            <v>41669</v>
          </cell>
        </row>
        <row r="771">
          <cell r="B771">
            <v>41669</v>
          </cell>
          <cell r="C771">
            <v>41669</v>
          </cell>
        </row>
        <row r="772">
          <cell r="B772">
            <v>41670</v>
          </cell>
          <cell r="C772">
            <v>41696</v>
          </cell>
        </row>
        <row r="773">
          <cell r="B773">
            <v>41673</v>
          </cell>
          <cell r="C773">
            <v>41696</v>
          </cell>
        </row>
        <row r="774">
          <cell r="B774">
            <v>41674</v>
          </cell>
          <cell r="C774">
            <v>41696</v>
          </cell>
        </row>
        <row r="775">
          <cell r="B775">
            <v>41675</v>
          </cell>
          <cell r="C775">
            <v>41696</v>
          </cell>
        </row>
        <row r="776">
          <cell r="B776">
            <v>41676</v>
          </cell>
          <cell r="C776">
            <v>41696</v>
          </cell>
        </row>
        <row r="777">
          <cell r="B777">
            <v>41677</v>
          </cell>
          <cell r="C777">
            <v>41696</v>
          </cell>
        </row>
        <row r="778">
          <cell r="B778">
            <v>41680</v>
          </cell>
          <cell r="C778">
            <v>41696</v>
          </cell>
        </row>
        <row r="779">
          <cell r="B779">
            <v>41681</v>
          </cell>
          <cell r="C779">
            <v>41696</v>
          </cell>
        </row>
        <row r="780">
          <cell r="B780">
            <v>41682</v>
          </cell>
          <cell r="C780">
            <v>41696</v>
          </cell>
        </row>
        <row r="781">
          <cell r="B781">
            <v>41683</v>
          </cell>
          <cell r="C781">
            <v>41696</v>
          </cell>
        </row>
        <row r="782">
          <cell r="B782">
            <v>41684</v>
          </cell>
          <cell r="C782">
            <v>41696</v>
          </cell>
        </row>
        <row r="783">
          <cell r="B783">
            <v>41687</v>
          </cell>
          <cell r="C783">
            <v>41696</v>
          </cell>
        </row>
        <row r="784">
          <cell r="B784">
            <v>41688</v>
          </cell>
          <cell r="C784">
            <v>41696</v>
          </cell>
        </row>
        <row r="785">
          <cell r="B785">
            <v>41689</v>
          </cell>
          <cell r="C785">
            <v>41696</v>
          </cell>
        </row>
        <row r="786">
          <cell r="B786">
            <v>41690</v>
          </cell>
          <cell r="C786">
            <v>41696</v>
          </cell>
        </row>
        <row r="787">
          <cell r="B787">
            <v>41691</v>
          </cell>
          <cell r="C787">
            <v>41696</v>
          </cell>
        </row>
        <row r="788">
          <cell r="B788">
            <v>41694</v>
          </cell>
          <cell r="C788">
            <v>41696</v>
          </cell>
        </row>
        <row r="789">
          <cell r="B789">
            <v>41695</v>
          </cell>
          <cell r="C789">
            <v>41696</v>
          </cell>
        </row>
        <row r="790">
          <cell r="B790">
            <v>41696</v>
          </cell>
          <cell r="C790">
            <v>41696</v>
          </cell>
        </row>
        <row r="791">
          <cell r="B791">
            <v>41698</v>
          </cell>
          <cell r="C791">
            <v>41725</v>
          </cell>
        </row>
        <row r="792">
          <cell r="B792">
            <v>41701</v>
          </cell>
          <cell r="C792">
            <v>41725</v>
          </cell>
        </row>
        <row r="793">
          <cell r="B793">
            <v>41702</v>
          </cell>
          <cell r="C793">
            <v>41725</v>
          </cell>
        </row>
        <row r="794">
          <cell r="B794">
            <v>41703</v>
          </cell>
          <cell r="C794">
            <v>41725</v>
          </cell>
        </row>
        <row r="795">
          <cell r="B795">
            <v>41704</v>
          </cell>
          <cell r="C795">
            <v>41725</v>
          </cell>
        </row>
        <row r="796">
          <cell r="B796">
            <v>41705</v>
          </cell>
          <cell r="C796">
            <v>41725</v>
          </cell>
        </row>
        <row r="797">
          <cell r="B797">
            <v>41708</v>
          </cell>
          <cell r="C797">
            <v>41725</v>
          </cell>
        </row>
        <row r="798">
          <cell r="B798">
            <v>41709</v>
          </cell>
          <cell r="C798">
            <v>41725</v>
          </cell>
        </row>
        <row r="799">
          <cell r="B799">
            <v>41710</v>
          </cell>
          <cell r="C799">
            <v>41725</v>
          </cell>
        </row>
        <row r="800">
          <cell r="B800">
            <v>41711</v>
          </cell>
          <cell r="C800">
            <v>41725</v>
          </cell>
        </row>
        <row r="801">
          <cell r="B801">
            <v>41712</v>
          </cell>
          <cell r="C801">
            <v>41725</v>
          </cell>
        </row>
        <row r="802">
          <cell r="B802">
            <v>41716</v>
          </cell>
          <cell r="C802">
            <v>41725</v>
          </cell>
        </row>
        <row r="803">
          <cell r="B803">
            <v>41717</v>
          </cell>
          <cell r="C803">
            <v>41725</v>
          </cell>
        </row>
        <row r="804">
          <cell r="B804">
            <v>41718</v>
          </cell>
          <cell r="C804">
            <v>41725</v>
          </cell>
        </row>
        <row r="805">
          <cell r="B805">
            <v>41719</v>
          </cell>
          <cell r="C805">
            <v>41725</v>
          </cell>
        </row>
        <row r="806">
          <cell r="B806">
            <v>41720</v>
          </cell>
          <cell r="C806">
            <v>41725</v>
          </cell>
        </row>
        <row r="807">
          <cell r="B807">
            <v>41722</v>
          </cell>
          <cell r="C807">
            <v>41725</v>
          </cell>
        </row>
        <row r="808">
          <cell r="B808">
            <v>41723</v>
          </cell>
          <cell r="C808">
            <v>41725</v>
          </cell>
        </row>
        <row r="809">
          <cell r="B809">
            <v>41724</v>
          </cell>
          <cell r="C809">
            <v>41725</v>
          </cell>
        </row>
        <row r="810">
          <cell r="B810">
            <v>41725</v>
          </cell>
          <cell r="C810">
            <v>41725</v>
          </cell>
        </row>
        <row r="811">
          <cell r="B811">
            <v>41726</v>
          </cell>
          <cell r="C811">
            <v>41752</v>
          </cell>
        </row>
        <row r="812">
          <cell r="B812">
            <v>41729</v>
          </cell>
          <cell r="C812">
            <v>41752</v>
          </cell>
        </row>
        <row r="813">
          <cell r="B813">
            <v>41730</v>
          </cell>
          <cell r="C813">
            <v>41752</v>
          </cell>
        </row>
        <row r="814">
          <cell r="B814">
            <v>41731</v>
          </cell>
          <cell r="C814">
            <v>41752</v>
          </cell>
        </row>
        <row r="815">
          <cell r="B815">
            <v>41732</v>
          </cell>
          <cell r="C815">
            <v>41752</v>
          </cell>
        </row>
        <row r="816">
          <cell r="B816">
            <v>41733</v>
          </cell>
          <cell r="C816">
            <v>41752</v>
          </cell>
        </row>
        <row r="817">
          <cell r="B817">
            <v>41736</v>
          </cell>
          <cell r="C817">
            <v>41752</v>
          </cell>
        </row>
        <row r="818">
          <cell r="B818">
            <v>41738</v>
          </cell>
          <cell r="C818">
            <v>41752</v>
          </cell>
        </row>
        <row r="819">
          <cell r="B819">
            <v>41739</v>
          </cell>
          <cell r="C819">
            <v>41752</v>
          </cell>
        </row>
        <row r="820">
          <cell r="B820">
            <v>41740</v>
          </cell>
          <cell r="C820">
            <v>41752</v>
          </cell>
        </row>
        <row r="821">
          <cell r="B821">
            <v>41744</v>
          </cell>
          <cell r="C821">
            <v>41752</v>
          </cell>
        </row>
        <row r="822">
          <cell r="B822">
            <v>41745</v>
          </cell>
          <cell r="C822">
            <v>41752</v>
          </cell>
        </row>
        <row r="823">
          <cell r="B823">
            <v>41746</v>
          </cell>
          <cell r="C823">
            <v>41752</v>
          </cell>
        </row>
        <row r="824">
          <cell r="B824">
            <v>41750</v>
          </cell>
          <cell r="C824">
            <v>41752</v>
          </cell>
        </row>
        <row r="825">
          <cell r="B825">
            <v>41751</v>
          </cell>
          <cell r="C825">
            <v>41752</v>
          </cell>
        </row>
        <row r="826">
          <cell r="B826">
            <v>41752</v>
          </cell>
          <cell r="C826">
            <v>41752</v>
          </cell>
        </row>
        <row r="827">
          <cell r="B827">
            <v>41754</v>
          </cell>
          <cell r="C827">
            <v>41788</v>
          </cell>
        </row>
        <row r="828">
          <cell r="B828">
            <v>41757</v>
          </cell>
          <cell r="C828">
            <v>41788</v>
          </cell>
        </row>
        <row r="829">
          <cell r="B829">
            <v>41758</v>
          </cell>
          <cell r="C829">
            <v>41788</v>
          </cell>
        </row>
        <row r="830">
          <cell r="B830">
            <v>41759</v>
          </cell>
          <cell r="C830">
            <v>41788</v>
          </cell>
        </row>
        <row r="831">
          <cell r="B831">
            <v>41761</v>
          </cell>
          <cell r="C831">
            <v>41788</v>
          </cell>
        </row>
        <row r="832">
          <cell r="B832">
            <v>41764</v>
          </cell>
          <cell r="C832">
            <v>41788</v>
          </cell>
        </row>
        <row r="833">
          <cell r="B833">
            <v>41765</v>
          </cell>
          <cell r="C833">
            <v>41788</v>
          </cell>
        </row>
        <row r="834">
          <cell r="B834">
            <v>41766</v>
          </cell>
          <cell r="C834">
            <v>41788</v>
          </cell>
        </row>
        <row r="835">
          <cell r="B835">
            <v>41767</v>
          </cell>
          <cell r="C835">
            <v>41788</v>
          </cell>
        </row>
        <row r="836">
          <cell r="B836">
            <v>41768</v>
          </cell>
          <cell r="C836">
            <v>41788</v>
          </cell>
        </row>
        <row r="837">
          <cell r="B837">
            <v>41771</v>
          </cell>
          <cell r="C837">
            <v>41788</v>
          </cell>
        </row>
        <row r="838">
          <cell r="B838">
            <v>41772</v>
          </cell>
          <cell r="C838">
            <v>41788</v>
          </cell>
        </row>
        <row r="839">
          <cell r="B839">
            <v>41773</v>
          </cell>
          <cell r="C839">
            <v>41788</v>
          </cell>
        </row>
        <row r="840">
          <cell r="B840">
            <v>41774</v>
          </cell>
          <cell r="C840">
            <v>41788</v>
          </cell>
        </row>
        <row r="841">
          <cell r="B841">
            <v>41775</v>
          </cell>
          <cell r="C841">
            <v>41788</v>
          </cell>
        </row>
        <row r="842">
          <cell r="B842">
            <v>41778</v>
          </cell>
          <cell r="C842">
            <v>41788</v>
          </cell>
        </row>
        <row r="843">
          <cell r="B843">
            <v>41779</v>
          </cell>
          <cell r="C843">
            <v>41788</v>
          </cell>
        </row>
        <row r="844">
          <cell r="B844">
            <v>41780</v>
          </cell>
          <cell r="C844">
            <v>41788</v>
          </cell>
        </row>
        <row r="845">
          <cell r="B845">
            <v>41781</v>
          </cell>
          <cell r="C845">
            <v>41788</v>
          </cell>
        </row>
        <row r="846">
          <cell r="B846">
            <v>41782</v>
          </cell>
          <cell r="C846">
            <v>41788</v>
          </cell>
        </row>
        <row r="847">
          <cell r="B847">
            <v>41785</v>
          </cell>
          <cell r="C847">
            <v>41788</v>
          </cell>
        </row>
        <row r="848">
          <cell r="B848">
            <v>41786</v>
          </cell>
          <cell r="C848">
            <v>41788</v>
          </cell>
        </row>
        <row r="849">
          <cell r="B849">
            <v>41787</v>
          </cell>
          <cell r="C849">
            <v>41788</v>
          </cell>
        </row>
        <row r="850">
          <cell r="B850">
            <v>41788</v>
          </cell>
          <cell r="C850">
            <v>41788</v>
          </cell>
        </row>
        <row r="851">
          <cell r="B851">
            <v>41789</v>
          </cell>
          <cell r="C851">
            <v>41816</v>
          </cell>
        </row>
        <row r="852">
          <cell r="B852">
            <v>41792</v>
          </cell>
          <cell r="C852">
            <v>41816</v>
          </cell>
        </row>
        <row r="853">
          <cell r="B853">
            <v>41793</v>
          </cell>
          <cell r="C853">
            <v>41816</v>
          </cell>
        </row>
        <row r="854">
          <cell r="B854">
            <v>41794</v>
          </cell>
          <cell r="C854">
            <v>41816</v>
          </cell>
        </row>
        <row r="855">
          <cell r="B855">
            <v>41795</v>
          </cell>
          <cell r="C855">
            <v>41816</v>
          </cell>
        </row>
        <row r="856">
          <cell r="B856">
            <v>41796</v>
          </cell>
          <cell r="C856">
            <v>41816</v>
          </cell>
        </row>
        <row r="857">
          <cell r="B857">
            <v>41799</v>
          </cell>
          <cell r="C857">
            <v>41816</v>
          </cell>
        </row>
        <row r="858">
          <cell r="B858">
            <v>41800</v>
          </cell>
          <cell r="C858">
            <v>41816</v>
          </cell>
        </row>
        <row r="859">
          <cell r="B859">
            <v>41801</v>
          </cell>
          <cell r="C859">
            <v>41816</v>
          </cell>
        </row>
        <row r="860">
          <cell r="B860">
            <v>41802</v>
          </cell>
          <cell r="C860">
            <v>41816</v>
          </cell>
        </row>
        <row r="861">
          <cell r="B861">
            <v>41803</v>
          </cell>
          <cell r="C861">
            <v>41816</v>
          </cell>
        </row>
        <row r="862">
          <cell r="B862">
            <v>41806</v>
          </cell>
          <cell r="C862">
            <v>41816</v>
          </cell>
        </row>
        <row r="863">
          <cell r="B863">
            <v>41807</v>
          </cell>
          <cell r="C863">
            <v>41816</v>
          </cell>
        </row>
        <row r="864">
          <cell r="B864">
            <v>41808</v>
          </cell>
          <cell r="C864">
            <v>41816</v>
          </cell>
        </row>
        <row r="865">
          <cell r="B865">
            <v>41809</v>
          </cell>
          <cell r="C865">
            <v>41816</v>
          </cell>
        </row>
        <row r="866">
          <cell r="B866">
            <v>41810</v>
          </cell>
          <cell r="C866">
            <v>41816</v>
          </cell>
        </row>
        <row r="867">
          <cell r="B867">
            <v>41813</v>
          </cell>
          <cell r="C867">
            <v>41816</v>
          </cell>
        </row>
        <row r="868">
          <cell r="B868">
            <v>41814</v>
          </cell>
          <cell r="C868">
            <v>41816</v>
          </cell>
        </row>
        <row r="869">
          <cell r="B869">
            <v>41815</v>
          </cell>
          <cell r="C869">
            <v>41816</v>
          </cell>
        </row>
        <row r="870">
          <cell r="B870">
            <v>41816</v>
          </cell>
          <cell r="C870">
            <v>41816</v>
          </cell>
        </row>
        <row r="871">
          <cell r="B871">
            <v>41817</v>
          </cell>
          <cell r="C871">
            <v>41851</v>
          </cell>
        </row>
        <row r="872">
          <cell r="B872">
            <v>41820</v>
          </cell>
          <cell r="C872">
            <v>41851</v>
          </cell>
        </row>
        <row r="873">
          <cell r="B873">
            <v>41821</v>
          </cell>
          <cell r="C873">
            <v>41851</v>
          </cell>
        </row>
        <row r="874">
          <cell r="B874">
            <v>41822</v>
          </cell>
          <cell r="C874">
            <v>41851</v>
          </cell>
        </row>
        <row r="875">
          <cell r="B875">
            <v>41823</v>
          </cell>
          <cell r="C875">
            <v>41851</v>
          </cell>
        </row>
        <row r="876">
          <cell r="B876">
            <v>41824</v>
          </cell>
          <cell r="C876">
            <v>41851</v>
          </cell>
        </row>
        <row r="877">
          <cell r="B877">
            <v>41827</v>
          </cell>
          <cell r="C877">
            <v>41851</v>
          </cell>
        </row>
        <row r="878">
          <cell r="B878">
            <v>41828</v>
          </cell>
          <cell r="C878">
            <v>41851</v>
          </cell>
        </row>
        <row r="879">
          <cell r="B879">
            <v>41829</v>
          </cell>
          <cell r="C879">
            <v>41851</v>
          </cell>
        </row>
        <row r="880">
          <cell r="B880">
            <v>41830</v>
          </cell>
          <cell r="C880">
            <v>41851</v>
          </cell>
        </row>
        <row r="881">
          <cell r="B881">
            <v>41831</v>
          </cell>
          <cell r="C881">
            <v>41851</v>
          </cell>
        </row>
        <row r="882">
          <cell r="B882">
            <v>41834</v>
          </cell>
          <cell r="C882">
            <v>41851</v>
          </cell>
        </row>
        <row r="883">
          <cell r="B883">
            <v>41835</v>
          </cell>
          <cell r="C883">
            <v>41851</v>
          </cell>
        </row>
        <row r="884">
          <cell r="B884">
            <v>41836</v>
          </cell>
          <cell r="C884">
            <v>41851</v>
          </cell>
        </row>
        <row r="885">
          <cell r="B885">
            <v>41837</v>
          </cell>
          <cell r="C885">
            <v>41851</v>
          </cell>
        </row>
        <row r="886">
          <cell r="B886">
            <v>41838</v>
          </cell>
          <cell r="C886">
            <v>41851</v>
          </cell>
        </row>
        <row r="887">
          <cell r="B887">
            <v>41841</v>
          </cell>
          <cell r="C887">
            <v>41851</v>
          </cell>
        </row>
        <row r="888">
          <cell r="B888">
            <v>41842</v>
          </cell>
          <cell r="C888">
            <v>41851</v>
          </cell>
        </row>
        <row r="889">
          <cell r="B889">
            <v>41843</v>
          </cell>
          <cell r="C889">
            <v>41851</v>
          </cell>
        </row>
        <row r="890">
          <cell r="B890">
            <v>41844</v>
          </cell>
          <cell r="C890">
            <v>41851</v>
          </cell>
        </row>
        <row r="891">
          <cell r="B891">
            <v>41845</v>
          </cell>
          <cell r="C891">
            <v>41851</v>
          </cell>
        </row>
        <row r="892">
          <cell r="B892">
            <v>41848</v>
          </cell>
          <cell r="C892">
            <v>41851</v>
          </cell>
        </row>
        <row r="893">
          <cell r="B893">
            <v>41850</v>
          </cell>
          <cell r="C893">
            <v>41851</v>
          </cell>
        </row>
        <row r="894">
          <cell r="B894">
            <v>41851</v>
          </cell>
          <cell r="C894">
            <v>41851</v>
          </cell>
        </row>
        <row r="895">
          <cell r="B895">
            <v>41852</v>
          </cell>
          <cell r="C895">
            <v>41879</v>
          </cell>
        </row>
        <row r="896">
          <cell r="B896">
            <v>41855</v>
          </cell>
          <cell r="C896">
            <v>41879</v>
          </cell>
        </row>
        <row r="897">
          <cell r="B897">
            <v>41856</v>
          </cell>
          <cell r="C897">
            <v>41879</v>
          </cell>
        </row>
        <row r="898">
          <cell r="B898">
            <v>41857</v>
          </cell>
          <cell r="C898">
            <v>41879</v>
          </cell>
        </row>
        <row r="899">
          <cell r="B899">
            <v>41858</v>
          </cell>
          <cell r="C899">
            <v>41879</v>
          </cell>
        </row>
        <row r="900">
          <cell r="B900">
            <v>41859</v>
          </cell>
          <cell r="C900">
            <v>41879</v>
          </cell>
        </row>
        <row r="901">
          <cell r="B901">
            <v>41862</v>
          </cell>
          <cell r="C901">
            <v>41879</v>
          </cell>
        </row>
        <row r="902">
          <cell r="B902">
            <v>41863</v>
          </cell>
          <cell r="C902">
            <v>41879</v>
          </cell>
        </row>
        <row r="903">
          <cell r="B903">
            <v>41864</v>
          </cell>
          <cell r="C903">
            <v>41879</v>
          </cell>
        </row>
        <row r="904">
          <cell r="B904">
            <v>41865</v>
          </cell>
          <cell r="C904">
            <v>41879</v>
          </cell>
        </row>
        <row r="905">
          <cell r="B905">
            <v>41869</v>
          </cell>
          <cell r="C905">
            <v>41879</v>
          </cell>
        </row>
        <row r="906">
          <cell r="B906">
            <v>41870</v>
          </cell>
          <cell r="C906">
            <v>41879</v>
          </cell>
        </row>
        <row r="907">
          <cell r="B907">
            <v>41871</v>
          </cell>
          <cell r="C907">
            <v>41879</v>
          </cell>
        </row>
        <row r="908">
          <cell r="B908">
            <v>41872</v>
          </cell>
          <cell r="C908">
            <v>41879</v>
          </cell>
        </row>
        <row r="909">
          <cell r="B909">
            <v>41873</v>
          </cell>
          <cell r="C909">
            <v>41879</v>
          </cell>
        </row>
        <row r="910">
          <cell r="B910">
            <v>41876</v>
          </cell>
          <cell r="C910">
            <v>41879</v>
          </cell>
        </row>
        <row r="911">
          <cell r="B911">
            <v>41877</v>
          </cell>
          <cell r="C911">
            <v>41879</v>
          </cell>
        </row>
        <row r="912">
          <cell r="B912">
            <v>41878</v>
          </cell>
          <cell r="C912">
            <v>41879</v>
          </cell>
        </row>
        <row r="913">
          <cell r="B913">
            <v>41879</v>
          </cell>
          <cell r="C913">
            <v>41879</v>
          </cell>
        </row>
        <row r="914">
          <cell r="B914">
            <v>41883</v>
          </cell>
          <cell r="C914">
            <v>41907</v>
          </cell>
        </row>
        <row r="915">
          <cell r="B915">
            <v>41884</v>
          </cell>
          <cell r="C915">
            <v>41907</v>
          </cell>
        </row>
        <row r="916">
          <cell r="B916">
            <v>41885</v>
          </cell>
          <cell r="C916">
            <v>41907</v>
          </cell>
        </row>
        <row r="917">
          <cell r="B917">
            <v>41886</v>
          </cell>
          <cell r="C917">
            <v>41907</v>
          </cell>
        </row>
        <row r="918">
          <cell r="B918">
            <v>41887</v>
          </cell>
          <cell r="C918">
            <v>41907</v>
          </cell>
        </row>
        <row r="919">
          <cell r="B919">
            <v>41890</v>
          </cell>
          <cell r="C919">
            <v>41907</v>
          </cell>
        </row>
        <row r="920">
          <cell r="B920">
            <v>41891</v>
          </cell>
          <cell r="C920">
            <v>41907</v>
          </cell>
        </row>
        <row r="921">
          <cell r="B921">
            <v>41892</v>
          </cell>
          <cell r="C921">
            <v>41907</v>
          </cell>
        </row>
        <row r="922">
          <cell r="B922">
            <v>41893</v>
          </cell>
          <cell r="C922">
            <v>41907</v>
          </cell>
        </row>
        <row r="923">
          <cell r="B923">
            <v>41894</v>
          </cell>
          <cell r="C923">
            <v>41907</v>
          </cell>
        </row>
        <row r="924">
          <cell r="B924">
            <v>41897</v>
          </cell>
          <cell r="C924">
            <v>41907</v>
          </cell>
        </row>
        <row r="925">
          <cell r="B925">
            <v>41898</v>
          </cell>
          <cell r="C925">
            <v>41907</v>
          </cell>
        </row>
        <row r="926">
          <cell r="B926">
            <v>41899</v>
          </cell>
          <cell r="C926">
            <v>41907</v>
          </cell>
        </row>
        <row r="927">
          <cell r="B927">
            <v>41900</v>
          </cell>
          <cell r="C927">
            <v>41907</v>
          </cell>
        </row>
        <row r="928">
          <cell r="B928">
            <v>41901</v>
          </cell>
          <cell r="C928">
            <v>41907</v>
          </cell>
        </row>
        <row r="929">
          <cell r="B929">
            <v>41904</v>
          </cell>
          <cell r="C929">
            <v>41907</v>
          </cell>
        </row>
        <row r="930">
          <cell r="B930">
            <v>41905</v>
          </cell>
          <cell r="C930">
            <v>41907</v>
          </cell>
        </row>
        <row r="931">
          <cell r="B931">
            <v>41906</v>
          </cell>
          <cell r="C931">
            <v>41907</v>
          </cell>
        </row>
        <row r="932">
          <cell r="B932">
            <v>41907</v>
          </cell>
          <cell r="C932">
            <v>41907</v>
          </cell>
        </row>
        <row r="933">
          <cell r="B933">
            <v>41908</v>
          </cell>
          <cell r="C933">
            <v>41942</v>
          </cell>
        </row>
        <row r="934">
          <cell r="B934">
            <v>41911</v>
          </cell>
          <cell r="C934">
            <v>41942</v>
          </cell>
        </row>
        <row r="935">
          <cell r="B935">
            <v>41912</v>
          </cell>
          <cell r="C935">
            <v>41942</v>
          </cell>
        </row>
        <row r="936">
          <cell r="B936">
            <v>41913</v>
          </cell>
          <cell r="C936">
            <v>41942</v>
          </cell>
        </row>
        <row r="937">
          <cell r="B937">
            <v>41919</v>
          </cell>
          <cell r="C937">
            <v>41942</v>
          </cell>
        </row>
        <row r="938">
          <cell r="B938">
            <v>41920</v>
          </cell>
          <cell r="C938">
            <v>41942</v>
          </cell>
        </row>
        <row r="939">
          <cell r="B939">
            <v>41921</v>
          </cell>
          <cell r="C939">
            <v>41942</v>
          </cell>
        </row>
        <row r="940">
          <cell r="B940">
            <v>41922</v>
          </cell>
          <cell r="C940">
            <v>41942</v>
          </cell>
        </row>
        <row r="941">
          <cell r="B941">
            <v>41925</v>
          </cell>
          <cell r="C941">
            <v>41942</v>
          </cell>
        </row>
        <row r="942">
          <cell r="B942">
            <v>41926</v>
          </cell>
          <cell r="C942">
            <v>41942</v>
          </cell>
        </row>
        <row r="943">
          <cell r="B943">
            <v>41928</v>
          </cell>
          <cell r="C943">
            <v>41942</v>
          </cell>
        </row>
        <row r="944">
          <cell r="B944">
            <v>41929</v>
          </cell>
          <cell r="C944">
            <v>41942</v>
          </cell>
        </row>
        <row r="945">
          <cell r="B945">
            <v>41932</v>
          </cell>
          <cell r="C945">
            <v>41942</v>
          </cell>
        </row>
        <row r="946">
          <cell r="B946">
            <v>41933</v>
          </cell>
          <cell r="C946">
            <v>41942</v>
          </cell>
        </row>
        <row r="947">
          <cell r="B947">
            <v>41934</v>
          </cell>
          <cell r="C947">
            <v>41942</v>
          </cell>
        </row>
        <row r="948">
          <cell r="B948">
            <v>41935</v>
          </cell>
          <cell r="C948">
            <v>41942</v>
          </cell>
        </row>
        <row r="949">
          <cell r="B949">
            <v>41939</v>
          </cell>
          <cell r="C949">
            <v>41942</v>
          </cell>
        </row>
        <row r="950">
          <cell r="B950">
            <v>41940</v>
          </cell>
          <cell r="C950">
            <v>41942</v>
          </cell>
        </row>
        <row r="951">
          <cell r="B951">
            <v>41941</v>
          </cell>
          <cell r="C951">
            <v>41942</v>
          </cell>
        </row>
        <row r="952">
          <cell r="B952">
            <v>41942</v>
          </cell>
          <cell r="C952">
            <v>41942</v>
          </cell>
        </row>
        <row r="953">
          <cell r="B953">
            <v>41943</v>
          </cell>
          <cell r="C953">
            <v>41970</v>
          </cell>
        </row>
        <row r="954">
          <cell r="B954">
            <v>41946</v>
          </cell>
          <cell r="C954">
            <v>41970</v>
          </cell>
        </row>
        <row r="955">
          <cell r="B955">
            <v>41948</v>
          </cell>
          <cell r="C955">
            <v>41970</v>
          </cell>
        </row>
        <row r="956">
          <cell r="B956">
            <v>41950</v>
          </cell>
          <cell r="C956">
            <v>41970</v>
          </cell>
        </row>
        <row r="957">
          <cell r="B957">
            <v>41953</v>
          </cell>
          <cell r="C957">
            <v>41970</v>
          </cell>
        </row>
        <row r="958">
          <cell r="B958">
            <v>41954</v>
          </cell>
          <cell r="C958">
            <v>41970</v>
          </cell>
        </row>
        <row r="959">
          <cell r="B959">
            <v>41955</v>
          </cell>
          <cell r="C959">
            <v>41970</v>
          </cell>
        </row>
        <row r="960">
          <cell r="B960">
            <v>41956</v>
          </cell>
          <cell r="C960">
            <v>41970</v>
          </cell>
        </row>
        <row r="961">
          <cell r="B961">
            <v>41957</v>
          </cell>
          <cell r="C961">
            <v>41970</v>
          </cell>
        </row>
        <row r="962">
          <cell r="B962">
            <v>41960</v>
          </cell>
          <cell r="C962">
            <v>41970</v>
          </cell>
        </row>
        <row r="963">
          <cell r="B963">
            <v>41961</v>
          </cell>
          <cell r="C963">
            <v>41970</v>
          </cell>
        </row>
        <row r="964">
          <cell r="B964">
            <v>41962</v>
          </cell>
          <cell r="C964">
            <v>41970</v>
          </cell>
        </row>
        <row r="965">
          <cell r="B965">
            <v>41963</v>
          </cell>
          <cell r="C965">
            <v>41970</v>
          </cell>
        </row>
        <row r="966">
          <cell r="B966">
            <v>41964</v>
          </cell>
          <cell r="C966">
            <v>41970</v>
          </cell>
        </row>
        <row r="967">
          <cell r="B967">
            <v>41967</v>
          </cell>
          <cell r="C967">
            <v>41970</v>
          </cell>
        </row>
        <row r="968">
          <cell r="B968">
            <v>41968</v>
          </cell>
          <cell r="C968">
            <v>41970</v>
          </cell>
        </row>
        <row r="969">
          <cell r="B969">
            <v>41969</v>
          </cell>
          <cell r="C969">
            <v>41970</v>
          </cell>
        </row>
        <row r="970">
          <cell r="B970">
            <v>41970</v>
          </cell>
          <cell r="C970">
            <v>41970</v>
          </cell>
        </row>
        <row r="971">
          <cell r="B971">
            <v>41971</v>
          </cell>
          <cell r="C971">
            <v>41997</v>
          </cell>
        </row>
        <row r="972">
          <cell r="B972">
            <v>41974</v>
          </cell>
          <cell r="C972">
            <v>41997</v>
          </cell>
        </row>
        <row r="973">
          <cell r="B973">
            <v>41975</v>
          </cell>
          <cell r="C973">
            <v>41997</v>
          </cell>
        </row>
        <row r="974">
          <cell r="B974">
            <v>41976</v>
          </cell>
          <cell r="C974">
            <v>41997</v>
          </cell>
        </row>
        <row r="975">
          <cell r="B975">
            <v>41977</v>
          </cell>
          <cell r="C975">
            <v>41997</v>
          </cell>
        </row>
        <row r="976">
          <cell r="B976">
            <v>41978</v>
          </cell>
          <cell r="C976">
            <v>41997</v>
          </cell>
        </row>
        <row r="977">
          <cell r="B977">
            <v>41981</v>
          </cell>
          <cell r="C977">
            <v>41997</v>
          </cell>
        </row>
        <row r="978">
          <cell r="B978">
            <v>41982</v>
          </cell>
          <cell r="C978">
            <v>41997</v>
          </cell>
        </row>
        <row r="979">
          <cell r="B979">
            <v>41983</v>
          </cell>
          <cell r="C979">
            <v>41997</v>
          </cell>
        </row>
        <row r="980">
          <cell r="B980">
            <v>41984</v>
          </cell>
          <cell r="C980">
            <v>41997</v>
          </cell>
        </row>
        <row r="981">
          <cell r="B981">
            <v>41985</v>
          </cell>
          <cell r="C981">
            <v>41997</v>
          </cell>
        </row>
        <row r="982">
          <cell r="B982">
            <v>41988</v>
          </cell>
          <cell r="C982">
            <v>41997</v>
          </cell>
        </row>
        <row r="983">
          <cell r="B983">
            <v>41989</v>
          </cell>
          <cell r="C983">
            <v>41997</v>
          </cell>
        </row>
        <row r="984">
          <cell r="B984">
            <v>41990</v>
          </cell>
          <cell r="C984">
            <v>41997</v>
          </cell>
        </row>
        <row r="985">
          <cell r="B985">
            <v>41991</v>
          </cell>
          <cell r="C985">
            <v>41997</v>
          </cell>
        </row>
        <row r="986">
          <cell r="B986">
            <v>41992</v>
          </cell>
          <cell r="C986">
            <v>41997</v>
          </cell>
        </row>
        <row r="987">
          <cell r="B987">
            <v>41995</v>
          </cell>
          <cell r="C987">
            <v>41997</v>
          </cell>
        </row>
        <row r="988">
          <cell r="B988">
            <v>41996</v>
          </cell>
          <cell r="C988">
            <v>41997</v>
          </cell>
        </row>
        <row r="989">
          <cell r="B989">
            <v>41997</v>
          </cell>
          <cell r="C989">
            <v>41997</v>
          </cell>
        </row>
        <row r="990">
          <cell r="B990">
            <v>41999</v>
          </cell>
          <cell r="C990">
            <v>42033</v>
          </cell>
        </row>
        <row r="991">
          <cell r="B991">
            <v>42002</v>
          </cell>
          <cell r="C991">
            <v>42033</v>
          </cell>
        </row>
        <row r="992">
          <cell r="B992">
            <v>42003</v>
          </cell>
          <cell r="C992">
            <v>42033</v>
          </cell>
        </row>
        <row r="993">
          <cell r="B993">
            <v>42004</v>
          </cell>
          <cell r="C993">
            <v>42033</v>
          </cell>
        </row>
        <row r="994">
          <cell r="B994">
            <v>42005</v>
          </cell>
          <cell r="C994">
            <v>42033</v>
          </cell>
        </row>
        <row r="995">
          <cell r="B995">
            <v>42006</v>
          </cell>
          <cell r="C995">
            <v>42033</v>
          </cell>
        </row>
        <row r="996">
          <cell r="B996">
            <v>42009</v>
          </cell>
          <cell r="C996">
            <v>42033</v>
          </cell>
        </row>
        <row r="997">
          <cell r="B997">
            <v>42010</v>
          </cell>
          <cell r="C997">
            <v>42033</v>
          </cell>
        </row>
        <row r="998">
          <cell r="B998">
            <v>42011</v>
          </cell>
          <cell r="C998">
            <v>42033</v>
          </cell>
        </row>
        <row r="999">
          <cell r="B999">
            <v>42012</v>
          </cell>
          <cell r="C999">
            <v>42033</v>
          </cell>
        </row>
        <row r="1000">
          <cell r="B1000">
            <v>42013</v>
          </cell>
          <cell r="C1000">
            <v>42033</v>
          </cell>
        </row>
        <row r="1001">
          <cell r="B1001">
            <v>42016</v>
          </cell>
          <cell r="C1001">
            <v>42033</v>
          </cell>
        </row>
        <row r="1002">
          <cell r="B1002">
            <v>42017</v>
          </cell>
          <cell r="C1002">
            <v>42033</v>
          </cell>
        </row>
        <row r="1003">
          <cell r="B1003">
            <v>42018</v>
          </cell>
          <cell r="C1003">
            <v>42033</v>
          </cell>
        </row>
        <row r="1004">
          <cell r="B1004">
            <v>42019</v>
          </cell>
          <cell r="C1004">
            <v>42033</v>
          </cell>
        </row>
        <row r="1005">
          <cell r="B1005">
            <v>42020</v>
          </cell>
          <cell r="C1005">
            <v>42033</v>
          </cell>
        </row>
        <row r="1006">
          <cell r="B1006">
            <v>42023</v>
          </cell>
          <cell r="C1006">
            <v>42033</v>
          </cell>
        </row>
        <row r="1007">
          <cell r="B1007">
            <v>42024</v>
          </cell>
          <cell r="C1007">
            <v>42033</v>
          </cell>
        </row>
        <row r="1008">
          <cell r="B1008">
            <v>42025</v>
          </cell>
          <cell r="C1008">
            <v>42033</v>
          </cell>
        </row>
        <row r="1009">
          <cell r="B1009">
            <v>42026</v>
          </cell>
          <cell r="C1009">
            <v>42033</v>
          </cell>
        </row>
        <row r="1010">
          <cell r="B1010">
            <v>42027</v>
          </cell>
          <cell r="C1010">
            <v>42033</v>
          </cell>
        </row>
        <row r="1011">
          <cell r="B1011">
            <v>42031</v>
          </cell>
          <cell r="C1011">
            <v>42033</v>
          </cell>
        </row>
        <row r="1012">
          <cell r="B1012">
            <v>42032</v>
          </cell>
          <cell r="C1012">
            <v>42033</v>
          </cell>
        </row>
        <row r="1013">
          <cell r="B1013">
            <v>42033</v>
          </cell>
          <cell r="C1013">
            <v>42033</v>
          </cell>
        </row>
        <row r="1014">
          <cell r="B1014">
            <v>42034</v>
          </cell>
          <cell r="C1014">
            <v>42061</v>
          </cell>
        </row>
        <row r="1015">
          <cell r="B1015">
            <v>42037</v>
          </cell>
          <cell r="C1015">
            <v>42061</v>
          </cell>
        </row>
        <row r="1016">
          <cell r="B1016">
            <v>42038</v>
          </cell>
          <cell r="C1016">
            <v>42061</v>
          </cell>
        </row>
        <row r="1017">
          <cell r="B1017">
            <v>42039</v>
          </cell>
          <cell r="C1017">
            <v>42061</v>
          </cell>
        </row>
        <row r="1018">
          <cell r="B1018">
            <v>42040</v>
          </cell>
          <cell r="C1018">
            <v>42061</v>
          </cell>
        </row>
        <row r="1019">
          <cell r="B1019">
            <v>42041</v>
          </cell>
          <cell r="C1019">
            <v>42061</v>
          </cell>
        </row>
        <row r="1020">
          <cell r="B1020">
            <v>42044</v>
          </cell>
          <cell r="C1020">
            <v>42061</v>
          </cell>
        </row>
        <row r="1021">
          <cell r="B1021">
            <v>42045</v>
          </cell>
          <cell r="C1021">
            <v>42061</v>
          </cell>
        </row>
        <row r="1022">
          <cell r="B1022">
            <v>42046</v>
          </cell>
          <cell r="C1022">
            <v>42061</v>
          </cell>
        </row>
        <row r="1023">
          <cell r="B1023">
            <v>42047</v>
          </cell>
          <cell r="C1023">
            <v>42061</v>
          </cell>
        </row>
        <row r="1024">
          <cell r="B1024">
            <v>42048</v>
          </cell>
          <cell r="C1024">
            <v>42061</v>
          </cell>
        </row>
        <row r="1025">
          <cell r="B1025">
            <v>42051</v>
          </cell>
          <cell r="C1025">
            <v>42061</v>
          </cell>
        </row>
        <row r="1026">
          <cell r="B1026">
            <v>42053</v>
          </cell>
          <cell r="C1026">
            <v>42061</v>
          </cell>
        </row>
        <row r="1027">
          <cell r="B1027">
            <v>42054</v>
          </cell>
          <cell r="C1027">
            <v>42061</v>
          </cell>
        </row>
        <row r="1028">
          <cell r="B1028">
            <v>42055</v>
          </cell>
          <cell r="C1028">
            <v>42061</v>
          </cell>
        </row>
        <row r="1029">
          <cell r="B1029">
            <v>42058</v>
          </cell>
          <cell r="C1029">
            <v>42061</v>
          </cell>
        </row>
        <row r="1030">
          <cell r="B1030">
            <v>42059</v>
          </cell>
          <cell r="C1030">
            <v>42061</v>
          </cell>
        </row>
        <row r="1031">
          <cell r="B1031">
            <v>42060</v>
          </cell>
          <cell r="C1031">
            <v>42061</v>
          </cell>
        </row>
        <row r="1032">
          <cell r="B1032">
            <v>42061</v>
          </cell>
          <cell r="C1032">
            <v>42061</v>
          </cell>
        </row>
        <row r="1033">
          <cell r="B1033">
            <v>42062</v>
          </cell>
          <cell r="C1033">
            <v>42089</v>
          </cell>
        </row>
        <row r="1034">
          <cell r="B1034">
            <v>42063</v>
          </cell>
          <cell r="C1034">
            <v>42089</v>
          </cell>
        </row>
        <row r="1035">
          <cell r="B1035">
            <v>42065</v>
          </cell>
          <cell r="C1035">
            <v>42089</v>
          </cell>
        </row>
        <row r="1036">
          <cell r="B1036">
            <v>42066</v>
          </cell>
          <cell r="C1036">
            <v>42089</v>
          </cell>
        </row>
        <row r="1037">
          <cell r="B1037">
            <v>42067</v>
          </cell>
          <cell r="C1037">
            <v>42089</v>
          </cell>
        </row>
        <row r="1038">
          <cell r="B1038">
            <v>42068</v>
          </cell>
          <cell r="C1038">
            <v>42089</v>
          </cell>
        </row>
        <row r="1039">
          <cell r="B1039">
            <v>42072</v>
          </cell>
          <cell r="C1039">
            <v>42089</v>
          </cell>
        </row>
        <row r="1040">
          <cell r="B1040">
            <v>42073</v>
          </cell>
          <cell r="C1040">
            <v>42089</v>
          </cell>
        </row>
        <row r="1041">
          <cell r="B1041">
            <v>42074</v>
          </cell>
          <cell r="C1041">
            <v>42089</v>
          </cell>
        </row>
        <row r="1042">
          <cell r="B1042">
            <v>42075</v>
          </cell>
          <cell r="C1042">
            <v>42089</v>
          </cell>
        </row>
        <row r="1043">
          <cell r="B1043">
            <v>42076</v>
          </cell>
          <cell r="C1043">
            <v>42089</v>
          </cell>
        </row>
        <row r="1044">
          <cell r="B1044">
            <v>42079</v>
          </cell>
          <cell r="C1044">
            <v>42089</v>
          </cell>
        </row>
        <row r="1045">
          <cell r="B1045">
            <v>42080</v>
          </cell>
          <cell r="C1045">
            <v>42089</v>
          </cell>
        </row>
        <row r="1046">
          <cell r="B1046">
            <v>42081</v>
          </cell>
          <cell r="C1046">
            <v>42089</v>
          </cell>
        </row>
        <row r="1047">
          <cell r="B1047">
            <v>42082</v>
          </cell>
          <cell r="C1047">
            <v>42089</v>
          </cell>
        </row>
        <row r="1048">
          <cell r="B1048">
            <v>42083</v>
          </cell>
          <cell r="C1048">
            <v>42089</v>
          </cell>
        </row>
        <row r="1049">
          <cell r="B1049">
            <v>42086</v>
          </cell>
          <cell r="C1049">
            <v>42089</v>
          </cell>
        </row>
        <row r="1050">
          <cell r="B1050">
            <v>42087</v>
          </cell>
          <cell r="C1050">
            <v>42089</v>
          </cell>
        </row>
        <row r="1051">
          <cell r="B1051">
            <v>42088</v>
          </cell>
          <cell r="C1051">
            <v>42089</v>
          </cell>
        </row>
        <row r="1052">
          <cell r="B1052">
            <v>42089</v>
          </cell>
          <cell r="C1052">
            <v>42089</v>
          </cell>
        </row>
        <row r="1053">
          <cell r="B1053">
            <v>42090</v>
          </cell>
          <cell r="C1053">
            <v>42124</v>
          </cell>
        </row>
        <row r="1054">
          <cell r="B1054">
            <v>42093</v>
          </cell>
          <cell r="C1054">
            <v>42124</v>
          </cell>
        </row>
        <row r="1055">
          <cell r="B1055">
            <v>42094</v>
          </cell>
          <cell r="C1055">
            <v>42124</v>
          </cell>
        </row>
        <row r="1056">
          <cell r="B1056">
            <v>42095</v>
          </cell>
          <cell r="C1056">
            <v>42124</v>
          </cell>
        </row>
        <row r="1057">
          <cell r="B1057">
            <v>42100</v>
          </cell>
          <cell r="C1057">
            <v>42124</v>
          </cell>
        </row>
        <row r="1058">
          <cell r="B1058">
            <v>42101</v>
          </cell>
          <cell r="C1058">
            <v>42124</v>
          </cell>
        </row>
        <row r="1059">
          <cell r="B1059">
            <v>42102</v>
          </cell>
          <cell r="C1059">
            <v>42124</v>
          </cell>
        </row>
        <row r="1060">
          <cell r="B1060">
            <v>42103</v>
          </cell>
          <cell r="C1060">
            <v>42124</v>
          </cell>
        </row>
        <row r="1061">
          <cell r="B1061">
            <v>42104</v>
          </cell>
          <cell r="C1061">
            <v>42124</v>
          </cell>
        </row>
        <row r="1062">
          <cell r="B1062">
            <v>42107</v>
          </cell>
          <cell r="C1062">
            <v>42124</v>
          </cell>
        </row>
        <row r="1063">
          <cell r="B1063">
            <v>42109</v>
          </cell>
          <cell r="C1063">
            <v>42124</v>
          </cell>
        </row>
        <row r="1064">
          <cell r="B1064">
            <v>42110</v>
          </cell>
          <cell r="C1064">
            <v>42124</v>
          </cell>
        </row>
        <row r="1065">
          <cell r="B1065">
            <v>42111</v>
          </cell>
          <cell r="C1065">
            <v>42124</v>
          </cell>
        </row>
        <row r="1066">
          <cell r="B1066">
            <v>42114</v>
          </cell>
          <cell r="C1066">
            <v>42124</v>
          </cell>
        </row>
        <row r="1067">
          <cell r="B1067">
            <v>42115</v>
          </cell>
          <cell r="C1067">
            <v>42124</v>
          </cell>
        </row>
        <row r="1068">
          <cell r="B1068">
            <v>42116</v>
          </cell>
          <cell r="C1068">
            <v>42124</v>
          </cell>
        </row>
        <row r="1069">
          <cell r="B1069">
            <v>42117</v>
          </cell>
          <cell r="C1069">
            <v>42124</v>
          </cell>
        </row>
        <row r="1070">
          <cell r="B1070">
            <v>42118</v>
          </cell>
          <cell r="C1070">
            <v>42124</v>
          </cell>
        </row>
        <row r="1071">
          <cell r="B1071">
            <v>42121</v>
          </cell>
          <cell r="C1071">
            <v>42124</v>
          </cell>
        </row>
        <row r="1072">
          <cell r="B1072">
            <v>42122</v>
          </cell>
          <cell r="C1072">
            <v>42124</v>
          </cell>
        </row>
        <row r="1073">
          <cell r="B1073">
            <v>42123</v>
          </cell>
          <cell r="C1073">
            <v>42124</v>
          </cell>
        </row>
        <row r="1074">
          <cell r="B1074">
            <v>42124</v>
          </cell>
          <cell r="C1074">
            <v>42124</v>
          </cell>
        </row>
        <row r="1075">
          <cell r="B1075">
            <v>42128</v>
          </cell>
          <cell r="C1075">
            <v>42152</v>
          </cell>
        </row>
        <row r="1076">
          <cell r="B1076">
            <v>42129</v>
          </cell>
          <cell r="C1076">
            <v>42152</v>
          </cell>
        </row>
        <row r="1077">
          <cell r="B1077">
            <v>42130</v>
          </cell>
          <cell r="C1077">
            <v>42152</v>
          </cell>
        </row>
        <row r="1078">
          <cell r="B1078">
            <v>42131</v>
          </cell>
          <cell r="C1078">
            <v>42152</v>
          </cell>
        </row>
        <row r="1079">
          <cell r="B1079">
            <v>42132</v>
          </cell>
          <cell r="C1079">
            <v>42152</v>
          </cell>
        </row>
        <row r="1080">
          <cell r="B1080">
            <v>42135</v>
          </cell>
          <cell r="C1080">
            <v>42152</v>
          </cell>
        </row>
        <row r="1081">
          <cell r="B1081">
            <v>42136</v>
          </cell>
          <cell r="C1081">
            <v>42152</v>
          </cell>
        </row>
        <row r="1082">
          <cell r="B1082">
            <v>42137</v>
          </cell>
          <cell r="C1082">
            <v>42152</v>
          </cell>
        </row>
        <row r="1083">
          <cell r="B1083">
            <v>42138</v>
          </cell>
          <cell r="C1083">
            <v>42152</v>
          </cell>
        </row>
        <row r="1084">
          <cell r="B1084">
            <v>42139</v>
          </cell>
          <cell r="C1084">
            <v>42152</v>
          </cell>
        </row>
        <row r="1085">
          <cell r="B1085">
            <v>42142</v>
          </cell>
          <cell r="C1085">
            <v>42152</v>
          </cell>
        </row>
        <row r="1086">
          <cell r="B1086">
            <v>42143</v>
          </cell>
          <cell r="C1086">
            <v>42152</v>
          </cell>
        </row>
        <row r="1087">
          <cell r="B1087">
            <v>42144</v>
          </cell>
          <cell r="C1087">
            <v>42152</v>
          </cell>
        </row>
        <row r="1088">
          <cell r="B1088">
            <v>42145</v>
          </cell>
          <cell r="C1088">
            <v>42152</v>
          </cell>
        </row>
        <row r="1089">
          <cell r="B1089">
            <v>42146</v>
          </cell>
          <cell r="C1089">
            <v>42152</v>
          </cell>
        </row>
        <row r="1090">
          <cell r="B1090">
            <v>42149</v>
          </cell>
          <cell r="C1090">
            <v>42152</v>
          </cell>
        </row>
        <row r="1091">
          <cell r="B1091">
            <v>42150</v>
          </cell>
          <cell r="C1091">
            <v>42152</v>
          </cell>
        </row>
        <row r="1092">
          <cell r="B1092">
            <v>42151</v>
          </cell>
          <cell r="C1092">
            <v>42152</v>
          </cell>
        </row>
        <row r="1093">
          <cell r="B1093">
            <v>42152</v>
          </cell>
          <cell r="C1093">
            <v>42152</v>
          </cell>
        </row>
        <row r="1094">
          <cell r="B1094">
            <v>42153</v>
          </cell>
          <cell r="C1094">
            <v>42180</v>
          </cell>
        </row>
        <row r="1095">
          <cell r="B1095">
            <v>42156</v>
          </cell>
          <cell r="C1095">
            <v>42180</v>
          </cell>
        </row>
        <row r="1096">
          <cell r="B1096">
            <v>42157</v>
          </cell>
          <cell r="C1096">
            <v>42180</v>
          </cell>
        </row>
        <row r="1097">
          <cell r="B1097">
            <v>42158</v>
          </cell>
          <cell r="C1097">
            <v>42180</v>
          </cell>
        </row>
        <row r="1098">
          <cell r="B1098">
            <v>42159</v>
          </cell>
          <cell r="C1098">
            <v>42180</v>
          </cell>
        </row>
        <row r="1099">
          <cell r="B1099">
            <v>42160</v>
          </cell>
          <cell r="C1099">
            <v>42180</v>
          </cell>
        </row>
        <row r="1100">
          <cell r="B1100">
            <v>42163</v>
          </cell>
          <cell r="C1100">
            <v>42180</v>
          </cell>
        </row>
        <row r="1101">
          <cell r="B1101">
            <v>42164</v>
          </cell>
          <cell r="C1101">
            <v>42180</v>
          </cell>
        </row>
        <row r="1102">
          <cell r="B1102">
            <v>42165</v>
          </cell>
          <cell r="C1102">
            <v>42180</v>
          </cell>
        </row>
        <row r="1103">
          <cell r="B1103">
            <v>42166</v>
          </cell>
          <cell r="C1103">
            <v>42180</v>
          </cell>
        </row>
        <row r="1104">
          <cell r="B1104">
            <v>42167</v>
          </cell>
          <cell r="C1104">
            <v>42180</v>
          </cell>
        </row>
        <row r="1105">
          <cell r="B1105">
            <v>42170</v>
          </cell>
          <cell r="C1105">
            <v>42180</v>
          </cell>
        </row>
        <row r="1106">
          <cell r="B1106">
            <v>42171</v>
          </cell>
          <cell r="C1106">
            <v>42180</v>
          </cell>
        </row>
        <row r="1107">
          <cell r="B1107">
            <v>42172</v>
          </cell>
          <cell r="C1107">
            <v>42180</v>
          </cell>
        </row>
        <row r="1108">
          <cell r="B1108">
            <v>42173</v>
          </cell>
          <cell r="C1108">
            <v>42180</v>
          </cell>
        </row>
        <row r="1109">
          <cell r="B1109">
            <v>42174</v>
          </cell>
          <cell r="C1109">
            <v>42180</v>
          </cell>
        </row>
        <row r="1110">
          <cell r="B1110">
            <v>42177</v>
          </cell>
          <cell r="C1110">
            <v>42180</v>
          </cell>
        </row>
        <row r="1111">
          <cell r="B1111">
            <v>42178</v>
          </cell>
          <cell r="C1111">
            <v>42180</v>
          </cell>
        </row>
        <row r="1112">
          <cell r="B1112">
            <v>42179</v>
          </cell>
          <cell r="C1112">
            <v>42180</v>
          </cell>
        </row>
        <row r="1113">
          <cell r="B1113">
            <v>42180</v>
          </cell>
          <cell r="C1113">
            <v>42180</v>
          </cell>
        </row>
        <row r="1114">
          <cell r="B1114">
            <v>42181</v>
          </cell>
          <cell r="C1114">
            <v>42215</v>
          </cell>
        </row>
        <row r="1115">
          <cell r="B1115">
            <v>42184</v>
          </cell>
          <cell r="C1115">
            <v>42215</v>
          </cell>
        </row>
        <row r="1116">
          <cell r="B1116">
            <v>42185</v>
          </cell>
          <cell r="C1116">
            <v>42215</v>
          </cell>
        </row>
        <row r="1117">
          <cell r="B1117">
            <v>42186</v>
          </cell>
          <cell r="C1117">
            <v>42215</v>
          </cell>
        </row>
        <row r="1118">
          <cell r="B1118">
            <v>42187</v>
          </cell>
          <cell r="C1118">
            <v>42215</v>
          </cell>
        </row>
        <row r="1119">
          <cell r="B1119">
            <v>42188</v>
          </cell>
          <cell r="C1119">
            <v>42215</v>
          </cell>
        </row>
        <row r="1120">
          <cell r="B1120">
            <v>42191</v>
          </cell>
          <cell r="C1120">
            <v>42215</v>
          </cell>
        </row>
        <row r="1121">
          <cell r="B1121">
            <v>42192</v>
          </cell>
          <cell r="C1121">
            <v>42215</v>
          </cell>
        </row>
        <row r="1122">
          <cell r="B1122">
            <v>42193</v>
          </cell>
          <cell r="C1122">
            <v>42215</v>
          </cell>
        </row>
        <row r="1123">
          <cell r="B1123">
            <v>42194</v>
          </cell>
          <cell r="C1123">
            <v>42215</v>
          </cell>
        </row>
        <row r="1124">
          <cell r="B1124">
            <v>42195</v>
          </cell>
          <cell r="C1124">
            <v>42215</v>
          </cell>
        </row>
        <row r="1125">
          <cell r="B1125">
            <v>42198</v>
          </cell>
          <cell r="C1125">
            <v>42215</v>
          </cell>
        </row>
        <row r="1126">
          <cell r="B1126">
            <v>42199</v>
          </cell>
          <cell r="C1126">
            <v>42215</v>
          </cell>
        </row>
        <row r="1127">
          <cell r="B1127">
            <v>42200</v>
          </cell>
          <cell r="C1127">
            <v>42215</v>
          </cell>
        </row>
        <row r="1128">
          <cell r="B1128">
            <v>42201</v>
          </cell>
          <cell r="C1128">
            <v>42215</v>
          </cell>
        </row>
        <row r="1129">
          <cell r="B1129">
            <v>42202</v>
          </cell>
          <cell r="C1129">
            <v>42215</v>
          </cell>
        </row>
        <row r="1130">
          <cell r="B1130">
            <v>42205</v>
          </cell>
          <cell r="C1130">
            <v>42215</v>
          </cell>
        </row>
        <row r="1131">
          <cell r="B1131">
            <v>42206</v>
          </cell>
          <cell r="C1131">
            <v>42215</v>
          </cell>
        </row>
        <row r="1132">
          <cell r="B1132">
            <v>42207</v>
          </cell>
          <cell r="C1132">
            <v>42215</v>
          </cell>
        </row>
        <row r="1133">
          <cell r="B1133">
            <v>42208</v>
          </cell>
          <cell r="C1133">
            <v>42215</v>
          </cell>
        </row>
        <row r="1134">
          <cell r="B1134">
            <v>42209</v>
          </cell>
          <cell r="C1134">
            <v>42215</v>
          </cell>
        </row>
        <row r="1135">
          <cell r="B1135">
            <v>42212</v>
          </cell>
          <cell r="C1135">
            <v>42215</v>
          </cell>
        </row>
        <row r="1136">
          <cell r="B1136">
            <v>42213</v>
          </cell>
          <cell r="C1136">
            <v>42215</v>
          </cell>
        </row>
        <row r="1137">
          <cell r="B1137">
            <v>42214</v>
          </cell>
          <cell r="C1137">
            <v>42215</v>
          </cell>
        </row>
        <row r="1138">
          <cell r="B1138">
            <v>42215</v>
          </cell>
          <cell r="C1138">
            <v>42215</v>
          </cell>
        </row>
        <row r="1139">
          <cell r="B1139">
            <v>42216</v>
          </cell>
          <cell r="C1139">
            <v>42243</v>
          </cell>
        </row>
        <row r="1140">
          <cell r="B1140">
            <v>42219</v>
          </cell>
          <cell r="C1140">
            <v>42243</v>
          </cell>
        </row>
        <row r="1141">
          <cell r="B1141">
            <v>42220</v>
          </cell>
          <cell r="C1141">
            <v>42243</v>
          </cell>
        </row>
        <row r="1142">
          <cell r="B1142">
            <v>42221</v>
          </cell>
          <cell r="C1142">
            <v>42243</v>
          </cell>
        </row>
        <row r="1143">
          <cell r="B1143">
            <v>42222</v>
          </cell>
          <cell r="C1143">
            <v>42243</v>
          </cell>
        </row>
        <row r="1144">
          <cell r="B1144">
            <v>42223</v>
          </cell>
          <cell r="C1144">
            <v>42243</v>
          </cell>
        </row>
        <row r="1145">
          <cell r="B1145">
            <v>42226</v>
          </cell>
          <cell r="C1145">
            <v>42243</v>
          </cell>
        </row>
        <row r="1146">
          <cell r="B1146">
            <v>42227</v>
          </cell>
          <cell r="C1146">
            <v>42243</v>
          </cell>
        </row>
        <row r="1147">
          <cell r="B1147">
            <v>42228</v>
          </cell>
          <cell r="C1147">
            <v>42243</v>
          </cell>
        </row>
        <row r="1148">
          <cell r="B1148">
            <v>42229</v>
          </cell>
          <cell r="C1148">
            <v>42243</v>
          </cell>
        </row>
        <row r="1149">
          <cell r="B1149">
            <v>42230</v>
          </cell>
          <cell r="C1149">
            <v>42243</v>
          </cell>
        </row>
        <row r="1150">
          <cell r="B1150">
            <v>42233</v>
          </cell>
          <cell r="C1150">
            <v>42243</v>
          </cell>
        </row>
        <row r="1151">
          <cell r="B1151">
            <v>42234</v>
          </cell>
          <cell r="C1151">
            <v>42243</v>
          </cell>
        </row>
        <row r="1152">
          <cell r="B1152">
            <v>42235</v>
          </cell>
          <cell r="C1152">
            <v>42243</v>
          </cell>
        </row>
        <row r="1153">
          <cell r="B1153">
            <v>42236</v>
          </cell>
          <cell r="C1153">
            <v>42243</v>
          </cell>
        </row>
        <row r="1154">
          <cell r="B1154">
            <v>42237</v>
          </cell>
          <cell r="C1154">
            <v>42243</v>
          </cell>
        </row>
        <row r="1155">
          <cell r="B1155">
            <v>42240</v>
          </cell>
          <cell r="C1155">
            <v>42243</v>
          </cell>
        </row>
        <row r="1156">
          <cell r="B1156">
            <v>42241</v>
          </cell>
          <cell r="C1156">
            <v>42243</v>
          </cell>
        </row>
        <row r="1157">
          <cell r="B1157">
            <v>42242</v>
          </cell>
          <cell r="C1157">
            <v>42243</v>
          </cell>
        </row>
        <row r="1158">
          <cell r="B1158">
            <v>42243</v>
          </cell>
          <cell r="C1158">
            <v>42243</v>
          </cell>
        </row>
        <row r="1159">
          <cell r="B1159">
            <v>42244</v>
          </cell>
          <cell r="C1159">
            <v>42271</v>
          </cell>
        </row>
        <row r="1160">
          <cell r="B1160">
            <v>42247</v>
          </cell>
          <cell r="C1160">
            <v>42271</v>
          </cell>
        </row>
        <row r="1161">
          <cell r="B1161">
            <v>42248</v>
          </cell>
          <cell r="C1161">
            <v>42271</v>
          </cell>
        </row>
        <row r="1162">
          <cell r="B1162">
            <v>42249</v>
          </cell>
          <cell r="C1162">
            <v>42271</v>
          </cell>
        </row>
        <row r="1163">
          <cell r="B1163">
            <v>42250</v>
          </cell>
          <cell r="C1163">
            <v>42271</v>
          </cell>
        </row>
        <row r="1164">
          <cell r="B1164">
            <v>42251</v>
          </cell>
          <cell r="C1164">
            <v>42271</v>
          </cell>
        </row>
        <row r="1165">
          <cell r="B1165">
            <v>42254</v>
          </cell>
          <cell r="C1165">
            <v>42271</v>
          </cell>
        </row>
        <row r="1166">
          <cell r="B1166">
            <v>42255</v>
          </cell>
          <cell r="C1166">
            <v>42271</v>
          </cell>
        </row>
        <row r="1167">
          <cell r="B1167">
            <v>42256</v>
          </cell>
          <cell r="C1167">
            <v>42271</v>
          </cell>
        </row>
        <row r="1168">
          <cell r="B1168">
            <v>42257</v>
          </cell>
          <cell r="C1168">
            <v>42271</v>
          </cell>
        </row>
        <row r="1169">
          <cell r="B1169">
            <v>42258</v>
          </cell>
          <cell r="C1169">
            <v>42271</v>
          </cell>
        </row>
        <row r="1170">
          <cell r="B1170">
            <v>42261</v>
          </cell>
          <cell r="C1170">
            <v>42271</v>
          </cell>
        </row>
        <row r="1171">
          <cell r="B1171">
            <v>42262</v>
          </cell>
          <cell r="C1171">
            <v>42271</v>
          </cell>
        </row>
        <row r="1172">
          <cell r="B1172">
            <v>42263</v>
          </cell>
          <cell r="C1172">
            <v>42271</v>
          </cell>
        </row>
        <row r="1173">
          <cell r="B1173">
            <v>42265</v>
          </cell>
          <cell r="C1173">
            <v>42271</v>
          </cell>
        </row>
        <row r="1174">
          <cell r="B1174">
            <v>42268</v>
          </cell>
          <cell r="C1174">
            <v>42271</v>
          </cell>
        </row>
        <row r="1175">
          <cell r="B1175">
            <v>42269</v>
          </cell>
          <cell r="C1175">
            <v>42271</v>
          </cell>
        </row>
        <row r="1176">
          <cell r="B1176">
            <v>42270</v>
          </cell>
          <cell r="C1176">
            <v>42271</v>
          </cell>
        </row>
        <row r="1177">
          <cell r="B1177">
            <v>42271</v>
          </cell>
          <cell r="C1177">
            <v>42271</v>
          </cell>
        </row>
        <row r="1178">
          <cell r="B1178">
            <v>42275</v>
          </cell>
          <cell r="C1178">
            <v>42306</v>
          </cell>
        </row>
        <row r="1179">
          <cell r="B1179">
            <v>42276</v>
          </cell>
          <cell r="C1179">
            <v>42306</v>
          </cell>
        </row>
        <row r="1180">
          <cell r="B1180">
            <v>42277</v>
          </cell>
          <cell r="C1180">
            <v>42306</v>
          </cell>
        </row>
        <row r="1181">
          <cell r="B1181">
            <v>42278</v>
          </cell>
          <cell r="C1181">
            <v>42306</v>
          </cell>
        </row>
        <row r="1182">
          <cell r="B1182">
            <v>42282</v>
          </cell>
          <cell r="C1182">
            <v>42306</v>
          </cell>
        </row>
        <row r="1183">
          <cell r="B1183">
            <v>42283</v>
          </cell>
          <cell r="C1183">
            <v>42306</v>
          </cell>
        </row>
        <row r="1184">
          <cell r="B1184">
            <v>42284</v>
          </cell>
          <cell r="C1184">
            <v>42306</v>
          </cell>
        </row>
        <row r="1185">
          <cell r="B1185">
            <v>42285</v>
          </cell>
          <cell r="C1185">
            <v>42306</v>
          </cell>
        </row>
        <row r="1186">
          <cell r="B1186">
            <v>42286</v>
          </cell>
          <cell r="C1186">
            <v>42306</v>
          </cell>
        </row>
        <row r="1187">
          <cell r="B1187">
            <v>42289</v>
          </cell>
          <cell r="C1187">
            <v>42306</v>
          </cell>
        </row>
        <row r="1188">
          <cell r="B1188">
            <v>42290</v>
          </cell>
          <cell r="C1188">
            <v>42306</v>
          </cell>
        </row>
        <row r="1189">
          <cell r="B1189">
            <v>42291</v>
          </cell>
          <cell r="C1189">
            <v>42306</v>
          </cell>
        </row>
        <row r="1190">
          <cell r="B1190">
            <v>42292</v>
          </cell>
          <cell r="C1190">
            <v>42306</v>
          </cell>
        </row>
        <row r="1191">
          <cell r="B1191">
            <v>42293</v>
          </cell>
          <cell r="C1191">
            <v>42306</v>
          </cell>
        </row>
        <row r="1192">
          <cell r="B1192">
            <v>42296</v>
          </cell>
          <cell r="C1192">
            <v>42306</v>
          </cell>
        </row>
        <row r="1193">
          <cell r="B1193">
            <v>42297</v>
          </cell>
          <cell r="C1193">
            <v>42306</v>
          </cell>
        </row>
        <row r="1194">
          <cell r="B1194">
            <v>42298</v>
          </cell>
          <cell r="C1194">
            <v>42306</v>
          </cell>
        </row>
        <row r="1195">
          <cell r="B1195">
            <v>42300</v>
          </cell>
          <cell r="C1195">
            <v>42306</v>
          </cell>
        </row>
        <row r="1196">
          <cell r="B1196">
            <v>42303</v>
          </cell>
          <cell r="C1196">
            <v>42306</v>
          </cell>
        </row>
        <row r="1197">
          <cell r="B1197">
            <v>42304</v>
          </cell>
          <cell r="C1197">
            <v>42306</v>
          </cell>
        </row>
        <row r="1198">
          <cell r="B1198">
            <v>42305</v>
          </cell>
          <cell r="C1198">
            <v>42306</v>
          </cell>
        </row>
        <row r="1199">
          <cell r="B1199">
            <v>42306</v>
          </cell>
          <cell r="C1199">
            <v>42306</v>
          </cell>
        </row>
        <row r="1200">
          <cell r="B1200">
            <v>42307</v>
          </cell>
          <cell r="C1200">
            <v>42334</v>
          </cell>
        </row>
        <row r="1201">
          <cell r="B1201">
            <v>42310</v>
          </cell>
          <cell r="C1201">
            <v>42334</v>
          </cell>
        </row>
        <row r="1202">
          <cell r="B1202">
            <v>42311</v>
          </cell>
          <cell r="C1202">
            <v>42334</v>
          </cell>
        </row>
        <row r="1203">
          <cell r="B1203">
            <v>42312</v>
          </cell>
          <cell r="C1203">
            <v>42334</v>
          </cell>
        </row>
        <row r="1204">
          <cell r="B1204">
            <v>42313</v>
          </cell>
          <cell r="C1204">
            <v>42334</v>
          </cell>
        </row>
        <row r="1205">
          <cell r="B1205">
            <v>42314</v>
          </cell>
          <cell r="C1205">
            <v>42334</v>
          </cell>
        </row>
        <row r="1206">
          <cell r="B1206">
            <v>42317</v>
          </cell>
          <cell r="C1206">
            <v>42334</v>
          </cell>
        </row>
        <row r="1207">
          <cell r="B1207">
            <v>42318</v>
          </cell>
          <cell r="C1207">
            <v>42334</v>
          </cell>
        </row>
        <row r="1208">
          <cell r="B1208">
            <v>42319</v>
          </cell>
          <cell r="C1208">
            <v>42334</v>
          </cell>
        </row>
        <row r="1209">
          <cell r="B1209">
            <v>42321</v>
          </cell>
          <cell r="C1209">
            <v>42334</v>
          </cell>
        </row>
        <row r="1210">
          <cell r="B1210">
            <v>42324</v>
          </cell>
          <cell r="C1210">
            <v>42334</v>
          </cell>
        </row>
        <row r="1211">
          <cell r="B1211">
            <v>42325</v>
          </cell>
          <cell r="C1211">
            <v>42334</v>
          </cell>
        </row>
        <row r="1212">
          <cell r="B1212">
            <v>42326</v>
          </cell>
          <cell r="C1212">
            <v>42334</v>
          </cell>
        </row>
        <row r="1213">
          <cell r="B1213">
            <v>42327</v>
          </cell>
          <cell r="C1213">
            <v>42334</v>
          </cell>
        </row>
        <row r="1214">
          <cell r="B1214">
            <v>42328</v>
          </cell>
          <cell r="C1214">
            <v>42334</v>
          </cell>
        </row>
        <row r="1215">
          <cell r="B1215">
            <v>42331</v>
          </cell>
          <cell r="C1215">
            <v>42334</v>
          </cell>
        </row>
        <row r="1216">
          <cell r="B1216">
            <v>42332</v>
          </cell>
          <cell r="C1216">
            <v>42334</v>
          </cell>
        </row>
        <row r="1217">
          <cell r="B1217">
            <v>42334</v>
          </cell>
          <cell r="C1217">
            <v>42334</v>
          </cell>
        </row>
        <row r="1218">
          <cell r="B1218">
            <v>42335</v>
          </cell>
          <cell r="C1218">
            <v>42369</v>
          </cell>
        </row>
        <row r="1219">
          <cell r="B1219">
            <v>42338</v>
          </cell>
          <cell r="C1219">
            <v>42369</v>
          </cell>
        </row>
        <row r="1220">
          <cell r="B1220">
            <v>42339</v>
          </cell>
          <cell r="C1220">
            <v>42369</v>
          </cell>
        </row>
        <row r="1221">
          <cell r="B1221">
            <v>42340</v>
          </cell>
          <cell r="C1221">
            <v>42369</v>
          </cell>
        </row>
        <row r="1222">
          <cell r="B1222">
            <v>42341</v>
          </cell>
          <cell r="C1222">
            <v>42369</v>
          </cell>
        </row>
        <row r="1223">
          <cell r="B1223">
            <v>42342</v>
          </cell>
          <cell r="C1223">
            <v>42369</v>
          </cell>
        </row>
        <row r="1224">
          <cell r="B1224">
            <v>42345</v>
          </cell>
          <cell r="C1224">
            <v>42369</v>
          </cell>
        </row>
        <row r="1225">
          <cell r="B1225">
            <v>42346</v>
          </cell>
          <cell r="C1225">
            <v>42369</v>
          </cell>
        </row>
        <row r="1226">
          <cell r="B1226">
            <v>42347</v>
          </cell>
          <cell r="C1226">
            <v>42369</v>
          </cell>
        </row>
        <row r="1227">
          <cell r="B1227">
            <v>42348</v>
          </cell>
          <cell r="C1227">
            <v>42369</v>
          </cell>
        </row>
        <row r="1228">
          <cell r="B1228">
            <v>42349</v>
          </cell>
          <cell r="C1228">
            <v>42369</v>
          </cell>
        </row>
        <row r="1229">
          <cell r="B1229">
            <v>42352</v>
          </cell>
          <cell r="C1229">
            <v>42369</v>
          </cell>
        </row>
        <row r="1230">
          <cell r="B1230">
            <v>42353</v>
          </cell>
          <cell r="C1230">
            <v>42369</v>
          </cell>
        </row>
        <row r="1231">
          <cell r="B1231">
            <v>42354</v>
          </cell>
          <cell r="C1231">
            <v>42369</v>
          </cell>
        </row>
        <row r="1232">
          <cell r="B1232">
            <v>42355</v>
          </cell>
          <cell r="C1232">
            <v>42369</v>
          </cell>
        </row>
        <row r="1233">
          <cell r="B1233">
            <v>42356</v>
          </cell>
          <cell r="C1233">
            <v>42369</v>
          </cell>
        </row>
        <row r="1234">
          <cell r="B1234">
            <v>42359</v>
          </cell>
          <cell r="C1234">
            <v>42369</v>
          </cell>
        </row>
        <row r="1235">
          <cell r="B1235">
            <v>42360</v>
          </cell>
          <cell r="C1235">
            <v>42369</v>
          </cell>
        </row>
        <row r="1236">
          <cell r="B1236">
            <v>42361</v>
          </cell>
          <cell r="C1236">
            <v>42369</v>
          </cell>
        </row>
        <row r="1237">
          <cell r="B1237">
            <v>42362</v>
          </cell>
          <cell r="C1237">
            <v>42369</v>
          </cell>
        </row>
        <row r="1238">
          <cell r="B1238">
            <v>42366</v>
          </cell>
          <cell r="C1238">
            <v>42369</v>
          </cell>
        </row>
        <row r="1239">
          <cell r="B1239">
            <v>42367</v>
          </cell>
          <cell r="C1239">
            <v>42369</v>
          </cell>
        </row>
        <row r="1240">
          <cell r="B1240">
            <v>42368</v>
          </cell>
          <cell r="C1240">
            <v>42369</v>
          </cell>
        </row>
        <row r="1241">
          <cell r="B1241">
            <v>42369</v>
          </cell>
          <cell r="C1241">
            <v>42369</v>
          </cell>
        </row>
        <row r="1242">
          <cell r="B1242">
            <v>42370</v>
          </cell>
          <cell r="C1242">
            <v>42397</v>
          </cell>
        </row>
        <row r="1243">
          <cell r="B1243">
            <v>42373</v>
          </cell>
          <cell r="C1243">
            <v>42397</v>
          </cell>
        </row>
        <row r="1244">
          <cell r="B1244">
            <v>42374</v>
          </cell>
          <cell r="C1244">
            <v>42397</v>
          </cell>
        </row>
        <row r="1245">
          <cell r="B1245">
            <v>42375</v>
          </cell>
          <cell r="C1245">
            <v>42397</v>
          </cell>
        </row>
        <row r="1246">
          <cell r="B1246">
            <v>42376</v>
          </cell>
          <cell r="C1246">
            <v>42397</v>
          </cell>
        </row>
        <row r="1247">
          <cell r="B1247">
            <v>42377</v>
          </cell>
          <cell r="C1247">
            <v>42397</v>
          </cell>
        </row>
        <row r="1248">
          <cell r="B1248">
            <v>42380</v>
          </cell>
          <cell r="C1248">
            <v>42397</v>
          </cell>
        </row>
        <row r="1249">
          <cell r="B1249">
            <v>42381</v>
          </cell>
          <cell r="C1249">
            <v>42397</v>
          </cell>
        </row>
        <row r="1250">
          <cell r="B1250">
            <v>42382</v>
          </cell>
          <cell r="C1250">
            <v>42397</v>
          </cell>
        </row>
        <row r="1251">
          <cell r="B1251">
            <v>42383</v>
          </cell>
          <cell r="C1251">
            <v>42397</v>
          </cell>
        </row>
        <row r="1252">
          <cell r="B1252">
            <v>42384</v>
          </cell>
          <cell r="C1252">
            <v>42397</v>
          </cell>
        </row>
        <row r="1253">
          <cell r="B1253">
            <v>42387</v>
          </cell>
          <cell r="C1253">
            <v>42397</v>
          </cell>
        </row>
        <row r="1254">
          <cell r="B1254">
            <v>42388</v>
          </cell>
          <cell r="C1254">
            <v>42397</v>
          </cell>
        </row>
        <row r="1255">
          <cell r="B1255">
            <v>42389</v>
          </cell>
          <cell r="C1255">
            <v>42397</v>
          </cell>
        </row>
        <row r="1256">
          <cell r="B1256">
            <v>42390</v>
          </cell>
          <cell r="C1256">
            <v>42397</v>
          </cell>
        </row>
        <row r="1257">
          <cell r="B1257">
            <v>42391</v>
          </cell>
          <cell r="C1257">
            <v>42397</v>
          </cell>
        </row>
        <row r="1258">
          <cell r="B1258">
            <v>42394</v>
          </cell>
          <cell r="C1258">
            <v>42397</v>
          </cell>
        </row>
        <row r="1259">
          <cell r="B1259">
            <v>42396</v>
          </cell>
          <cell r="C1259">
            <v>42397</v>
          </cell>
        </row>
        <row r="1260">
          <cell r="B1260">
            <v>42397</v>
          </cell>
          <cell r="C1260">
            <v>42397</v>
          </cell>
        </row>
        <row r="1261">
          <cell r="B1261">
            <v>42398</v>
          </cell>
          <cell r="C1261">
            <v>42425</v>
          </cell>
        </row>
        <row r="1262">
          <cell r="B1262">
            <v>42401</v>
          </cell>
          <cell r="C1262">
            <v>42425</v>
          </cell>
        </row>
        <row r="1263">
          <cell r="B1263">
            <v>42402</v>
          </cell>
          <cell r="C1263">
            <v>42425</v>
          </cell>
        </row>
        <row r="1264">
          <cell r="B1264">
            <v>42403</v>
          </cell>
          <cell r="C1264">
            <v>42425</v>
          </cell>
        </row>
        <row r="1265">
          <cell r="B1265">
            <v>42404</v>
          </cell>
          <cell r="C1265">
            <v>42425</v>
          </cell>
        </row>
        <row r="1266">
          <cell r="B1266">
            <v>42405</v>
          </cell>
          <cell r="C1266">
            <v>42425</v>
          </cell>
        </row>
        <row r="1267">
          <cell r="B1267">
            <v>42408</v>
          </cell>
          <cell r="C1267">
            <v>42425</v>
          </cell>
        </row>
        <row r="1268">
          <cell r="B1268">
            <v>42409</v>
          </cell>
          <cell r="C1268">
            <v>42425</v>
          </cell>
        </row>
        <row r="1269">
          <cell r="B1269">
            <v>42410</v>
          </cell>
          <cell r="C1269">
            <v>42425</v>
          </cell>
        </row>
        <row r="1270">
          <cell r="B1270">
            <v>42411</v>
          </cell>
          <cell r="C1270">
            <v>42425</v>
          </cell>
        </row>
        <row r="1271">
          <cell r="B1271">
            <v>42412</v>
          </cell>
          <cell r="C1271">
            <v>42425</v>
          </cell>
        </row>
        <row r="1272">
          <cell r="B1272">
            <v>42415</v>
          </cell>
          <cell r="C1272">
            <v>42425</v>
          </cell>
        </row>
        <row r="1273">
          <cell r="B1273">
            <v>42416</v>
          </cell>
          <cell r="C1273">
            <v>42425</v>
          </cell>
        </row>
        <row r="1274">
          <cell r="B1274">
            <v>42417</v>
          </cell>
          <cell r="C1274">
            <v>42425</v>
          </cell>
        </row>
        <row r="1275">
          <cell r="B1275">
            <v>42418</v>
          </cell>
          <cell r="C1275">
            <v>42425</v>
          </cell>
        </row>
        <row r="1276">
          <cell r="B1276">
            <v>42419</v>
          </cell>
          <cell r="C1276">
            <v>42425</v>
          </cell>
        </row>
        <row r="1277">
          <cell r="B1277">
            <v>42422</v>
          </cell>
          <cell r="C1277">
            <v>42425</v>
          </cell>
        </row>
        <row r="1278">
          <cell r="B1278">
            <v>42423</v>
          </cell>
          <cell r="C1278">
            <v>42425</v>
          </cell>
        </row>
        <row r="1279">
          <cell r="B1279">
            <v>42424</v>
          </cell>
          <cell r="C1279">
            <v>42425</v>
          </cell>
        </row>
        <row r="1280">
          <cell r="B1280">
            <v>42425</v>
          </cell>
          <cell r="C1280">
            <v>42425</v>
          </cell>
        </row>
        <row r="1281">
          <cell r="B1281">
            <v>42426</v>
          </cell>
          <cell r="C1281">
            <v>42460</v>
          </cell>
        </row>
        <row r="1282">
          <cell r="B1282">
            <v>42429</v>
          </cell>
          <cell r="C1282">
            <v>42460</v>
          </cell>
        </row>
        <row r="1283">
          <cell r="B1283">
            <v>42430</v>
          </cell>
          <cell r="C1283">
            <v>42460</v>
          </cell>
        </row>
        <row r="1284">
          <cell r="B1284">
            <v>42431</v>
          </cell>
          <cell r="C1284">
            <v>42460</v>
          </cell>
        </row>
        <row r="1285">
          <cell r="B1285">
            <v>42432</v>
          </cell>
          <cell r="C1285">
            <v>42460</v>
          </cell>
        </row>
        <row r="1286">
          <cell r="B1286">
            <v>42433</v>
          </cell>
          <cell r="C1286">
            <v>42460</v>
          </cell>
        </row>
        <row r="1287">
          <cell r="B1287">
            <v>42437</v>
          </cell>
          <cell r="C1287">
            <v>42460</v>
          </cell>
        </row>
        <row r="1288">
          <cell r="B1288">
            <v>42438</v>
          </cell>
          <cell r="C1288">
            <v>42460</v>
          </cell>
        </row>
        <row r="1289">
          <cell r="B1289">
            <v>42439</v>
          </cell>
          <cell r="C1289">
            <v>42460</v>
          </cell>
        </row>
        <row r="1290">
          <cell r="B1290">
            <v>42440</v>
          </cell>
          <cell r="C1290">
            <v>42460</v>
          </cell>
        </row>
        <row r="1291">
          <cell r="B1291">
            <v>42443</v>
          </cell>
          <cell r="C1291">
            <v>42460</v>
          </cell>
        </row>
        <row r="1292">
          <cell r="B1292">
            <v>42444</v>
          </cell>
          <cell r="C1292">
            <v>42460</v>
          </cell>
        </row>
        <row r="1293">
          <cell r="B1293">
            <v>42445</v>
          </cell>
          <cell r="C1293">
            <v>42460</v>
          </cell>
        </row>
        <row r="1294">
          <cell r="B1294">
            <v>42446</v>
          </cell>
          <cell r="C1294">
            <v>42460</v>
          </cell>
        </row>
        <row r="1295">
          <cell r="B1295">
            <v>42447</v>
          </cell>
          <cell r="C1295">
            <v>42460</v>
          </cell>
        </row>
        <row r="1296">
          <cell r="B1296">
            <v>42450</v>
          </cell>
          <cell r="C1296">
            <v>42460</v>
          </cell>
        </row>
        <row r="1297">
          <cell r="B1297">
            <v>42451</v>
          </cell>
          <cell r="C1297">
            <v>42460</v>
          </cell>
        </row>
        <row r="1298">
          <cell r="B1298">
            <v>42452</v>
          </cell>
          <cell r="C1298">
            <v>42460</v>
          </cell>
        </row>
        <row r="1299">
          <cell r="B1299">
            <v>42457</v>
          </cell>
          <cell r="C1299">
            <v>42460</v>
          </cell>
        </row>
        <row r="1300">
          <cell r="B1300">
            <v>42458</v>
          </cell>
          <cell r="C1300">
            <v>42460</v>
          </cell>
        </row>
        <row r="1301">
          <cell r="B1301">
            <v>42459</v>
          </cell>
          <cell r="C1301">
            <v>42460</v>
          </cell>
        </row>
        <row r="1302">
          <cell r="B1302">
            <v>42460</v>
          </cell>
          <cell r="C1302">
            <v>42460</v>
          </cell>
        </row>
        <row r="1303">
          <cell r="B1303">
            <v>42461</v>
          </cell>
          <cell r="C1303">
            <v>42488</v>
          </cell>
        </row>
        <row r="1304">
          <cell r="B1304">
            <v>42464</v>
          </cell>
          <cell r="C1304">
            <v>42488</v>
          </cell>
        </row>
        <row r="1305">
          <cell r="B1305">
            <v>42465</v>
          </cell>
          <cell r="C1305">
            <v>42488</v>
          </cell>
        </row>
        <row r="1306">
          <cell r="B1306">
            <v>42466</v>
          </cell>
          <cell r="C1306">
            <v>42488</v>
          </cell>
        </row>
        <row r="1307">
          <cell r="B1307">
            <v>42467</v>
          </cell>
          <cell r="C1307">
            <v>42488</v>
          </cell>
        </row>
        <row r="1308">
          <cell r="B1308">
            <v>42468</v>
          </cell>
          <cell r="C1308">
            <v>42488</v>
          </cell>
        </row>
        <row r="1309">
          <cell r="B1309">
            <v>42471</v>
          </cell>
          <cell r="C1309">
            <v>42488</v>
          </cell>
        </row>
        <row r="1310">
          <cell r="B1310">
            <v>42472</v>
          </cell>
          <cell r="C1310">
            <v>42488</v>
          </cell>
        </row>
        <row r="1311">
          <cell r="B1311">
            <v>42473</v>
          </cell>
          <cell r="C1311">
            <v>42488</v>
          </cell>
        </row>
        <row r="1312">
          <cell r="B1312">
            <v>42478</v>
          </cell>
          <cell r="C1312">
            <v>42488</v>
          </cell>
        </row>
        <row r="1313">
          <cell r="B1313">
            <v>42480</v>
          </cell>
          <cell r="C1313">
            <v>42488</v>
          </cell>
        </row>
        <row r="1314">
          <cell r="B1314">
            <v>42481</v>
          </cell>
          <cell r="C1314">
            <v>42488</v>
          </cell>
        </row>
        <row r="1315">
          <cell r="B1315">
            <v>42482</v>
          </cell>
          <cell r="C1315">
            <v>42488</v>
          </cell>
        </row>
        <row r="1316">
          <cell r="B1316">
            <v>42485</v>
          </cell>
          <cell r="C1316">
            <v>42488</v>
          </cell>
        </row>
        <row r="1317">
          <cell r="B1317">
            <v>42486</v>
          </cell>
          <cell r="C1317">
            <v>42488</v>
          </cell>
        </row>
        <row r="1318">
          <cell r="B1318">
            <v>42487</v>
          </cell>
          <cell r="C1318">
            <v>42488</v>
          </cell>
        </row>
        <row r="1319">
          <cell r="B1319">
            <v>42488</v>
          </cell>
          <cell r="C1319">
            <v>42488</v>
          </cell>
        </row>
        <row r="1320">
          <cell r="B1320">
            <v>42489</v>
          </cell>
          <cell r="C1320">
            <v>42516</v>
          </cell>
        </row>
        <row r="1321">
          <cell r="B1321">
            <v>42492</v>
          </cell>
          <cell r="C1321">
            <v>42516</v>
          </cell>
        </row>
        <row r="1322">
          <cell r="B1322">
            <v>42493</v>
          </cell>
          <cell r="C1322">
            <v>42516</v>
          </cell>
        </row>
        <row r="1323">
          <cell r="B1323">
            <v>42494</v>
          </cell>
          <cell r="C1323">
            <v>42516</v>
          </cell>
        </row>
        <row r="1324">
          <cell r="B1324">
            <v>42495</v>
          </cell>
          <cell r="C1324">
            <v>42516</v>
          </cell>
        </row>
        <row r="1325">
          <cell r="B1325">
            <v>42496</v>
          </cell>
          <cell r="C1325">
            <v>42516</v>
          </cell>
        </row>
        <row r="1326">
          <cell r="B1326">
            <v>42499</v>
          </cell>
          <cell r="C1326">
            <v>42516</v>
          </cell>
        </row>
        <row r="1327">
          <cell r="B1327">
            <v>42500</v>
          </cell>
          <cell r="C1327">
            <v>42516</v>
          </cell>
        </row>
        <row r="1328">
          <cell r="B1328">
            <v>42501</v>
          </cell>
          <cell r="C1328">
            <v>42516</v>
          </cell>
        </row>
        <row r="1329">
          <cell r="B1329">
            <v>42502</v>
          </cell>
          <cell r="C1329">
            <v>42516</v>
          </cell>
        </row>
        <row r="1330">
          <cell r="B1330">
            <v>42503</v>
          </cell>
          <cell r="C1330">
            <v>42516</v>
          </cell>
        </row>
        <row r="1331">
          <cell r="B1331">
            <v>42506</v>
          </cell>
          <cell r="C1331">
            <v>42516</v>
          </cell>
        </row>
        <row r="1332">
          <cell r="B1332">
            <v>42507</v>
          </cell>
          <cell r="C1332">
            <v>42516</v>
          </cell>
        </row>
        <row r="1333">
          <cell r="B1333">
            <v>42508</v>
          </cell>
          <cell r="C1333">
            <v>42516</v>
          </cell>
        </row>
        <row r="1334">
          <cell r="B1334">
            <v>42509</v>
          </cell>
          <cell r="C1334">
            <v>42516</v>
          </cell>
        </row>
        <row r="1335">
          <cell r="B1335">
            <v>42510</v>
          </cell>
          <cell r="C1335">
            <v>42516</v>
          </cell>
        </row>
        <row r="1336">
          <cell r="B1336">
            <v>42513</v>
          </cell>
          <cell r="C1336">
            <v>42516</v>
          </cell>
        </row>
        <row r="1337">
          <cell r="B1337">
            <v>42514</v>
          </cell>
          <cell r="C1337">
            <v>42516</v>
          </cell>
        </row>
        <row r="1338">
          <cell r="B1338">
            <v>42515</v>
          </cell>
          <cell r="C1338">
            <v>42516</v>
          </cell>
        </row>
        <row r="1339">
          <cell r="B1339">
            <v>42516</v>
          </cell>
          <cell r="C1339">
            <v>42516</v>
          </cell>
        </row>
        <row r="1340">
          <cell r="B1340">
            <v>42517</v>
          </cell>
          <cell r="C1340">
            <v>42551</v>
          </cell>
        </row>
        <row r="1341">
          <cell r="B1341">
            <v>42520</v>
          </cell>
          <cell r="C1341">
            <v>42551</v>
          </cell>
        </row>
        <row r="1342">
          <cell r="B1342">
            <v>42521</v>
          </cell>
          <cell r="C1342">
            <v>42551</v>
          </cell>
        </row>
        <row r="1343">
          <cell r="B1343">
            <v>42522</v>
          </cell>
          <cell r="C1343">
            <v>42551</v>
          </cell>
        </row>
        <row r="1344">
          <cell r="B1344">
            <v>42523</v>
          </cell>
          <cell r="C1344">
            <v>42551</v>
          </cell>
        </row>
        <row r="1345">
          <cell r="B1345">
            <v>42524</v>
          </cell>
          <cell r="C1345">
            <v>42551</v>
          </cell>
        </row>
        <row r="1346">
          <cell r="B1346">
            <v>42527</v>
          </cell>
          <cell r="C1346">
            <v>42551</v>
          </cell>
        </row>
        <row r="1347">
          <cell r="B1347">
            <v>42528</v>
          </cell>
          <cell r="C1347">
            <v>42551</v>
          </cell>
        </row>
        <row r="1348">
          <cell r="B1348">
            <v>42529</v>
          </cell>
          <cell r="C1348">
            <v>42551</v>
          </cell>
        </row>
        <row r="1349">
          <cell r="B1349">
            <v>42530</v>
          </cell>
          <cell r="C1349">
            <v>42551</v>
          </cell>
        </row>
        <row r="1350">
          <cell r="B1350">
            <v>42531</v>
          </cell>
          <cell r="C1350">
            <v>42551</v>
          </cell>
        </row>
        <row r="1351">
          <cell r="B1351">
            <v>42534</v>
          </cell>
          <cell r="C1351">
            <v>42551</v>
          </cell>
        </row>
        <row r="1352">
          <cell r="B1352">
            <v>42535</v>
          </cell>
          <cell r="C1352">
            <v>42551</v>
          </cell>
        </row>
        <row r="1353">
          <cell r="B1353">
            <v>42536</v>
          </cell>
          <cell r="C1353">
            <v>42551</v>
          </cell>
        </row>
        <row r="1354">
          <cell r="B1354">
            <v>42537</v>
          </cell>
          <cell r="C1354">
            <v>42551</v>
          </cell>
        </row>
        <row r="1355">
          <cell r="B1355">
            <v>42538</v>
          </cell>
          <cell r="C1355">
            <v>42551</v>
          </cell>
        </row>
        <row r="1356">
          <cell r="B1356">
            <v>42541</v>
          </cell>
          <cell r="C1356">
            <v>42551</v>
          </cell>
        </row>
        <row r="1357">
          <cell r="B1357">
            <v>42542</v>
          </cell>
          <cell r="C1357">
            <v>42551</v>
          </cell>
        </row>
        <row r="1358">
          <cell r="B1358">
            <v>42543</v>
          </cell>
          <cell r="C1358">
            <v>42551</v>
          </cell>
        </row>
        <row r="1359">
          <cell r="B1359">
            <v>42544</v>
          </cell>
          <cell r="C1359">
            <v>42551</v>
          </cell>
        </row>
        <row r="1360">
          <cell r="B1360">
            <v>42545</v>
          </cell>
          <cell r="C1360">
            <v>42551</v>
          </cell>
        </row>
        <row r="1361">
          <cell r="B1361">
            <v>42548</v>
          </cell>
          <cell r="C1361">
            <v>42551</v>
          </cell>
        </row>
        <row r="1362">
          <cell r="B1362">
            <v>42549</v>
          </cell>
          <cell r="C1362">
            <v>42551</v>
          </cell>
        </row>
        <row r="1363">
          <cell r="B1363">
            <v>42550</v>
          </cell>
          <cell r="C1363">
            <v>42551</v>
          </cell>
        </row>
        <row r="1364">
          <cell r="B1364">
            <v>42551</v>
          </cell>
          <cell r="C1364">
            <v>42551</v>
          </cell>
        </row>
        <row r="1365">
          <cell r="B1365">
            <v>42552</v>
          </cell>
          <cell r="C1365">
            <v>42579</v>
          </cell>
        </row>
        <row r="1366">
          <cell r="B1366">
            <v>42555</v>
          </cell>
          <cell r="C1366">
            <v>42579</v>
          </cell>
        </row>
        <row r="1367">
          <cell r="B1367">
            <v>42556</v>
          </cell>
          <cell r="C1367">
            <v>42579</v>
          </cell>
        </row>
        <row r="1368">
          <cell r="B1368">
            <v>42558</v>
          </cell>
          <cell r="C1368">
            <v>42579</v>
          </cell>
        </row>
        <row r="1369">
          <cell r="B1369">
            <v>42559</v>
          </cell>
          <cell r="C1369">
            <v>42579</v>
          </cell>
        </row>
        <row r="1370">
          <cell r="B1370">
            <v>42562</v>
          </cell>
          <cell r="C1370">
            <v>42579</v>
          </cell>
        </row>
        <row r="1371">
          <cell r="B1371">
            <v>42563</v>
          </cell>
          <cell r="C1371">
            <v>42579</v>
          </cell>
        </row>
        <row r="1372">
          <cell r="B1372">
            <v>42564</v>
          </cell>
          <cell r="C1372">
            <v>42579</v>
          </cell>
        </row>
        <row r="1373">
          <cell r="B1373">
            <v>42565</v>
          </cell>
          <cell r="C1373">
            <v>42579</v>
          </cell>
        </row>
        <row r="1374">
          <cell r="B1374">
            <v>42566</v>
          </cell>
          <cell r="C1374">
            <v>42579</v>
          </cell>
        </row>
        <row r="1375">
          <cell r="B1375">
            <v>42569</v>
          </cell>
          <cell r="C1375">
            <v>42579</v>
          </cell>
        </row>
        <row r="1376">
          <cell r="B1376">
            <v>42570</v>
          </cell>
          <cell r="C1376">
            <v>42579</v>
          </cell>
        </row>
        <row r="1377">
          <cell r="B1377">
            <v>42571</v>
          </cell>
          <cell r="C1377">
            <v>42579</v>
          </cell>
        </row>
        <row r="1378">
          <cell r="B1378">
            <v>42572</v>
          </cell>
          <cell r="C1378">
            <v>42579</v>
          </cell>
        </row>
        <row r="1379">
          <cell r="B1379">
            <v>42573</v>
          </cell>
          <cell r="C1379">
            <v>42579</v>
          </cell>
        </row>
        <row r="1380">
          <cell r="B1380">
            <v>42576</v>
          </cell>
          <cell r="C1380">
            <v>42579</v>
          </cell>
        </row>
        <row r="1381">
          <cell r="B1381">
            <v>42577</v>
          </cell>
          <cell r="C1381">
            <v>42579</v>
          </cell>
        </row>
        <row r="1382">
          <cell r="B1382">
            <v>42578</v>
          </cell>
          <cell r="C1382">
            <v>42579</v>
          </cell>
        </row>
        <row r="1383">
          <cell r="B1383">
            <v>42579</v>
          </cell>
          <cell r="C1383">
            <v>42579</v>
          </cell>
        </row>
        <row r="1384">
          <cell r="B1384">
            <v>42580</v>
          </cell>
          <cell r="C1384">
            <v>42607</v>
          </cell>
        </row>
        <row r="1385">
          <cell r="B1385">
            <v>42583</v>
          </cell>
          <cell r="C1385">
            <v>42607</v>
          </cell>
        </row>
        <row r="1386">
          <cell r="B1386">
            <v>42584</v>
          </cell>
          <cell r="C1386">
            <v>42607</v>
          </cell>
        </row>
        <row r="1387">
          <cell r="B1387">
            <v>42585</v>
          </cell>
          <cell r="C1387">
            <v>42607</v>
          </cell>
        </row>
        <row r="1388">
          <cell r="B1388">
            <v>42586</v>
          </cell>
          <cell r="C1388">
            <v>42607</v>
          </cell>
        </row>
        <row r="1389">
          <cell r="B1389">
            <v>42587</v>
          </cell>
          <cell r="C1389">
            <v>42607</v>
          </cell>
        </row>
        <row r="1390">
          <cell r="B1390">
            <v>42590</v>
          </cell>
          <cell r="C1390">
            <v>42607</v>
          </cell>
        </row>
        <row r="1391">
          <cell r="B1391">
            <v>42591</v>
          </cell>
          <cell r="C1391">
            <v>42607</v>
          </cell>
        </row>
        <row r="1392">
          <cell r="B1392">
            <v>42592</v>
          </cell>
          <cell r="C1392">
            <v>42607</v>
          </cell>
        </row>
        <row r="1393">
          <cell r="B1393">
            <v>42593</v>
          </cell>
          <cell r="C1393">
            <v>42607</v>
          </cell>
        </row>
        <row r="1394">
          <cell r="B1394">
            <v>42594</v>
          </cell>
          <cell r="C1394">
            <v>42607</v>
          </cell>
        </row>
        <row r="1395">
          <cell r="B1395">
            <v>42598</v>
          </cell>
          <cell r="C1395">
            <v>42607</v>
          </cell>
        </row>
        <row r="1396">
          <cell r="B1396">
            <v>42599</v>
          </cell>
          <cell r="C1396">
            <v>42607</v>
          </cell>
        </row>
        <row r="1397">
          <cell r="B1397">
            <v>42600</v>
          </cell>
          <cell r="C1397">
            <v>42607</v>
          </cell>
        </row>
        <row r="1398">
          <cell r="B1398">
            <v>42601</v>
          </cell>
          <cell r="C1398">
            <v>42607</v>
          </cell>
        </row>
        <row r="1399">
          <cell r="B1399">
            <v>42604</v>
          </cell>
          <cell r="C1399">
            <v>42607</v>
          </cell>
        </row>
        <row r="1400">
          <cell r="B1400">
            <v>42605</v>
          </cell>
          <cell r="C1400">
            <v>42607</v>
          </cell>
        </row>
        <row r="1401">
          <cell r="B1401">
            <v>42606</v>
          </cell>
          <cell r="C1401">
            <v>42607</v>
          </cell>
        </row>
        <row r="1402">
          <cell r="B1402">
            <v>42607</v>
          </cell>
          <cell r="C1402">
            <v>42607</v>
          </cell>
        </row>
        <row r="1403">
          <cell r="B1403">
            <v>42608</v>
          </cell>
          <cell r="C1403">
            <v>42642</v>
          </cell>
        </row>
        <row r="1404">
          <cell r="B1404">
            <v>42611</v>
          </cell>
          <cell r="C1404">
            <v>42642</v>
          </cell>
        </row>
        <row r="1405">
          <cell r="B1405">
            <v>42612</v>
          </cell>
          <cell r="C1405">
            <v>42642</v>
          </cell>
        </row>
        <row r="1406">
          <cell r="B1406">
            <v>42613</v>
          </cell>
          <cell r="C1406">
            <v>42642</v>
          </cell>
        </row>
        <row r="1407">
          <cell r="B1407">
            <v>42614</v>
          </cell>
          <cell r="C1407">
            <v>42642</v>
          </cell>
        </row>
        <row r="1408">
          <cell r="B1408">
            <v>42615</v>
          </cell>
          <cell r="C1408">
            <v>42642</v>
          </cell>
        </row>
        <row r="1409">
          <cell r="B1409">
            <v>42619</v>
          </cell>
          <cell r="C1409">
            <v>42642</v>
          </cell>
        </row>
        <row r="1410">
          <cell r="B1410">
            <v>42620</v>
          </cell>
          <cell r="C1410">
            <v>42642</v>
          </cell>
        </row>
        <row r="1411">
          <cell r="B1411">
            <v>42621</v>
          </cell>
          <cell r="C1411">
            <v>42642</v>
          </cell>
        </row>
        <row r="1412">
          <cell r="B1412">
            <v>42622</v>
          </cell>
          <cell r="C1412">
            <v>42642</v>
          </cell>
        </row>
        <row r="1413">
          <cell r="B1413">
            <v>42625</v>
          </cell>
          <cell r="C1413">
            <v>42642</v>
          </cell>
        </row>
        <row r="1414">
          <cell r="B1414">
            <v>42627</v>
          </cell>
          <cell r="C1414">
            <v>42642</v>
          </cell>
        </row>
        <row r="1415">
          <cell r="B1415">
            <v>42628</v>
          </cell>
          <cell r="C1415">
            <v>42642</v>
          </cell>
        </row>
        <row r="1416">
          <cell r="B1416">
            <v>42629</v>
          </cell>
          <cell r="C1416">
            <v>42642</v>
          </cell>
        </row>
        <row r="1417">
          <cell r="B1417">
            <v>42632</v>
          </cell>
          <cell r="C1417">
            <v>42642</v>
          </cell>
        </row>
        <row r="1418">
          <cell r="B1418">
            <v>42633</v>
          </cell>
          <cell r="C1418">
            <v>42642</v>
          </cell>
        </row>
        <row r="1419">
          <cell r="B1419">
            <v>42634</v>
          </cell>
          <cell r="C1419">
            <v>42642</v>
          </cell>
        </row>
        <row r="1420">
          <cell r="B1420">
            <v>42635</v>
          </cell>
          <cell r="C1420">
            <v>42642</v>
          </cell>
        </row>
        <row r="1421">
          <cell r="B1421">
            <v>42636</v>
          </cell>
          <cell r="C1421">
            <v>42642</v>
          </cell>
        </row>
        <row r="1422">
          <cell r="B1422">
            <v>42639</v>
          </cell>
          <cell r="C1422">
            <v>42642</v>
          </cell>
        </row>
        <row r="1423">
          <cell r="B1423">
            <v>42640</v>
          </cell>
          <cell r="C1423">
            <v>42642</v>
          </cell>
        </row>
        <row r="1424">
          <cell r="B1424">
            <v>42641</v>
          </cell>
          <cell r="C1424">
            <v>42642</v>
          </cell>
        </row>
        <row r="1425">
          <cell r="B1425">
            <v>42642</v>
          </cell>
          <cell r="C1425">
            <v>42642</v>
          </cell>
        </row>
        <row r="1426">
          <cell r="B1426">
            <v>42643</v>
          </cell>
          <cell r="C1426">
            <v>42670</v>
          </cell>
        </row>
        <row r="1427">
          <cell r="B1427">
            <v>42646</v>
          </cell>
          <cell r="C1427">
            <v>42670</v>
          </cell>
        </row>
        <row r="1428">
          <cell r="B1428">
            <v>42647</v>
          </cell>
          <cell r="C1428">
            <v>42670</v>
          </cell>
        </row>
        <row r="1429">
          <cell r="B1429">
            <v>42648</v>
          </cell>
          <cell r="C1429">
            <v>42670</v>
          </cell>
        </row>
        <row r="1430">
          <cell r="B1430">
            <v>42649</v>
          </cell>
          <cell r="C1430">
            <v>42670</v>
          </cell>
        </row>
        <row r="1431">
          <cell r="B1431">
            <v>42650</v>
          </cell>
          <cell r="C1431">
            <v>42670</v>
          </cell>
        </row>
        <row r="1432">
          <cell r="B1432">
            <v>42653</v>
          </cell>
          <cell r="C1432">
            <v>42670</v>
          </cell>
        </row>
        <row r="1433">
          <cell r="B1433">
            <v>42656</v>
          </cell>
          <cell r="C1433">
            <v>42670</v>
          </cell>
        </row>
        <row r="1434">
          <cell r="B1434">
            <v>42657</v>
          </cell>
          <cell r="C1434">
            <v>42670</v>
          </cell>
        </row>
        <row r="1435">
          <cell r="B1435">
            <v>42660</v>
          </cell>
          <cell r="C1435">
            <v>42670</v>
          </cell>
        </row>
        <row r="1436">
          <cell r="B1436">
            <v>42661</v>
          </cell>
          <cell r="C1436">
            <v>42670</v>
          </cell>
        </row>
        <row r="1437">
          <cell r="B1437">
            <v>42662</v>
          </cell>
          <cell r="C1437">
            <v>42670</v>
          </cell>
        </row>
        <row r="1438">
          <cell r="B1438">
            <v>42663</v>
          </cell>
          <cell r="C1438">
            <v>42670</v>
          </cell>
        </row>
        <row r="1439">
          <cell r="B1439">
            <v>42664</v>
          </cell>
          <cell r="C1439">
            <v>42670</v>
          </cell>
        </row>
        <row r="1440">
          <cell r="B1440">
            <v>42667</v>
          </cell>
          <cell r="C1440">
            <v>42670</v>
          </cell>
        </row>
        <row r="1441">
          <cell r="B1441">
            <v>42668</v>
          </cell>
          <cell r="C1441">
            <v>42670</v>
          </cell>
        </row>
        <row r="1442">
          <cell r="B1442">
            <v>42669</v>
          </cell>
          <cell r="C1442">
            <v>42670</v>
          </cell>
        </row>
        <row r="1443">
          <cell r="B1443">
            <v>42670</v>
          </cell>
          <cell r="C1443">
            <v>42670</v>
          </cell>
        </row>
        <row r="1444">
          <cell r="B1444">
            <v>42671</v>
          </cell>
          <cell r="C1444">
            <v>42698</v>
          </cell>
        </row>
        <row r="1445">
          <cell r="B1445">
            <v>42673</v>
          </cell>
          <cell r="C1445">
            <v>42698</v>
          </cell>
        </row>
        <row r="1446">
          <cell r="B1446">
            <v>42675</v>
          </cell>
          <cell r="C1446">
            <v>42698</v>
          </cell>
        </row>
        <row r="1447">
          <cell r="B1447">
            <v>42676</v>
          </cell>
          <cell r="C1447">
            <v>42698</v>
          </cell>
        </row>
        <row r="1448">
          <cell r="B1448">
            <v>42677</v>
          </cell>
          <cell r="C1448">
            <v>42698</v>
          </cell>
        </row>
        <row r="1449">
          <cell r="B1449">
            <v>42678</v>
          </cell>
          <cell r="C1449">
            <v>42698</v>
          </cell>
        </row>
        <row r="1450">
          <cell r="B1450">
            <v>42681</v>
          </cell>
          <cell r="C1450">
            <v>42698</v>
          </cell>
        </row>
        <row r="1451">
          <cell r="B1451">
            <v>42682</v>
          </cell>
          <cell r="C1451">
            <v>42698</v>
          </cell>
        </row>
        <row r="1452">
          <cell r="B1452">
            <v>42683</v>
          </cell>
          <cell r="C1452">
            <v>42698</v>
          </cell>
        </row>
        <row r="1453">
          <cell r="B1453">
            <v>42684</v>
          </cell>
          <cell r="C1453">
            <v>42698</v>
          </cell>
        </row>
        <row r="1454">
          <cell r="B1454">
            <v>42685</v>
          </cell>
          <cell r="C1454">
            <v>42698</v>
          </cell>
        </row>
        <row r="1455">
          <cell r="B1455">
            <v>42689</v>
          </cell>
          <cell r="C1455">
            <v>42698</v>
          </cell>
        </row>
        <row r="1456">
          <cell r="B1456">
            <v>42690</v>
          </cell>
          <cell r="C1456">
            <v>42698</v>
          </cell>
        </row>
        <row r="1457">
          <cell r="B1457">
            <v>42691</v>
          </cell>
          <cell r="C1457">
            <v>42698</v>
          </cell>
        </row>
        <row r="1458">
          <cell r="B1458">
            <v>42692</v>
          </cell>
          <cell r="C1458">
            <v>42698</v>
          </cell>
        </row>
        <row r="1459">
          <cell r="B1459">
            <v>42695</v>
          </cell>
          <cell r="C1459">
            <v>42698</v>
          </cell>
        </row>
        <row r="1460">
          <cell r="B1460">
            <v>42696</v>
          </cell>
          <cell r="C1460">
            <v>42698</v>
          </cell>
        </row>
        <row r="1461">
          <cell r="B1461">
            <v>42697</v>
          </cell>
          <cell r="C1461">
            <v>42698</v>
          </cell>
        </row>
        <row r="1462">
          <cell r="B1462">
            <v>42698</v>
          </cell>
          <cell r="C1462">
            <v>42698</v>
          </cell>
        </row>
        <row r="1463">
          <cell r="B1463">
            <v>42699</v>
          </cell>
          <cell r="C1463">
            <v>42733</v>
          </cell>
        </row>
        <row r="1464">
          <cell r="B1464">
            <v>42702</v>
          </cell>
          <cell r="C1464">
            <v>42733</v>
          </cell>
        </row>
        <row r="1465">
          <cell r="B1465">
            <v>42703</v>
          </cell>
          <cell r="C1465">
            <v>42733</v>
          </cell>
        </row>
        <row r="1466">
          <cell r="B1466">
            <v>42704</v>
          </cell>
          <cell r="C1466">
            <v>42733</v>
          </cell>
        </row>
        <row r="1467">
          <cell r="B1467">
            <v>42705</v>
          </cell>
          <cell r="C1467">
            <v>42733</v>
          </cell>
        </row>
        <row r="1468">
          <cell r="B1468">
            <v>42706</v>
          </cell>
          <cell r="C1468">
            <v>42733</v>
          </cell>
        </row>
        <row r="1469">
          <cell r="B1469">
            <v>42709</v>
          </cell>
          <cell r="C1469">
            <v>42733</v>
          </cell>
        </row>
        <row r="1470">
          <cell r="B1470">
            <v>42710</v>
          </cell>
          <cell r="C1470">
            <v>42733</v>
          </cell>
        </row>
        <row r="1471">
          <cell r="B1471">
            <v>42711</v>
          </cell>
          <cell r="C1471">
            <v>42733</v>
          </cell>
        </row>
        <row r="1472">
          <cell r="B1472">
            <v>42712</v>
          </cell>
          <cell r="C1472">
            <v>42733</v>
          </cell>
        </row>
        <row r="1473">
          <cell r="B1473">
            <v>42713</v>
          </cell>
          <cell r="C1473">
            <v>42733</v>
          </cell>
        </row>
        <row r="1474">
          <cell r="B1474">
            <v>42716</v>
          </cell>
          <cell r="C1474">
            <v>42733</v>
          </cell>
        </row>
        <row r="1475">
          <cell r="B1475">
            <v>42717</v>
          </cell>
          <cell r="C1475">
            <v>42733</v>
          </cell>
        </row>
        <row r="1476">
          <cell r="B1476">
            <v>42718</v>
          </cell>
          <cell r="C1476">
            <v>42733</v>
          </cell>
        </row>
        <row r="1477">
          <cell r="B1477">
            <v>42719</v>
          </cell>
          <cell r="C1477">
            <v>42733</v>
          </cell>
        </row>
        <row r="1478">
          <cell r="B1478">
            <v>42720</v>
          </cell>
          <cell r="C1478">
            <v>42733</v>
          </cell>
        </row>
        <row r="1479">
          <cell r="B1479">
            <v>42723</v>
          </cell>
          <cell r="C1479">
            <v>42733</v>
          </cell>
        </row>
        <row r="1480">
          <cell r="B1480">
            <v>42724</v>
          </cell>
          <cell r="C1480">
            <v>42733</v>
          </cell>
        </row>
        <row r="1481">
          <cell r="B1481">
            <v>42725</v>
          </cell>
          <cell r="C1481">
            <v>42733</v>
          </cell>
        </row>
        <row r="1482">
          <cell r="B1482">
            <v>42726</v>
          </cell>
          <cell r="C1482">
            <v>42733</v>
          </cell>
        </row>
        <row r="1483">
          <cell r="B1483">
            <v>42727</v>
          </cell>
          <cell r="C1483">
            <v>42733</v>
          </cell>
        </row>
        <row r="1484">
          <cell r="B1484">
            <v>42730</v>
          </cell>
          <cell r="C1484">
            <v>42733</v>
          </cell>
        </row>
        <row r="1485">
          <cell r="B1485">
            <v>42731</v>
          </cell>
          <cell r="C1485">
            <v>42733</v>
          </cell>
        </row>
        <row r="1486">
          <cell r="B1486">
            <v>42732</v>
          </cell>
          <cell r="C1486">
            <v>42733</v>
          </cell>
        </row>
        <row r="1487">
          <cell r="B1487">
            <v>42733</v>
          </cell>
          <cell r="C1487">
            <v>42733</v>
          </cell>
        </row>
        <row r="1488">
          <cell r="B1488">
            <v>42734</v>
          </cell>
          <cell r="C1488">
            <v>42760</v>
          </cell>
        </row>
        <row r="1489">
          <cell r="B1489">
            <v>42737</v>
          </cell>
          <cell r="C1489">
            <v>42760</v>
          </cell>
        </row>
        <row r="1490">
          <cell r="B1490">
            <v>42738</v>
          </cell>
          <cell r="C1490">
            <v>42760</v>
          </cell>
        </row>
        <row r="1491">
          <cell r="B1491">
            <v>42739</v>
          </cell>
          <cell r="C1491">
            <v>42760</v>
          </cell>
        </row>
        <row r="1492">
          <cell r="B1492">
            <v>42740</v>
          </cell>
          <cell r="C1492">
            <v>42760</v>
          </cell>
        </row>
        <row r="1493">
          <cell r="B1493">
            <v>42741</v>
          </cell>
          <cell r="C1493">
            <v>42760</v>
          </cell>
        </row>
        <row r="1494">
          <cell r="B1494">
            <v>42744</v>
          </cell>
          <cell r="C1494">
            <v>42760</v>
          </cell>
        </row>
        <row r="1495">
          <cell r="B1495">
            <v>42745</v>
          </cell>
          <cell r="C1495">
            <v>42760</v>
          </cell>
        </row>
        <row r="1496">
          <cell r="B1496">
            <v>42746</v>
          </cell>
          <cell r="C1496">
            <v>42760</v>
          </cell>
        </row>
        <row r="1497">
          <cell r="B1497">
            <v>42747</v>
          </cell>
          <cell r="C1497">
            <v>42760</v>
          </cell>
        </row>
        <row r="1498">
          <cell r="B1498">
            <v>42748</v>
          </cell>
          <cell r="C1498">
            <v>42760</v>
          </cell>
        </row>
        <row r="1499">
          <cell r="B1499">
            <v>42751</v>
          </cell>
          <cell r="C1499">
            <v>42760</v>
          </cell>
        </row>
        <row r="1500">
          <cell r="B1500">
            <v>42752</v>
          </cell>
          <cell r="C1500">
            <v>42760</v>
          </cell>
        </row>
        <row r="1501">
          <cell r="B1501">
            <v>42753</v>
          </cell>
          <cell r="C1501">
            <v>42760</v>
          </cell>
        </row>
        <row r="1502">
          <cell r="B1502">
            <v>42754</v>
          </cell>
          <cell r="C1502">
            <v>42760</v>
          </cell>
        </row>
        <row r="1503">
          <cell r="B1503">
            <v>42755</v>
          </cell>
          <cell r="C1503">
            <v>42760</v>
          </cell>
        </row>
        <row r="1504">
          <cell r="B1504">
            <v>42758</v>
          </cell>
          <cell r="C1504">
            <v>42760</v>
          </cell>
        </row>
        <row r="1505">
          <cell r="B1505">
            <v>42759</v>
          </cell>
          <cell r="C1505">
            <v>42760</v>
          </cell>
        </row>
        <row r="1506">
          <cell r="B1506">
            <v>42760</v>
          </cell>
          <cell r="C1506">
            <v>42760</v>
          </cell>
        </row>
        <row r="1507">
          <cell r="B1507">
            <v>42762</v>
          </cell>
          <cell r="C1507">
            <v>42789</v>
          </cell>
        </row>
        <row r="1508">
          <cell r="B1508">
            <v>42765</v>
          </cell>
          <cell r="C1508">
            <v>42789</v>
          </cell>
        </row>
        <row r="1509">
          <cell r="B1509">
            <v>42766</v>
          </cell>
          <cell r="C1509">
            <v>42789</v>
          </cell>
        </row>
        <row r="1510">
          <cell r="B1510">
            <v>42767</v>
          </cell>
          <cell r="C1510">
            <v>42789</v>
          </cell>
        </row>
        <row r="1511">
          <cell r="B1511">
            <v>42768</v>
          </cell>
          <cell r="C1511">
            <v>42789</v>
          </cell>
        </row>
        <row r="1512">
          <cell r="B1512">
            <v>42769</v>
          </cell>
          <cell r="C1512">
            <v>42789</v>
          </cell>
        </row>
        <row r="1513">
          <cell r="B1513">
            <v>42772</v>
          </cell>
          <cell r="C1513">
            <v>42789</v>
          </cell>
        </row>
        <row r="1514">
          <cell r="B1514">
            <v>42773</v>
          </cell>
          <cell r="C1514">
            <v>42789</v>
          </cell>
        </row>
        <row r="1515">
          <cell r="B1515">
            <v>42774</v>
          </cell>
          <cell r="C1515">
            <v>42789</v>
          </cell>
        </row>
        <row r="1516">
          <cell r="B1516">
            <v>42775</v>
          </cell>
          <cell r="C1516">
            <v>42789</v>
          </cell>
        </row>
        <row r="1517">
          <cell r="B1517">
            <v>42776</v>
          </cell>
          <cell r="C1517">
            <v>42789</v>
          </cell>
        </row>
        <row r="1518">
          <cell r="B1518">
            <v>42779</v>
          </cell>
          <cell r="C1518">
            <v>42789</v>
          </cell>
        </row>
        <row r="1519">
          <cell r="B1519">
            <v>42780</v>
          </cell>
          <cell r="C1519">
            <v>42789</v>
          </cell>
        </row>
        <row r="1520">
          <cell r="B1520">
            <v>42781</v>
          </cell>
          <cell r="C1520">
            <v>42789</v>
          </cell>
        </row>
        <row r="1521">
          <cell r="B1521">
            <v>42782</v>
          </cell>
          <cell r="C1521">
            <v>42789</v>
          </cell>
        </row>
        <row r="1522">
          <cell r="B1522">
            <v>42783</v>
          </cell>
          <cell r="C1522">
            <v>42789</v>
          </cell>
        </row>
        <row r="1523">
          <cell r="B1523">
            <v>42786</v>
          </cell>
          <cell r="C1523">
            <v>42789</v>
          </cell>
        </row>
        <row r="1524">
          <cell r="B1524">
            <v>42787</v>
          </cell>
          <cell r="C1524">
            <v>42789</v>
          </cell>
        </row>
        <row r="1525">
          <cell r="B1525">
            <v>42788</v>
          </cell>
          <cell r="C1525">
            <v>42789</v>
          </cell>
        </row>
        <row r="1526">
          <cell r="B1526">
            <v>42789</v>
          </cell>
          <cell r="C1526">
            <v>42789</v>
          </cell>
        </row>
        <row r="1527">
          <cell r="B1527">
            <v>42793</v>
          </cell>
          <cell r="C1527">
            <v>42824</v>
          </cell>
        </row>
        <row r="1528">
          <cell r="B1528">
            <v>42794</v>
          </cell>
          <cell r="C1528">
            <v>42824</v>
          </cell>
        </row>
        <row r="1529">
          <cell r="B1529">
            <v>42795</v>
          </cell>
          <cell r="C1529">
            <v>42824</v>
          </cell>
        </row>
        <row r="1530">
          <cell r="B1530">
            <v>42796</v>
          </cell>
          <cell r="C1530">
            <v>42824</v>
          </cell>
        </row>
        <row r="1531">
          <cell r="B1531">
            <v>42797</v>
          </cell>
          <cell r="C1531">
            <v>42824</v>
          </cell>
        </row>
        <row r="1532">
          <cell r="B1532">
            <v>42800</v>
          </cell>
          <cell r="C1532">
            <v>42824</v>
          </cell>
        </row>
        <row r="1533">
          <cell r="B1533">
            <v>42801</v>
          </cell>
          <cell r="C1533">
            <v>42824</v>
          </cell>
        </row>
        <row r="1534">
          <cell r="B1534">
            <v>42802</v>
          </cell>
          <cell r="C1534">
            <v>42824</v>
          </cell>
        </row>
        <row r="1535">
          <cell r="B1535">
            <v>42803</v>
          </cell>
          <cell r="C1535">
            <v>42824</v>
          </cell>
        </row>
        <row r="1536">
          <cell r="B1536">
            <v>42804</v>
          </cell>
          <cell r="C1536">
            <v>42824</v>
          </cell>
        </row>
        <row r="1537">
          <cell r="B1537">
            <v>42808</v>
          </cell>
          <cell r="C1537">
            <v>42824</v>
          </cell>
        </row>
        <row r="1538">
          <cell r="B1538">
            <v>42809</v>
          </cell>
          <cell r="C1538">
            <v>42824</v>
          </cell>
        </row>
        <row r="1539">
          <cell r="B1539">
            <v>42810</v>
          </cell>
          <cell r="C1539">
            <v>42824</v>
          </cell>
        </row>
        <row r="1540">
          <cell r="B1540">
            <v>42811</v>
          </cell>
          <cell r="C1540">
            <v>42824</v>
          </cell>
        </row>
        <row r="1541">
          <cell r="B1541">
            <v>42814</v>
          </cell>
          <cell r="C1541">
            <v>42824</v>
          </cell>
        </row>
        <row r="1542">
          <cell r="B1542">
            <v>42815</v>
          </cell>
          <cell r="C1542">
            <v>42824</v>
          </cell>
        </row>
        <row r="1543">
          <cell r="B1543">
            <v>42816</v>
          </cell>
          <cell r="C1543">
            <v>42824</v>
          </cell>
        </row>
        <row r="1544">
          <cell r="B1544">
            <v>42817</v>
          </cell>
          <cell r="C1544">
            <v>42824</v>
          </cell>
        </row>
        <row r="1545">
          <cell r="B1545">
            <v>42818</v>
          </cell>
          <cell r="C1545">
            <v>42824</v>
          </cell>
        </row>
        <row r="1546">
          <cell r="B1546">
            <v>42821</v>
          </cell>
          <cell r="C1546">
            <v>42824</v>
          </cell>
        </row>
        <row r="1547">
          <cell r="B1547">
            <v>42822</v>
          </cell>
          <cell r="C1547">
            <v>42824</v>
          </cell>
        </row>
        <row r="1548">
          <cell r="B1548">
            <v>42823</v>
          </cell>
          <cell r="C1548">
            <v>42824</v>
          </cell>
        </row>
        <row r="1549">
          <cell r="B1549">
            <v>42824</v>
          </cell>
          <cell r="C1549">
            <v>42824</v>
          </cell>
        </row>
        <row r="1550">
          <cell r="B1550">
            <v>42825</v>
          </cell>
          <cell r="C1550">
            <v>42852</v>
          </cell>
        </row>
        <row r="1551">
          <cell r="B1551">
            <v>42828</v>
          </cell>
          <cell r="C1551">
            <v>42852</v>
          </cell>
        </row>
        <row r="1552">
          <cell r="B1552">
            <v>42830</v>
          </cell>
          <cell r="C1552">
            <v>42852</v>
          </cell>
        </row>
        <row r="1553">
          <cell r="B1553">
            <v>42831</v>
          </cell>
          <cell r="C1553">
            <v>42852</v>
          </cell>
        </row>
        <row r="1554">
          <cell r="B1554">
            <v>42832</v>
          </cell>
          <cell r="C1554">
            <v>42852</v>
          </cell>
        </row>
        <row r="1555">
          <cell r="B1555">
            <v>42835</v>
          </cell>
          <cell r="C1555">
            <v>42852</v>
          </cell>
        </row>
        <row r="1556">
          <cell r="B1556">
            <v>42836</v>
          </cell>
          <cell r="C1556">
            <v>42852</v>
          </cell>
        </row>
        <row r="1557">
          <cell r="B1557">
            <v>42837</v>
          </cell>
          <cell r="C1557">
            <v>42852</v>
          </cell>
        </row>
        <row r="1558">
          <cell r="B1558">
            <v>42838</v>
          </cell>
          <cell r="C1558">
            <v>42852</v>
          </cell>
        </row>
        <row r="1559">
          <cell r="B1559">
            <v>42842</v>
          </cell>
          <cell r="C1559">
            <v>42852</v>
          </cell>
        </row>
        <row r="1560">
          <cell r="B1560">
            <v>42843</v>
          </cell>
          <cell r="C1560">
            <v>42852</v>
          </cell>
        </row>
        <row r="1561">
          <cell r="B1561">
            <v>42844</v>
          </cell>
          <cell r="C1561">
            <v>42852</v>
          </cell>
        </row>
        <row r="1562">
          <cell r="B1562">
            <v>42845</v>
          </cell>
          <cell r="C1562">
            <v>42852</v>
          </cell>
        </row>
        <row r="1563">
          <cell r="B1563">
            <v>42846</v>
          </cell>
          <cell r="C1563">
            <v>42852</v>
          </cell>
        </row>
        <row r="1564">
          <cell r="B1564">
            <v>42849</v>
          </cell>
          <cell r="C1564">
            <v>42852</v>
          </cell>
        </row>
        <row r="1565">
          <cell r="B1565">
            <v>42850</v>
          </cell>
          <cell r="C1565">
            <v>42852</v>
          </cell>
        </row>
        <row r="1566">
          <cell r="B1566">
            <v>42851</v>
          </cell>
          <cell r="C1566">
            <v>42852</v>
          </cell>
        </row>
        <row r="1567">
          <cell r="B1567">
            <v>42852</v>
          </cell>
          <cell r="C1567">
            <v>42852</v>
          </cell>
        </row>
        <row r="1568">
          <cell r="B1568">
            <v>42853</v>
          </cell>
          <cell r="C1568">
            <v>42880</v>
          </cell>
        </row>
        <row r="1569">
          <cell r="B1569">
            <v>42857</v>
          </cell>
          <cell r="C1569">
            <v>42880</v>
          </cell>
        </row>
        <row r="1570">
          <cell r="B1570">
            <v>42858</v>
          </cell>
          <cell r="C1570">
            <v>42880</v>
          </cell>
        </row>
        <row r="1571">
          <cell r="B1571">
            <v>42859</v>
          </cell>
          <cell r="C1571">
            <v>42880</v>
          </cell>
        </row>
        <row r="1572">
          <cell r="B1572">
            <v>42860</v>
          </cell>
          <cell r="C1572">
            <v>42880</v>
          </cell>
        </row>
        <row r="1573">
          <cell r="B1573">
            <v>42863</v>
          </cell>
          <cell r="C1573">
            <v>42880</v>
          </cell>
        </row>
        <row r="1574">
          <cell r="B1574">
            <v>42864</v>
          </cell>
          <cell r="C1574">
            <v>42880</v>
          </cell>
        </row>
        <row r="1575">
          <cell r="B1575">
            <v>42865</v>
          </cell>
          <cell r="C1575">
            <v>42880</v>
          </cell>
        </row>
        <row r="1576">
          <cell r="B1576">
            <v>42866</v>
          </cell>
          <cell r="C1576">
            <v>42880</v>
          </cell>
        </row>
        <row r="1577">
          <cell r="B1577">
            <v>42867</v>
          </cell>
          <cell r="C1577">
            <v>42880</v>
          </cell>
        </row>
        <row r="1578">
          <cell r="B1578">
            <v>42870</v>
          </cell>
          <cell r="C1578">
            <v>42880</v>
          </cell>
        </row>
        <row r="1579">
          <cell r="B1579">
            <v>42871</v>
          </cell>
          <cell r="C1579">
            <v>42880</v>
          </cell>
        </row>
        <row r="1580">
          <cell r="B1580">
            <v>42872</v>
          </cell>
          <cell r="C1580">
            <v>42880</v>
          </cell>
        </row>
        <row r="1581">
          <cell r="B1581">
            <v>42873</v>
          </cell>
          <cell r="C1581">
            <v>42880</v>
          </cell>
        </row>
        <row r="1582">
          <cell r="B1582">
            <v>42874</v>
          </cell>
          <cell r="C1582">
            <v>42880</v>
          </cell>
        </row>
        <row r="1583">
          <cell r="B1583">
            <v>42877</v>
          </cell>
          <cell r="C1583">
            <v>42880</v>
          </cell>
        </row>
        <row r="1584">
          <cell r="B1584">
            <v>42878</v>
          </cell>
          <cell r="C1584">
            <v>42880</v>
          </cell>
        </row>
        <row r="1585">
          <cell r="B1585">
            <v>42879</v>
          </cell>
          <cell r="C1585">
            <v>42880</v>
          </cell>
        </row>
        <row r="1586">
          <cell r="B1586">
            <v>42880</v>
          </cell>
          <cell r="C1586">
            <v>42880</v>
          </cell>
        </row>
        <row r="1587">
          <cell r="B1587">
            <v>42881</v>
          </cell>
          <cell r="C1587">
            <v>42915</v>
          </cell>
        </row>
        <row r="1588">
          <cell r="B1588">
            <v>42884</v>
          </cell>
          <cell r="C1588">
            <v>42915</v>
          </cell>
        </row>
        <row r="1589">
          <cell r="B1589">
            <v>42885</v>
          </cell>
          <cell r="C1589">
            <v>42915</v>
          </cell>
        </row>
        <row r="1590">
          <cell r="B1590">
            <v>42886</v>
          </cell>
          <cell r="C1590">
            <v>42915</v>
          </cell>
        </row>
        <row r="1591">
          <cell r="B1591">
            <v>42887</v>
          </cell>
          <cell r="C1591">
            <v>42915</v>
          </cell>
        </row>
        <row r="1592">
          <cell r="B1592">
            <v>42888</v>
          </cell>
          <cell r="C1592">
            <v>42915</v>
          </cell>
        </row>
        <row r="1593">
          <cell r="B1593">
            <v>42891</v>
          </cell>
          <cell r="C1593">
            <v>42915</v>
          </cell>
        </row>
        <row r="1594">
          <cell r="B1594">
            <v>42892</v>
          </cell>
          <cell r="C1594">
            <v>42915</v>
          </cell>
        </row>
        <row r="1595">
          <cell r="B1595">
            <v>42893</v>
          </cell>
          <cell r="C1595">
            <v>42915</v>
          </cell>
        </row>
        <row r="1596">
          <cell r="B1596">
            <v>42894</v>
          </cell>
          <cell r="C1596">
            <v>42915</v>
          </cell>
        </row>
        <row r="1597">
          <cell r="B1597">
            <v>42895</v>
          </cell>
          <cell r="C1597">
            <v>42915</v>
          </cell>
        </row>
        <row r="1598">
          <cell r="B1598">
            <v>42898</v>
          </cell>
          <cell r="C1598">
            <v>42915</v>
          </cell>
        </row>
        <row r="1599">
          <cell r="B1599">
            <v>42899</v>
          </cell>
          <cell r="C1599">
            <v>42915</v>
          </cell>
        </row>
        <row r="1600">
          <cell r="B1600">
            <v>42900</v>
          </cell>
          <cell r="C1600">
            <v>42915</v>
          </cell>
        </row>
        <row r="1601">
          <cell r="B1601">
            <v>42901</v>
          </cell>
          <cell r="C1601">
            <v>42915</v>
          </cell>
        </row>
        <row r="1602">
          <cell r="B1602">
            <v>42902</v>
          </cell>
          <cell r="C1602">
            <v>42915</v>
          </cell>
        </row>
        <row r="1603">
          <cell r="B1603">
            <v>42905</v>
          </cell>
          <cell r="C1603">
            <v>42915</v>
          </cell>
        </row>
        <row r="1604">
          <cell r="B1604">
            <v>42906</v>
          </cell>
          <cell r="C1604">
            <v>42915</v>
          </cell>
        </row>
        <row r="1605">
          <cell r="B1605">
            <v>42907</v>
          </cell>
          <cell r="C1605">
            <v>42915</v>
          </cell>
        </row>
        <row r="1606">
          <cell r="B1606">
            <v>42908</v>
          </cell>
          <cell r="C1606">
            <v>42915</v>
          </cell>
        </row>
        <row r="1607">
          <cell r="B1607">
            <v>42909</v>
          </cell>
          <cell r="C1607">
            <v>42915</v>
          </cell>
        </row>
        <row r="1608">
          <cell r="B1608">
            <v>42913</v>
          </cell>
          <cell r="C1608">
            <v>42915</v>
          </cell>
        </row>
        <row r="1609">
          <cell r="B1609">
            <v>42914</v>
          </cell>
          <cell r="C1609">
            <v>42915</v>
          </cell>
        </row>
        <row r="1610">
          <cell r="B1610">
            <v>42915</v>
          </cell>
          <cell r="C1610">
            <v>42915</v>
          </cell>
        </row>
        <row r="1611">
          <cell r="B1611">
            <v>42916</v>
          </cell>
          <cell r="C1611">
            <v>42943</v>
          </cell>
        </row>
        <row r="1612">
          <cell r="B1612">
            <v>42919</v>
          </cell>
          <cell r="C1612">
            <v>42943</v>
          </cell>
        </row>
        <row r="1613">
          <cell r="B1613">
            <v>42920</v>
          </cell>
          <cell r="C1613">
            <v>42943</v>
          </cell>
        </row>
        <row r="1614">
          <cell r="B1614">
            <v>42921</v>
          </cell>
          <cell r="C1614">
            <v>42943</v>
          </cell>
        </row>
        <row r="1615">
          <cell r="B1615">
            <v>42922</v>
          </cell>
          <cell r="C1615">
            <v>42943</v>
          </cell>
        </row>
        <row r="1616">
          <cell r="B1616">
            <v>42923</v>
          </cell>
          <cell r="C1616">
            <v>42943</v>
          </cell>
        </row>
        <row r="1617">
          <cell r="B1617">
            <v>42926</v>
          </cell>
          <cell r="C1617">
            <v>42943</v>
          </cell>
        </row>
        <row r="1618">
          <cell r="B1618">
            <v>42927</v>
          </cell>
          <cell r="C1618">
            <v>42943</v>
          </cell>
        </row>
        <row r="1619">
          <cell r="B1619">
            <v>42928</v>
          </cell>
          <cell r="C1619">
            <v>42943</v>
          </cell>
        </row>
        <row r="1620">
          <cell r="B1620">
            <v>42929</v>
          </cell>
          <cell r="C1620">
            <v>42943</v>
          </cell>
        </row>
        <row r="1621">
          <cell r="B1621">
            <v>42930</v>
          </cell>
          <cell r="C1621">
            <v>42943</v>
          </cell>
        </row>
        <row r="1622">
          <cell r="B1622">
            <v>42933</v>
          </cell>
          <cell r="C1622">
            <v>42943</v>
          </cell>
        </row>
        <row r="1623">
          <cell r="B1623">
            <v>42934</v>
          </cell>
          <cell r="C1623">
            <v>42943</v>
          </cell>
        </row>
        <row r="1624">
          <cell r="B1624">
            <v>42935</v>
          </cell>
          <cell r="C1624">
            <v>42943</v>
          </cell>
        </row>
        <row r="1625">
          <cell r="B1625">
            <v>42936</v>
          </cell>
          <cell r="C1625">
            <v>42943</v>
          </cell>
        </row>
        <row r="1626">
          <cell r="B1626">
            <v>42937</v>
          </cell>
          <cell r="C1626">
            <v>42943</v>
          </cell>
        </row>
        <row r="1627">
          <cell r="B1627">
            <v>42940</v>
          </cell>
          <cell r="C1627">
            <v>42943</v>
          </cell>
        </row>
        <row r="1628">
          <cell r="B1628">
            <v>42941</v>
          </cell>
          <cell r="C1628">
            <v>42943</v>
          </cell>
        </row>
        <row r="1629">
          <cell r="B1629">
            <v>42942</v>
          </cell>
          <cell r="C1629">
            <v>42943</v>
          </cell>
        </row>
        <row r="1630">
          <cell r="B1630">
            <v>42943</v>
          </cell>
          <cell r="C1630">
            <v>42943</v>
          </cell>
        </row>
        <row r="1631">
          <cell r="B1631">
            <v>42944</v>
          </cell>
          <cell r="C1631">
            <v>42978</v>
          </cell>
        </row>
        <row r="1632">
          <cell r="B1632">
            <v>42947</v>
          </cell>
          <cell r="C1632">
            <v>42978</v>
          </cell>
        </row>
        <row r="1633">
          <cell r="B1633">
            <v>42948</v>
          </cell>
          <cell r="C1633">
            <v>42978</v>
          </cell>
        </row>
        <row r="1634">
          <cell r="B1634">
            <v>42949</v>
          </cell>
          <cell r="C1634">
            <v>42978</v>
          </cell>
        </row>
        <row r="1635">
          <cell r="B1635">
            <v>42950</v>
          </cell>
          <cell r="C1635">
            <v>42978</v>
          </cell>
        </row>
        <row r="1636">
          <cell r="B1636">
            <v>42951</v>
          </cell>
          <cell r="C1636">
            <v>42978</v>
          </cell>
        </row>
        <row r="1637">
          <cell r="B1637">
            <v>42954</v>
          </cell>
          <cell r="C1637">
            <v>42978</v>
          </cell>
        </row>
        <row r="1638">
          <cell r="B1638">
            <v>42955</v>
          </cell>
          <cell r="C1638">
            <v>42978</v>
          </cell>
        </row>
        <row r="1639">
          <cell r="B1639">
            <v>42956</v>
          </cell>
          <cell r="C1639">
            <v>42978</v>
          </cell>
        </row>
        <row r="1640">
          <cell r="B1640">
            <v>42957</v>
          </cell>
          <cell r="C1640">
            <v>42978</v>
          </cell>
        </row>
        <row r="1641">
          <cell r="B1641">
            <v>42958</v>
          </cell>
          <cell r="C1641">
            <v>42978</v>
          </cell>
        </row>
        <row r="1642">
          <cell r="B1642">
            <v>42961</v>
          </cell>
          <cell r="C1642">
            <v>42978</v>
          </cell>
        </row>
        <row r="1643">
          <cell r="B1643">
            <v>42963</v>
          </cell>
          <cell r="C1643">
            <v>42978</v>
          </cell>
        </row>
        <row r="1644">
          <cell r="B1644">
            <v>42964</v>
          </cell>
          <cell r="C1644">
            <v>42978</v>
          </cell>
        </row>
        <row r="1645">
          <cell r="B1645">
            <v>42965</v>
          </cell>
          <cell r="C1645">
            <v>42978</v>
          </cell>
        </row>
        <row r="1646">
          <cell r="B1646">
            <v>42968</v>
          </cell>
          <cell r="C1646">
            <v>42978</v>
          </cell>
        </row>
        <row r="1647">
          <cell r="B1647">
            <v>42969</v>
          </cell>
          <cell r="C1647">
            <v>42978</v>
          </cell>
        </row>
        <row r="1648">
          <cell r="B1648">
            <v>42970</v>
          </cell>
          <cell r="C1648">
            <v>42978</v>
          </cell>
        </row>
        <row r="1649">
          <cell r="B1649">
            <v>42971</v>
          </cell>
          <cell r="C1649">
            <v>42978</v>
          </cell>
        </row>
        <row r="1650">
          <cell r="B1650">
            <v>42975</v>
          </cell>
          <cell r="C1650">
            <v>42978</v>
          </cell>
        </row>
        <row r="1651">
          <cell r="B1651">
            <v>42976</v>
          </cell>
          <cell r="C1651">
            <v>42978</v>
          </cell>
        </row>
        <row r="1652">
          <cell r="B1652">
            <v>42977</v>
          </cell>
          <cell r="C1652">
            <v>42978</v>
          </cell>
        </row>
        <row r="1653">
          <cell r="B1653">
            <v>42978</v>
          </cell>
          <cell r="C1653">
            <v>42978</v>
          </cell>
        </row>
        <row r="1654">
          <cell r="B1654">
            <v>42979</v>
          </cell>
          <cell r="C1654">
            <v>43006</v>
          </cell>
        </row>
        <row r="1655">
          <cell r="B1655">
            <v>42982</v>
          </cell>
          <cell r="C1655">
            <v>43006</v>
          </cell>
        </row>
        <row r="1656">
          <cell r="B1656">
            <v>42983</v>
          </cell>
          <cell r="C1656">
            <v>43006</v>
          </cell>
        </row>
        <row r="1657">
          <cell r="B1657">
            <v>42984</v>
          </cell>
          <cell r="C1657">
            <v>43006</v>
          </cell>
        </row>
        <row r="1658">
          <cell r="B1658">
            <v>42985</v>
          </cell>
          <cell r="C1658">
            <v>43006</v>
          </cell>
        </row>
        <row r="1659">
          <cell r="B1659">
            <v>42986</v>
          </cell>
          <cell r="C1659">
            <v>43006</v>
          </cell>
        </row>
        <row r="1660">
          <cell r="B1660">
            <v>42989</v>
          </cell>
          <cell r="C1660">
            <v>43006</v>
          </cell>
        </row>
        <row r="1661">
          <cell r="B1661">
            <v>42990</v>
          </cell>
          <cell r="C1661">
            <v>43006</v>
          </cell>
        </row>
        <row r="1662">
          <cell r="B1662">
            <v>42991</v>
          </cell>
          <cell r="C1662">
            <v>43006</v>
          </cell>
        </row>
        <row r="1663">
          <cell r="B1663">
            <v>42992</v>
          </cell>
          <cell r="C1663">
            <v>43006</v>
          </cell>
        </row>
        <row r="1664">
          <cell r="B1664">
            <v>42993</v>
          </cell>
          <cell r="C1664">
            <v>43006</v>
          </cell>
        </row>
        <row r="1665">
          <cell r="B1665">
            <v>42996</v>
          </cell>
          <cell r="C1665">
            <v>43006</v>
          </cell>
        </row>
        <row r="1666">
          <cell r="B1666">
            <v>42997</v>
          </cell>
          <cell r="C1666">
            <v>43006</v>
          </cell>
        </row>
        <row r="1667">
          <cell r="B1667">
            <v>42998</v>
          </cell>
          <cell r="C1667">
            <v>43006</v>
          </cell>
        </row>
        <row r="1668">
          <cell r="B1668">
            <v>42999</v>
          </cell>
          <cell r="C1668">
            <v>43006</v>
          </cell>
        </row>
        <row r="1669">
          <cell r="B1669">
            <v>43000</v>
          </cell>
          <cell r="C1669">
            <v>43006</v>
          </cell>
        </row>
        <row r="1670">
          <cell r="B1670">
            <v>43003</v>
          </cell>
          <cell r="C1670">
            <v>43006</v>
          </cell>
        </row>
        <row r="1671">
          <cell r="B1671">
            <v>43004</v>
          </cell>
          <cell r="C1671">
            <v>43006</v>
          </cell>
        </row>
        <row r="1672">
          <cell r="B1672">
            <v>43005</v>
          </cell>
          <cell r="C1672">
            <v>43006</v>
          </cell>
        </row>
        <row r="1673">
          <cell r="B1673">
            <v>43006</v>
          </cell>
          <cell r="C1673">
            <v>43006</v>
          </cell>
        </row>
        <row r="1674">
          <cell r="B1674">
            <v>43007</v>
          </cell>
          <cell r="C1674">
            <v>43034</v>
          </cell>
        </row>
        <row r="1675">
          <cell r="B1675">
            <v>43011</v>
          </cell>
          <cell r="C1675">
            <v>43034</v>
          </cell>
        </row>
        <row r="1676">
          <cell r="B1676">
            <v>43012</v>
          </cell>
          <cell r="C1676">
            <v>43034</v>
          </cell>
        </row>
        <row r="1677">
          <cell r="B1677">
            <v>43013</v>
          </cell>
          <cell r="C1677">
            <v>43034</v>
          </cell>
        </row>
        <row r="1678">
          <cell r="B1678">
            <v>43014</v>
          </cell>
          <cell r="C1678">
            <v>43034</v>
          </cell>
        </row>
        <row r="1679">
          <cell r="B1679">
            <v>43017</v>
          </cell>
          <cell r="C1679">
            <v>43034</v>
          </cell>
        </row>
        <row r="1680">
          <cell r="B1680">
            <v>43018</v>
          </cell>
          <cell r="C1680">
            <v>43034</v>
          </cell>
        </row>
        <row r="1681">
          <cell r="B1681">
            <v>43019</v>
          </cell>
          <cell r="C1681">
            <v>43034</v>
          </cell>
        </row>
        <row r="1682">
          <cell r="B1682">
            <v>43020</v>
          </cell>
          <cell r="C1682">
            <v>43034</v>
          </cell>
        </row>
        <row r="1683">
          <cell r="B1683">
            <v>43021</v>
          </cell>
          <cell r="C1683">
            <v>43034</v>
          </cell>
        </row>
        <row r="1684">
          <cell r="B1684">
            <v>43024</v>
          </cell>
          <cell r="C1684">
            <v>43034</v>
          </cell>
        </row>
        <row r="1685">
          <cell r="B1685">
            <v>43025</v>
          </cell>
          <cell r="C1685">
            <v>43034</v>
          </cell>
        </row>
        <row r="1686">
          <cell r="B1686">
            <v>43026</v>
          </cell>
          <cell r="C1686">
            <v>43034</v>
          </cell>
        </row>
        <row r="1687">
          <cell r="B1687">
            <v>43027</v>
          </cell>
          <cell r="C1687">
            <v>43034</v>
          </cell>
        </row>
        <row r="1688">
          <cell r="B1688">
            <v>43031</v>
          </cell>
          <cell r="C1688">
            <v>43034</v>
          </cell>
        </row>
        <row r="1689">
          <cell r="B1689">
            <v>43032</v>
          </cell>
          <cell r="C1689">
            <v>43034</v>
          </cell>
        </row>
        <row r="1690">
          <cell r="B1690">
            <v>43033</v>
          </cell>
          <cell r="C1690">
            <v>43034</v>
          </cell>
        </row>
        <row r="1691">
          <cell r="B1691">
            <v>43034</v>
          </cell>
          <cell r="C1691">
            <v>43034</v>
          </cell>
        </row>
        <row r="1692">
          <cell r="B1692">
            <v>43035</v>
          </cell>
          <cell r="C1692">
            <v>43069</v>
          </cell>
        </row>
        <row r="1693">
          <cell r="B1693">
            <v>43038</v>
          </cell>
          <cell r="C1693">
            <v>43069</v>
          </cell>
        </row>
        <row r="1694">
          <cell r="B1694">
            <v>43039</v>
          </cell>
          <cell r="C1694">
            <v>43069</v>
          </cell>
        </row>
        <row r="1695">
          <cell r="B1695">
            <v>43040</v>
          </cell>
          <cell r="C1695">
            <v>43069</v>
          </cell>
        </row>
        <row r="1696">
          <cell r="B1696">
            <v>43041</v>
          </cell>
          <cell r="C1696">
            <v>43069</v>
          </cell>
        </row>
        <row r="1697">
          <cell r="B1697">
            <v>43042</v>
          </cell>
          <cell r="C1697">
            <v>43069</v>
          </cell>
        </row>
        <row r="1698">
          <cell r="B1698">
            <v>43045</v>
          </cell>
          <cell r="C1698">
            <v>43069</v>
          </cell>
        </row>
        <row r="1699">
          <cell r="B1699">
            <v>43046</v>
          </cell>
          <cell r="C1699">
            <v>43069</v>
          </cell>
        </row>
        <row r="1700">
          <cell r="B1700">
            <v>43047</v>
          </cell>
          <cell r="C1700">
            <v>43069</v>
          </cell>
        </row>
        <row r="1701">
          <cell r="B1701">
            <v>43048</v>
          </cell>
          <cell r="C1701">
            <v>43069</v>
          </cell>
        </row>
        <row r="1702">
          <cell r="B1702">
            <v>43049</v>
          </cell>
          <cell r="C1702">
            <v>43069</v>
          </cell>
        </row>
        <row r="1703">
          <cell r="B1703">
            <v>43052</v>
          </cell>
          <cell r="C1703">
            <v>43069</v>
          </cell>
        </row>
        <row r="1704">
          <cell r="B1704">
            <v>43053</v>
          </cell>
          <cell r="C1704">
            <v>43069</v>
          </cell>
        </row>
        <row r="1705">
          <cell r="B1705">
            <v>43054</v>
          </cell>
          <cell r="C1705">
            <v>43069</v>
          </cell>
        </row>
        <row r="1706">
          <cell r="B1706">
            <v>43055</v>
          </cell>
          <cell r="C1706">
            <v>43069</v>
          </cell>
        </row>
        <row r="1707">
          <cell r="B1707">
            <v>43056</v>
          </cell>
          <cell r="C1707">
            <v>43069</v>
          </cell>
        </row>
        <row r="1708">
          <cell r="B1708">
            <v>43059</v>
          </cell>
          <cell r="C1708">
            <v>43069</v>
          </cell>
        </row>
        <row r="1709">
          <cell r="B1709">
            <v>43060</v>
          </cell>
          <cell r="C1709">
            <v>43069</v>
          </cell>
        </row>
        <row r="1710">
          <cell r="B1710">
            <v>43061</v>
          </cell>
          <cell r="C1710">
            <v>43069</v>
          </cell>
        </row>
        <row r="1711">
          <cell r="B1711">
            <v>43062</v>
          </cell>
          <cell r="C1711">
            <v>43069</v>
          </cell>
        </row>
        <row r="1712">
          <cell r="B1712">
            <v>43063</v>
          </cell>
          <cell r="C1712">
            <v>43069</v>
          </cell>
        </row>
        <row r="1713">
          <cell r="B1713">
            <v>43066</v>
          </cell>
          <cell r="C1713">
            <v>43069</v>
          </cell>
        </row>
        <row r="1714">
          <cell r="B1714">
            <v>43067</v>
          </cell>
          <cell r="C1714">
            <v>43069</v>
          </cell>
        </row>
        <row r="1715">
          <cell r="B1715">
            <v>43068</v>
          </cell>
          <cell r="C1715">
            <v>43069</v>
          </cell>
        </row>
        <row r="1716">
          <cell r="B1716">
            <v>43069</v>
          </cell>
          <cell r="C1716">
            <v>43069</v>
          </cell>
        </row>
        <row r="1717">
          <cell r="B1717">
            <v>43070</v>
          </cell>
          <cell r="C1717">
            <v>43097</v>
          </cell>
        </row>
        <row r="1718">
          <cell r="B1718">
            <v>43073</v>
          </cell>
          <cell r="C1718">
            <v>43097</v>
          </cell>
        </row>
        <row r="1719">
          <cell r="B1719">
            <v>43074</v>
          </cell>
          <cell r="C1719">
            <v>43097</v>
          </cell>
        </row>
        <row r="1720">
          <cell r="B1720">
            <v>43075</v>
          </cell>
          <cell r="C1720">
            <v>43097</v>
          </cell>
        </row>
        <row r="1721">
          <cell r="B1721">
            <v>43076</v>
          </cell>
          <cell r="C1721">
            <v>43097</v>
          </cell>
        </row>
        <row r="1722">
          <cell r="B1722">
            <v>43077</v>
          </cell>
          <cell r="C1722">
            <v>43097</v>
          </cell>
        </row>
        <row r="1723">
          <cell r="B1723">
            <v>43080</v>
          </cell>
          <cell r="C1723">
            <v>43097</v>
          </cell>
        </row>
        <row r="1724">
          <cell r="B1724">
            <v>43081</v>
          </cell>
          <cell r="C1724">
            <v>43097</v>
          </cell>
        </row>
        <row r="1725">
          <cell r="B1725">
            <v>43082</v>
          </cell>
          <cell r="C1725">
            <v>43097</v>
          </cell>
        </row>
        <row r="1726">
          <cell r="B1726">
            <v>43083</v>
          </cell>
          <cell r="C1726">
            <v>43097</v>
          </cell>
        </row>
        <row r="1727">
          <cell r="B1727">
            <v>43084</v>
          </cell>
          <cell r="C1727">
            <v>43097</v>
          </cell>
        </row>
        <row r="1728">
          <cell r="B1728">
            <v>43087</v>
          </cell>
          <cell r="C1728">
            <v>43097</v>
          </cell>
        </row>
        <row r="1729">
          <cell r="B1729">
            <v>43088</v>
          </cell>
          <cell r="C1729">
            <v>43097</v>
          </cell>
        </row>
        <row r="1730">
          <cell r="B1730">
            <v>43089</v>
          </cell>
          <cell r="C1730">
            <v>43097</v>
          </cell>
        </row>
        <row r="1731">
          <cell r="B1731">
            <v>43090</v>
          </cell>
          <cell r="C1731">
            <v>43097</v>
          </cell>
        </row>
        <row r="1732">
          <cell r="B1732">
            <v>43091</v>
          </cell>
          <cell r="C1732">
            <v>43097</v>
          </cell>
        </row>
        <row r="1733">
          <cell r="B1733">
            <v>43095</v>
          </cell>
          <cell r="C1733">
            <v>43097</v>
          </cell>
        </row>
        <row r="1734">
          <cell r="B1734">
            <v>43096</v>
          </cell>
          <cell r="C1734">
            <v>43097</v>
          </cell>
        </row>
        <row r="1735">
          <cell r="B1735">
            <v>43097</v>
          </cell>
          <cell r="C1735">
            <v>43097</v>
          </cell>
        </row>
        <row r="1736">
          <cell r="B1736">
            <v>43098</v>
          </cell>
          <cell r="C1736">
            <v>43125</v>
          </cell>
        </row>
        <row r="1737">
          <cell r="B1737">
            <v>43101</v>
          </cell>
          <cell r="C1737">
            <v>43125</v>
          </cell>
        </row>
        <row r="1738">
          <cell r="B1738">
            <v>43102</v>
          </cell>
          <cell r="C1738">
            <v>43125</v>
          </cell>
        </row>
        <row r="1739">
          <cell r="B1739">
            <v>43103</v>
          </cell>
          <cell r="C1739">
            <v>43125</v>
          </cell>
        </row>
        <row r="1740">
          <cell r="B1740">
            <v>43104</v>
          </cell>
          <cell r="C1740">
            <v>43125</v>
          </cell>
        </row>
        <row r="1741">
          <cell r="B1741">
            <v>43105</v>
          </cell>
          <cell r="C1741">
            <v>43125</v>
          </cell>
        </row>
        <row r="1742">
          <cell r="B1742">
            <v>43108</v>
          </cell>
          <cell r="C1742">
            <v>43125</v>
          </cell>
        </row>
        <row r="1743">
          <cell r="B1743">
            <v>43109</v>
          </cell>
          <cell r="C1743">
            <v>43125</v>
          </cell>
        </row>
        <row r="1744">
          <cell r="B1744">
            <v>43110</v>
          </cell>
          <cell r="C1744">
            <v>43125</v>
          </cell>
        </row>
        <row r="1745">
          <cell r="B1745">
            <v>43111</v>
          </cell>
          <cell r="C1745">
            <v>43125</v>
          </cell>
        </row>
        <row r="1746">
          <cell r="B1746">
            <v>43112</v>
          </cell>
          <cell r="C1746">
            <v>43125</v>
          </cell>
        </row>
        <row r="1747">
          <cell r="B1747">
            <v>43115</v>
          </cell>
          <cell r="C1747">
            <v>43125</v>
          </cell>
        </row>
        <row r="1748">
          <cell r="B1748">
            <v>43116</v>
          </cell>
          <cell r="C1748">
            <v>43125</v>
          </cell>
        </row>
        <row r="1749">
          <cell r="B1749">
            <v>43117</v>
          </cell>
          <cell r="C1749">
            <v>43125</v>
          </cell>
        </row>
        <row r="1750">
          <cell r="B1750">
            <v>43118</v>
          </cell>
          <cell r="C1750">
            <v>43125</v>
          </cell>
        </row>
        <row r="1751">
          <cell r="B1751">
            <v>43119</v>
          </cell>
          <cell r="C1751">
            <v>43125</v>
          </cell>
        </row>
        <row r="1752">
          <cell r="B1752">
            <v>43122</v>
          </cell>
          <cell r="C1752">
            <v>43125</v>
          </cell>
        </row>
        <row r="1753">
          <cell r="B1753">
            <v>43123</v>
          </cell>
          <cell r="C1753">
            <v>43125</v>
          </cell>
        </row>
        <row r="1754">
          <cell r="B1754">
            <v>43124</v>
          </cell>
          <cell r="C1754">
            <v>43125</v>
          </cell>
        </row>
        <row r="1755">
          <cell r="B1755">
            <v>43125</v>
          </cell>
          <cell r="C1755">
            <v>43125</v>
          </cell>
        </row>
        <row r="1756">
          <cell r="B1756">
            <v>43129</v>
          </cell>
          <cell r="C1756">
            <v>43153</v>
          </cell>
        </row>
        <row r="1757">
          <cell r="B1757">
            <v>43130</v>
          </cell>
          <cell r="C1757">
            <v>43153</v>
          </cell>
        </row>
        <row r="1758">
          <cell r="B1758">
            <v>43131</v>
          </cell>
          <cell r="C1758">
            <v>43153</v>
          </cell>
        </row>
        <row r="1759">
          <cell r="B1759">
            <v>43132</v>
          </cell>
          <cell r="C1759">
            <v>43153</v>
          </cell>
        </row>
        <row r="1760">
          <cell r="B1760">
            <v>43133</v>
          </cell>
          <cell r="C1760">
            <v>43153</v>
          </cell>
        </row>
        <row r="1761">
          <cell r="B1761">
            <v>43136</v>
          </cell>
          <cell r="C1761">
            <v>43153</v>
          </cell>
        </row>
        <row r="1762">
          <cell r="B1762">
            <v>43137</v>
          </cell>
          <cell r="C1762">
            <v>43153</v>
          </cell>
        </row>
        <row r="1763">
          <cell r="B1763">
            <v>43138</v>
          </cell>
          <cell r="C1763">
            <v>43153</v>
          </cell>
        </row>
        <row r="1764">
          <cell r="B1764">
            <v>43139</v>
          </cell>
          <cell r="C1764">
            <v>43153</v>
          </cell>
        </row>
        <row r="1765">
          <cell r="B1765">
            <v>43140</v>
          </cell>
          <cell r="C1765">
            <v>43153</v>
          </cell>
        </row>
        <row r="1766">
          <cell r="B1766">
            <v>43143</v>
          </cell>
          <cell r="C1766">
            <v>43153</v>
          </cell>
        </row>
        <row r="1767">
          <cell r="B1767">
            <v>43145</v>
          </cell>
          <cell r="C1767">
            <v>43153</v>
          </cell>
        </row>
        <row r="1768">
          <cell r="B1768">
            <v>43146</v>
          </cell>
          <cell r="C1768">
            <v>43153</v>
          </cell>
        </row>
        <row r="1769">
          <cell r="B1769">
            <v>43147</v>
          </cell>
          <cell r="C1769">
            <v>43153</v>
          </cell>
        </row>
        <row r="1770">
          <cell r="B1770">
            <v>43150</v>
          </cell>
          <cell r="C1770">
            <v>43153</v>
          </cell>
        </row>
        <row r="1771">
          <cell r="B1771">
            <v>43151</v>
          </cell>
          <cell r="C1771">
            <v>43153</v>
          </cell>
        </row>
        <row r="1772">
          <cell r="B1772">
            <v>43152</v>
          </cell>
          <cell r="C1772">
            <v>43153</v>
          </cell>
        </row>
        <row r="1773">
          <cell r="B1773">
            <v>43153</v>
          </cell>
          <cell r="C1773">
            <v>43153</v>
          </cell>
        </row>
        <row r="1774">
          <cell r="B1774">
            <v>43154</v>
          </cell>
          <cell r="C1774">
            <v>43187</v>
          </cell>
        </row>
        <row r="1775">
          <cell r="B1775">
            <v>43157</v>
          </cell>
          <cell r="C1775">
            <v>43187</v>
          </cell>
        </row>
        <row r="1776">
          <cell r="B1776">
            <v>43158</v>
          </cell>
          <cell r="C1776">
            <v>43187</v>
          </cell>
        </row>
        <row r="1777">
          <cell r="B1777">
            <v>43159</v>
          </cell>
          <cell r="C1777">
            <v>43187</v>
          </cell>
        </row>
        <row r="1778">
          <cell r="B1778">
            <v>43160</v>
          </cell>
          <cell r="C1778">
            <v>43187</v>
          </cell>
        </row>
        <row r="1779">
          <cell r="B1779">
            <v>43164</v>
          </cell>
          <cell r="C1779">
            <v>43187</v>
          </cell>
        </row>
        <row r="1780">
          <cell r="B1780">
            <v>43165</v>
          </cell>
          <cell r="C1780">
            <v>43187</v>
          </cell>
        </row>
        <row r="1781">
          <cell r="B1781">
            <v>43166</v>
          </cell>
          <cell r="C1781">
            <v>43187</v>
          </cell>
        </row>
        <row r="1782">
          <cell r="B1782">
            <v>43167</v>
          </cell>
          <cell r="C1782">
            <v>43187</v>
          </cell>
        </row>
        <row r="1783">
          <cell r="B1783">
            <v>43168</v>
          </cell>
          <cell r="C1783">
            <v>43187</v>
          </cell>
        </row>
        <row r="1784">
          <cell r="B1784">
            <v>43171</v>
          </cell>
          <cell r="C1784">
            <v>43187</v>
          </cell>
        </row>
        <row r="1785">
          <cell r="B1785">
            <v>43172</v>
          </cell>
          <cell r="C1785">
            <v>43187</v>
          </cell>
        </row>
        <row r="1786">
          <cell r="B1786">
            <v>43173</v>
          </cell>
          <cell r="C1786">
            <v>43187</v>
          </cell>
        </row>
        <row r="1787">
          <cell r="B1787">
            <v>43174</v>
          </cell>
          <cell r="C1787">
            <v>43187</v>
          </cell>
        </row>
        <row r="1788">
          <cell r="B1788">
            <v>43175</v>
          </cell>
          <cell r="C1788">
            <v>43187</v>
          </cell>
        </row>
        <row r="1789">
          <cell r="B1789">
            <v>43178</v>
          </cell>
          <cell r="C1789">
            <v>43187</v>
          </cell>
        </row>
        <row r="1790">
          <cell r="B1790">
            <v>43179</v>
          </cell>
          <cell r="C1790">
            <v>43187</v>
          </cell>
        </row>
        <row r="1791">
          <cell r="B1791">
            <v>43180</v>
          </cell>
          <cell r="C1791">
            <v>43187</v>
          </cell>
        </row>
        <row r="1792">
          <cell r="B1792">
            <v>43181</v>
          </cell>
          <cell r="C1792">
            <v>43187</v>
          </cell>
        </row>
        <row r="1793">
          <cell r="B1793">
            <v>43182</v>
          </cell>
          <cell r="C1793">
            <v>43187</v>
          </cell>
        </row>
        <row r="1794">
          <cell r="B1794">
            <v>43185</v>
          </cell>
          <cell r="C1794">
            <v>43187</v>
          </cell>
        </row>
        <row r="1795">
          <cell r="B1795">
            <v>43186</v>
          </cell>
          <cell r="C1795">
            <v>43187</v>
          </cell>
        </row>
        <row r="1796">
          <cell r="B1796">
            <v>43187</v>
          </cell>
          <cell r="C1796">
            <v>43187</v>
          </cell>
        </row>
        <row r="1797">
          <cell r="B1797">
            <v>43192</v>
          </cell>
          <cell r="C1797">
            <v>43216</v>
          </cell>
        </row>
        <row r="1798">
          <cell r="B1798">
            <v>43193</v>
          </cell>
          <cell r="C1798">
            <v>43216</v>
          </cell>
        </row>
        <row r="1799">
          <cell r="B1799">
            <v>43194</v>
          </cell>
          <cell r="C1799">
            <v>43216</v>
          </cell>
        </row>
        <row r="1800">
          <cell r="B1800">
            <v>43195</v>
          </cell>
          <cell r="C1800">
            <v>43216</v>
          </cell>
        </row>
        <row r="1801">
          <cell r="B1801">
            <v>43196</v>
          </cell>
          <cell r="C1801">
            <v>43216</v>
          </cell>
        </row>
        <row r="1802">
          <cell r="B1802">
            <v>43199</v>
          </cell>
          <cell r="C1802">
            <v>43216</v>
          </cell>
        </row>
        <row r="1803">
          <cell r="B1803">
            <v>43200</v>
          </cell>
          <cell r="C1803">
            <v>43216</v>
          </cell>
        </row>
        <row r="1804">
          <cell r="B1804">
            <v>43201</v>
          </cell>
          <cell r="C1804">
            <v>43216</v>
          </cell>
        </row>
        <row r="1805">
          <cell r="B1805">
            <v>43202</v>
          </cell>
          <cell r="C1805">
            <v>43216</v>
          </cell>
        </row>
        <row r="1806">
          <cell r="B1806">
            <v>43203</v>
          </cell>
          <cell r="C1806">
            <v>43216</v>
          </cell>
        </row>
        <row r="1807">
          <cell r="B1807">
            <v>43206</v>
          </cell>
          <cell r="C1807">
            <v>43216</v>
          </cell>
        </row>
        <row r="1808">
          <cell r="B1808">
            <v>43207</v>
          </cell>
          <cell r="C1808">
            <v>43216</v>
          </cell>
        </row>
        <row r="1809">
          <cell r="B1809">
            <v>43208</v>
          </cell>
          <cell r="C1809">
            <v>43216</v>
          </cell>
        </row>
        <row r="1810">
          <cell r="B1810">
            <v>43209</v>
          </cell>
          <cell r="C1810">
            <v>43216</v>
          </cell>
        </row>
        <row r="1811">
          <cell r="B1811">
            <v>43210</v>
          </cell>
          <cell r="C1811">
            <v>43216</v>
          </cell>
        </row>
        <row r="1812">
          <cell r="B1812">
            <v>43213</v>
          </cell>
          <cell r="C1812">
            <v>43216</v>
          </cell>
        </row>
        <row r="1813">
          <cell r="B1813">
            <v>43214</v>
          </cell>
          <cell r="C1813">
            <v>43216</v>
          </cell>
        </row>
        <row r="1814">
          <cell r="B1814">
            <v>43215</v>
          </cell>
          <cell r="C1814">
            <v>43216</v>
          </cell>
        </row>
        <row r="1815">
          <cell r="B1815">
            <v>43216</v>
          </cell>
          <cell r="C1815">
            <v>43216</v>
          </cell>
        </row>
        <row r="1816">
          <cell r="B1816">
            <v>43217</v>
          </cell>
          <cell r="C1816">
            <v>43251</v>
          </cell>
        </row>
        <row r="1817">
          <cell r="B1817">
            <v>43220</v>
          </cell>
          <cell r="C1817">
            <v>43251</v>
          </cell>
        </row>
        <row r="1818">
          <cell r="B1818">
            <v>43222</v>
          </cell>
          <cell r="C1818">
            <v>43251</v>
          </cell>
        </row>
        <row r="1819">
          <cell r="B1819">
            <v>43223</v>
          </cell>
          <cell r="C1819">
            <v>43251</v>
          </cell>
        </row>
        <row r="1820">
          <cell r="B1820">
            <v>43224</v>
          </cell>
          <cell r="C1820">
            <v>43251</v>
          </cell>
        </row>
        <row r="1821">
          <cell r="B1821">
            <v>43227</v>
          </cell>
          <cell r="C1821">
            <v>43251</v>
          </cell>
        </row>
        <row r="1822">
          <cell r="B1822">
            <v>43228</v>
          </cell>
          <cell r="C1822">
            <v>43251</v>
          </cell>
        </row>
        <row r="1823">
          <cell r="B1823">
            <v>43229</v>
          </cell>
          <cell r="C1823">
            <v>43251</v>
          </cell>
        </row>
        <row r="1824">
          <cell r="B1824">
            <v>43230</v>
          </cell>
          <cell r="C1824">
            <v>43251</v>
          </cell>
        </row>
        <row r="1825">
          <cell r="B1825">
            <v>43231</v>
          </cell>
          <cell r="C1825">
            <v>43251</v>
          </cell>
        </row>
        <row r="1826">
          <cell r="B1826">
            <v>43234</v>
          </cell>
          <cell r="C1826">
            <v>43251</v>
          </cell>
        </row>
        <row r="1827">
          <cell r="B1827">
            <v>43235</v>
          </cell>
          <cell r="C1827">
            <v>43251</v>
          </cell>
        </row>
        <row r="1828">
          <cell r="B1828">
            <v>43236</v>
          </cell>
          <cell r="C1828">
            <v>43251</v>
          </cell>
        </row>
        <row r="1829">
          <cell r="B1829">
            <v>43237</v>
          </cell>
          <cell r="C1829">
            <v>43251</v>
          </cell>
        </row>
        <row r="1830">
          <cell r="B1830">
            <v>43238</v>
          </cell>
          <cell r="C1830">
            <v>43251</v>
          </cell>
        </row>
        <row r="1831">
          <cell r="B1831">
            <v>43241</v>
          </cell>
          <cell r="C1831">
            <v>43251</v>
          </cell>
        </row>
        <row r="1832">
          <cell r="B1832">
            <v>43242</v>
          </cell>
          <cell r="C1832">
            <v>43251</v>
          </cell>
        </row>
        <row r="1833">
          <cell r="B1833">
            <v>43243</v>
          </cell>
          <cell r="C1833">
            <v>43251</v>
          </cell>
        </row>
        <row r="1834">
          <cell r="B1834">
            <v>43244</v>
          </cell>
          <cell r="C1834">
            <v>43251</v>
          </cell>
        </row>
        <row r="1835">
          <cell r="B1835">
            <v>43245</v>
          </cell>
          <cell r="C1835">
            <v>43251</v>
          </cell>
        </row>
        <row r="1836">
          <cell r="B1836">
            <v>43248</v>
          </cell>
          <cell r="C1836">
            <v>43251</v>
          </cell>
        </row>
        <row r="1837">
          <cell r="B1837">
            <v>43249</v>
          </cell>
          <cell r="C1837">
            <v>43251</v>
          </cell>
        </row>
        <row r="1838">
          <cell r="B1838">
            <v>43250</v>
          </cell>
          <cell r="C1838">
            <v>43251</v>
          </cell>
        </row>
        <row r="1839">
          <cell r="B1839">
            <v>43251</v>
          </cell>
          <cell r="C1839">
            <v>43251</v>
          </cell>
        </row>
        <row r="1840">
          <cell r="B1840">
            <v>43252</v>
          </cell>
          <cell r="C1840">
            <v>43279</v>
          </cell>
        </row>
        <row r="1841">
          <cell r="B1841">
            <v>43255</v>
          </cell>
          <cell r="C1841">
            <v>43279</v>
          </cell>
        </row>
        <row r="1842">
          <cell r="B1842">
            <v>43256</v>
          </cell>
          <cell r="C1842">
            <v>43279</v>
          </cell>
        </row>
        <row r="1843">
          <cell r="B1843">
            <v>43257</v>
          </cell>
          <cell r="C1843">
            <v>43279</v>
          </cell>
        </row>
        <row r="1844">
          <cell r="B1844">
            <v>43258</v>
          </cell>
          <cell r="C1844">
            <v>43279</v>
          </cell>
        </row>
        <row r="1845">
          <cell r="B1845">
            <v>43259</v>
          </cell>
          <cell r="C1845">
            <v>43279</v>
          </cell>
        </row>
        <row r="1846">
          <cell r="B1846">
            <v>43262</v>
          </cell>
          <cell r="C1846">
            <v>43279</v>
          </cell>
        </row>
        <row r="1847">
          <cell r="B1847">
            <v>43263</v>
          </cell>
          <cell r="C1847">
            <v>43279</v>
          </cell>
        </row>
        <row r="1848">
          <cell r="B1848">
            <v>43264</v>
          </cell>
          <cell r="C1848">
            <v>43279</v>
          </cell>
        </row>
        <row r="1849">
          <cell r="B1849">
            <v>43265</v>
          </cell>
          <cell r="C1849">
            <v>43279</v>
          </cell>
        </row>
        <row r="1850">
          <cell r="B1850">
            <v>43266</v>
          </cell>
          <cell r="C1850">
            <v>43279</v>
          </cell>
        </row>
        <row r="1851">
          <cell r="B1851">
            <v>43269</v>
          </cell>
          <cell r="C1851">
            <v>43279</v>
          </cell>
        </row>
        <row r="1852">
          <cell r="B1852">
            <v>43270</v>
          </cell>
          <cell r="C1852">
            <v>43279</v>
          </cell>
        </row>
        <row r="1853">
          <cell r="B1853">
            <v>43271</v>
          </cell>
          <cell r="C1853">
            <v>43279</v>
          </cell>
        </row>
        <row r="1854">
          <cell r="B1854">
            <v>43272</v>
          </cell>
          <cell r="C1854">
            <v>43279</v>
          </cell>
        </row>
        <row r="1855">
          <cell r="B1855">
            <v>43273</v>
          </cell>
          <cell r="C1855">
            <v>43279</v>
          </cell>
        </row>
        <row r="1856">
          <cell r="B1856">
            <v>43276</v>
          </cell>
          <cell r="C1856">
            <v>43279</v>
          </cell>
        </row>
        <row r="1857">
          <cell r="B1857">
            <v>43277</v>
          </cell>
          <cell r="C1857">
            <v>43279</v>
          </cell>
        </row>
        <row r="1858">
          <cell r="B1858">
            <v>43278</v>
          </cell>
          <cell r="C1858">
            <v>43279</v>
          </cell>
        </row>
        <row r="1859">
          <cell r="B1859">
            <v>43279</v>
          </cell>
          <cell r="C1859">
            <v>43279</v>
          </cell>
        </row>
        <row r="1860">
          <cell r="B1860">
            <v>43280</v>
          </cell>
          <cell r="C1860">
            <v>43307</v>
          </cell>
        </row>
        <row r="1861">
          <cell r="B1861">
            <v>43283</v>
          </cell>
          <cell r="C1861">
            <v>43307</v>
          </cell>
        </row>
        <row r="1862">
          <cell r="B1862">
            <v>43284</v>
          </cell>
          <cell r="C1862">
            <v>43307</v>
          </cell>
        </row>
        <row r="1863">
          <cell r="B1863">
            <v>43285</v>
          </cell>
          <cell r="C1863">
            <v>43307</v>
          </cell>
        </row>
        <row r="1864">
          <cell r="B1864">
            <v>43286</v>
          </cell>
          <cell r="C1864">
            <v>43307</v>
          </cell>
        </row>
        <row r="1865">
          <cell r="B1865">
            <v>43287</v>
          </cell>
          <cell r="C1865">
            <v>43307</v>
          </cell>
        </row>
        <row r="1866">
          <cell r="B1866">
            <v>43290</v>
          </cell>
          <cell r="C1866">
            <v>43307</v>
          </cell>
        </row>
        <row r="1867">
          <cell r="B1867">
            <v>43291</v>
          </cell>
          <cell r="C1867">
            <v>43307</v>
          </cell>
        </row>
        <row r="1868">
          <cell r="B1868">
            <v>43292</v>
          </cell>
          <cell r="C1868">
            <v>43307</v>
          </cell>
        </row>
        <row r="1869">
          <cell r="B1869">
            <v>43293</v>
          </cell>
          <cell r="C1869">
            <v>43307</v>
          </cell>
        </row>
        <row r="1870">
          <cell r="B1870">
            <v>43294</v>
          </cell>
          <cell r="C1870">
            <v>43307</v>
          </cell>
        </row>
        <row r="1871">
          <cell r="B1871">
            <v>43297</v>
          </cell>
          <cell r="C1871">
            <v>43307</v>
          </cell>
        </row>
        <row r="1872">
          <cell r="B1872">
            <v>43298</v>
          </cell>
          <cell r="C1872">
            <v>43307</v>
          </cell>
        </row>
        <row r="1873">
          <cell r="B1873">
            <v>43299</v>
          </cell>
          <cell r="C1873">
            <v>43307</v>
          </cell>
        </row>
        <row r="1874">
          <cell r="B1874">
            <v>43300</v>
          </cell>
          <cell r="C1874">
            <v>43307</v>
          </cell>
        </row>
        <row r="1875">
          <cell r="B1875">
            <v>43301</v>
          </cell>
          <cell r="C1875">
            <v>43307</v>
          </cell>
        </row>
        <row r="1876">
          <cell r="B1876">
            <v>43304</v>
          </cell>
          <cell r="C1876">
            <v>43307</v>
          </cell>
        </row>
        <row r="1877">
          <cell r="B1877">
            <v>43305</v>
          </cell>
          <cell r="C1877">
            <v>43307</v>
          </cell>
        </row>
        <row r="1878">
          <cell r="B1878">
            <v>43306</v>
          </cell>
          <cell r="C1878">
            <v>43307</v>
          </cell>
        </row>
        <row r="1879">
          <cell r="B1879">
            <v>43307</v>
          </cell>
          <cell r="C1879">
            <v>43307</v>
          </cell>
        </row>
        <row r="1880">
          <cell r="B1880">
            <v>43308</v>
          </cell>
          <cell r="C1880">
            <v>43342</v>
          </cell>
        </row>
        <row r="1881">
          <cell r="B1881">
            <v>43311</v>
          </cell>
          <cell r="C1881">
            <v>43342</v>
          </cell>
        </row>
        <row r="1882">
          <cell r="B1882">
            <v>43312</v>
          </cell>
          <cell r="C1882">
            <v>43342</v>
          </cell>
        </row>
        <row r="1883">
          <cell r="B1883">
            <v>43313</v>
          </cell>
          <cell r="C1883">
            <v>43342</v>
          </cell>
        </row>
        <row r="1884">
          <cell r="B1884">
            <v>43314</v>
          </cell>
          <cell r="C1884">
            <v>43342</v>
          </cell>
        </row>
        <row r="1885">
          <cell r="B1885">
            <v>43315</v>
          </cell>
          <cell r="C1885">
            <v>43342</v>
          </cell>
        </row>
        <row r="1886">
          <cell r="B1886">
            <v>43318</v>
          </cell>
          <cell r="C1886">
            <v>43342</v>
          </cell>
        </row>
        <row r="1887">
          <cell r="B1887">
            <v>43319</v>
          </cell>
          <cell r="C1887">
            <v>43342</v>
          </cell>
        </row>
        <row r="1888">
          <cell r="B1888">
            <v>43320</v>
          </cell>
          <cell r="C1888">
            <v>43342</v>
          </cell>
        </row>
        <row r="1889">
          <cell r="B1889">
            <v>43321</v>
          </cell>
          <cell r="C1889">
            <v>43342</v>
          </cell>
        </row>
        <row r="1890">
          <cell r="B1890">
            <v>43322</v>
          </cell>
          <cell r="C1890">
            <v>43342</v>
          </cell>
        </row>
        <row r="1891">
          <cell r="B1891">
            <v>43325</v>
          </cell>
          <cell r="C1891">
            <v>43342</v>
          </cell>
        </row>
        <row r="1892">
          <cell r="B1892">
            <v>43326</v>
          </cell>
          <cell r="C1892">
            <v>43342</v>
          </cell>
        </row>
        <row r="1893">
          <cell r="B1893">
            <v>43328</v>
          </cell>
          <cell r="C1893">
            <v>43342</v>
          </cell>
        </row>
        <row r="1894">
          <cell r="B1894">
            <v>43329</v>
          </cell>
          <cell r="C1894">
            <v>43342</v>
          </cell>
        </row>
        <row r="1895">
          <cell r="B1895">
            <v>43332</v>
          </cell>
          <cell r="C1895">
            <v>43342</v>
          </cell>
        </row>
        <row r="1896">
          <cell r="B1896">
            <v>43333</v>
          </cell>
          <cell r="C1896">
            <v>43342</v>
          </cell>
        </row>
        <row r="1897">
          <cell r="B1897">
            <v>43335</v>
          </cell>
          <cell r="C1897">
            <v>43342</v>
          </cell>
        </row>
        <row r="1898">
          <cell r="B1898">
            <v>43336</v>
          </cell>
          <cell r="C1898">
            <v>43342</v>
          </cell>
        </row>
        <row r="1899">
          <cell r="B1899">
            <v>43339</v>
          </cell>
          <cell r="C1899">
            <v>43342</v>
          </cell>
        </row>
        <row r="1900">
          <cell r="B1900">
            <v>43340</v>
          </cell>
          <cell r="C1900">
            <v>43342</v>
          </cell>
        </row>
        <row r="1901">
          <cell r="B1901">
            <v>43341</v>
          </cell>
          <cell r="C1901">
            <v>43342</v>
          </cell>
        </row>
        <row r="1902">
          <cell r="B1902">
            <v>43342</v>
          </cell>
          <cell r="C1902">
            <v>43342</v>
          </cell>
        </row>
        <row r="1903">
          <cell r="B1903">
            <v>43343</v>
          </cell>
          <cell r="C1903">
            <v>43370</v>
          </cell>
        </row>
        <row r="1904">
          <cell r="B1904">
            <v>43346</v>
          </cell>
          <cell r="C1904">
            <v>43370</v>
          </cell>
        </row>
        <row r="1905">
          <cell r="B1905">
            <v>43347</v>
          </cell>
          <cell r="C1905">
            <v>43370</v>
          </cell>
        </row>
        <row r="1906">
          <cell r="B1906">
            <v>43348</v>
          </cell>
          <cell r="C1906">
            <v>43370</v>
          </cell>
        </row>
        <row r="1907">
          <cell r="B1907">
            <v>43349</v>
          </cell>
          <cell r="C1907">
            <v>43370</v>
          </cell>
        </row>
        <row r="1908">
          <cell r="B1908">
            <v>43350</v>
          </cell>
          <cell r="C1908">
            <v>43370</v>
          </cell>
        </row>
        <row r="1909">
          <cell r="B1909">
            <v>43353</v>
          </cell>
          <cell r="C1909">
            <v>43370</v>
          </cell>
        </row>
        <row r="1910">
          <cell r="B1910">
            <v>43354</v>
          </cell>
          <cell r="C1910">
            <v>43370</v>
          </cell>
        </row>
        <row r="1911">
          <cell r="B1911">
            <v>43355</v>
          </cell>
          <cell r="C1911">
            <v>43370</v>
          </cell>
        </row>
        <row r="1912">
          <cell r="B1912">
            <v>43357</v>
          </cell>
          <cell r="C1912">
            <v>43370</v>
          </cell>
        </row>
        <row r="1913">
          <cell r="B1913">
            <v>43360</v>
          </cell>
          <cell r="C1913">
            <v>43370</v>
          </cell>
        </row>
        <row r="1914">
          <cell r="B1914">
            <v>43361</v>
          </cell>
          <cell r="C1914">
            <v>43370</v>
          </cell>
        </row>
        <row r="1915">
          <cell r="B1915">
            <v>43362</v>
          </cell>
          <cell r="C1915">
            <v>43370</v>
          </cell>
        </row>
        <row r="1916">
          <cell r="B1916">
            <v>43364</v>
          </cell>
          <cell r="C1916">
            <v>43370</v>
          </cell>
        </row>
        <row r="1917">
          <cell r="B1917">
            <v>43367</v>
          </cell>
          <cell r="C1917">
            <v>43370</v>
          </cell>
        </row>
        <row r="1918">
          <cell r="B1918">
            <v>43368</v>
          </cell>
          <cell r="C1918">
            <v>43370</v>
          </cell>
        </row>
        <row r="1919">
          <cell r="B1919">
            <v>43369</v>
          </cell>
          <cell r="C1919">
            <v>43370</v>
          </cell>
        </row>
        <row r="1920">
          <cell r="B1920">
            <v>43370</v>
          </cell>
          <cell r="C1920">
            <v>43370</v>
          </cell>
        </row>
        <row r="1921">
          <cell r="B1921">
            <v>43371</v>
          </cell>
          <cell r="C1921">
            <v>43398</v>
          </cell>
        </row>
        <row r="1922">
          <cell r="B1922">
            <v>43374</v>
          </cell>
          <cell r="C1922">
            <v>43398</v>
          </cell>
        </row>
        <row r="1923">
          <cell r="B1923">
            <v>43376</v>
          </cell>
          <cell r="C1923">
            <v>43398</v>
          </cell>
        </row>
        <row r="1924">
          <cell r="B1924">
            <v>43377</v>
          </cell>
          <cell r="C1924">
            <v>43398</v>
          </cell>
        </row>
        <row r="1925">
          <cell r="B1925">
            <v>43378</v>
          </cell>
          <cell r="C1925">
            <v>43398</v>
          </cell>
        </row>
        <row r="1926">
          <cell r="B1926">
            <v>43381</v>
          </cell>
          <cell r="C1926">
            <v>43398</v>
          </cell>
        </row>
        <row r="1927">
          <cell r="B1927">
            <v>43382</v>
          </cell>
          <cell r="C1927">
            <v>43398</v>
          </cell>
        </row>
        <row r="1928">
          <cell r="B1928">
            <v>43383</v>
          </cell>
          <cell r="C1928">
            <v>43398</v>
          </cell>
        </row>
        <row r="1929">
          <cell r="B1929">
            <v>43384</v>
          </cell>
          <cell r="C1929">
            <v>43398</v>
          </cell>
        </row>
        <row r="1930">
          <cell r="B1930">
            <v>43385</v>
          </cell>
          <cell r="C1930">
            <v>43398</v>
          </cell>
        </row>
        <row r="1931">
          <cell r="B1931">
            <v>43388</v>
          </cell>
          <cell r="C1931">
            <v>43398</v>
          </cell>
        </row>
        <row r="1932">
          <cell r="B1932">
            <v>43389</v>
          </cell>
          <cell r="C1932">
            <v>43398</v>
          </cell>
        </row>
        <row r="1933">
          <cell r="B1933">
            <v>43390</v>
          </cell>
          <cell r="C1933">
            <v>43398</v>
          </cell>
        </row>
        <row r="1934">
          <cell r="B1934">
            <v>43392</v>
          </cell>
          <cell r="C1934">
            <v>43398</v>
          </cell>
        </row>
        <row r="1935">
          <cell r="B1935">
            <v>43395</v>
          </cell>
          <cell r="C1935">
            <v>43398</v>
          </cell>
        </row>
        <row r="1936">
          <cell r="B1936">
            <v>43396</v>
          </cell>
          <cell r="C1936">
            <v>43398</v>
          </cell>
        </row>
        <row r="1937">
          <cell r="B1937">
            <v>43397</v>
          </cell>
          <cell r="C1937">
            <v>43398</v>
          </cell>
        </row>
        <row r="1938">
          <cell r="B1938">
            <v>43398</v>
          </cell>
          <cell r="C1938">
            <v>43398</v>
          </cell>
        </row>
        <row r="1939">
          <cell r="B1939">
            <v>43399</v>
          </cell>
          <cell r="C1939">
            <v>43433</v>
          </cell>
        </row>
        <row r="1940">
          <cell r="B1940">
            <v>43402</v>
          </cell>
          <cell r="C1940">
            <v>43433</v>
          </cell>
        </row>
        <row r="1941">
          <cell r="B1941">
            <v>43403</v>
          </cell>
          <cell r="C1941">
            <v>43433</v>
          </cell>
        </row>
        <row r="1942">
          <cell r="B1942">
            <v>43404</v>
          </cell>
          <cell r="C1942">
            <v>43433</v>
          </cell>
        </row>
        <row r="1943">
          <cell r="B1943">
            <v>43405</v>
          </cell>
          <cell r="C1943">
            <v>43433</v>
          </cell>
        </row>
        <row r="1944">
          <cell r="B1944">
            <v>43406</v>
          </cell>
          <cell r="C1944">
            <v>43433</v>
          </cell>
        </row>
        <row r="1945">
          <cell r="B1945">
            <v>43409</v>
          </cell>
          <cell r="C1945">
            <v>43433</v>
          </cell>
        </row>
        <row r="1946">
          <cell r="B1946">
            <v>43410</v>
          </cell>
          <cell r="C1946">
            <v>43433</v>
          </cell>
        </row>
        <row r="1947">
          <cell r="B1947">
            <v>43411</v>
          </cell>
          <cell r="C1947">
            <v>43433</v>
          </cell>
        </row>
        <row r="1948">
          <cell r="B1948">
            <v>43413</v>
          </cell>
          <cell r="C1948">
            <v>43433</v>
          </cell>
        </row>
        <row r="1949">
          <cell r="B1949">
            <v>43416</v>
          </cell>
          <cell r="C1949">
            <v>43433</v>
          </cell>
        </row>
        <row r="1950">
          <cell r="B1950">
            <v>43417</v>
          </cell>
          <cell r="C1950">
            <v>43433</v>
          </cell>
        </row>
        <row r="1951">
          <cell r="B1951">
            <v>43418</v>
          </cell>
          <cell r="C1951">
            <v>43433</v>
          </cell>
        </row>
        <row r="1952">
          <cell r="B1952">
            <v>43419</v>
          </cell>
          <cell r="C1952">
            <v>43433</v>
          </cell>
        </row>
        <row r="1953">
          <cell r="B1953">
            <v>43420</v>
          </cell>
          <cell r="C1953">
            <v>43433</v>
          </cell>
        </row>
        <row r="1954">
          <cell r="B1954">
            <v>43423</v>
          </cell>
          <cell r="C1954">
            <v>43433</v>
          </cell>
        </row>
        <row r="1955">
          <cell r="B1955">
            <v>43424</v>
          </cell>
          <cell r="C1955">
            <v>43433</v>
          </cell>
        </row>
        <row r="1956">
          <cell r="B1956">
            <v>43425</v>
          </cell>
          <cell r="C1956">
            <v>43433</v>
          </cell>
        </row>
        <row r="1957">
          <cell r="B1957">
            <v>43426</v>
          </cell>
          <cell r="C1957">
            <v>43433</v>
          </cell>
        </row>
        <row r="1958">
          <cell r="B1958">
            <v>43430</v>
          </cell>
          <cell r="C1958">
            <v>43433</v>
          </cell>
        </row>
        <row r="1959">
          <cell r="B1959">
            <v>43431</v>
          </cell>
          <cell r="C1959">
            <v>43433</v>
          </cell>
        </row>
        <row r="1960">
          <cell r="B1960">
            <v>43432</v>
          </cell>
          <cell r="C1960">
            <v>43433</v>
          </cell>
        </row>
        <row r="1961">
          <cell r="B1961">
            <v>43433</v>
          </cell>
          <cell r="C1961">
            <v>43433</v>
          </cell>
        </row>
        <row r="1962">
          <cell r="B1962">
            <v>43434</v>
          </cell>
          <cell r="C1962">
            <v>43461</v>
          </cell>
        </row>
        <row r="1963">
          <cell r="B1963">
            <v>43437</v>
          </cell>
          <cell r="C1963">
            <v>43461</v>
          </cell>
        </row>
        <row r="1964">
          <cell r="B1964">
            <v>43438</v>
          </cell>
          <cell r="C1964">
            <v>43461</v>
          </cell>
        </row>
        <row r="1965">
          <cell r="B1965">
            <v>43439</v>
          </cell>
          <cell r="C1965">
            <v>43461</v>
          </cell>
        </row>
        <row r="1966">
          <cell r="B1966">
            <v>43440</v>
          </cell>
          <cell r="C1966">
            <v>43461</v>
          </cell>
        </row>
        <row r="1967">
          <cell r="B1967">
            <v>43441</v>
          </cell>
          <cell r="C1967">
            <v>43461</v>
          </cell>
        </row>
        <row r="1968">
          <cell r="B1968">
            <v>43444</v>
          </cell>
          <cell r="C1968">
            <v>43461</v>
          </cell>
        </row>
        <row r="1969">
          <cell r="B1969">
            <v>43445</v>
          </cell>
          <cell r="C1969">
            <v>43461</v>
          </cell>
        </row>
        <row r="1970">
          <cell r="B1970">
            <v>43446</v>
          </cell>
          <cell r="C1970">
            <v>43461</v>
          </cell>
        </row>
        <row r="1971">
          <cell r="B1971">
            <v>43447</v>
          </cell>
          <cell r="C1971">
            <v>43461</v>
          </cell>
        </row>
        <row r="1972">
          <cell r="B1972">
            <v>43448</v>
          </cell>
          <cell r="C1972">
            <v>43461</v>
          </cell>
        </row>
        <row r="1973">
          <cell r="B1973">
            <v>43451</v>
          </cell>
          <cell r="C1973">
            <v>43461</v>
          </cell>
        </row>
        <row r="1974">
          <cell r="B1974">
            <v>43452</v>
          </cell>
          <cell r="C1974">
            <v>43461</v>
          </cell>
        </row>
        <row r="1975">
          <cell r="B1975">
            <v>43453</v>
          </cell>
          <cell r="C1975">
            <v>43461</v>
          </cell>
        </row>
        <row r="1976">
          <cell r="B1976">
            <v>43454</v>
          </cell>
          <cell r="C1976">
            <v>43461</v>
          </cell>
        </row>
        <row r="1977">
          <cell r="B1977">
            <v>43455</v>
          </cell>
          <cell r="C1977">
            <v>43461</v>
          </cell>
        </row>
        <row r="1978">
          <cell r="B1978">
            <v>43458</v>
          </cell>
          <cell r="C1978">
            <v>43461</v>
          </cell>
        </row>
        <row r="1979">
          <cell r="B1979">
            <v>43460</v>
          </cell>
          <cell r="C1979">
            <v>43461</v>
          </cell>
        </row>
        <row r="1980">
          <cell r="B1980">
            <v>43461</v>
          </cell>
          <cell r="C1980">
            <v>43461</v>
          </cell>
        </row>
        <row r="1981">
          <cell r="B1981">
            <v>43462</v>
          </cell>
          <cell r="C1981">
            <v>43496</v>
          </cell>
        </row>
        <row r="1982">
          <cell r="B1982">
            <v>43465</v>
          </cell>
          <cell r="C1982">
            <v>43496</v>
          </cell>
        </row>
        <row r="1983">
          <cell r="B1983">
            <v>43466</v>
          </cell>
          <cell r="C1983">
            <v>43496</v>
          </cell>
        </row>
        <row r="1984">
          <cell r="B1984">
            <v>43467</v>
          </cell>
          <cell r="C1984">
            <v>43496</v>
          </cell>
        </row>
        <row r="1985">
          <cell r="B1985">
            <v>43468</v>
          </cell>
          <cell r="C1985">
            <v>43496</v>
          </cell>
        </row>
        <row r="1986">
          <cell r="B1986">
            <v>43469</v>
          </cell>
          <cell r="C1986">
            <v>43496</v>
          </cell>
        </row>
        <row r="1987">
          <cell r="B1987">
            <v>43472</v>
          </cell>
          <cell r="C1987">
            <v>43496</v>
          </cell>
        </row>
        <row r="1988">
          <cell r="B1988">
            <v>43473</v>
          </cell>
          <cell r="C1988">
            <v>43496</v>
          </cell>
        </row>
        <row r="1989">
          <cell r="B1989">
            <v>43474</v>
          </cell>
          <cell r="C1989">
            <v>43496</v>
          </cell>
        </row>
        <row r="1990">
          <cell r="B1990">
            <v>43475</v>
          </cell>
          <cell r="C1990">
            <v>43496</v>
          </cell>
        </row>
        <row r="1991">
          <cell r="B1991">
            <v>43476</v>
          </cell>
          <cell r="C1991">
            <v>43496</v>
          </cell>
        </row>
        <row r="1992">
          <cell r="B1992">
            <v>43479</v>
          </cell>
          <cell r="C1992">
            <v>43496</v>
          </cell>
        </row>
        <row r="1993">
          <cell r="B1993">
            <v>43480</v>
          </cell>
          <cell r="C1993">
            <v>43496</v>
          </cell>
        </row>
        <row r="1994">
          <cell r="B1994">
            <v>43481</v>
          </cell>
          <cell r="C1994">
            <v>43496</v>
          </cell>
        </row>
        <row r="1995">
          <cell r="B1995">
            <v>43482</v>
          </cell>
          <cell r="C1995">
            <v>43496</v>
          </cell>
        </row>
        <row r="1996">
          <cell r="B1996">
            <v>43483</v>
          </cell>
          <cell r="C1996">
            <v>43496</v>
          </cell>
        </row>
        <row r="1997">
          <cell r="B1997">
            <v>43486</v>
          </cell>
          <cell r="C1997">
            <v>43496</v>
          </cell>
        </row>
        <row r="1998">
          <cell r="B1998">
            <v>43487</v>
          </cell>
          <cell r="C1998">
            <v>43496</v>
          </cell>
        </row>
        <row r="1999">
          <cell r="B1999">
            <v>43488</v>
          </cell>
          <cell r="C1999">
            <v>43496</v>
          </cell>
        </row>
        <row r="2000">
          <cell r="B2000">
            <v>43489</v>
          </cell>
          <cell r="C2000">
            <v>43496</v>
          </cell>
        </row>
        <row r="2001">
          <cell r="B2001">
            <v>43490</v>
          </cell>
          <cell r="C2001">
            <v>43496</v>
          </cell>
        </row>
        <row r="2002">
          <cell r="B2002">
            <v>43493</v>
          </cell>
          <cell r="C2002">
            <v>43496</v>
          </cell>
        </row>
        <row r="2003">
          <cell r="B2003">
            <v>43494</v>
          </cell>
          <cell r="C2003">
            <v>43496</v>
          </cell>
        </row>
        <row r="2004">
          <cell r="B2004">
            <v>43495</v>
          </cell>
          <cell r="C2004">
            <v>43496</v>
          </cell>
        </row>
        <row r="2005">
          <cell r="B2005">
            <v>43496</v>
          </cell>
          <cell r="C2005">
            <v>43496</v>
          </cell>
        </row>
        <row r="2006">
          <cell r="B2006">
            <v>43497</v>
          </cell>
          <cell r="C2006">
            <v>43524</v>
          </cell>
        </row>
        <row r="2007">
          <cell r="B2007">
            <v>43500</v>
          </cell>
          <cell r="C2007">
            <v>43524</v>
          </cell>
        </row>
        <row r="2008">
          <cell r="B2008">
            <v>43501</v>
          </cell>
          <cell r="C2008">
            <v>43524</v>
          </cell>
        </row>
        <row r="2009">
          <cell r="B2009">
            <v>43502</v>
          </cell>
          <cell r="C2009">
            <v>43524</v>
          </cell>
        </row>
        <row r="2010">
          <cell r="B2010">
            <v>43503</v>
          </cell>
          <cell r="C2010">
            <v>43524</v>
          </cell>
        </row>
        <row r="2011">
          <cell r="B2011">
            <v>43504</v>
          </cell>
          <cell r="C2011">
            <v>43524</v>
          </cell>
        </row>
        <row r="2012">
          <cell r="B2012">
            <v>43507</v>
          </cell>
          <cell r="C2012">
            <v>43524</v>
          </cell>
        </row>
        <row r="2013">
          <cell r="B2013">
            <v>43508</v>
          </cell>
          <cell r="C2013">
            <v>43524</v>
          </cell>
        </row>
        <row r="2014">
          <cell r="B2014">
            <v>43509</v>
          </cell>
          <cell r="C2014">
            <v>43524</v>
          </cell>
        </row>
        <row r="2015">
          <cell r="B2015">
            <v>43510</v>
          </cell>
          <cell r="C2015">
            <v>43524</v>
          </cell>
        </row>
        <row r="2016">
          <cell r="B2016">
            <v>43511</v>
          </cell>
          <cell r="C2016">
            <v>43524</v>
          </cell>
        </row>
        <row r="2017">
          <cell r="B2017">
            <v>43514</v>
          </cell>
          <cell r="C2017">
            <v>43524</v>
          </cell>
        </row>
        <row r="2018">
          <cell r="B2018">
            <v>43515</v>
          </cell>
          <cell r="C2018">
            <v>43524</v>
          </cell>
        </row>
        <row r="2019">
          <cell r="B2019">
            <v>43516</v>
          </cell>
          <cell r="C2019">
            <v>43524</v>
          </cell>
        </row>
        <row r="2020">
          <cell r="B2020">
            <v>43517</v>
          </cell>
          <cell r="C2020">
            <v>43524</v>
          </cell>
        </row>
        <row r="2021">
          <cell r="B2021">
            <v>43518</v>
          </cell>
          <cell r="C2021">
            <v>43524</v>
          </cell>
        </row>
        <row r="2022">
          <cell r="B2022">
            <v>43521</v>
          </cell>
          <cell r="C2022">
            <v>43524</v>
          </cell>
        </row>
        <row r="2023">
          <cell r="B2023">
            <v>43522</v>
          </cell>
          <cell r="C2023">
            <v>43524</v>
          </cell>
        </row>
        <row r="2024">
          <cell r="B2024">
            <v>43523</v>
          </cell>
          <cell r="C2024">
            <v>43524</v>
          </cell>
        </row>
        <row r="2025">
          <cell r="B2025">
            <v>43524</v>
          </cell>
          <cell r="C2025">
            <v>43524</v>
          </cell>
        </row>
        <row r="2026">
          <cell r="B2026">
            <v>43525</v>
          </cell>
          <cell r="C2026">
            <v>43552</v>
          </cell>
        </row>
        <row r="2027">
          <cell r="B2027">
            <v>43529</v>
          </cell>
          <cell r="C2027">
            <v>43552</v>
          </cell>
        </row>
        <row r="2028">
          <cell r="B2028">
            <v>43530</v>
          </cell>
          <cell r="C2028">
            <v>43552</v>
          </cell>
        </row>
        <row r="2029">
          <cell r="B2029">
            <v>43531</v>
          </cell>
          <cell r="C2029">
            <v>43552</v>
          </cell>
        </row>
        <row r="2030">
          <cell r="B2030">
            <v>43532</v>
          </cell>
          <cell r="C2030">
            <v>43552</v>
          </cell>
        </row>
        <row r="2031">
          <cell r="B2031">
            <v>43535</v>
          </cell>
          <cell r="C2031">
            <v>43552</v>
          </cell>
        </row>
        <row r="2032">
          <cell r="B2032">
            <v>43536</v>
          </cell>
          <cell r="C2032">
            <v>43552</v>
          </cell>
        </row>
        <row r="2033">
          <cell r="B2033">
            <v>43537</v>
          </cell>
          <cell r="C2033">
            <v>43552</v>
          </cell>
        </row>
        <row r="2034">
          <cell r="B2034">
            <v>43538</v>
          </cell>
          <cell r="C2034">
            <v>43552</v>
          </cell>
        </row>
        <row r="2035">
          <cell r="B2035">
            <v>43539</v>
          </cell>
          <cell r="C2035">
            <v>43552</v>
          </cell>
        </row>
        <row r="2036">
          <cell r="B2036">
            <v>43542</v>
          </cell>
          <cell r="C2036">
            <v>43552</v>
          </cell>
        </row>
        <row r="2037">
          <cell r="B2037">
            <v>43543</v>
          </cell>
          <cell r="C2037">
            <v>43552</v>
          </cell>
        </row>
        <row r="2038">
          <cell r="B2038">
            <v>43544</v>
          </cell>
          <cell r="C2038">
            <v>43552</v>
          </cell>
        </row>
        <row r="2039">
          <cell r="B2039">
            <v>43546</v>
          </cell>
          <cell r="C2039">
            <v>43552</v>
          </cell>
        </row>
        <row r="2040">
          <cell r="B2040">
            <v>43549</v>
          </cell>
          <cell r="C2040">
            <v>43552</v>
          </cell>
        </row>
        <row r="2041">
          <cell r="B2041">
            <v>43550</v>
          </cell>
          <cell r="C2041">
            <v>43552</v>
          </cell>
        </row>
        <row r="2042">
          <cell r="B2042">
            <v>43551</v>
          </cell>
          <cell r="C2042">
            <v>43552</v>
          </cell>
        </row>
        <row r="2043">
          <cell r="B2043">
            <v>43552</v>
          </cell>
          <cell r="C2043">
            <v>43552</v>
          </cell>
        </row>
        <row r="2044">
          <cell r="B2044">
            <v>43553</v>
          </cell>
          <cell r="C2044">
            <v>43580</v>
          </cell>
        </row>
        <row r="2045">
          <cell r="B2045">
            <v>43556</v>
          </cell>
          <cell r="C2045">
            <v>43580</v>
          </cell>
        </row>
        <row r="2046">
          <cell r="B2046">
            <v>43557</v>
          </cell>
          <cell r="C2046">
            <v>43580</v>
          </cell>
        </row>
        <row r="2047">
          <cell r="B2047">
            <v>43558</v>
          </cell>
          <cell r="C2047">
            <v>43580</v>
          </cell>
        </row>
        <row r="2048">
          <cell r="B2048">
            <v>43559</v>
          </cell>
          <cell r="C2048">
            <v>43580</v>
          </cell>
        </row>
        <row r="2049">
          <cell r="B2049">
            <v>43560</v>
          </cell>
          <cell r="C2049">
            <v>43580</v>
          </cell>
        </row>
        <row r="2050">
          <cell r="B2050">
            <v>43563</v>
          </cell>
          <cell r="C2050">
            <v>43580</v>
          </cell>
        </row>
        <row r="2051">
          <cell r="B2051">
            <v>43564</v>
          </cell>
          <cell r="C2051">
            <v>43580</v>
          </cell>
        </row>
        <row r="2052">
          <cell r="B2052">
            <v>43565</v>
          </cell>
          <cell r="C2052">
            <v>43580</v>
          </cell>
        </row>
        <row r="2053">
          <cell r="B2053">
            <v>43566</v>
          </cell>
          <cell r="C2053">
            <v>43580</v>
          </cell>
        </row>
        <row r="2054">
          <cell r="B2054">
            <v>43567</v>
          </cell>
          <cell r="C2054">
            <v>43580</v>
          </cell>
        </row>
        <row r="2055">
          <cell r="B2055">
            <v>43570</v>
          </cell>
          <cell r="C2055">
            <v>43580</v>
          </cell>
        </row>
        <row r="2056">
          <cell r="B2056">
            <v>43571</v>
          </cell>
          <cell r="C2056">
            <v>43580</v>
          </cell>
        </row>
        <row r="2057">
          <cell r="B2057">
            <v>43573</v>
          </cell>
          <cell r="C2057">
            <v>43580</v>
          </cell>
        </row>
        <row r="2058">
          <cell r="B2058">
            <v>43577</v>
          </cell>
          <cell r="C2058">
            <v>43580</v>
          </cell>
        </row>
        <row r="2059">
          <cell r="B2059">
            <v>43578</v>
          </cell>
          <cell r="C2059">
            <v>43580</v>
          </cell>
        </row>
        <row r="2060">
          <cell r="B2060">
            <v>43579</v>
          </cell>
          <cell r="C2060">
            <v>43580</v>
          </cell>
        </row>
        <row r="2061">
          <cell r="B2061">
            <v>43580</v>
          </cell>
          <cell r="C2061">
            <v>43580</v>
          </cell>
        </row>
        <row r="2062">
          <cell r="B2062">
            <v>43581</v>
          </cell>
          <cell r="C2062">
            <v>43615</v>
          </cell>
        </row>
        <row r="2063">
          <cell r="B2063">
            <v>43585</v>
          </cell>
          <cell r="C2063">
            <v>43615</v>
          </cell>
        </row>
        <row r="2064">
          <cell r="B2064">
            <v>43587</v>
          </cell>
          <cell r="C2064">
            <v>43615</v>
          </cell>
        </row>
        <row r="2065">
          <cell r="B2065">
            <v>43588</v>
          </cell>
          <cell r="C2065">
            <v>43615</v>
          </cell>
        </row>
        <row r="2066">
          <cell r="B2066">
            <v>43591</v>
          </cell>
          <cell r="C2066">
            <v>43615</v>
          </cell>
        </row>
        <row r="2067">
          <cell r="B2067">
            <v>43592</v>
          </cell>
          <cell r="C2067">
            <v>43615</v>
          </cell>
        </row>
        <row r="2068">
          <cell r="B2068">
            <v>43593</v>
          </cell>
          <cell r="C2068">
            <v>43615</v>
          </cell>
        </row>
        <row r="2069">
          <cell r="B2069">
            <v>43594</v>
          </cell>
          <cell r="C2069">
            <v>43615</v>
          </cell>
        </row>
        <row r="2070">
          <cell r="B2070">
            <v>43595</v>
          </cell>
          <cell r="C2070">
            <v>43615</v>
          </cell>
        </row>
        <row r="2071">
          <cell r="B2071">
            <v>43598</v>
          </cell>
          <cell r="C2071">
            <v>43615</v>
          </cell>
        </row>
        <row r="2072">
          <cell r="B2072">
            <v>43599</v>
          </cell>
          <cell r="C2072">
            <v>43615</v>
          </cell>
        </row>
        <row r="2073">
          <cell r="B2073">
            <v>43600</v>
          </cell>
          <cell r="C2073">
            <v>43615</v>
          </cell>
        </row>
        <row r="2074">
          <cell r="B2074">
            <v>43601</v>
          </cell>
          <cell r="C2074">
            <v>43615</v>
          </cell>
        </row>
        <row r="2075">
          <cell r="B2075">
            <v>43602</v>
          </cell>
          <cell r="C2075">
            <v>43615</v>
          </cell>
        </row>
        <row r="2076">
          <cell r="B2076">
            <v>43605</v>
          </cell>
          <cell r="C2076">
            <v>43615</v>
          </cell>
        </row>
        <row r="2077">
          <cell r="B2077">
            <v>43606</v>
          </cell>
          <cell r="C2077">
            <v>43615</v>
          </cell>
        </row>
        <row r="2078">
          <cell r="B2078">
            <v>43607</v>
          </cell>
          <cell r="C2078">
            <v>43615</v>
          </cell>
        </row>
        <row r="2079">
          <cell r="B2079">
            <v>43608</v>
          </cell>
          <cell r="C2079">
            <v>43615</v>
          </cell>
        </row>
        <row r="2080">
          <cell r="B2080">
            <v>43609</v>
          </cell>
          <cell r="C2080">
            <v>43615</v>
          </cell>
        </row>
        <row r="2081">
          <cell r="B2081">
            <v>43612</v>
          </cell>
          <cell r="C2081">
            <v>43615</v>
          </cell>
        </row>
        <row r="2082">
          <cell r="B2082">
            <v>43613</v>
          </cell>
          <cell r="C2082">
            <v>43615</v>
          </cell>
        </row>
        <row r="2083">
          <cell r="B2083">
            <v>43614</v>
          </cell>
          <cell r="C2083">
            <v>43615</v>
          </cell>
        </row>
        <row r="2084">
          <cell r="B2084">
            <v>43615</v>
          </cell>
          <cell r="C2084">
            <v>43615</v>
          </cell>
        </row>
        <row r="2085">
          <cell r="B2085">
            <v>43616</v>
          </cell>
          <cell r="C2085">
            <v>43643</v>
          </cell>
        </row>
        <row r="2086">
          <cell r="B2086">
            <v>43619</v>
          </cell>
          <cell r="C2086">
            <v>43643</v>
          </cell>
        </row>
        <row r="2087">
          <cell r="B2087">
            <v>43620</v>
          </cell>
          <cell r="C2087">
            <v>43643</v>
          </cell>
        </row>
        <row r="2088">
          <cell r="B2088">
            <v>43622</v>
          </cell>
          <cell r="C2088">
            <v>43643</v>
          </cell>
        </row>
        <row r="2089">
          <cell r="B2089">
            <v>43623</v>
          </cell>
          <cell r="C2089">
            <v>43643</v>
          </cell>
        </row>
        <row r="2090">
          <cell r="B2090">
            <v>43626</v>
          </cell>
          <cell r="C2090">
            <v>43643</v>
          </cell>
        </row>
        <row r="2091">
          <cell r="B2091">
            <v>43627</v>
          </cell>
          <cell r="C2091">
            <v>43643</v>
          </cell>
        </row>
        <row r="2092">
          <cell r="B2092">
            <v>43628</v>
          </cell>
          <cell r="C2092">
            <v>43643</v>
          </cell>
        </row>
        <row r="2093">
          <cell r="B2093">
            <v>43629</v>
          </cell>
          <cell r="C2093">
            <v>43643</v>
          </cell>
        </row>
        <row r="2094">
          <cell r="B2094">
            <v>43630</v>
          </cell>
          <cell r="C2094">
            <v>43643</v>
          </cell>
        </row>
        <row r="2095">
          <cell r="B2095">
            <v>43633</v>
          </cell>
          <cell r="C2095">
            <v>43643</v>
          </cell>
        </row>
        <row r="2096">
          <cell r="B2096">
            <v>43634</v>
          </cell>
          <cell r="C2096">
            <v>43643</v>
          </cell>
        </row>
        <row r="2097">
          <cell r="B2097">
            <v>43635</v>
          </cell>
          <cell r="C2097">
            <v>43643</v>
          </cell>
        </row>
        <row r="2098">
          <cell r="B2098">
            <v>43636</v>
          </cell>
          <cell r="C2098">
            <v>43643</v>
          </cell>
        </row>
        <row r="2099">
          <cell r="B2099">
            <v>43637</v>
          </cell>
          <cell r="C2099">
            <v>43643</v>
          </cell>
        </row>
        <row r="2100">
          <cell r="B2100">
            <v>43640</v>
          </cell>
          <cell r="C2100">
            <v>43643</v>
          </cell>
        </row>
        <row r="2101">
          <cell r="B2101">
            <v>43641</v>
          </cell>
          <cell r="C2101">
            <v>43643</v>
          </cell>
        </row>
        <row r="2102">
          <cell r="B2102">
            <v>43642</v>
          </cell>
          <cell r="C2102">
            <v>43643</v>
          </cell>
        </row>
        <row r="2103">
          <cell r="B2103">
            <v>43643</v>
          </cell>
          <cell r="C2103">
            <v>43643</v>
          </cell>
        </row>
        <row r="2104">
          <cell r="B2104">
            <v>43644</v>
          </cell>
          <cell r="C2104">
            <v>43671</v>
          </cell>
        </row>
        <row r="2105">
          <cell r="B2105">
            <v>43647</v>
          </cell>
          <cell r="C2105">
            <v>43671</v>
          </cell>
        </row>
        <row r="2106">
          <cell r="B2106">
            <v>43648</v>
          </cell>
          <cell r="C2106">
            <v>43671</v>
          </cell>
        </row>
        <row r="2107">
          <cell r="B2107">
            <v>43649</v>
          </cell>
          <cell r="C2107">
            <v>43671</v>
          </cell>
        </row>
        <row r="2108">
          <cell r="B2108">
            <v>43650</v>
          </cell>
          <cell r="C2108">
            <v>43671</v>
          </cell>
        </row>
        <row r="2109">
          <cell r="B2109">
            <v>43651</v>
          </cell>
          <cell r="C2109">
            <v>43671</v>
          </cell>
        </row>
        <row r="2110">
          <cell r="B2110">
            <v>43654</v>
          </cell>
          <cell r="C2110">
            <v>43671</v>
          </cell>
        </row>
        <row r="2111">
          <cell r="B2111">
            <v>43655</v>
          </cell>
          <cell r="C2111">
            <v>43671</v>
          </cell>
        </row>
        <row r="2112">
          <cell r="B2112">
            <v>43656</v>
          </cell>
          <cell r="C2112">
            <v>43671</v>
          </cell>
        </row>
        <row r="2113">
          <cell r="B2113">
            <v>43657</v>
          </cell>
          <cell r="C2113">
            <v>43671</v>
          </cell>
        </row>
        <row r="2114">
          <cell r="B2114">
            <v>43658</v>
          </cell>
          <cell r="C2114">
            <v>43671</v>
          </cell>
        </row>
        <row r="2115">
          <cell r="B2115">
            <v>43661</v>
          </cell>
          <cell r="C2115">
            <v>43671</v>
          </cell>
        </row>
        <row r="2116">
          <cell r="B2116">
            <v>43662</v>
          </cell>
          <cell r="C2116">
            <v>43671</v>
          </cell>
        </row>
        <row r="2117">
          <cell r="B2117">
            <v>43663</v>
          </cell>
          <cell r="C2117">
            <v>43671</v>
          </cell>
        </row>
        <row r="2118">
          <cell r="B2118">
            <v>43664</v>
          </cell>
          <cell r="C2118">
            <v>43671</v>
          </cell>
        </row>
        <row r="2119">
          <cell r="B2119">
            <v>43665</v>
          </cell>
          <cell r="C2119">
            <v>43671</v>
          </cell>
        </row>
        <row r="2120">
          <cell r="B2120">
            <v>43668</v>
          </cell>
          <cell r="C2120">
            <v>43671</v>
          </cell>
        </row>
        <row r="2121">
          <cell r="B2121">
            <v>43669</v>
          </cell>
          <cell r="C2121">
            <v>43671</v>
          </cell>
        </row>
        <row r="2122">
          <cell r="B2122">
            <v>43670</v>
          </cell>
          <cell r="C2122">
            <v>43671</v>
          </cell>
        </row>
        <row r="2123">
          <cell r="B2123">
            <v>43671</v>
          </cell>
          <cell r="C2123">
            <v>43671</v>
          </cell>
        </row>
        <row r="2124">
          <cell r="B2124">
            <v>43672</v>
          </cell>
          <cell r="C2124">
            <v>43706</v>
          </cell>
        </row>
        <row r="2125">
          <cell r="B2125">
            <v>43675</v>
          </cell>
          <cell r="C2125">
            <v>43706</v>
          </cell>
        </row>
        <row r="2126">
          <cell r="B2126">
            <v>43676</v>
          </cell>
          <cell r="C2126">
            <v>43706</v>
          </cell>
        </row>
        <row r="2127">
          <cell r="B2127">
            <v>43677</v>
          </cell>
          <cell r="C2127">
            <v>43706</v>
          </cell>
        </row>
        <row r="2128">
          <cell r="B2128">
            <v>43678</v>
          </cell>
          <cell r="C2128">
            <v>43706</v>
          </cell>
        </row>
        <row r="2129">
          <cell r="B2129">
            <v>43679</v>
          </cell>
          <cell r="C2129">
            <v>43706</v>
          </cell>
        </row>
        <row r="2130">
          <cell r="B2130">
            <v>43682</v>
          </cell>
          <cell r="C2130">
            <v>43706</v>
          </cell>
        </row>
        <row r="2131">
          <cell r="B2131">
            <v>43683</v>
          </cell>
          <cell r="C2131">
            <v>43706</v>
          </cell>
        </row>
        <row r="2132">
          <cell r="B2132">
            <v>43684</v>
          </cell>
          <cell r="C2132">
            <v>43706</v>
          </cell>
        </row>
        <row r="2133">
          <cell r="B2133">
            <v>43685</v>
          </cell>
          <cell r="C2133">
            <v>43706</v>
          </cell>
        </row>
        <row r="2134">
          <cell r="B2134">
            <v>43686</v>
          </cell>
          <cell r="C2134">
            <v>43706</v>
          </cell>
        </row>
        <row r="2135">
          <cell r="B2135">
            <v>43690</v>
          </cell>
          <cell r="C2135">
            <v>43706</v>
          </cell>
        </row>
        <row r="2136">
          <cell r="B2136">
            <v>43691</v>
          </cell>
          <cell r="C2136">
            <v>43706</v>
          </cell>
        </row>
        <row r="2137">
          <cell r="B2137">
            <v>43693</v>
          </cell>
          <cell r="C2137">
            <v>43706</v>
          </cell>
        </row>
        <row r="2138">
          <cell r="B2138">
            <v>43696</v>
          </cell>
          <cell r="C2138">
            <v>43706</v>
          </cell>
        </row>
        <row r="2139">
          <cell r="B2139">
            <v>43697</v>
          </cell>
          <cell r="C2139">
            <v>43706</v>
          </cell>
        </row>
        <row r="2140">
          <cell r="B2140">
            <v>43698</v>
          </cell>
          <cell r="C2140">
            <v>43706</v>
          </cell>
        </row>
        <row r="2141">
          <cell r="B2141">
            <v>43699</v>
          </cell>
          <cell r="C2141">
            <v>43706</v>
          </cell>
        </row>
        <row r="2142">
          <cell r="B2142">
            <v>43700</v>
          </cell>
          <cell r="C2142">
            <v>43706</v>
          </cell>
        </row>
        <row r="2143">
          <cell r="B2143">
            <v>43703</v>
          </cell>
          <cell r="C2143">
            <v>43706</v>
          </cell>
        </row>
        <row r="2144">
          <cell r="B2144">
            <v>43704</v>
          </cell>
          <cell r="C2144">
            <v>43706</v>
          </cell>
        </row>
        <row r="2145">
          <cell r="B2145">
            <v>43705</v>
          </cell>
          <cell r="C2145">
            <v>43706</v>
          </cell>
        </row>
        <row r="2146">
          <cell r="B2146">
            <v>43706</v>
          </cell>
          <cell r="C2146">
            <v>43706</v>
          </cell>
        </row>
        <row r="2147">
          <cell r="B2147">
            <v>43707</v>
          </cell>
          <cell r="C2147">
            <v>43734</v>
          </cell>
        </row>
        <row r="2148">
          <cell r="B2148">
            <v>43711</v>
          </cell>
          <cell r="C2148">
            <v>43734</v>
          </cell>
        </row>
        <row r="2149">
          <cell r="B2149">
            <v>43712</v>
          </cell>
          <cell r="C2149">
            <v>43734</v>
          </cell>
        </row>
        <row r="2150">
          <cell r="B2150">
            <v>43713</v>
          </cell>
          <cell r="C2150">
            <v>43734</v>
          </cell>
        </row>
        <row r="2151">
          <cell r="B2151">
            <v>43714</v>
          </cell>
          <cell r="C2151">
            <v>43734</v>
          </cell>
        </row>
        <row r="2152">
          <cell r="B2152">
            <v>43717</v>
          </cell>
          <cell r="C2152">
            <v>43734</v>
          </cell>
        </row>
        <row r="2153">
          <cell r="B2153">
            <v>43719</v>
          </cell>
          <cell r="C2153">
            <v>43734</v>
          </cell>
        </row>
        <row r="2154">
          <cell r="B2154">
            <v>43720</v>
          </cell>
          <cell r="C2154">
            <v>43734</v>
          </cell>
        </row>
        <row r="2155">
          <cell r="B2155">
            <v>43721</v>
          </cell>
          <cell r="C2155">
            <v>43734</v>
          </cell>
        </row>
        <row r="2156">
          <cell r="B2156">
            <v>43724</v>
          </cell>
          <cell r="C2156">
            <v>43734</v>
          </cell>
        </row>
        <row r="2157">
          <cell r="B2157">
            <v>43725</v>
          </cell>
          <cell r="C2157">
            <v>43734</v>
          </cell>
        </row>
        <row r="2158">
          <cell r="B2158">
            <v>43726</v>
          </cell>
          <cell r="C2158">
            <v>43734</v>
          </cell>
        </row>
        <row r="2159">
          <cell r="B2159">
            <v>43727</v>
          </cell>
          <cell r="C2159">
            <v>43734</v>
          </cell>
        </row>
        <row r="2160">
          <cell r="B2160">
            <v>43728</v>
          </cell>
          <cell r="C2160">
            <v>43734</v>
          </cell>
        </row>
        <row r="2161">
          <cell r="B2161">
            <v>43731</v>
          </cell>
          <cell r="C2161">
            <v>43734</v>
          </cell>
        </row>
        <row r="2162">
          <cell r="B2162">
            <v>43732</v>
          </cell>
          <cell r="C2162">
            <v>43734</v>
          </cell>
        </row>
        <row r="2163">
          <cell r="B2163">
            <v>43733</v>
          </cell>
          <cell r="C2163">
            <v>43734</v>
          </cell>
        </row>
        <row r="2164">
          <cell r="B2164">
            <v>43734</v>
          </cell>
          <cell r="C2164">
            <v>43734</v>
          </cell>
        </row>
        <row r="2165">
          <cell r="B2165">
            <v>43735</v>
          </cell>
          <cell r="C2165">
            <v>43769</v>
          </cell>
        </row>
        <row r="2166">
          <cell r="B2166">
            <v>43738</v>
          </cell>
          <cell r="C2166">
            <v>43769</v>
          </cell>
        </row>
        <row r="2167">
          <cell r="B2167">
            <v>43739</v>
          </cell>
          <cell r="C2167">
            <v>43769</v>
          </cell>
        </row>
        <row r="2168">
          <cell r="B2168">
            <v>43741</v>
          </cell>
          <cell r="C2168">
            <v>43769</v>
          </cell>
        </row>
        <row r="2169">
          <cell r="B2169">
            <v>43742</v>
          </cell>
          <cell r="C2169">
            <v>43769</v>
          </cell>
        </row>
        <row r="2170">
          <cell r="B2170">
            <v>43745</v>
          </cell>
          <cell r="C2170">
            <v>43769</v>
          </cell>
        </row>
        <row r="2171">
          <cell r="B2171">
            <v>43747</v>
          </cell>
          <cell r="C2171">
            <v>43769</v>
          </cell>
        </row>
        <row r="2172">
          <cell r="B2172">
            <v>43748</v>
          </cell>
          <cell r="C2172">
            <v>43769</v>
          </cell>
        </row>
        <row r="2173">
          <cell r="B2173">
            <v>43749</v>
          </cell>
          <cell r="C2173">
            <v>43769</v>
          </cell>
        </row>
        <row r="2174">
          <cell r="B2174">
            <v>43752</v>
          </cell>
          <cell r="C2174">
            <v>43769</v>
          </cell>
        </row>
        <row r="2175">
          <cell r="B2175">
            <v>43753</v>
          </cell>
          <cell r="C2175">
            <v>43769</v>
          </cell>
        </row>
        <row r="2176">
          <cell r="B2176">
            <v>43754</v>
          </cell>
          <cell r="C2176">
            <v>43769</v>
          </cell>
        </row>
        <row r="2177">
          <cell r="B2177">
            <v>43755</v>
          </cell>
          <cell r="C2177">
            <v>43769</v>
          </cell>
        </row>
        <row r="2178">
          <cell r="B2178">
            <v>43756</v>
          </cell>
          <cell r="C2178">
            <v>43769</v>
          </cell>
        </row>
        <row r="2179">
          <cell r="B2179">
            <v>43760</v>
          </cell>
          <cell r="C2179">
            <v>43769</v>
          </cell>
        </row>
        <row r="2180">
          <cell r="B2180">
            <v>43761</v>
          </cell>
          <cell r="C2180">
            <v>43769</v>
          </cell>
        </row>
        <row r="2181">
          <cell r="B2181">
            <v>43762</v>
          </cell>
          <cell r="C2181">
            <v>43769</v>
          </cell>
        </row>
        <row r="2182">
          <cell r="B2182">
            <v>43763</v>
          </cell>
          <cell r="C2182">
            <v>43769</v>
          </cell>
        </row>
        <row r="2183">
          <cell r="B2183">
            <v>43765</v>
          </cell>
          <cell r="C2183">
            <v>43769</v>
          </cell>
        </row>
        <row r="2184">
          <cell r="B2184">
            <v>43767</v>
          </cell>
          <cell r="C2184">
            <v>43769</v>
          </cell>
        </row>
        <row r="2185">
          <cell r="B2185">
            <v>43768</v>
          </cell>
          <cell r="C2185">
            <v>43769</v>
          </cell>
        </row>
        <row r="2186">
          <cell r="B2186">
            <v>43769</v>
          </cell>
          <cell r="C2186">
            <v>43769</v>
          </cell>
        </row>
        <row r="2187">
          <cell r="B2187">
            <v>43770</v>
          </cell>
          <cell r="C2187">
            <v>43797</v>
          </cell>
        </row>
        <row r="2188">
          <cell r="B2188">
            <v>43773</v>
          </cell>
          <cell r="C2188">
            <v>43797</v>
          </cell>
        </row>
        <row r="2189">
          <cell r="B2189">
            <v>43774</v>
          </cell>
          <cell r="C2189">
            <v>43797</v>
          </cell>
        </row>
        <row r="2190">
          <cell r="B2190">
            <v>43775</v>
          </cell>
          <cell r="C2190">
            <v>43797</v>
          </cell>
        </row>
        <row r="2191">
          <cell r="B2191">
            <v>43776</v>
          </cell>
          <cell r="C2191">
            <v>43797</v>
          </cell>
        </row>
        <row r="2192">
          <cell r="B2192">
            <v>43777</v>
          </cell>
          <cell r="C2192">
            <v>43797</v>
          </cell>
        </row>
        <row r="2193">
          <cell r="B2193">
            <v>43780</v>
          </cell>
          <cell r="C2193">
            <v>43797</v>
          </cell>
        </row>
        <row r="2194">
          <cell r="B2194">
            <v>43782</v>
          </cell>
          <cell r="C2194">
            <v>43797</v>
          </cell>
        </row>
        <row r="2195">
          <cell r="B2195">
            <v>43783</v>
          </cell>
          <cell r="C2195">
            <v>43797</v>
          </cell>
        </row>
        <row r="2196">
          <cell r="B2196">
            <v>43784</v>
          </cell>
          <cell r="C2196">
            <v>43797</v>
          </cell>
        </row>
        <row r="2197">
          <cell r="B2197">
            <v>43787</v>
          </cell>
          <cell r="C2197">
            <v>43797</v>
          </cell>
        </row>
        <row r="2198">
          <cell r="B2198">
            <v>43788</v>
          </cell>
          <cell r="C2198">
            <v>43797</v>
          </cell>
        </row>
        <row r="2199">
          <cell r="B2199">
            <v>43789</v>
          </cell>
          <cell r="C2199">
            <v>43797</v>
          </cell>
        </row>
        <row r="2200">
          <cell r="B2200">
            <v>43790</v>
          </cell>
          <cell r="C2200">
            <v>43797</v>
          </cell>
        </row>
        <row r="2201">
          <cell r="B2201">
            <v>43791</v>
          </cell>
          <cell r="C2201">
            <v>43797</v>
          </cell>
        </row>
        <row r="2202">
          <cell r="B2202">
            <v>43794</v>
          </cell>
          <cell r="C2202">
            <v>43797</v>
          </cell>
        </row>
        <row r="2203">
          <cell r="B2203">
            <v>43795</v>
          </cell>
          <cell r="C2203">
            <v>43797</v>
          </cell>
        </row>
        <row r="2204">
          <cell r="B2204">
            <v>43796</v>
          </cell>
          <cell r="C2204">
            <v>43797</v>
          </cell>
        </row>
        <row r="2205">
          <cell r="B2205">
            <v>43797</v>
          </cell>
          <cell r="C2205">
            <v>43797</v>
          </cell>
        </row>
        <row r="2206">
          <cell r="B2206">
            <v>43798</v>
          </cell>
          <cell r="C2206">
            <v>43825</v>
          </cell>
        </row>
        <row r="2207">
          <cell r="B2207">
            <v>43801</v>
          </cell>
          <cell r="C2207">
            <v>43825</v>
          </cell>
        </row>
        <row r="2208">
          <cell r="B2208">
            <v>43802</v>
          </cell>
          <cell r="C2208">
            <v>43825</v>
          </cell>
        </row>
        <row r="2209">
          <cell r="B2209">
            <v>43803</v>
          </cell>
          <cell r="C2209">
            <v>43825</v>
          </cell>
        </row>
        <row r="2210">
          <cell r="B2210">
            <v>43804</v>
          </cell>
          <cell r="C2210">
            <v>43825</v>
          </cell>
        </row>
        <row r="2211">
          <cell r="B2211">
            <v>43805</v>
          </cell>
          <cell r="C2211">
            <v>43825</v>
          </cell>
        </row>
        <row r="2212">
          <cell r="B2212">
            <v>43808</v>
          </cell>
          <cell r="C2212">
            <v>43825</v>
          </cell>
        </row>
        <row r="2213">
          <cell r="B2213">
            <v>43809</v>
          </cell>
          <cell r="C2213">
            <v>43825</v>
          </cell>
        </row>
        <row r="2214">
          <cell r="B2214">
            <v>43810</v>
          </cell>
          <cell r="C2214">
            <v>43825</v>
          </cell>
        </row>
        <row r="2215">
          <cell r="B2215">
            <v>43811</v>
          </cell>
          <cell r="C2215">
            <v>43825</v>
          </cell>
        </row>
        <row r="2216">
          <cell r="B2216">
            <v>43812</v>
          </cell>
          <cell r="C2216">
            <v>43825</v>
          </cell>
        </row>
        <row r="2217">
          <cell r="B2217">
            <v>43815</v>
          </cell>
          <cell r="C2217">
            <v>43825</v>
          </cell>
        </row>
        <row r="2218">
          <cell r="B2218">
            <v>43816</v>
          </cell>
          <cell r="C2218">
            <v>43825</v>
          </cell>
        </row>
        <row r="2219">
          <cell r="B2219">
            <v>43817</v>
          </cell>
          <cell r="C2219">
            <v>43825</v>
          </cell>
        </row>
        <row r="2220">
          <cell r="B2220">
            <v>43818</v>
          </cell>
          <cell r="C2220">
            <v>43825</v>
          </cell>
        </row>
        <row r="2221">
          <cell r="B2221">
            <v>43819</v>
          </cell>
          <cell r="C2221">
            <v>43825</v>
          </cell>
        </row>
        <row r="2222">
          <cell r="B2222">
            <v>43822</v>
          </cell>
          <cell r="C2222">
            <v>43825</v>
          </cell>
        </row>
        <row r="2223">
          <cell r="B2223">
            <v>43823</v>
          </cell>
          <cell r="C2223">
            <v>43825</v>
          </cell>
        </row>
        <row r="2224">
          <cell r="B2224">
            <v>43825</v>
          </cell>
          <cell r="C2224">
            <v>43825</v>
          </cell>
        </row>
        <row r="2225">
          <cell r="B2225">
            <v>43826</v>
          </cell>
          <cell r="C2225">
            <v>43860</v>
          </cell>
        </row>
        <row r="2226">
          <cell r="B2226">
            <v>43829</v>
          </cell>
          <cell r="C2226">
            <v>43860</v>
          </cell>
        </row>
        <row r="2227">
          <cell r="B2227">
            <v>43830</v>
          </cell>
          <cell r="C2227">
            <v>43860</v>
          </cell>
        </row>
        <row r="2228">
          <cell r="B2228">
            <v>43831</v>
          </cell>
          <cell r="C2228">
            <v>43860</v>
          </cell>
        </row>
        <row r="2229">
          <cell r="B2229">
            <v>43832</v>
          </cell>
          <cell r="C2229">
            <v>43860</v>
          </cell>
        </row>
        <row r="2230">
          <cell r="B2230">
            <v>43833</v>
          </cell>
          <cell r="C2230">
            <v>43860</v>
          </cell>
        </row>
        <row r="2231">
          <cell r="B2231">
            <v>43836</v>
          </cell>
          <cell r="C2231">
            <v>43860</v>
          </cell>
        </row>
        <row r="2232">
          <cell r="B2232">
            <v>43837</v>
          </cell>
          <cell r="C2232">
            <v>43860</v>
          </cell>
        </row>
        <row r="2233">
          <cell r="B2233">
            <v>43838</v>
          </cell>
          <cell r="C2233">
            <v>43860</v>
          </cell>
        </row>
        <row r="2234">
          <cell r="B2234">
            <v>43839</v>
          </cell>
          <cell r="C2234">
            <v>43860</v>
          </cell>
        </row>
        <row r="2235">
          <cell r="B2235">
            <v>43840</v>
          </cell>
          <cell r="C2235">
            <v>43860</v>
          </cell>
        </row>
        <row r="2236">
          <cell r="B2236">
            <v>43843</v>
          </cell>
          <cell r="C2236">
            <v>43860</v>
          </cell>
        </row>
        <row r="2237">
          <cell r="B2237">
            <v>43844</v>
          </cell>
          <cell r="C2237">
            <v>43860</v>
          </cell>
        </row>
        <row r="2238">
          <cell r="B2238">
            <v>43845</v>
          </cell>
          <cell r="C2238">
            <v>43860</v>
          </cell>
        </row>
        <row r="2239">
          <cell r="B2239">
            <v>43846</v>
          </cell>
          <cell r="C2239">
            <v>43860</v>
          </cell>
        </row>
        <row r="2240">
          <cell r="B2240">
            <v>43847</v>
          </cell>
          <cell r="C2240">
            <v>43860</v>
          </cell>
        </row>
        <row r="2241">
          <cell r="B2241">
            <v>43850</v>
          </cell>
          <cell r="C2241">
            <v>43860</v>
          </cell>
        </row>
        <row r="2242">
          <cell r="B2242">
            <v>43851</v>
          </cell>
          <cell r="C2242">
            <v>43860</v>
          </cell>
        </row>
        <row r="2243">
          <cell r="B2243">
            <v>43852</v>
          </cell>
          <cell r="C2243">
            <v>43860</v>
          </cell>
        </row>
        <row r="2244">
          <cell r="B2244">
            <v>43853</v>
          </cell>
          <cell r="C2244">
            <v>43860</v>
          </cell>
        </row>
        <row r="2245">
          <cell r="B2245">
            <v>43854</v>
          </cell>
          <cell r="C2245">
            <v>43860</v>
          </cell>
        </row>
        <row r="2246">
          <cell r="B2246">
            <v>43857</v>
          </cell>
          <cell r="C2246">
            <v>43860</v>
          </cell>
        </row>
        <row r="2247">
          <cell r="B2247">
            <v>43858</v>
          </cell>
          <cell r="C2247">
            <v>43860</v>
          </cell>
        </row>
        <row r="2248">
          <cell r="B2248">
            <v>43859</v>
          </cell>
          <cell r="C2248">
            <v>43860</v>
          </cell>
        </row>
        <row r="2249">
          <cell r="B2249">
            <v>43860</v>
          </cell>
          <cell r="C2249">
            <v>43860</v>
          </cell>
        </row>
        <row r="2250">
          <cell r="B2250">
            <v>43861</v>
          </cell>
          <cell r="C2250">
            <v>43888</v>
          </cell>
        </row>
        <row r="2251">
          <cell r="B2251">
            <v>43862</v>
          </cell>
          <cell r="C2251">
            <v>43888</v>
          </cell>
        </row>
        <row r="2252">
          <cell r="B2252">
            <v>43864</v>
          </cell>
          <cell r="C2252">
            <v>43888</v>
          </cell>
        </row>
        <row r="2253">
          <cell r="B2253">
            <v>43865</v>
          </cell>
          <cell r="C2253">
            <v>43888</v>
          </cell>
        </row>
        <row r="2254">
          <cell r="B2254">
            <v>43866</v>
          </cell>
          <cell r="C2254">
            <v>43888</v>
          </cell>
        </row>
        <row r="2255">
          <cell r="B2255">
            <v>43867</v>
          </cell>
          <cell r="C2255">
            <v>43888</v>
          </cell>
        </row>
        <row r="2256">
          <cell r="B2256">
            <v>43868</v>
          </cell>
          <cell r="C2256">
            <v>43888</v>
          </cell>
        </row>
        <row r="2257">
          <cell r="B2257">
            <v>43871</v>
          </cell>
          <cell r="C2257">
            <v>43888</v>
          </cell>
        </row>
        <row r="2258">
          <cell r="B2258">
            <v>43872</v>
          </cell>
          <cell r="C2258">
            <v>43888</v>
          </cell>
        </row>
        <row r="2259">
          <cell r="B2259">
            <v>43873</v>
          </cell>
          <cell r="C2259">
            <v>43888</v>
          </cell>
        </row>
        <row r="2260">
          <cell r="B2260">
            <v>43874</v>
          </cell>
          <cell r="C2260">
            <v>43888</v>
          </cell>
        </row>
        <row r="2261">
          <cell r="B2261">
            <v>43875</v>
          </cell>
          <cell r="C2261">
            <v>43888</v>
          </cell>
        </row>
        <row r="2262">
          <cell r="B2262">
            <v>43878</v>
          </cell>
          <cell r="C2262">
            <v>43888</v>
          </cell>
        </row>
        <row r="2263">
          <cell r="B2263">
            <v>43879</v>
          </cell>
          <cell r="C2263">
            <v>43888</v>
          </cell>
        </row>
        <row r="2264">
          <cell r="B2264">
            <v>43880</v>
          </cell>
          <cell r="C2264">
            <v>43888</v>
          </cell>
        </row>
        <row r="2265">
          <cell r="B2265">
            <v>43881</v>
          </cell>
          <cell r="C2265">
            <v>43888</v>
          </cell>
        </row>
        <row r="2266">
          <cell r="B2266">
            <v>43885</v>
          </cell>
          <cell r="C2266">
            <v>43888</v>
          </cell>
        </row>
        <row r="2267">
          <cell r="B2267">
            <v>43886</v>
          </cell>
          <cell r="C2267">
            <v>43888</v>
          </cell>
        </row>
        <row r="2268">
          <cell r="B2268">
            <v>43887</v>
          </cell>
          <cell r="C2268">
            <v>43888</v>
          </cell>
        </row>
        <row r="2269">
          <cell r="B2269">
            <v>43888</v>
          </cell>
          <cell r="C2269">
            <v>43888</v>
          </cell>
        </row>
        <row r="2270">
          <cell r="B2270">
            <v>43889</v>
          </cell>
          <cell r="C2270">
            <v>43916</v>
          </cell>
        </row>
        <row r="2271">
          <cell r="B2271">
            <v>43892</v>
          </cell>
          <cell r="C2271">
            <v>43916</v>
          </cell>
        </row>
        <row r="2272">
          <cell r="B2272">
            <v>43893</v>
          </cell>
          <cell r="C2272">
            <v>43916</v>
          </cell>
        </row>
        <row r="2273">
          <cell r="B2273">
            <v>43894</v>
          </cell>
          <cell r="C2273">
            <v>43916</v>
          </cell>
        </row>
        <row r="2274">
          <cell r="B2274">
            <v>43895</v>
          </cell>
          <cell r="C2274">
            <v>43916</v>
          </cell>
        </row>
        <row r="2275">
          <cell r="B2275">
            <v>43896</v>
          </cell>
          <cell r="C2275">
            <v>43916</v>
          </cell>
        </row>
        <row r="2276">
          <cell r="B2276">
            <v>43899</v>
          </cell>
          <cell r="C2276">
            <v>43916</v>
          </cell>
        </row>
        <row r="2277">
          <cell r="B2277">
            <v>43901</v>
          </cell>
          <cell r="C2277">
            <v>43916</v>
          </cell>
        </row>
        <row r="2278">
          <cell r="B2278">
            <v>43902</v>
          </cell>
          <cell r="C2278">
            <v>43916</v>
          </cell>
        </row>
        <row r="2279">
          <cell r="B2279">
            <v>43903</v>
          </cell>
          <cell r="C2279">
            <v>43916</v>
          </cell>
        </row>
        <row r="2280">
          <cell r="B2280">
            <v>43906</v>
          </cell>
          <cell r="C2280">
            <v>43916</v>
          </cell>
        </row>
        <row r="2281">
          <cell r="B2281">
            <v>43907</v>
          </cell>
          <cell r="C2281">
            <v>43916</v>
          </cell>
        </row>
        <row r="2282">
          <cell r="B2282">
            <v>43908</v>
          </cell>
          <cell r="C2282">
            <v>43916</v>
          </cell>
        </row>
        <row r="2283">
          <cell r="B2283">
            <v>43909</v>
          </cell>
          <cell r="C2283">
            <v>43916</v>
          </cell>
        </row>
        <row r="2284">
          <cell r="B2284">
            <v>43910</v>
          </cell>
          <cell r="C2284">
            <v>43916</v>
          </cell>
        </row>
        <row r="2285">
          <cell r="B2285">
            <v>43913</v>
          </cell>
          <cell r="C2285">
            <v>43916</v>
          </cell>
        </row>
        <row r="2286">
          <cell r="B2286">
            <v>43914</v>
          </cell>
          <cell r="C2286">
            <v>43916</v>
          </cell>
        </row>
        <row r="2287">
          <cell r="B2287">
            <v>43915</v>
          </cell>
          <cell r="C2287">
            <v>43916</v>
          </cell>
        </row>
        <row r="2288">
          <cell r="B2288">
            <v>43916</v>
          </cell>
          <cell r="C2288">
            <v>43916</v>
          </cell>
        </row>
        <row r="2289">
          <cell r="B2289">
            <v>43917</v>
          </cell>
          <cell r="C2289">
            <v>43951</v>
          </cell>
        </row>
        <row r="2290">
          <cell r="B2290">
            <v>43920</v>
          </cell>
          <cell r="C2290">
            <v>43951</v>
          </cell>
        </row>
        <row r="2291">
          <cell r="B2291">
            <v>43921</v>
          </cell>
          <cell r="C2291">
            <v>43951</v>
          </cell>
        </row>
        <row r="2292">
          <cell r="B2292">
            <v>43922</v>
          </cell>
          <cell r="C2292">
            <v>43951</v>
          </cell>
        </row>
        <row r="2293">
          <cell r="B2293">
            <v>43924</v>
          </cell>
          <cell r="C2293">
            <v>43951</v>
          </cell>
        </row>
        <row r="2294">
          <cell r="B2294">
            <v>43928</v>
          </cell>
          <cell r="C2294">
            <v>43951</v>
          </cell>
        </row>
        <row r="2295">
          <cell r="B2295">
            <v>43929</v>
          </cell>
          <cell r="C2295">
            <v>43951</v>
          </cell>
        </row>
        <row r="2296">
          <cell r="B2296">
            <v>43930</v>
          </cell>
          <cell r="C2296">
            <v>43951</v>
          </cell>
        </row>
        <row r="2297">
          <cell r="B2297">
            <v>43934</v>
          </cell>
          <cell r="C2297">
            <v>43951</v>
          </cell>
        </row>
        <row r="2298">
          <cell r="B2298">
            <v>43936</v>
          </cell>
          <cell r="C2298">
            <v>43951</v>
          </cell>
        </row>
        <row r="2299">
          <cell r="B2299">
            <v>43937</v>
          </cell>
          <cell r="C2299">
            <v>43951</v>
          </cell>
        </row>
        <row r="2300">
          <cell r="B2300">
            <v>43938</v>
          </cell>
          <cell r="C2300">
            <v>43951</v>
          </cell>
        </row>
        <row r="2301">
          <cell r="B2301">
            <v>43941</v>
          </cell>
          <cell r="C2301">
            <v>43951</v>
          </cell>
        </row>
        <row r="2302">
          <cell r="B2302">
            <v>43942</v>
          </cell>
          <cell r="C2302">
            <v>43951</v>
          </cell>
        </row>
        <row r="2303">
          <cell r="B2303">
            <v>43943</v>
          </cell>
          <cell r="C2303">
            <v>43951</v>
          </cell>
        </row>
        <row r="2304">
          <cell r="B2304">
            <v>43944</v>
          </cell>
          <cell r="C2304">
            <v>43951</v>
          </cell>
        </row>
        <row r="2305">
          <cell r="B2305">
            <v>43945</v>
          </cell>
          <cell r="C2305">
            <v>43951</v>
          </cell>
        </row>
        <row r="2306">
          <cell r="B2306">
            <v>43948</v>
          </cell>
          <cell r="C2306">
            <v>43951</v>
          </cell>
        </row>
        <row r="2307">
          <cell r="B2307">
            <v>43949</v>
          </cell>
          <cell r="C2307">
            <v>43951</v>
          </cell>
        </row>
        <row r="2308">
          <cell r="B2308">
            <v>43950</v>
          </cell>
          <cell r="C2308">
            <v>43951</v>
          </cell>
        </row>
        <row r="2309">
          <cell r="B2309">
            <v>43951</v>
          </cell>
          <cell r="C2309">
            <v>43951</v>
          </cell>
        </row>
        <row r="2310">
          <cell r="B2310">
            <v>43955</v>
          </cell>
          <cell r="C2310">
            <v>43979</v>
          </cell>
        </row>
        <row r="2311">
          <cell r="B2311">
            <v>43956</v>
          </cell>
          <cell r="C2311">
            <v>43979</v>
          </cell>
        </row>
        <row r="2312">
          <cell r="B2312">
            <v>43957</v>
          </cell>
          <cell r="C2312">
            <v>43979</v>
          </cell>
        </row>
        <row r="2313">
          <cell r="B2313">
            <v>43958</v>
          </cell>
          <cell r="C2313">
            <v>43979</v>
          </cell>
        </row>
        <row r="2314">
          <cell r="B2314">
            <v>43959</v>
          </cell>
          <cell r="C2314">
            <v>43979</v>
          </cell>
        </row>
        <row r="2315">
          <cell r="B2315">
            <v>43962</v>
          </cell>
          <cell r="C2315">
            <v>43979</v>
          </cell>
        </row>
        <row r="2316">
          <cell r="B2316">
            <v>43963</v>
          </cell>
          <cell r="C2316">
            <v>43979</v>
          </cell>
        </row>
        <row r="2317">
          <cell r="B2317">
            <v>43964</v>
          </cell>
          <cell r="C2317">
            <v>43979</v>
          </cell>
        </row>
        <row r="2318">
          <cell r="B2318">
            <v>43965</v>
          </cell>
          <cell r="C2318">
            <v>43979</v>
          </cell>
        </row>
        <row r="2319">
          <cell r="B2319">
            <v>43966</v>
          </cell>
          <cell r="C2319">
            <v>43979</v>
          </cell>
        </row>
        <row r="2320">
          <cell r="B2320">
            <v>43969</v>
          </cell>
          <cell r="C2320">
            <v>43979</v>
          </cell>
        </row>
        <row r="2321">
          <cell r="B2321">
            <v>43970</v>
          </cell>
          <cell r="C2321">
            <v>43979</v>
          </cell>
        </row>
        <row r="2322">
          <cell r="B2322">
            <v>43971</v>
          </cell>
          <cell r="C2322">
            <v>43979</v>
          </cell>
        </row>
        <row r="2323">
          <cell r="B2323">
            <v>43972</v>
          </cell>
          <cell r="C2323">
            <v>43979</v>
          </cell>
        </row>
        <row r="2324">
          <cell r="B2324">
            <v>43973</v>
          </cell>
          <cell r="C2324">
            <v>43979</v>
          </cell>
        </row>
        <row r="2325">
          <cell r="B2325">
            <v>43977</v>
          </cell>
          <cell r="C2325">
            <v>43979</v>
          </cell>
        </row>
        <row r="2326">
          <cell r="B2326">
            <v>43978</v>
          </cell>
          <cell r="C2326">
            <v>43979</v>
          </cell>
        </row>
        <row r="2327">
          <cell r="B2327">
            <v>43979</v>
          </cell>
          <cell r="C2327">
            <v>43979</v>
          </cell>
        </row>
        <row r="2328">
          <cell r="B2328">
            <v>43980</v>
          </cell>
          <cell r="C2328">
            <v>44007</v>
          </cell>
        </row>
        <row r="2329">
          <cell r="B2329">
            <v>43983</v>
          </cell>
          <cell r="C2329">
            <v>44007</v>
          </cell>
        </row>
        <row r="2330">
          <cell r="B2330">
            <v>43984</v>
          </cell>
          <cell r="C2330">
            <v>44007</v>
          </cell>
        </row>
        <row r="2331">
          <cell r="B2331">
            <v>43985</v>
          </cell>
          <cell r="C2331">
            <v>44007</v>
          </cell>
        </row>
        <row r="2332">
          <cell r="B2332">
            <v>43986</v>
          </cell>
          <cell r="C2332">
            <v>44007</v>
          </cell>
        </row>
        <row r="2333">
          <cell r="B2333">
            <v>43987</v>
          </cell>
          <cell r="C2333">
            <v>44007</v>
          </cell>
        </row>
        <row r="2334">
          <cell r="B2334">
            <v>43990</v>
          </cell>
          <cell r="C2334">
            <v>44007</v>
          </cell>
        </row>
        <row r="2335">
          <cell r="B2335">
            <v>43991</v>
          </cell>
          <cell r="C2335">
            <v>44007</v>
          </cell>
        </row>
        <row r="2336">
          <cell r="B2336">
            <v>43992</v>
          </cell>
          <cell r="C2336">
            <v>44007</v>
          </cell>
        </row>
        <row r="2337">
          <cell r="B2337">
            <v>43993</v>
          </cell>
          <cell r="C2337">
            <v>44007</v>
          </cell>
        </row>
        <row r="2338">
          <cell r="B2338">
            <v>43994</v>
          </cell>
          <cell r="C2338">
            <v>44007</v>
          </cell>
        </row>
        <row r="2339">
          <cell r="B2339">
            <v>43997</v>
          </cell>
          <cell r="C2339">
            <v>44007</v>
          </cell>
        </row>
        <row r="2340">
          <cell r="B2340">
            <v>43998</v>
          </cell>
          <cell r="C2340">
            <v>44007</v>
          </cell>
        </row>
        <row r="2341">
          <cell r="B2341">
            <v>43999</v>
          </cell>
          <cell r="C2341">
            <v>44007</v>
          </cell>
        </row>
        <row r="2342">
          <cell r="B2342">
            <v>44000</v>
          </cell>
          <cell r="C2342">
            <v>44007</v>
          </cell>
        </row>
        <row r="2343">
          <cell r="B2343">
            <v>44001</v>
          </cell>
          <cell r="C2343">
            <v>44007</v>
          </cell>
        </row>
        <row r="2344">
          <cell r="B2344">
            <v>44004</v>
          </cell>
          <cell r="C2344">
            <v>44007</v>
          </cell>
        </row>
        <row r="2345">
          <cell r="B2345">
            <v>44005</v>
          </cell>
          <cell r="C2345">
            <v>44007</v>
          </cell>
        </row>
        <row r="2346">
          <cell r="B2346">
            <v>44006</v>
          </cell>
          <cell r="C2346">
            <v>44007</v>
          </cell>
        </row>
        <row r="2347">
          <cell r="B2347">
            <v>44007</v>
          </cell>
          <cell r="C2347">
            <v>44007</v>
          </cell>
        </row>
        <row r="2348">
          <cell r="B2348">
            <v>44008</v>
          </cell>
          <cell r="C2348">
            <v>44042</v>
          </cell>
        </row>
        <row r="2349">
          <cell r="B2349">
            <v>44011</v>
          </cell>
          <cell r="C2349">
            <v>44042</v>
          </cell>
        </row>
        <row r="2350">
          <cell r="B2350">
            <v>44012</v>
          </cell>
          <cell r="C2350">
            <v>44042</v>
          </cell>
        </row>
        <row r="2351">
          <cell r="B2351">
            <v>44013</v>
          </cell>
          <cell r="C2351">
            <v>44042</v>
          </cell>
        </row>
        <row r="2352">
          <cell r="B2352">
            <v>44014</v>
          </cell>
          <cell r="C2352">
            <v>44042</v>
          </cell>
        </row>
        <row r="2353">
          <cell r="B2353">
            <v>44015</v>
          </cell>
          <cell r="C2353">
            <v>44042</v>
          </cell>
        </row>
        <row r="2354">
          <cell r="B2354">
            <v>44018</v>
          </cell>
          <cell r="C2354">
            <v>44042</v>
          </cell>
        </row>
        <row r="2355">
          <cell r="B2355">
            <v>44019</v>
          </cell>
          <cell r="C2355">
            <v>44042</v>
          </cell>
        </row>
        <row r="2356">
          <cell r="B2356">
            <v>44020</v>
          </cell>
          <cell r="C2356">
            <v>44042</v>
          </cell>
        </row>
        <row r="2357">
          <cell r="B2357">
            <v>44021</v>
          </cell>
          <cell r="C2357">
            <v>44042</v>
          </cell>
        </row>
        <row r="2358">
          <cell r="B2358">
            <v>44022</v>
          </cell>
          <cell r="C2358">
            <v>44042</v>
          </cell>
        </row>
        <row r="2359">
          <cell r="B2359">
            <v>44025</v>
          </cell>
          <cell r="C2359">
            <v>44042</v>
          </cell>
        </row>
        <row r="2360">
          <cell r="B2360">
            <v>44026</v>
          </cell>
          <cell r="C2360">
            <v>44042</v>
          </cell>
        </row>
        <row r="2361">
          <cell r="B2361">
            <v>44027</v>
          </cell>
          <cell r="C2361">
            <v>44042</v>
          </cell>
        </row>
        <row r="2362">
          <cell r="B2362">
            <v>44028</v>
          </cell>
          <cell r="C2362">
            <v>44042</v>
          </cell>
        </row>
        <row r="2363">
          <cell r="B2363">
            <v>44029</v>
          </cell>
          <cell r="C2363">
            <v>44042</v>
          </cell>
        </row>
        <row r="2364">
          <cell r="B2364">
            <v>44032</v>
          </cell>
          <cell r="C2364">
            <v>44042</v>
          </cell>
        </row>
        <row r="2365">
          <cell r="B2365">
            <v>44033</v>
          </cell>
          <cell r="C2365">
            <v>44042</v>
          </cell>
        </row>
        <row r="2366">
          <cell r="B2366">
            <v>44034</v>
          </cell>
          <cell r="C2366">
            <v>44042</v>
          </cell>
        </row>
        <row r="2367">
          <cell r="B2367">
            <v>44035</v>
          </cell>
          <cell r="C2367">
            <v>44042</v>
          </cell>
        </row>
        <row r="2368">
          <cell r="B2368">
            <v>44036</v>
          </cell>
          <cell r="C2368">
            <v>44042</v>
          </cell>
        </row>
        <row r="2369">
          <cell r="B2369">
            <v>44039</v>
          </cell>
          <cell r="C2369">
            <v>44042</v>
          </cell>
        </row>
        <row r="2370">
          <cell r="B2370">
            <v>44040</v>
          </cell>
          <cell r="C2370">
            <v>44042</v>
          </cell>
        </row>
        <row r="2371">
          <cell r="B2371">
            <v>44041</v>
          </cell>
          <cell r="C2371">
            <v>44042</v>
          </cell>
        </row>
        <row r="2372">
          <cell r="B2372">
            <v>44042</v>
          </cell>
          <cell r="C2372">
            <v>44042</v>
          </cell>
        </row>
        <row r="2373">
          <cell r="B2373">
            <v>44043</v>
          </cell>
          <cell r="C2373">
            <v>44070</v>
          </cell>
        </row>
        <row r="2374">
          <cell r="B2374">
            <v>44046</v>
          </cell>
          <cell r="C2374">
            <v>44070</v>
          </cell>
        </row>
        <row r="2375">
          <cell r="B2375">
            <v>44047</v>
          </cell>
          <cell r="C2375">
            <v>44070</v>
          </cell>
        </row>
        <row r="2376">
          <cell r="B2376">
            <v>44048</v>
          </cell>
          <cell r="C2376">
            <v>44070</v>
          </cell>
        </row>
        <row r="2377">
          <cell r="B2377">
            <v>44049</v>
          </cell>
          <cell r="C2377">
            <v>44070</v>
          </cell>
        </row>
        <row r="2378">
          <cell r="B2378">
            <v>44050</v>
          </cell>
          <cell r="C2378">
            <v>44070</v>
          </cell>
        </row>
        <row r="2379">
          <cell r="B2379">
            <v>44053</v>
          </cell>
          <cell r="C2379">
            <v>44070</v>
          </cell>
        </row>
        <row r="2380">
          <cell r="B2380">
            <v>44054</v>
          </cell>
          <cell r="C2380">
            <v>44070</v>
          </cell>
        </row>
        <row r="2381">
          <cell r="B2381">
            <v>44055</v>
          </cell>
          <cell r="C2381">
            <v>44070</v>
          </cell>
        </row>
        <row r="2382">
          <cell r="B2382">
            <v>44056</v>
          </cell>
          <cell r="C2382">
            <v>44070</v>
          </cell>
        </row>
        <row r="2383">
          <cell r="B2383">
            <v>44057</v>
          </cell>
          <cell r="C2383">
            <v>44070</v>
          </cell>
        </row>
        <row r="2384">
          <cell r="B2384">
            <v>44060</v>
          </cell>
          <cell r="C2384">
            <v>44070</v>
          </cell>
        </row>
        <row r="2385">
          <cell r="B2385">
            <v>44061</v>
          </cell>
          <cell r="C2385">
            <v>44070</v>
          </cell>
        </row>
        <row r="2386">
          <cell r="B2386">
            <v>44062</v>
          </cell>
          <cell r="C2386">
            <v>44070</v>
          </cell>
        </row>
        <row r="2387">
          <cell r="B2387">
            <v>44063</v>
          </cell>
          <cell r="C2387">
            <v>44070</v>
          </cell>
        </row>
        <row r="2388">
          <cell r="B2388">
            <v>44064</v>
          </cell>
          <cell r="C2388">
            <v>44070</v>
          </cell>
        </row>
        <row r="2389">
          <cell r="B2389">
            <v>44067</v>
          </cell>
          <cell r="C2389">
            <v>44070</v>
          </cell>
        </row>
        <row r="2390">
          <cell r="B2390">
            <v>44068</v>
          </cell>
          <cell r="C2390">
            <v>44070</v>
          </cell>
        </row>
        <row r="2391">
          <cell r="B2391">
            <v>44069</v>
          </cell>
          <cell r="C2391">
            <v>44070</v>
          </cell>
        </row>
        <row r="2392">
          <cell r="B2392">
            <v>44070</v>
          </cell>
          <cell r="C2392">
            <v>44070</v>
          </cell>
        </row>
        <row r="2393">
          <cell r="B2393">
            <v>44071</v>
          </cell>
          <cell r="C2393">
            <v>44098</v>
          </cell>
        </row>
        <row r="2394">
          <cell r="B2394">
            <v>44074</v>
          </cell>
          <cell r="C2394">
            <v>44098</v>
          </cell>
        </row>
        <row r="2395">
          <cell r="B2395">
            <v>44075</v>
          </cell>
          <cell r="C2395">
            <v>44098</v>
          </cell>
        </row>
        <row r="2396">
          <cell r="B2396">
            <v>44076</v>
          </cell>
          <cell r="C2396">
            <v>44098</v>
          </cell>
        </row>
        <row r="2397">
          <cell r="B2397">
            <v>44077</v>
          </cell>
          <cell r="C2397">
            <v>44098</v>
          </cell>
        </row>
        <row r="2398">
          <cell r="B2398">
            <v>44078</v>
          </cell>
          <cell r="C2398">
            <v>44098</v>
          </cell>
        </row>
        <row r="2399">
          <cell r="B2399">
            <v>44081</v>
          </cell>
          <cell r="C2399">
            <v>44098</v>
          </cell>
        </row>
        <row r="2400">
          <cell r="B2400">
            <v>44082</v>
          </cell>
          <cell r="C2400">
            <v>44098</v>
          </cell>
        </row>
        <row r="2401">
          <cell r="B2401">
            <v>44083</v>
          </cell>
          <cell r="C2401">
            <v>44098</v>
          </cell>
        </row>
        <row r="2402">
          <cell r="B2402">
            <v>44084</v>
          </cell>
          <cell r="C2402">
            <v>44098</v>
          </cell>
        </row>
        <row r="2403">
          <cell r="B2403">
            <v>44085</v>
          </cell>
          <cell r="C2403">
            <v>44098</v>
          </cell>
        </row>
        <row r="2404">
          <cell r="B2404">
            <v>44088</v>
          </cell>
          <cell r="C2404">
            <v>44098</v>
          </cell>
        </row>
        <row r="2405">
          <cell r="B2405">
            <v>44089</v>
          </cell>
          <cell r="C2405">
            <v>44098</v>
          </cell>
        </row>
        <row r="2406">
          <cell r="B2406">
            <v>44090</v>
          </cell>
          <cell r="C2406">
            <v>44098</v>
          </cell>
        </row>
        <row r="2407">
          <cell r="B2407">
            <v>44091</v>
          </cell>
          <cell r="C2407">
            <v>44098</v>
          </cell>
        </row>
        <row r="2408">
          <cell r="B2408">
            <v>44092</v>
          </cell>
          <cell r="C2408">
            <v>44098</v>
          </cell>
        </row>
        <row r="2409">
          <cell r="B2409">
            <v>44095</v>
          </cell>
          <cell r="C2409">
            <v>44098</v>
          </cell>
        </row>
        <row r="2410">
          <cell r="B2410">
            <v>44096</v>
          </cell>
          <cell r="C2410">
            <v>44098</v>
          </cell>
        </row>
        <row r="2411">
          <cell r="B2411">
            <v>44097</v>
          </cell>
          <cell r="C2411">
            <v>44098</v>
          </cell>
        </row>
        <row r="2412">
          <cell r="B2412">
            <v>44098</v>
          </cell>
          <cell r="C2412">
            <v>44098</v>
          </cell>
        </row>
        <row r="2413">
          <cell r="B2413">
            <v>44099</v>
          </cell>
          <cell r="C2413">
            <v>44133</v>
          </cell>
        </row>
        <row r="2414">
          <cell r="B2414">
            <v>44102</v>
          </cell>
          <cell r="C2414">
            <v>44133</v>
          </cell>
        </row>
        <row r="2415">
          <cell r="B2415">
            <v>44103</v>
          </cell>
          <cell r="C2415">
            <v>44133</v>
          </cell>
        </row>
        <row r="2416">
          <cell r="B2416">
            <v>44104</v>
          </cell>
          <cell r="C2416">
            <v>44133</v>
          </cell>
        </row>
        <row r="2417">
          <cell r="B2417">
            <v>44105</v>
          </cell>
          <cell r="C2417">
            <v>44133</v>
          </cell>
        </row>
        <row r="2418">
          <cell r="B2418">
            <v>44109</v>
          </cell>
          <cell r="C2418">
            <v>44133</v>
          </cell>
        </row>
        <row r="2419">
          <cell r="B2419">
            <v>44110</v>
          </cell>
          <cell r="C2419">
            <v>44133</v>
          </cell>
        </row>
        <row r="2420">
          <cell r="B2420">
            <v>44111</v>
          </cell>
          <cell r="C2420">
            <v>44133</v>
          </cell>
        </row>
        <row r="2421">
          <cell r="B2421">
            <v>44112</v>
          </cell>
          <cell r="C2421">
            <v>44133</v>
          </cell>
        </row>
        <row r="2422">
          <cell r="B2422">
            <v>44113</v>
          </cell>
          <cell r="C2422">
            <v>44133</v>
          </cell>
        </row>
        <row r="2423">
          <cell r="B2423">
            <v>44116</v>
          </cell>
          <cell r="C2423">
            <v>44133</v>
          </cell>
        </row>
        <row r="2424">
          <cell r="B2424">
            <v>44117</v>
          </cell>
          <cell r="C2424">
            <v>44133</v>
          </cell>
        </row>
        <row r="2425">
          <cell r="B2425">
            <v>44118</v>
          </cell>
          <cell r="C2425">
            <v>44133</v>
          </cell>
        </row>
        <row r="2426">
          <cell r="B2426">
            <v>44119</v>
          </cell>
          <cell r="C2426">
            <v>44133</v>
          </cell>
        </row>
        <row r="2427">
          <cell r="B2427">
            <v>44120</v>
          </cell>
          <cell r="C2427">
            <v>44133</v>
          </cell>
        </row>
        <row r="2428">
          <cell r="B2428">
            <v>44123</v>
          </cell>
          <cell r="C2428">
            <v>44133</v>
          </cell>
        </row>
        <row r="2429">
          <cell r="B2429">
            <v>44124</v>
          </cell>
          <cell r="C2429">
            <v>44133</v>
          </cell>
        </row>
        <row r="2430">
          <cell r="B2430">
            <v>44125</v>
          </cell>
          <cell r="C2430">
            <v>44133</v>
          </cell>
        </row>
        <row r="2431">
          <cell r="B2431">
            <v>44126</v>
          </cell>
          <cell r="C2431">
            <v>44133</v>
          </cell>
        </row>
        <row r="2432">
          <cell r="B2432">
            <v>44127</v>
          </cell>
          <cell r="C2432">
            <v>44133</v>
          </cell>
        </row>
        <row r="2433">
          <cell r="B2433">
            <v>44130</v>
          </cell>
          <cell r="C2433">
            <v>44133</v>
          </cell>
        </row>
        <row r="2434">
          <cell r="B2434">
            <v>44131</v>
          </cell>
          <cell r="C2434">
            <v>44133</v>
          </cell>
        </row>
        <row r="2435">
          <cell r="B2435">
            <v>44132</v>
          </cell>
          <cell r="C2435">
            <v>44133</v>
          </cell>
        </row>
        <row r="2436">
          <cell r="B2436">
            <v>44133</v>
          </cell>
          <cell r="C2436">
            <v>44133</v>
          </cell>
        </row>
        <row r="2437">
          <cell r="B2437">
            <v>44134</v>
          </cell>
          <cell r="C2437">
            <v>44161</v>
          </cell>
        </row>
        <row r="2438">
          <cell r="B2438">
            <v>44137</v>
          </cell>
          <cell r="C2438">
            <v>44161</v>
          </cell>
        </row>
        <row r="2439">
          <cell r="B2439">
            <v>44138</v>
          </cell>
          <cell r="C2439">
            <v>44161</v>
          </cell>
        </row>
        <row r="2440">
          <cell r="B2440">
            <v>44139</v>
          </cell>
          <cell r="C2440">
            <v>44161</v>
          </cell>
        </row>
        <row r="2441">
          <cell r="B2441">
            <v>44140</v>
          </cell>
          <cell r="C2441">
            <v>44161</v>
          </cell>
        </row>
        <row r="2442">
          <cell r="B2442">
            <v>44141</v>
          </cell>
          <cell r="C2442">
            <v>44161</v>
          </cell>
        </row>
        <row r="2443">
          <cell r="B2443">
            <v>44144</v>
          </cell>
          <cell r="C2443">
            <v>44161</v>
          </cell>
        </row>
        <row r="2444">
          <cell r="B2444">
            <v>44145</v>
          </cell>
          <cell r="C2444">
            <v>44161</v>
          </cell>
        </row>
        <row r="2445">
          <cell r="B2445">
            <v>44146</v>
          </cell>
          <cell r="C2445">
            <v>44161</v>
          </cell>
        </row>
        <row r="2446">
          <cell r="B2446">
            <v>44147</v>
          </cell>
          <cell r="C2446">
            <v>44161</v>
          </cell>
        </row>
        <row r="2447">
          <cell r="B2447">
            <v>44148</v>
          </cell>
          <cell r="C2447">
            <v>44161</v>
          </cell>
        </row>
        <row r="2448">
          <cell r="B2448">
            <v>44149</v>
          </cell>
          <cell r="C2448">
            <v>44161</v>
          </cell>
        </row>
        <row r="2449">
          <cell r="B2449">
            <v>44152</v>
          </cell>
          <cell r="C2449">
            <v>44161</v>
          </cell>
        </row>
        <row r="2450">
          <cell r="B2450">
            <v>44153</v>
          </cell>
          <cell r="C2450">
            <v>44161</v>
          </cell>
        </row>
        <row r="2451">
          <cell r="B2451">
            <v>44154</v>
          </cell>
          <cell r="C2451">
            <v>44161</v>
          </cell>
        </row>
        <row r="2452">
          <cell r="B2452">
            <v>44155</v>
          </cell>
          <cell r="C2452">
            <v>44161</v>
          </cell>
        </row>
        <row r="2453">
          <cell r="B2453">
            <v>44158</v>
          </cell>
          <cell r="C2453">
            <v>44161</v>
          </cell>
        </row>
        <row r="2454">
          <cell r="B2454">
            <v>44159</v>
          </cell>
          <cell r="C2454">
            <v>44161</v>
          </cell>
        </row>
        <row r="2455">
          <cell r="B2455">
            <v>44160</v>
          </cell>
          <cell r="C2455">
            <v>44161</v>
          </cell>
        </row>
        <row r="2456">
          <cell r="B2456">
            <v>44161</v>
          </cell>
          <cell r="C2456">
            <v>44161</v>
          </cell>
        </row>
        <row r="2457">
          <cell r="B2457">
            <v>44162</v>
          </cell>
          <cell r="C2457">
            <v>44196</v>
          </cell>
        </row>
        <row r="2458">
          <cell r="B2458">
            <v>44166</v>
          </cell>
          <cell r="C2458">
            <v>44196</v>
          </cell>
        </row>
        <row r="2459">
          <cell r="B2459">
            <v>44167</v>
          </cell>
          <cell r="C2459">
            <v>44196</v>
          </cell>
        </row>
        <row r="2460">
          <cell r="B2460">
            <v>44168</v>
          </cell>
          <cell r="C2460">
            <v>44196</v>
          </cell>
        </row>
        <row r="2461">
          <cell r="B2461">
            <v>44169</v>
          </cell>
          <cell r="C2461">
            <v>44196</v>
          </cell>
        </row>
        <row r="2462">
          <cell r="B2462">
            <v>44172</v>
          </cell>
          <cell r="C2462">
            <v>44196</v>
          </cell>
        </row>
        <row r="2463">
          <cell r="B2463">
            <v>44173</v>
          </cell>
          <cell r="C2463">
            <v>44196</v>
          </cell>
        </row>
        <row r="2464">
          <cell r="B2464">
            <v>44174</v>
          </cell>
          <cell r="C2464">
            <v>44196</v>
          </cell>
        </row>
        <row r="2465">
          <cell r="B2465">
            <v>44175</v>
          </cell>
          <cell r="C2465">
            <v>44196</v>
          </cell>
        </row>
        <row r="2466">
          <cell r="B2466">
            <v>44176</v>
          </cell>
          <cell r="C2466">
            <v>44196</v>
          </cell>
        </row>
        <row r="2467">
          <cell r="B2467">
            <v>44179</v>
          </cell>
          <cell r="C2467">
            <v>44196</v>
          </cell>
        </row>
        <row r="2468">
          <cell r="B2468">
            <v>44180</v>
          </cell>
          <cell r="C2468">
            <v>44196</v>
          </cell>
        </row>
        <row r="2469">
          <cell r="B2469">
            <v>44181</v>
          </cell>
          <cell r="C2469">
            <v>44196</v>
          </cell>
        </row>
        <row r="2470">
          <cell r="B2470">
            <v>44182</v>
          </cell>
          <cell r="C2470">
            <v>44196</v>
          </cell>
        </row>
        <row r="2471">
          <cell r="B2471">
            <v>44183</v>
          </cell>
          <cell r="C2471">
            <v>44196</v>
          </cell>
        </row>
        <row r="2472">
          <cell r="B2472">
            <v>44186</v>
          </cell>
          <cell r="C2472">
            <v>44196</v>
          </cell>
        </row>
        <row r="2473">
          <cell r="B2473">
            <v>44187</v>
          </cell>
          <cell r="C2473">
            <v>44196</v>
          </cell>
        </row>
        <row r="2474">
          <cell r="B2474">
            <v>44188</v>
          </cell>
          <cell r="C2474">
            <v>44196</v>
          </cell>
        </row>
        <row r="2475">
          <cell r="B2475">
            <v>44189</v>
          </cell>
          <cell r="C2475">
            <v>44196</v>
          </cell>
        </row>
        <row r="2476">
          <cell r="B2476">
            <v>44193</v>
          </cell>
          <cell r="C2476">
            <v>44196</v>
          </cell>
        </row>
        <row r="2477">
          <cell r="B2477">
            <v>44194</v>
          </cell>
          <cell r="C2477">
            <v>44196</v>
          </cell>
        </row>
        <row r="2478">
          <cell r="B2478">
            <v>44195</v>
          </cell>
          <cell r="C2478">
            <v>44196</v>
          </cell>
        </row>
        <row r="2479">
          <cell r="B2479">
            <v>44196</v>
          </cell>
          <cell r="C2479">
            <v>44196</v>
          </cell>
        </row>
        <row r="2480">
          <cell r="B2480">
            <v>44197</v>
          </cell>
          <cell r="C2480">
            <v>44224</v>
          </cell>
        </row>
        <row r="2481">
          <cell r="B2481">
            <v>44200</v>
          </cell>
          <cell r="C2481">
            <v>44224</v>
          </cell>
        </row>
        <row r="2482">
          <cell r="B2482">
            <v>44201</v>
          </cell>
          <cell r="C2482">
            <v>44224</v>
          </cell>
        </row>
        <row r="2483">
          <cell r="B2483">
            <v>44202</v>
          </cell>
          <cell r="C2483">
            <v>44224</v>
          </cell>
        </row>
        <row r="2484">
          <cell r="B2484">
            <v>44203</v>
          </cell>
          <cell r="C2484">
            <v>44224</v>
          </cell>
        </row>
        <row r="2485">
          <cell r="B2485">
            <v>44204</v>
          </cell>
          <cell r="C2485">
            <v>44224</v>
          </cell>
        </row>
        <row r="2486">
          <cell r="B2486">
            <v>44207</v>
          </cell>
          <cell r="C2486">
            <v>44224</v>
          </cell>
        </row>
        <row r="2487">
          <cell r="B2487">
            <v>44208</v>
          </cell>
          <cell r="C2487">
            <v>44224</v>
          </cell>
        </row>
        <row r="2488">
          <cell r="B2488">
            <v>44209</v>
          </cell>
          <cell r="C2488">
            <v>44224</v>
          </cell>
        </row>
        <row r="2489">
          <cell r="B2489">
            <v>44210</v>
          </cell>
          <cell r="C2489">
            <v>44224</v>
          </cell>
        </row>
        <row r="2490">
          <cell r="B2490">
            <v>44211</v>
          </cell>
          <cell r="C2490">
            <v>44224</v>
          </cell>
        </row>
        <row r="2491">
          <cell r="B2491">
            <v>44214</v>
          </cell>
          <cell r="C2491">
            <v>44224</v>
          </cell>
        </row>
        <row r="2492">
          <cell r="B2492">
            <v>44215</v>
          </cell>
          <cell r="C2492">
            <v>44224</v>
          </cell>
        </row>
        <row r="2493">
          <cell r="B2493">
            <v>44216</v>
          </cell>
          <cell r="C2493">
            <v>44224</v>
          </cell>
        </row>
        <row r="2494">
          <cell r="B2494">
            <v>44217</v>
          </cell>
          <cell r="C2494">
            <v>44224</v>
          </cell>
        </row>
        <row r="2495">
          <cell r="B2495">
            <v>44218</v>
          </cell>
          <cell r="C2495">
            <v>44224</v>
          </cell>
        </row>
        <row r="2496">
          <cell r="B2496">
            <v>44221</v>
          </cell>
          <cell r="C2496">
            <v>44224</v>
          </cell>
        </row>
        <row r="2497">
          <cell r="B2497">
            <v>44223</v>
          </cell>
          <cell r="C2497">
            <v>44224</v>
          </cell>
        </row>
        <row r="2498">
          <cell r="B2498">
            <v>44224</v>
          </cell>
          <cell r="C2498">
            <v>44224</v>
          </cell>
        </row>
        <row r="2499">
          <cell r="B2499">
            <v>44225</v>
          </cell>
          <cell r="C2499">
            <v>44252</v>
          </cell>
        </row>
        <row r="2500">
          <cell r="B2500">
            <v>44228</v>
          </cell>
          <cell r="C2500">
            <v>44252</v>
          </cell>
        </row>
        <row r="2501">
          <cell r="B2501">
            <v>44229</v>
          </cell>
          <cell r="C2501">
            <v>44252</v>
          </cell>
        </row>
        <row r="2502">
          <cell r="B2502">
            <v>44230</v>
          </cell>
          <cell r="C2502">
            <v>44252</v>
          </cell>
        </row>
        <row r="2503">
          <cell r="B2503">
            <v>44231</v>
          </cell>
          <cell r="C2503">
            <v>44252</v>
          </cell>
        </row>
        <row r="2504">
          <cell r="B2504">
            <v>44232</v>
          </cell>
          <cell r="C2504">
            <v>44252</v>
          </cell>
        </row>
        <row r="2505">
          <cell r="B2505">
            <v>44235</v>
          </cell>
          <cell r="C2505">
            <v>44252</v>
          </cell>
        </row>
        <row r="2506">
          <cell r="B2506">
            <v>44236</v>
          </cell>
          <cell r="C2506">
            <v>44252</v>
          </cell>
        </row>
        <row r="2507">
          <cell r="B2507">
            <v>44237</v>
          </cell>
          <cell r="C2507">
            <v>44252</v>
          </cell>
        </row>
        <row r="2508">
          <cell r="B2508">
            <v>44238</v>
          </cell>
          <cell r="C2508">
            <v>44252</v>
          </cell>
        </row>
        <row r="2509">
          <cell r="B2509">
            <v>44239</v>
          </cell>
          <cell r="C2509">
            <v>44252</v>
          </cell>
        </row>
        <row r="2510">
          <cell r="B2510">
            <v>44242</v>
          </cell>
          <cell r="C2510">
            <v>44252</v>
          </cell>
        </row>
        <row r="2511">
          <cell r="B2511">
            <v>44243</v>
          </cell>
          <cell r="C2511">
            <v>44252</v>
          </cell>
        </row>
        <row r="2512">
          <cell r="B2512">
            <v>44244</v>
          </cell>
          <cell r="C2512">
            <v>44252</v>
          </cell>
        </row>
        <row r="2513">
          <cell r="B2513">
            <v>44245</v>
          </cell>
          <cell r="C2513">
            <v>44252</v>
          </cell>
        </row>
        <row r="2514">
          <cell r="B2514">
            <v>44246</v>
          </cell>
          <cell r="C2514">
            <v>44252</v>
          </cell>
        </row>
        <row r="2515">
          <cell r="B2515">
            <v>44249</v>
          </cell>
          <cell r="C2515">
            <v>44252</v>
          </cell>
        </row>
        <row r="2516">
          <cell r="B2516">
            <v>44250</v>
          </cell>
          <cell r="C2516">
            <v>44252</v>
          </cell>
        </row>
        <row r="2517">
          <cell r="B2517">
            <v>44251</v>
          </cell>
          <cell r="C2517">
            <v>44252</v>
          </cell>
        </row>
        <row r="2518">
          <cell r="B2518">
            <v>44252</v>
          </cell>
          <cell r="C2518">
            <v>44252</v>
          </cell>
        </row>
        <row r="2519">
          <cell r="B2519">
            <v>44253</v>
          </cell>
          <cell r="C2519">
            <v>44280</v>
          </cell>
        </row>
        <row r="2520">
          <cell r="B2520">
            <v>44256</v>
          </cell>
          <cell r="C2520">
            <v>44280</v>
          </cell>
        </row>
        <row r="2521">
          <cell r="B2521">
            <v>44257</v>
          </cell>
          <cell r="C2521">
            <v>44280</v>
          </cell>
        </row>
        <row r="2522">
          <cell r="B2522">
            <v>44258</v>
          </cell>
          <cell r="C2522">
            <v>44280</v>
          </cell>
        </row>
        <row r="2523">
          <cell r="B2523">
            <v>44259</v>
          </cell>
          <cell r="C2523">
            <v>44280</v>
          </cell>
        </row>
        <row r="2524">
          <cell r="B2524">
            <v>44260</v>
          </cell>
          <cell r="C2524">
            <v>44280</v>
          </cell>
        </row>
        <row r="2525">
          <cell r="B2525">
            <v>44263</v>
          </cell>
          <cell r="C2525">
            <v>44280</v>
          </cell>
        </row>
        <row r="2526">
          <cell r="B2526">
            <v>44264</v>
          </cell>
          <cell r="C2526">
            <v>44280</v>
          </cell>
        </row>
        <row r="2527">
          <cell r="B2527">
            <v>44265</v>
          </cell>
          <cell r="C2527">
            <v>44280</v>
          </cell>
        </row>
        <row r="2528">
          <cell r="B2528">
            <v>44267</v>
          </cell>
          <cell r="C2528">
            <v>44280</v>
          </cell>
        </row>
        <row r="2529">
          <cell r="B2529">
            <v>44270</v>
          </cell>
          <cell r="C2529">
            <v>44280</v>
          </cell>
        </row>
        <row r="2530">
          <cell r="B2530">
            <v>44271</v>
          </cell>
          <cell r="C2530">
            <v>44280</v>
          </cell>
        </row>
        <row r="2531">
          <cell r="B2531">
            <v>44272</v>
          </cell>
          <cell r="C2531">
            <v>44280</v>
          </cell>
        </row>
        <row r="2532">
          <cell r="B2532">
            <v>44273</v>
          </cell>
          <cell r="C2532">
            <v>44280</v>
          </cell>
        </row>
        <row r="2533">
          <cell r="B2533">
            <v>44274</v>
          </cell>
          <cell r="C2533">
            <v>44280</v>
          </cell>
        </row>
        <row r="2534">
          <cell r="B2534">
            <v>44277</v>
          </cell>
          <cell r="C2534">
            <v>44280</v>
          </cell>
        </row>
        <row r="2535">
          <cell r="B2535">
            <v>44278</v>
          </cell>
          <cell r="C2535">
            <v>44280</v>
          </cell>
        </row>
        <row r="2536">
          <cell r="B2536">
            <v>44279</v>
          </cell>
          <cell r="C2536">
            <v>44280</v>
          </cell>
        </row>
        <row r="2537">
          <cell r="B2537">
            <v>44280</v>
          </cell>
          <cell r="C2537">
            <v>44280</v>
          </cell>
        </row>
        <row r="2538">
          <cell r="B2538">
            <v>44281</v>
          </cell>
          <cell r="C2538">
            <v>44315</v>
          </cell>
        </row>
        <row r="2539">
          <cell r="B2539">
            <v>44285</v>
          </cell>
          <cell r="C2539">
            <v>44315</v>
          </cell>
        </row>
        <row r="2540">
          <cell r="B2540">
            <v>44286</v>
          </cell>
          <cell r="C2540">
            <v>44315</v>
          </cell>
        </row>
        <row r="2541">
          <cell r="B2541">
            <v>44287</v>
          </cell>
          <cell r="C2541">
            <v>44315</v>
          </cell>
        </row>
        <row r="2542">
          <cell r="B2542">
            <v>44291</v>
          </cell>
          <cell r="C2542">
            <v>44315</v>
          </cell>
        </row>
        <row r="2543">
          <cell r="B2543">
            <v>44292</v>
          </cell>
          <cell r="C2543">
            <v>44315</v>
          </cell>
        </row>
        <row r="2544">
          <cell r="B2544">
            <v>44293</v>
          </cell>
          <cell r="C2544">
            <v>44315</v>
          </cell>
        </row>
        <row r="2545">
          <cell r="B2545">
            <v>44294</v>
          </cell>
          <cell r="C2545">
            <v>44315</v>
          </cell>
        </row>
        <row r="2546">
          <cell r="B2546">
            <v>44295</v>
          </cell>
          <cell r="C2546">
            <v>44315</v>
          </cell>
        </row>
        <row r="2547">
          <cell r="B2547">
            <v>44298</v>
          </cell>
          <cell r="C2547">
            <v>44315</v>
          </cell>
        </row>
        <row r="2548">
          <cell r="B2548">
            <v>44299</v>
          </cell>
          <cell r="C2548">
            <v>44315</v>
          </cell>
        </row>
        <row r="2549">
          <cell r="B2549">
            <v>44301</v>
          </cell>
          <cell r="C2549">
            <v>44315</v>
          </cell>
        </row>
        <row r="2550">
          <cell r="B2550">
            <v>44302</v>
          </cell>
          <cell r="C2550">
            <v>44315</v>
          </cell>
        </row>
        <row r="2551">
          <cell r="B2551">
            <v>44305</v>
          </cell>
          <cell r="C2551">
            <v>44315</v>
          </cell>
        </row>
        <row r="2552">
          <cell r="B2552">
            <v>44306</v>
          </cell>
          <cell r="C2552">
            <v>44315</v>
          </cell>
        </row>
        <row r="2553">
          <cell r="B2553">
            <v>44308</v>
          </cell>
          <cell r="C2553">
            <v>44315</v>
          </cell>
        </row>
        <row r="2554">
          <cell r="B2554">
            <v>44309</v>
          </cell>
          <cell r="C2554">
            <v>44315</v>
          </cell>
        </row>
        <row r="2555">
          <cell r="B2555">
            <v>44312</v>
          </cell>
          <cell r="C2555">
            <v>44315</v>
          </cell>
        </row>
        <row r="2556">
          <cell r="B2556">
            <v>44313</v>
          </cell>
          <cell r="C2556">
            <v>44315</v>
          </cell>
        </row>
        <row r="2557">
          <cell r="B2557">
            <v>44314</v>
          </cell>
          <cell r="C2557">
            <v>44315</v>
          </cell>
        </row>
        <row r="2558">
          <cell r="B2558">
            <v>44315</v>
          </cell>
          <cell r="C2558">
            <v>44315</v>
          </cell>
        </row>
        <row r="2559">
          <cell r="B2559">
            <v>44316</v>
          </cell>
          <cell r="C2559">
            <v>44343</v>
          </cell>
        </row>
        <row r="2560">
          <cell r="B2560">
            <v>44319</v>
          </cell>
          <cell r="C2560">
            <v>44343</v>
          </cell>
        </row>
        <row r="2561">
          <cell r="B2561">
            <v>44320</v>
          </cell>
          <cell r="C2561">
            <v>44343</v>
          </cell>
        </row>
        <row r="2562">
          <cell r="B2562">
            <v>44321</v>
          </cell>
          <cell r="C2562">
            <v>44343</v>
          </cell>
        </row>
        <row r="2563">
          <cell r="B2563">
            <v>44322</v>
          </cell>
          <cell r="C2563">
            <v>44343</v>
          </cell>
        </row>
        <row r="2564">
          <cell r="B2564">
            <v>44323</v>
          </cell>
          <cell r="C2564">
            <v>44343</v>
          </cell>
        </row>
        <row r="2565">
          <cell r="B2565">
            <v>44326</v>
          </cell>
          <cell r="C2565">
            <v>44343</v>
          </cell>
        </row>
        <row r="2566">
          <cell r="B2566">
            <v>44327</v>
          </cell>
          <cell r="C2566">
            <v>44343</v>
          </cell>
        </row>
        <row r="2567">
          <cell r="B2567">
            <v>44328</v>
          </cell>
          <cell r="C2567">
            <v>44343</v>
          </cell>
        </row>
        <row r="2568">
          <cell r="B2568">
            <v>44330</v>
          </cell>
          <cell r="C2568">
            <v>44343</v>
          </cell>
        </row>
        <row r="2569">
          <cell r="B2569">
            <v>44333</v>
          </cell>
          <cell r="C2569">
            <v>44343</v>
          </cell>
        </row>
        <row r="2570">
          <cell r="B2570">
            <v>44334</v>
          </cell>
          <cell r="C2570">
            <v>44343</v>
          </cell>
        </row>
        <row r="2571">
          <cell r="B2571">
            <v>44335</v>
          </cell>
          <cell r="C2571">
            <v>44343</v>
          </cell>
        </row>
        <row r="2572">
          <cell r="B2572">
            <v>44336</v>
          </cell>
          <cell r="C2572">
            <v>44343</v>
          </cell>
        </row>
        <row r="2573">
          <cell r="B2573">
            <v>44337</v>
          </cell>
          <cell r="C2573">
            <v>44343</v>
          </cell>
        </row>
        <row r="2574">
          <cell r="B2574">
            <v>44340</v>
          </cell>
          <cell r="C2574">
            <v>44343</v>
          </cell>
        </row>
        <row r="2575">
          <cell r="B2575">
            <v>44341</v>
          </cell>
          <cell r="C2575">
            <v>44343</v>
          </cell>
        </row>
        <row r="2576">
          <cell r="B2576">
            <v>44342</v>
          </cell>
          <cell r="C2576">
            <v>44343</v>
          </cell>
        </row>
        <row r="2577">
          <cell r="B2577">
            <v>44343</v>
          </cell>
          <cell r="C2577">
            <v>44343</v>
          </cell>
        </row>
        <row r="2578">
          <cell r="B2578">
            <v>44344</v>
          </cell>
          <cell r="C2578">
            <v>44371</v>
          </cell>
        </row>
        <row r="2579">
          <cell r="B2579">
            <v>44347</v>
          </cell>
          <cell r="C2579">
            <v>44371</v>
          </cell>
        </row>
        <row r="2580">
          <cell r="B2580">
            <v>44348</v>
          </cell>
          <cell r="C2580">
            <v>44371</v>
          </cell>
        </row>
        <row r="2581">
          <cell r="B2581">
            <v>44349</v>
          </cell>
          <cell r="C2581">
            <v>44371</v>
          </cell>
        </row>
        <row r="2582">
          <cell r="B2582">
            <v>44350</v>
          </cell>
          <cell r="C2582">
            <v>44371</v>
          </cell>
        </row>
        <row r="2583">
          <cell r="B2583">
            <v>44351</v>
          </cell>
          <cell r="C2583">
            <v>44371</v>
          </cell>
        </row>
        <row r="2584">
          <cell r="B2584">
            <v>44354</v>
          </cell>
          <cell r="C2584">
            <v>44371</v>
          </cell>
        </row>
        <row r="2585">
          <cell r="B2585">
            <v>44355</v>
          </cell>
          <cell r="C2585">
            <v>44371</v>
          </cell>
        </row>
        <row r="2586">
          <cell r="B2586">
            <v>44356</v>
          </cell>
          <cell r="C2586">
            <v>44371</v>
          </cell>
        </row>
        <row r="2587">
          <cell r="B2587">
            <v>44357</v>
          </cell>
          <cell r="C2587">
            <v>44371</v>
          </cell>
        </row>
        <row r="2588">
          <cell r="B2588">
            <v>44358</v>
          </cell>
          <cell r="C2588">
            <v>44371</v>
          </cell>
        </row>
        <row r="2589">
          <cell r="B2589">
            <v>44361</v>
          </cell>
          <cell r="C2589">
            <v>44371</v>
          </cell>
        </row>
        <row r="2590">
          <cell r="B2590">
            <v>44362</v>
          </cell>
          <cell r="C2590">
            <v>44371</v>
          </cell>
        </row>
        <row r="2591">
          <cell r="B2591">
            <v>44363</v>
          </cell>
          <cell r="C2591">
            <v>44371</v>
          </cell>
        </row>
        <row r="2592">
          <cell r="B2592">
            <v>44364</v>
          </cell>
          <cell r="C2592">
            <v>44371</v>
          </cell>
        </row>
        <row r="2593">
          <cell r="B2593">
            <v>44365</v>
          </cell>
          <cell r="C2593">
            <v>44371</v>
          </cell>
        </row>
        <row r="2594">
          <cell r="B2594">
            <v>44368</v>
          </cell>
          <cell r="C2594">
            <v>44371</v>
          </cell>
        </row>
        <row r="2595">
          <cell r="B2595">
            <v>44369</v>
          </cell>
          <cell r="C2595">
            <v>44371</v>
          </cell>
        </row>
        <row r="2596">
          <cell r="B2596">
            <v>44370</v>
          </cell>
          <cell r="C2596">
            <v>44371</v>
          </cell>
        </row>
        <row r="2597">
          <cell r="B2597">
            <v>44371</v>
          </cell>
          <cell r="C2597">
            <v>44371</v>
          </cell>
        </row>
        <row r="2598">
          <cell r="B2598">
            <v>44372</v>
          </cell>
          <cell r="C2598">
            <v>44406</v>
          </cell>
        </row>
        <row r="2599">
          <cell r="B2599">
            <v>44375</v>
          </cell>
          <cell r="C2599">
            <v>44406</v>
          </cell>
        </row>
        <row r="2600">
          <cell r="B2600">
            <v>44376</v>
          </cell>
          <cell r="C2600">
            <v>44406</v>
          </cell>
        </row>
        <row r="2601">
          <cell r="B2601">
            <v>44377</v>
          </cell>
          <cell r="C2601">
            <v>44406</v>
          </cell>
        </row>
        <row r="2602">
          <cell r="B2602">
            <v>44378</v>
          </cell>
          <cell r="C2602">
            <v>44406</v>
          </cell>
        </row>
        <row r="2603">
          <cell r="B2603">
            <v>44379</v>
          </cell>
          <cell r="C2603">
            <v>44406</v>
          </cell>
        </row>
        <row r="2604">
          <cell r="B2604">
            <v>44382</v>
          </cell>
          <cell r="C2604">
            <v>44406</v>
          </cell>
        </row>
        <row r="2605">
          <cell r="B2605">
            <v>44383</v>
          </cell>
          <cell r="C2605">
            <v>44406</v>
          </cell>
        </row>
        <row r="2606">
          <cell r="B2606">
            <v>44384</v>
          </cell>
          <cell r="C2606">
            <v>44406</v>
          </cell>
        </row>
        <row r="2607">
          <cell r="B2607">
            <v>44385</v>
          </cell>
          <cell r="C2607">
            <v>44406</v>
          </cell>
        </row>
        <row r="2608">
          <cell r="B2608">
            <v>44386</v>
          </cell>
          <cell r="C2608">
            <v>44406</v>
          </cell>
        </row>
        <row r="2609">
          <cell r="B2609">
            <v>44389</v>
          </cell>
          <cell r="C2609">
            <v>44406</v>
          </cell>
        </row>
        <row r="2610">
          <cell r="B2610">
            <v>44390</v>
          </cell>
          <cell r="C2610">
            <v>44406</v>
          </cell>
        </row>
        <row r="2611">
          <cell r="B2611">
            <v>44391</v>
          </cell>
          <cell r="C2611">
            <v>44406</v>
          </cell>
        </row>
        <row r="2612">
          <cell r="B2612">
            <v>44392</v>
          </cell>
          <cell r="C2612">
            <v>44406</v>
          </cell>
        </row>
        <row r="2613">
          <cell r="B2613">
            <v>44393</v>
          </cell>
          <cell r="C2613">
            <v>44406</v>
          </cell>
        </row>
        <row r="2614">
          <cell r="B2614">
            <v>44396</v>
          </cell>
          <cell r="C2614">
            <v>44406</v>
          </cell>
        </row>
        <row r="2615">
          <cell r="B2615">
            <v>44397</v>
          </cell>
          <cell r="C2615">
            <v>44406</v>
          </cell>
        </row>
        <row r="2616">
          <cell r="B2616">
            <v>44399</v>
          </cell>
          <cell r="C2616">
            <v>44406</v>
          </cell>
        </row>
        <row r="2617">
          <cell r="B2617">
            <v>44400</v>
          </cell>
          <cell r="C2617">
            <v>44406</v>
          </cell>
        </row>
        <row r="2618">
          <cell r="B2618">
            <v>44403</v>
          </cell>
          <cell r="C2618">
            <v>44406</v>
          </cell>
        </row>
        <row r="2619">
          <cell r="B2619">
            <v>44404</v>
          </cell>
          <cell r="C2619">
            <v>44406</v>
          </cell>
        </row>
        <row r="2620">
          <cell r="B2620">
            <v>44405</v>
          </cell>
          <cell r="C2620">
            <v>44406</v>
          </cell>
        </row>
        <row r="2621">
          <cell r="B2621">
            <v>44406</v>
          </cell>
          <cell r="C2621">
            <v>44406</v>
          </cell>
        </row>
        <row r="2622">
          <cell r="B2622">
            <v>44407</v>
          </cell>
          <cell r="C2622">
            <v>44434</v>
          </cell>
        </row>
        <row r="2623">
          <cell r="B2623">
            <v>44408</v>
          </cell>
          <cell r="C2623">
            <v>44434</v>
          </cell>
        </row>
        <row r="2624">
          <cell r="B2624">
            <v>44409</v>
          </cell>
          <cell r="C2624">
            <v>44434</v>
          </cell>
        </row>
        <row r="2625">
          <cell r="B2625">
            <v>44410</v>
          </cell>
          <cell r="C2625">
            <v>44434</v>
          </cell>
        </row>
        <row r="2626">
          <cell r="B2626">
            <v>44411</v>
          </cell>
          <cell r="C2626">
            <v>44434</v>
          </cell>
        </row>
        <row r="2627">
          <cell r="B2627">
            <v>44412</v>
          </cell>
          <cell r="C2627">
            <v>44434</v>
          </cell>
        </row>
        <row r="2628">
          <cell r="B2628">
            <v>44413</v>
          </cell>
          <cell r="C2628">
            <v>44434</v>
          </cell>
        </row>
        <row r="2629">
          <cell r="B2629">
            <v>44414</v>
          </cell>
          <cell r="C2629">
            <v>44434</v>
          </cell>
        </row>
        <row r="2630">
          <cell r="B2630">
            <v>44415</v>
          </cell>
          <cell r="C2630">
            <v>44434</v>
          </cell>
        </row>
        <row r="2631">
          <cell r="B2631">
            <v>44416</v>
          </cell>
          <cell r="C2631">
            <v>44434</v>
          </cell>
        </row>
        <row r="2632">
          <cell r="B2632">
            <v>44417</v>
          </cell>
          <cell r="C2632">
            <v>44434</v>
          </cell>
        </row>
        <row r="2633">
          <cell r="B2633">
            <v>44418</v>
          </cell>
          <cell r="C2633">
            <v>44434</v>
          </cell>
        </row>
        <row r="2634">
          <cell r="B2634">
            <v>44419</v>
          </cell>
          <cell r="C2634">
            <v>44434</v>
          </cell>
        </row>
        <row r="2635">
          <cell r="B2635">
            <v>44420</v>
          </cell>
          <cell r="C2635">
            <v>44434</v>
          </cell>
        </row>
        <row r="2636">
          <cell r="B2636">
            <v>44421</v>
          </cell>
          <cell r="C2636">
            <v>44434</v>
          </cell>
        </row>
        <row r="2637">
          <cell r="B2637">
            <v>44422</v>
          </cell>
          <cell r="C2637">
            <v>44434</v>
          </cell>
        </row>
        <row r="2638">
          <cell r="B2638">
            <v>44423</v>
          </cell>
          <cell r="C2638">
            <v>44434</v>
          </cell>
        </row>
        <row r="2639">
          <cell r="B2639">
            <v>44424</v>
          </cell>
          <cell r="C2639">
            <v>44434</v>
          </cell>
        </row>
        <row r="2640">
          <cell r="B2640">
            <v>44425</v>
          </cell>
          <cell r="C2640">
            <v>44434</v>
          </cell>
        </row>
        <row r="2641">
          <cell r="B2641">
            <v>44426</v>
          </cell>
          <cell r="C2641">
            <v>44434</v>
          </cell>
        </row>
        <row r="2642">
          <cell r="B2642">
            <v>44427</v>
          </cell>
          <cell r="C2642">
            <v>44434</v>
          </cell>
        </row>
        <row r="2643">
          <cell r="B2643">
            <v>44428</v>
          </cell>
          <cell r="C2643">
            <v>44434</v>
          </cell>
        </row>
        <row r="2644">
          <cell r="B2644">
            <v>44429</v>
          </cell>
          <cell r="C2644">
            <v>44434</v>
          </cell>
        </row>
        <row r="2645">
          <cell r="B2645">
            <v>44430</v>
          </cell>
          <cell r="C2645">
            <v>44434</v>
          </cell>
        </row>
        <row r="2646">
          <cell r="B2646">
            <v>44431</v>
          </cell>
          <cell r="C2646">
            <v>44434</v>
          </cell>
        </row>
        <row r="2647">
          <cell r="B2647">
            <v>44432</v>
          </cell>
          <cell r="C2647">
            <v>44434</v>
          </cell>
        </row>
        <row r="2648">
          <cell r="B2648">
            <v>44433</v>
          </cell>
          <cell r="C2648">
            <v>44434</v>
          </cell>
        </row>
        <row r="2649">
          <cell r="B2649">
            <v>44434</v>
          </cell>
          <cell r="C2649">
            <v>44434</v>
          </cell>
        </row>
        <row r="2650">
          <cell r="B2650">
            <v>44435</v>
          </cell>
          <cell r="C2650">
            <v>44469</v>
          </cell>
        </row>
        <row r="2651">
          <cell r="B2651">
            <v>44436</v>
          </cell>
          <cell r="C2651">
            <v>44469</v>
          </cell>
        </row>
        <row r="2652">
          <cell r="B2652">
            <v>44437</v>
          </cell>
          <cell r="C2652">
            <v>44469</v>
          </cell>
        </row>
        <row r="2653">
          <cell r="B2653">
            <v>44438</v>
          </cell>
          <cell r="C2653">
            <v>44469</v>
          </cell>
        </row>
        <row r="2654">
          <cell r="B2654">
            <v>44439</v>
          </cell>
          <cell r="C2654">
            <v>44469</v>
          </cell>
        </row>
        <row r="2655">
          <cell r="B2655">
            <v>44440</v>
          </cell>
          <cell r="C2655">
            <v>44469</v>
          </cell>
        </row>
        <row r="2656">
          <cell r="B2656">
            <v>44441</v>
          </cell>
          <cell r="C2656">
            <v>44469</v>
          </cell>
        </row>
        <row r="2657">
          <cell r="B2657">
            <v>44442</v>
          </cell>
          <cell r="C2657">
            <v>44469</v>
          </cell>
        </row>
        <row r="2658">
          <cell r="B2658">
            <v>44443</v>
          </cell>
          <cell r="C2658">
            <v>44469</v>
          </cell>
        </row>
        <row r="2659">
          <cell r="B2659">
            <v>44444</v>
          </cell>
          <cell r="C2659">
            <v>44469</v>
          </cell>
        </row>
        <row r="2660">
          <cell r="B2660">
            <v>44445</v>
          </cell>
          <cell r="C2660">
            <v>44469</v>
          </cell>
        </row>
        <row r="2661">
          <cell r="B2661">
            <v>44446</v>
          </cell>
          <cell r="C2661">
            <v>44469</v>
          </cell>
        </row>
        <row r="2662">
          <cell r="B2662">
            <v>44447</v>
          </cell>
          <cell r="C2662">
            <v>44469</v>
          </cell>
        </row>
        <row r="2663">
          <cell r="B2663">
            <v>44448</v>
          </cell>
          <cell r="C2663">
            <v>44469</v>
          </cell>
        </row>
        <row r="2664">
          <cell r="B2664">
            <v>44449</v>
          </cell>
          <cell r="C2664">
            <v>44469</v>
          </cell>
        </row>
        <row r="2665">
          <cell r="B2665">
            <v>44450</v>
          </cell>
          <cell r="C2665">
            <v>44469</v>
          </cell>
        </row>
        <row r="2666">
          <cell r="B2666">
            <v>44451</v>
          </cell>
          <cell r="C2666">
            <v>44469</v>
          </cell>
        </row>
        <row r="2667">
          <cell r="B2667">
            <v>44452</v>
          </cell>
          <cell r="C2667">
            <v>44469</v>
          </cell>
        </row>
        <row r="2668">
          <cell r="B2668">
            <v>44453</v>
          </cell>
          <cell r="C2668">
            <v>44469</v>
          </cell>
        </row>
        <row r="2669">
          <cell r="B2669">
            <v>44454</v>
          </cell>
          <cell r="C2669">
            <v>44469</v>
          </cell>
        </row>
        <row r="2670">
          <cell r="B2670">
            <v>44455</v>
          </cell>
          <cell r="C2670">
            <v>44469</v>
          </cell>
        </row>
        <row r="2671">
          <cell r="B2671">
            <v>44456</v>
          </cell>
          <cell r="C2671">
            <v>44469</v>
          </cell>
        </row>
        <row r="2672">
          <cell r="B2672">
            <v>44457</v>
          </cell>
          <cell r="C2672">
            <v>44469</v>
          </cell>
        </row>
        <row r="2673">
          <cell r="B2673">
            <v>44458</v>
          </cell>
          <cell r="C2673">
            <v>44469</v>
          </cell>
        </row>
        <row r="2674">
          <cell r="B2674">
            <v>44459</v>
          </cell>
          <cell r="C2674">
            <v>44469</v>
          </cell>
        </row>
        <row r="2675">
          <cell r="B2675">
            <v>44460</v>
          </cell>
          <cell r="C2675">
            <v>44469</v>
          </cell>
        </row>
        <row r="2676">
          <cell r="B2676">
            <v>44461</v>
          </cell>
          <cell r="C2676">
            <v>44469</v>
          </cell>
        </row>
        <row r="2677">
          <cell r="B2677">
            <v>44462</v>
          </cell>
          <cell r="C2677">
            <v>44469</v>
          </cell>
        </row>
        <row r="2678">
          <cell r="B2678">
            <v>44463</v>
          </cell>
          <cell r="C2678">
            <v>44469</v>
          </cell>
        </row>
        <row r="2679">
          <cell r="B2679">
            <v>44464</v>
          </cell>
          <cell r="C2679">
            <v>44469</v>
          </cell>
        </row>
        <row r="2680">
          <cell r="B2680">
            <v>44465</v>
          </cell>
          <cell r="C2680">
            <v>44469</v>
          </cell>
        </row>
        <row r="2681">
          <cell r="B2681">
            <v>44466</v>
          </cell>
          <cell r="C2681">
            <v>44469</v>
          </cell>
        </row>
        <row r="2682">
          <cell r="B2682">
            <v>44467</v>
          </cell>
          <cell r="C2682">
            <v>44469</v>
          </cell>
        </row>
        <row r="2683">
          <cell r="B2683">
            <v>44468</v>
          </cell>
          <cell r="C2683">
            <v>44469</v>
          </cell>
        </row>
        <row r="2684">
          <cell r="B2684">
            <v>44469</v>
          </cell>
          <cell r="C2684">
            <v>44469</v>
          </cell>
        </row>
        <row r="2685">
          <cell r="B2685">
            <v>44470</v>
          </cell>
          <cell r="C2685">
            <v>44497</v>
          </cell>
        </row>
        <row r="2686">
          <cell r="B2686">
            <v>44471</v>
          </cell>
          <cell r="C2686">
            <v>44497</v>
          </cell>
        </row>
        <row r="2687">
          <cell r="B2687">
            <v>44472</v>
          </cell>
          <cell r="C2687">
            <v>44497</v>
          </cell>
        </row>
        <row r="2688">
          <cell r="B2688">
            <v>44473</v>
          </cell>
          <cell r="C2688">
            <v>44497</v>
          </cell>
        </row>
        <row r="2689">
          <cell r="B2689">
            <v>44474</v>
          </cell>
          <cell r="C2689">
            <v>44497</v>
          </cell>
        </row>
        <row r="2690">
          <cell r="B2690">
            <v>44475</v>
          </cell>
          <cell r="C2690">
            <v>44497</v>
          </cell>
        </row>
        <row r="2691">
          <cell r="B2691">
            <v>44476</v>
          </cell>
          <cell r="C2691">
            <v>44497</v>
          </cell>
        </row>
        <row r="2692">
          <cell r="B2692">
            <v>44477</v>
          </cell>
          <cell r="C2692">
            <v>44497</v>
          </cell>
        </row>
        <row r="2693">
          <cell r="B2693">
            <v>44478</v>
          </cell>
          <cell r="C2693">
            <v>44497</v>
          </cell>
        </row>
        <row r="2694">
          <cell r="B2694">
            <v>44479</v>
          </cell>
          <cell r="C2694">
            <v>44497</v>
          </cell>
        </row>
        <row r="2695">
          <cell r="B2695">
            <v>44480</v>
          </cell>
          <cell r="C2695">
            <v>44497</v>
          </cell>
        </row>
        <row r="2696">
          <cell r="B2696">
            <v>44481</v>
          </cell>
          <cell r="C2696">
            <v>44497</v>
          </cell>
        </row>
        <row r="2697">
          <cell r="B2697">
            <v>44482</v>
          </cell>
          <cell r="C2697">
            <v>44497</v>
          </cell>
        </row>
        <row r="2698">
          <cell r="B2698">
            <v>44483</v>
          </cell>
          <cell r="C2698">
            <v>44497</v>
          </cell>
        </row>
        <row r="2699">
          <cell r="B2699">
            <v>44484</v>
          </cell>
          <cell r="C2699">
            <v>44497</v>
          </cell>
        </row>
        <row r="2700">
          <cell r="B2700">
            <v>44485</v>
          </cell>
          <cell r="C2700">
            <v>44497</v>
          </cell>
        </row>
        <row r="2701">
          <cell r="B2701">
            <v>44486</v>
          </cell>
          <cell r="C2701">
            <v>44497</v>
          </cell>
        </row>
        <row r="2702">
          <cell r="B2702">
            <v>44487</v>
          </cell>
          <cell r="C2702">
            <v>44497</v>
          </cell>
        </row>
        <row r="2703">
          <cell r="B2703">
            <v>44488</v>
          </cell>
          <cell r="C2703">
            <v>44497</v>
          </cell>
        </row>
        <row r="2704">
          <cell r="B2704">
            <v>44489</v>
          </cell>
          <cell r="C2704">
            <v>44497</v>
          </cell>
        </row>
        <row r="2705">
          <cell r="B2705">
            <v>44490</v>
          </cell>
          <cell r="C2705">
            <v>44497</v>
          </cell>
        </row>
        <row r="2706">
          <cell r="B2706">
            <v>44491</v>
          </cell>
          <cell r="C2706">
            <v>44497</v>
          </cell>
        </row>
        <row r="2707">
          <cell r="B2707">
            <v>44492</v>
          </cell>
          <cell r="C2707">
            <v>44497</v>
          </cell>
        </row>
        <row r="2708">
          <cell r="B2708">
            <v>44493</v>
          </cell>
          <cell r="C2708">
            <v>44497</v>
          </cell>
        </row>
        <row r="2709">
          <cell r="B2709">
            <v>44494</v>
          </cell>
          <cell r="C2709">
            <v>44497</v>
          </cell>
        </row>
        <row r="2710">
          <cell r="B2710">
            <v>44495</v>
          </cell>
          <cell r="C2710">
            <v>44497</v>
          </cell>
        </row>
        <row r="2711">
          <cell r="B2711">
            <v>44496</v>
          </cell>
          <cell r="C2711">
            <v>44497</v>
          </cell>
        </row>
        <row r="2712">
          <cell r="B2712">
            <v>44497</v>
          </cell>
          <cell r="C2712">
            <v>44497</v>
          </cell>
        </row>
        <row r="2713">
          <cell r="B2713">
            <v>44498</v>
          </cell>
          <cell r="C2713">
            <v>44525</v>
          </cell>
        </row>
        <row r="2714">
          <cell r="B2714">
            <v>44499</v>
          </cell>
          <cell r="C2714">
            <v>44525</v>
          </cell>
        </row>
        <row r="2715">
          <cell r="B2715">
            <v>44500</v>
          </cell>
          <cell r="C2715">
            <v>44525</v>
          </cell>
        </row>
        <row r="2716">
          <cell r="B2716">
            <v>44501</v>
          </cell>
          <cell r="C2716">
            <v>44525</v>
          </cell>
        </row>
        <row r="2717">
          <cell r="B2717">
            <v>44502</v>
          </cell>
          <cell r="C2717">
            <v>44525</v>
          </cell>
        </row>
        <row r="2718">
          <cell r="B2718">
            <v>44503</v>
          </cell>
          <cell r="C2718">
            <v>44525</v>
          </cell>
        </row>
        <row r="2719">
          <cell r="B2719">
            <v>44504</v>
          </cell>
          <cell r="C2719">
            <v>44525</v>
          </cell>
        </row>
        <row r="2720">
          <cell r="B2720">
            <v>44505</v>
          </cell>
          <cell r="C2720">
            <v>44525</v>
          </cell>
        </row>
        <row r="2721">
          <cell r="B2721">
            <v>44506</v>
          </cell>
          <cell r="C2721">
            <v>44525</v>
          </cell>
        </row>
        <row r="2722">
          <cell r="B2722">
            <v>44507</v>
          </cell>
          <cell r="C2722">
            <v>44525</v>
          </cell>
        </row>
        <row r="2723">
          <cell r="B2723">
            <v>44508</v>
          </cell>
          <cell r="C2723">
            <v>44525</v>
          </cell>
        </row>
        <row r="2724">
          <cell r="B2724">
            <v>44509</v>
          </cell>
          <cell r="C2724">
            <v>44525</v>
          </cell>
        </row>
        <row r="2725">
          <cell r="B2725">
            <v>44510</v>
          </cell>
          <cell r="C2725">
            <v>44525</v>
          </cell>
        </row>
        <row r="2726">
          <cell r="B2726">
            <v>44511</v>
          </cell>
          <cell r="C2726">
            <v>44525</v>
          </cell>
        </row>
        <row r="2727">
          <cell r="B2727">
            <v>44512</v>
          </cell>
          <cell r="C2727">
            <v>44525</v>
          </cell>
        </row>
        <row r="2728">
          <cell r="B2728">
            <v>44513</v>
          </cell>
          <cell r="C2728">
            <v>44525</v>
          </cell>
        </row>
        <row r="2729">
          <cell r="B2729">
            <v>44514</v>
          </cell>
          <cell r="C2729">
            <v>44525</v>
          </cell>
        </row>
        <row r="2730">
          <cell r="B2730">
            <v>44515</v>
          </cell>
          <cell r="C2730">
            <v>44525</v>
          </cell>
        </row>
        <row r="2731">
          <cell r="B2731">
            <v>44516</v>
          </cell>
          <cell r="C2731">
            <v>44525</v>
          </cell>
        </row>
        <row r="2732">
          <cell r="B2732">
            <v>44517</v>
          </cell>
          <cell r="C2732">
            <v>44525</v>
          </cell>
        </row>
        <row r="2733">
          <cell r="B2733">
            <v>44518</v>
          </cell>
          <cell r="C2733">
            <v>44525</v>
          </cell>
        </row>
        <row r="2734">
          <cell r="B2734">
            <v>44519</v>
          </cell>
          <cell r="C2734">
            <v>44525</v>
          </cell>
        </row>
        <row r="2735">
          <cell r="B2735">
            <v>44520</v>
          </cell>
          <cell r="C2735">
            <v>44525</v>
          </cell>
        </row>
        <row r="2736">
          <cell r="B2736">
            <v>44521</v>
          </cell>
          <cell r="C2736">
            <v>44525</v>
          </cell>
        </row>
        <row r="2737">
          <cell r="B2737">
            <v>44522</v>
          </cell>
          <cell r="C2737">
            <v>44525</v>
          </cell>
        </row>
        <row r="2738">
          <cell r="B2738">
            <v>44523</v>
          </cell>
          <cell r="C2738">
            <v>44525</v>
          </cell>
        </row>
        <row r="2739">
          <cell r="B2739">
            <v>44524</v>
          </cell>
          <cell r="C2739">
            <v>44525</v>
          </cell>
        </row>
        <row r="2740">
          <cell r="B2740">
            <v>44525</v>
          </cell>
          <cell r="C2740">
            <v>44525</v>
          </cell>
        </row>
        <row r="2741">
          <cell r="B2741">
            <v>44526</v>
          </cell>
          <cell r="C2741">
            <v>44560</v>
          </cell>
        </row>
        <row r="2742">
          <cell r="B2742">
            <v>44527</v>
          </cell>
          <cell r="C2742">
            <v>44560</v>
          </cell>
        </row>
        <row r="2743">
          <cell r="B2743">
            <v>44528</v>
          </cell>
          <cell r="C2743">
            <v>44560</v>
          </cell>
        </row>
        <row r="2744">
          <cell r="B2744">
            <v>44529</v>
          </cell>
          <cell r="C2744">
            <v>44560</v>
          </cell>
        </row>
        <row r="2745">
          <cell r="B2745">
            <v>44530</v>
          </cell>
          <cell r="C2745">
            <v>44560</v>
          </cell>
        </row>
        <row r="2746">
          <cell r="B2746">
            <v>44531</v>
          </cell>
          <cell r="C2746">
            <v>44560</v>
          </cell>
        </row>
        <row r="2747">
          <cell r="B2747">
            <v>44532</v>
          </cell>
          <cell r="C2747">
            <v>44560</v>
          </cell>
        </row>
        <row r="2748">
          <cell r="B2748">
            <v>44533</v>
          </cell>
          <cell r="C2748">
            <v>44560</v>
          </cell>
        </row>
        <row r="2749">
          <cell r="B2749">
            <v>44534</v>
          </cell>
          <cell r="C2749">
            <v>44560</v>
          </cell>
        </row>
        <row r="2750">
          <cell r="B2750">
            <v>44535</v>
          </cell>
          <cell r="C2750">
            <v>44560</v>
          </cell>
        </row>
        <row r="2751">
          <cell r="B2751">
            <v>44536</v>
          </cell>
          <cell r="C2751">
            <v>44560</v>
          </cell>
        </row>
        <row r="2752">
          <cell r="B2752">
            <v>44537</v>
          </cell>
          <cell r="C2752">
            <v>44560</v>
          </cell>
        </row>
        <row r="2753">
          <cell r="B2753">
            <v>44538</v>
          </cell>
          <cell r="C2753">
            <v>44560</v>
          </cell>
        </row>
        <row r="2754">
          <cell r="B2754">
            <v>44539</v>
          </cell>
          <cell r="C2754">
            <v>44560</v>
          </cell>
        </row>
        <row r="2755">
          <cell r="B2755">
            <v>44540</v>
          </cell>
          <cell r="C2755">
            <v>44560</v>
          </cell>
        </row>
        <row r="2756">
          <cell r="B2756">
            <v>44541</v>
          </cell>
          <cell r="C2756">
            <v>44560</v>
          </cell>
        </row>
        <row r="2757">
          <cell r="B2757">
            <v>44542</v>
          </cell>
          <cell r="C2757">
            <v>44560</v>
          </cell>
        </row>
        <row r="2758">
          <cell r="B2758">
            <v>44543</v>
          </cell>
          <cell r="C2758">
            <v>44560</v>
          </cell>
        </row>
        <row r="2759">
          <cell r="B2759">
            <v>44544</v>
          </cell>
          <cell r="C2759">
            <v>44560</v>
          </cell>
        </row>
        <row r="2760">
          <cell r="B2760">
            <v>44545</v>
          </cell>
          <cell r="C2760">
            <v>44560</v>
          </cell>
        </row>
        <row r="2761">
          <cell r="B2761">
            <v>44546</v>
          </cell>
          <cell r="C2761">
            <v>44560</v>
          </cell>
        </row>
        <row r="2762">
          <cell r="B2762">
            <v>44547</v>
          </cell>
          <cell r="C2762">
            <v>44560</v>
          </cell>
        </row>
        <row r="2763">
          <cell r="B2763">
            <v>44548</v>
          </cell>
          <cell r="C2763">
            <v>44560</v>
          </cell>
        </row>
        <row r="2764">
          <cell r="B2764">
            <v>44549</v>
          </cell>
          <cell r="C2764">
            <v>44560</v>
          </cell>
        </row>
        <row r="2765">
          <cell r="B2765">
            <v>44550</v>
          </cell>
          <cell r="C2765">
            <v>44560</v>
          </cell>
        </row>
        <row r="2766">
          <cell r="B2766">
            <v>44551</v>
          </cell>
          <cell r="C2766">
            <v>44560</v>
          </cell>
        </row>
        <row r="2767">
          <cell r="B2767">
            <v>44552</v>
          </cell>
          <cell r="C2767">
            <v>44560</v>
          </cell>
        </row>
        <row r="2768">
          <cell r="B2768">
            <v>44553</v>
          </cell>
          <cell r="C2768">
            <v>44560</v>
          </cell>
        </row>
        <row r="2769">
          <cell r="B2769">
            <v>44554</v>
          </cell>
          <cell r="C2769">
            <v>44560</v>
          </cell>
        </row>
        <row r="2770">
          <cell r="B2770">
            <v>44555</v>
          </cell>
          <cell r="C2770">
            <v>44560</v>
          </cell>
        </row>
        <row r="2771">
          <cell r="B2771">
            <v>44556</v>
          </cell>
          <cell r="C2771">
            <v>44560</v>
          </cell>
        </row>
        <row r="2772">
          <cell r="B2772">
            <v>44557</v>
          </cell>
          <cell r="C2772">
            <v>44560</v>
          </cell>
        </row>
        <row r="2773">
          <cell r="B2773">
            <v>44558</v>
          </cell>
          <cell r="C2773">
            <v>44560</v>
          </cell>
        </row>
        <row r="2774">
          <cell r="B2774">
            <v>44559</v>
          </cell>
          <cell r="C2774">
            <v>44560</v>
          </cell>
        </row>
        <row r="2775">
          <cell r="B2775">
            <v>44560</v>
          </cell>
          <cell r="C2775">
            <v>44560</v>
          </cell>
        </row>
        <row r="2776">
          <cell r="B2776">
            <v>44561</v>
          </cell>
          <cell r="C2776">
            <v>44588</v>
          </cell>
        </row>
        <row r="2777">
          <cell r="B2777">
            <v>44562</v>
          </cell>
          <cell r="C2777">
            <v>44588</v>
          </cell>
        </row>
        <row r="2778">
          <cell r="B2778">
            <v>44563</v>
          </cell>
          <cell r="C2778">
            <v>44588</v>
          </cell>
        </row>
        <row r="2779">
          <cell r="B2779">
            <v>44564</v>
          </cell>
          <cell r="C2779">
            <v>44588</v>
          </cell>
        </row>
        <row r="2780">
          <cell r="B2780">
            <v>44565</v>
          </cell>
          <cell r="C2780">
            <v>44588</v>
          </cell>
        </row>
        <row r="2781">
          <cell r="B2781">
            <v>44566</v>
          </cell>
          <cell r="C2781">
            <v>44588</v>
          </cell>
        </row>
        <row r="2782">
          <cell r="B2782">
            <v>44567</v>
          </cell>
          <cell r="C2782">
            <v>44588</v>
          </cell>
        </row>
        <row r="2783">
          <cell r="B2783">
            <v>44568</v>
          </cell>
          <cell r="C2783">
            <v>44588</v>
          </cell>
        </row>
        <row r="2784">
          <cell r="B2784">
            <v>44569</v>
          </cell>
          <cell r="C2784">
            <v>44588</v>
          </cell>
        </row>
        <row r="2785">
          <cell r="B2785">
            <v>44570</v>
          </cell>
          <cell r="C2785">
            <v>44588</v>
          </cell>
        </row>
        <row r="2786">
          <cell r="B2786">
            <v>44571</v>
          </cell>
          <cell r="C2786">
            <v>44588</v>
          </cell>
        </row>
        <row r="2787">
          <cell r="B2787">
            <v>44572</v>
          </cell>
          <cell r="C2787">
            <v>44588</v>
          </cell>
        </row>
        <row r="2788">
          <cell r="B2788">
            <v>44573</v>
          </cell>
          <cell r="C2788">
            <v>44588</v>
          </cell>
        </row>
        <row r="2789">
          <cell r="B2789">
            <v>44574</v>
          </cell>
          <cell r="C2789">
            <v>44588</v>
          </cell>
        </row>
        <row r="2790">
          <cell r="B2790">
            <v>44575</v>
          </cell>
          <cell r="C2790">
            <v>44588</v>
          </cell>
        </row>
        <row r="2791">
          <cell r="B2791">
            <v>44576</v>
          </cell>
          <cell r="C2791">
            <v>44588</v>
          </cell>
        </row>
        <row r="2792">
          <cell r="B2792">
            <v>44577</v>
          </cell>
          <cell r="C2792">
            <v>44588</v>
          </cell>
        </row>
        <row r="2793">
          <cell r="B2793">
            <v>44578</v>
          </cell>
          <cell r="C2793">
            <v>44588</v>
          </cell>
        </row>
        <row r="2794">
          <cell r="B2794">
            <v>44579</v>
          </cell>
          <cell r="C2794">
            <v>44588</v>
          </cell>
        </row>
        <row r="2795">
          <cell r="B2795">
            <v>44580</v>
          </cell>
          <cell r="C2795">
            <v>44588</v>
          </cell>
        </row>
        <row r="2796">
          <cell r="B2796">
            <v>44581</v>
          </cell>
          <cell r="C2796">
            <v>44588</v>
          </cell>
        </row>
        <row r="2797">
          <cell r="B2797">
            <v>44582</v>
          </cell>
          <cell r="C2797">
            <v>44588</v>
          </cell>
        </row>
        <row r="2798">
          <cell r="B2798">
            <v>44583</v>
          </cell>
          <cell r="C2798">
            <v>44588</v>
          </cell>
        </row>
        <row r="2799">
          <cell r="B2799">
            <v>44584</v>
          </cell>
          <cell r="C2799">
            <v>44588</v>
          </cell>
        </row>
        <row r="2800">
          <cell r="B2800">
            <v>44585</v>
          </cell>
          <cell r="C2800">
            <v>44588</v>
          </cell>
        </row>
        <row r="2801">
          <cell r="B2801">
            <v>44586</v>
          </cell>
          <cell r="C2801">
            <v>44588</v>
          </cell>
        </row>
        <row r="2802">
          <cell r="B2802">
            <v>44587</v>
          </cell>
          <cell r="C2802">
            <v>44588</v>
          </cell>
        </row>
        <row r="2803">
          <cell r="B2803">
            <v>44588</v>
          </cell>
          <cell r="C2803">
            <v>44588</v>
          </cell>
        </row>
        <row r="2804">
          <cell r="B2804">
            <v>44589</v>
          </cell>
          <cell r="C2804">
            <v>44616</v>
          </cell>
        </row>
        <row r="2805">
          <cell r="B2805">
            <v>44590</v>
          </cell>
          <cell r="C2805">
            <v>44616</v>
          </cell>
        </row>
        <row r="2806">
          <cell r="B2806">
            <v>44591</v>
          </cell>
          <cell r="C2806">
            <v>44616</v>
          </cell>
        </row>
        <row r="2807">
          <cell r="B2807">
            <v>44592</v>
          </cell>
          <cell r="C2807">
            <v>44616</v>
          </cell>
        </row>
        <row r="2808">
          <cell r="B2808">
            <v>44593</v>
          </cell>
          <cell r="C2808">
            <v>44616</v>
          </cell>
        </row>
        <row r="2809">
          <cell r="B2809">
            <v>44594</v>
          </cell>
          <cell r="C2809">
            <v>44616</v>
          </cell>
        </row>
        <row r="2810">
          <cell r="B2810">
            <v>44595</v>
          </cell>
          <cell r="C2810">
            <v>44616</v>
          </cell>
        </row>
        <row r="2811">
          <cell r="B2811">
            <v>44596</v>
          </cell>
          <cell r="C2811">
            <v>44616</v>
          </cell>
        </row>
        <row r="2812">
          <cell r="B2812">
            <v>44597</v>
          </cell>
          <cell r="C2812">
            <v>44616</v>
          </cell>
        </row>
        <row r="2813">
          <cell r="B2813">
            <v>44598</v>
          </cell>
          <cell r="C2813">
            <v>44616</v>
          </cell>
        </row>
        <row r="2814">
          <cell r="B2814">
            <v>44599</v>
          </cell>
          <cell r="C2814">
            <v>44616</v>
          </cell>
        </row>
        <row r="2815">
          <cell r="B2815">
            <v>44600</v>
          </cell>
          <cell r="C2815">
            <v>44616</v>
          </cell>
        </row>
        <row r="2816">
          <cell r="B2816">
            <v>44601</v>
          </cell>
          <cell r="C2816">
            <v>44616</v>
          </cell>
        </row>
        <row r="2817">
          <cell r="B2817">
            <v>44602</v>
          </cell>
          <cell r="C2817">
            <v>44616</v>
          </cell>
        </row>
        <row r="2818">
          <cell r="B2818">
            <v>44603</v>
          </cell>
          <cell r="C2818">
            <v>44616</v>
          </cell>
        </row>
        <row r="2819">
          <cell r="B2819">
            <v>44604</v>
          </cell>
          <cell r="C2819">
            <v>44616</v>
          </cell>
        </row>
        <row r="2820">
          <cell r="B2820">
            <v>44605</v>
          </cell>
          <cell r="C2820">
            <v>44616</v>
          </cell>
        </row>
        <row r="2821">
          <cell r="B2821">
            <v>44606</v>
          </cell>
          <cell r="C2821">
            <v>44616</v>
          </cell>
        </row>
        <row r="2822">
          <cell r="B2822">
            <v>44607</v>
          </cell>
          <cell r="C2822">
            <v>44616</v>
          </cell>
        </row>
        <row r="2823">
          <cell r="B2823">
            <v>44608</v>
          </cell>
          <cell r="C2823">
            <v>44616</v>
          </cell>
        </row>
        <row r="2824">
          <cell r="B2824">
            <v>44609</v>
          </cell>
          <cell r="C2824">
            <v>44616</v>
          </cell>
        </row>
        <row r="2825">
          <cell r="B2825">
            <v>44610</v>
          </cell>
          <cell r="C2825">
            <v>44616</v>
          </cell>
        </row>
        <row r="2826">
          <cell r="B2826">
            <v>44611</v>
          </cell>
          <cell r="C2826">
            <v>44616</v>
          </cell>
        </row>
        <row r="2827">
          <cell r="B2827">
            <v>44612</v>
          </cell>
          <cell r="C2827">
            <v>44616</v>
          </cell>
        </row>
        <row r="2828">
          <cell r="B2828">
            <v>44613</v>
          </cell>
          <cell r="C2828">
            <v>44616</v>
          </cell>
        </row>
        <row r="2829">
          <cell r="B2829">
            <v>44614</v>
          </cell>
          <cell r="C2829">
            <v>44616</v>
          </cell>
        </row>
        <row r="2830">
          <cell r="B2830">
            <v>44615</v>
          </cell>
          <cell r="C2830">
            <v>44616</v>
          </cell>
        </row>
        <row r="2831">
          <cell r="B2831">
            <v>44616</v>
          </cell>
          <cell r="C2831">
            <v>44616</v>
          </cell>
        </row>
        <row r="2832">
          <cell r="B2832">
            <v>44617</v>
          </cell>
          <cell r="C2832">
            <v>44651</v>
          </cell>
        </row>
        <row r="2833">
          <cell r="B2833">
            <v>44618</v>
          </cell>
          <cell r="C2833">
            <v>44651</v>
          </cell>
        </row>
        <row r="2834">
          <cell r="B2834">
            <v>44619</v>
          </cell>
          <cell r="C2834">
            <v>44651</v>
          </cell>
        </row>
        <row r="2835">
          <cell r="B2835">
            <v>44620</v>
          </cell>
          <cell r="C2835">
            <v>44651</v>
          </cell>
        </row>
        <row r="2836">
          <cell r="B2836">
            <v>44621</v>
          </cell>
          <cell r="C2836">
            <v>44651</v>
          </cell>
        </row>
        <row r="2837">
          <cell r="B2837">
            <v>44622</v>
          </cell>
          <cell r="C2837">
            <v>44651</v>
          </cell>
        </row>
        <row r="2838">
          <cell r="B2838">
            <v>44623</v>
          </cell>
          <cell r="C2838">
            <v>44651</v>
          </cell>
        </row>
        <row r="2839">
          <cell r="B2839">
            <v>44624</v>
          </cell>
          <cell r="C2839">
            <v>44651</v>
          </cell>
        </row>
        <row r="2840">
          <cell r="B2840">
            <v>44625</v>
          </cell>
          <cell r="C2840">
            <v>44651</v>
          </cell>
        </row>
        <row r="2841">
          <cell r="B2841">
            <v>44626</v>
          </cell>
          <cell r="C2841">
            <v>44651</v>
          </cell>
        </row>
        <row r="2842">
          <cell r="B2842">
            <v>44627</v>
          </cell>
          <cell r="C2842">
            <v>44651</v>
          </cell>
        </row>
        <row r="2843">
          <cell r="B2843">
            <v>44628</v>
          </cell>
          <cell r="C2843">
            <v>44651</v>
          </cell>
        </row>
        <row r="2844">
          <cell r="B2844">
            <v>44629</v>
          </cell>
          <cell r="C2844">
            <v>44651</v>
          </cell>
        </row>
        <row r="2845">
          <cell r="B2845">
            <v>44630</v>
          </cell>
          <cell r="C2845">
            <v>44651</v>
          </cell>
        </row>
        <row r="2846">
          <cell r="B2846">
            <v>44631</v>
          </cell>
          <cell r="C2846">
            <v>44651</v>
          </cell>
        </row>
        <row r="2847">
          <cell r="B2847">
            <v>44632</v>
          </cell>
          <cell r="C2847">
            <v>44651</v>
          </cell>
        </row>
        <row r="2848">
          <cell r="B2848">
            <v>44633</v>
          </cell>
          <cell r="C2848">
            <v>44651</v>
          </cell>
        </row>
        <row r="2849">
          <cell r="B2849">
            <v>44634</v>
          </cell>
          <cell r="C2849">
            <v>44651</v>
          </cell>
        </row>
        <row r="2850">
          <cell r="B2850">
            <v>44635</v>
          </cell>
          <cell r="C2850">
            <v>44651</v>
          </cell>
        </row>
        <row r="2851">
          <cell r="B2851">
            <v>44636</v>
          </cell>
          <cell r="C2851">
            <v>44651</v>
          </cell>
        </row>
        <row r="2852">
          <cell r="B2852">
            <v>44637</v>
          </cell>
          <cell r="C2852">
            <v>44651</v>
          </cell>
        </row>
        <row r="2853">
          <cell r="B2853">
            <v>44638</v>
          </cell>
          <cell r="C2853">
            <v>44651</v>
          </cell>
        </row>
        <row r="2854">
          <cell r="B2854">
            <v>44639</v>
          </cell>
          <cell r="C2854">
            <v>44651</v>
          </cell>
        </row>
        <row r="2855">
          <cell r="B2855">
            <v>44640</v>
          </cell>
          <cell r="C2855">
            <v>44651</v>
          </cell>
        </row>
        <row r="2856">
          <cell r="B2856">
            <v>44641</v>
          </cell>
          <cell r="C2856">
            <v>44651</v>
          </cell>
        </row>
        <row r="2857">
          <cell r="B2857">
            <v>44642</v>
          </cell>
          <cell r="C2857">
            <v>44651</v>
          </cell>
        </row>
        <row r="2858">
          <cell r="B2858">
            <v>44643</v>
          </cell>
          <cell r="C2858">
            <v>44651</v>
          </cell>
        </row>
        <row r="2859">
          <cell r="B2859">
            <v>44644</v>
          </cell>
          <cell r="C2859">
            <v>44651</v>
          </cell>
        </row>
        <row r="2860">
          <cell r="B2860">
            <v>44645</v>
          </cell>
          <cell r="C2860">
            <v>44651</v>
          </cell>
        </row>
        <row r="2861">
          <cell r="B2861">
            <v>44646</v>
          </cell>
          <cell r="C2861">
            <v>44651</v>
          </cell>
        </row>
        <row r="2862">
          <cell r="B2862">
            <v>44647</v>
          </cell>
          <cell r="C2862">
            <v>44651</v>
          </cell>
        </row>
        <row r="2863">
          <cell r="B2863">
            <v>44648</v>
          </cell>
          <cell r="C2863">
            <v>44651</v>
          </cell>
        </row>
        <row r="2864">
          <cell r="B2864">
            <v>44649</v>
          </cell>
          <cell r="C2864">
            <v>44651</v>
          </cell>
        </row>
        <row r="2865">
          <cell r="B2865">
            <v>44650</v>
          </cell>
          <cell r="C2865">
            <v>44651</v>
          </cell>
        </row>
        <row r="2866">
          <cell r="B2866">
            <v>44651</v>
          </cell>
          <cell r="C2866">
            <v>44651</v>
          </cell>
        </row>
        <row r="2867">
          <cell r="B2867">
            <v>44652</v>
          </cell>
          <cell r="C2867">
            <v>44679</v>
          </cell>
        </row>
        <row r="2868">
          <cell r="B2868">
            <v>44653</v>
          </cell>
          <cell r="C2868">
            <v>44679</v>
          </cell>
        </row>
        <row r="2869">
          <cell r="B2869">
            <v>44654</v>
          </cell>
          <cell r="C2869">
            <v>44679</v>
          </cell>
        </row>
        <row r="2870">
          <cell r="B2870">
            <v>44655</v>
          </cell>
          <cell r="C2870">
            <v>44679</v>
          </cell>
        </row>
        <row r="2871">
          <cell r="B2871">
            <v>44656</v>
          </cell>
          <cell r="C2871">
            <v>44679</v>
          </cell>
        </row>
        <row r="2872">
          <cell r="B2872">
            <v>44657</v>
          </cell>
          <cell r="C2872">
            <v>44679</v>
          </cell>
        </row>
        <row r="2873">
          <cell r="B2873">
            <v>44658</v>
          </cell>
          <cell r="C2873">
            <v>44679</v>
          </cell>
        </row>
        <row r="2874">
          <cell r="B2874">
            <v>44659</v>
          </cell>
          <cell r="C2874">
            <v>44679</v>
          </cell>
        </row>
        <row r="2875">
          <cell r="B2875">
            <v>44660</v>
          </cell>
          <cell r="C2875">
            <v>44679</v>
          </cell>
        </row>
        <row r="2876">
          <cell r="B2876">
            <v>44661</v>
          </cell>
          <cell r="C2876">
            <v>44679</v>
          </cell>
        </row>
        <row r="2877">
          <cell r="B2877">
            <v>44662</v>
          </cell>
          <cell r="C2877">
            <v>44679</v>
          </cell>
        </row>
        <row r="2878">
          <cell r="B2878">
            <v>44663</v>
          </cell>
          <cell r="C2878">
            <v>44679</v>
          </cell>
        </row>
        <row r="2879">
          <cell r="B2879">
            <v>44664</v>
          </cell>
          <cell r="C2879">
            <v>44679</v>
          </cell>
        </row>
        <row r="2880">
          <cell r="B2880">
            <v>44665</v>
          </cell>
          <cell r="C2880">
            <v>44679</v>
          </cell>
        </row>
        <row r="2881">
          <cell r="B2881">
            <v>44666</v>
          </cell>
          <cell r="C2881">
            <v>44679</v>
          </cell>
        </row>
        <row r="2882">
          <cell r="B2882">
            <v>44667</v>
          </cell>
          <cell r="C2882">
            <v>44679</v>
          </cell>
        </row>
        <row r="2883">
          <cell r="B2883">
            <v>44668</v>
          </cell>
          <cell r="C2883">
            <v>44679</v>
          </cell>
        </row>
        <row r="2884">
          <cell r="B2884">
            <v>44669</v>
          </cell>
          <cell r="C2884">
            <v>44679</v>
          </cell>
        </row>
        <row r="2885">
          <cell r="B2885">
            <v>44670</v>
          </cell>
          <cell r="C2885">
            <v>44679</v>
          </cell>
        </row>
        <row r="2886">
          <cell r="B2886">
            <v>44671</v>
          </cell>
          <cell r="C2886">
            <v>44679</v>
          </cell>
        </row>
        <row r="2887">
          <cell r="B2887">
            <v>44672</v>
          </cell>
          <cell r="C2887">
            <v>44679</v>
          </cell>
        </row>
        <row r="2888">
          <cell r="B2888">
            <v>44673</v>
          </cell>
          <cell r="C2888">
            <v>44679</v>
          </cell>
        </row>
        <row r="2889">
          <cell r="B2889">
            <v>44674</v>
          </cell>
          <cell r="C2889">
            <v>44679</v>
          </cell>
        </row>
        <row r="2890">
          <cell r="B2890">
            <v>44675</v>
          </cell>
          <cell r="C2890">
            <v>44679</v>
          </cell>
        </row>
        <row r="2891">
          <cell r="B2891">
            <v>44676</v>
          </cell>
          <cell r="C2891">
            <v>44679</v>
          </cell>
        </row>
        <row r="2892">
          <cell r="B2892">
            <v>44677</v>
          </cell>
          <cell r="C2892">
            <v>44679</v>
          </cell>
        </row>
        <row r="2893">
          <cell r="B2893">
            <v>44678</v>
          </cell>
          <cell r="C2893">
            <v>44679</v>
          </cell>
        </row>
        <row r="2894">
          <cell r="B2894">
            <v>44679</v>
          </cell>
          <cell r="C2894">
            <v>44679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528"/>
  <sheetViews>
    <sheetView showGridLines="0" tabSelected="1" workbookViewId="0"/>
  </sheetViews>
  <sheetFormatPr defaultRowHeight="15"/>
  <cols>
    <col min="1" max="1" width="25.5703125" bestFit="1" customWidth="1"/>
    <col min="2" max="2" width="6" customWidth="1"/>
    <col min="3" max="3" width="15.85546875" bestFit="1" customWidth="1"/>
    <col min="4" max="4" width="6" customWidth="1"/>
    <col min="5" max="5" width="15.85546875" bestFit="1" customWidth="1"/>
    <col min="6" max="6" width="9" customWidth="1"/>
    <col min="7" max="7" width="7.85546875" customWidth="1"/>
    <col min="8" max="8" width="9" customWidth="1"/>
    <col min="9" max="9" width="8" customWidth="1"/>
    <col min="10" max="10" width="9" customWidth="1"/>
    <col min="11" max="11" width="13.7109375" bestFit="1" customWidth="1"/>
    <col min="12" max="12" width="11" bestFit="1" customWidth="1"/>
    <col min="13" max="13" width="6.140625" customWidth="1"/>
    <col min="14" max="14" width="9.7109375" bestFit="1" customWidth="1"/>
    <col min="15" max="15" width="6.85546875" customWidth="1"/>
    <col min="16" max="16" width="7.140625" customWidth="1"/>
    <col min="17" max="17" width="11.85546875" bestFit="1" customWidth="1"/>
    <col min="18" max="18" width="12.5703125" bestFit="1" customWidth="1"/>
    <col min="19" max="19" width="10.7109375" bestFit="1" customWidth="1"/>
    <col min="21" max="21" width="10.7109375" bestFit="1" customWidth="1"/>
    <col min="22" max="22" width="21.85546875" bestFit="1" customWidth="1"/>
    <col min="23" max="23" width="6" customWidth="1"/>
    <col min="24" max="24" width="17.42578125" bestFit="1" customWidth="1"/>
    <col min="25" max="25" width="5.5703125" customWidth="1"/>
    <col min="26" max="26" width="12" bestFit="1" customWidth="1"/>
    <col min="27" max="27" width="10" bestFit="1" customWidth="1"/>
    <col min="28" max="28" width="7.7109375" customWidth="1"/>
    <col min="29" max="29" width="10.7109375" bestFit="1" customWidth="1"/>
    <col min="30" max="30" width="8" customWidth="1"/>
    <col min="31" max="31" width="9" customWidth="1"/>
    <col min="32" max="32" width="13.7109375" bestFit="1" customWidth="1"/>
    <col min="33" max="33" width="11" bestFit="1" customWidth="1"/>
    <col min="34" max="34" width="6.140625" customWidth="1"/>
    <col min="35" max="35" width="9.7109375" bestFit="1" customWidth="1"/>
    <col min="36" max="36" width="7.7109375" customWidth="1"/>
    <col min="37" max="37" width="7" customWidth="1"/>
    <col min="38" max="38" width="11.85546875" bestFit="1" customWidth="1"/>
    <col min="39" max="39" width="12.5703125" bestFit="1" customWidth="1"/>
    <col min="40" max="40" width="9.42578125" bestFit="1" customWidth="1"/>
    <col min="41" max="41" width="10.7109375" bestFit="1" customWidth="1"/>
    <col min="42" max="42" width="11.140625" bestFit="1" customWidth="1"/>
    <col min="43" max="43" width="10.7109375" bestFit="1" customWidth="1"/>
    <col min="44" max="44" width="15.85546875" bestFit="1" customWidth="1"/>
    <col min="45" max="45" width="21.85546875" bestFit="1" customWidth="1"/>
    <col min="46" max="46" width="8" customWidth="1"/>
    <col min="47" max="47" width="15.85546875" bestFit="1" customWidth="1"/>
    <col min="48" max="48" width="5.42578125" customWidth="1"/>
    <col min="49" max="49" width="15.85546875" bestFit="1" customWidth="1"/>
    <col min="50" max="50" width="10" bestFit="1" customWidth="1"/>
    <col min="51" max="51" width="8.140625" customWidth="1"/>
    <col min="52" max="52" width="10.7109375" bestFit="1" customWidth="1"/>
    <col min="53" max="53" width="8.85546875" customWidth="1"/>
    <col min="54" max="54" width="9" customWidth="1"/>
    <col min="55" max="55" width="13.7109375" bestFit="1" customWidth="1"/>
    <col min="56" max="56" width="11" bestFit="1" customWidth="1"/>
    <col min="57" max="57" width="6.140625" customWidth="1"/>
    <col min="58" max="58" width="9.7109375" bestFit="1" customWidth="1"/>
    <col min="59" max="59" width="8.85546875" customWidth="1"/>
    <col min="60" max="60" width="7.140625" customWidth="1"/>
    <col min="61" max="61" width="11.85546875" bestFit="1" customWidth="1"/>
    <col min="62" max="62" width="12.5703125" bestFit="1" customWidth="1"/>
    <col min="63" max="63" width="9.42578125" bestFit="1" customWidth="1"/>
    <col min="64" max="64" width="10.7109375" bestFit="1" customWidth="1"/>
    <col min="65" max="65" width="11.140625" bestFit="1" customWidth="1"/>
  </cols>
  <sheetData>
    <row r="1" spans="1:60">
      <c r="A1" s="1" t="s">
        <v>0</v>
      </c>
      <c r="B1" s="1" t="s">
        <v>2</v>
      </c>
      <c r="AQ1" s="47"/>
      <c r="AR1" s="44"/>
      <c r="AS1" s="45"/>
    </row>
    <row r="2" spans="1:60">
      <c r="A2" s="1" t="s">
        <v>1</v>
      </c>
      <c r="B2" s="1">
        <v>0.02</v>
      </c>
      <c r="AQ2" s="47"/>
      <c r="AR2" s="44"/>
    </row>
    <row r="4" spans="1:60">
      <c r="A4" s="21" t="s">
        <v>26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V4" s="21" t="s">
        <v>211</v>
      </c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T4" s="45"/>
    </row>
    <row r="5" spans="1:60">
      <c r="AS5" s="56"/>
      <c r="AT5" s="56"/>
    </row>
    <row r="6" spans="1:60" ht="17.25">
      <c r="A6" s="20" t="s">
        <v>3</v>
      </c>
      <c r="B6" s="20" t="s">
        <v>4</v>
      </c>
      <c r="C6" s="20" t="s">
        <v>5</v>
      </c>
      <c r="D6" s="20" t="s">
        <v>6</v>
      </c>
      <c r="E6" s="20" t="s">
        <v>7</v>
      </c>
      <c r="F6" s="20" t="s">
        <v>8</v>
      </c>
      <c r="G6" s="20" t="s">
        <v>9</v>
      </c>
      <c r="H6" s="20" t="s">
        <v>10</v>
      </c>
      <c r="I6" s="20" t="s">
        <v>11</v>
      </c>
      <c r="J6" s="20" t="s">
        <v>12</v>
      </c>
      <c r="K6" s="20" t="s">
        <v>13</v>
      </c>
      <c r="L6" s="20" t="s">
        <v>14</v>
      </c>
      <c r="M6" s="20" t="s">
        <v>15</v>
      </c>
      <c r="N6" s="20" t="s">
        <v>16</v>
      </c>
      <c r="O6" s="20" t="s">
        <v>17</v>
      </c>
      <c r="P6" s="20" t="s">
        <v>18</v>
      </c>
      <c r="Q6" s="20" t="s">
        <v>19</v>
      </c>
      <c r="R6" s="20" t="s">
        <v>20</v>
      </c>
      <c r="S6" s="20" t="s">
        <v>21</v>
      </c>
      <c r="U6" s="20" t="s">
        <v>214</v>
      </c>
      <c r="V6" s="20" t="s">
        <v>3</v>
      </c>
      <c r="W6" s="20" t="s">
        <v>4</v>
      </c>
      <c r="X6" s="20" t="s">
        <v>5</v>
      </c>
      <c r="Y6" s="20" t="s">
        <v>6</v>
      </c>
      <c r="Z6" s="20" t="s">
        <v>7</v>
      </c>
      <c r="AA6" s="20" t="s">
        <v>8</v>
      </c>
      <c r="AB6" s="20" t="s">
        <v>9</v>
      </c>
      <c r="AC6" s="20" t="s">
        <v>10</v>
      </c>
      <c r="AD6" s="20" t="s">
        <v>11</v>
      </c>
      <c r="AE6" s="20" t="s">
        <v>12</v>
      </c>
      <c r="AF6" s="20" t="s">
        <v>13</v>
      </c>
      <c r="AG6" s="20" t="s">
        <v>14</v>
      </c>
      <c r="AH6" s="20" t="s">
        <v>15</v>
      </c>
      <c r="AI6" s="20" t="s">
        <v>16</v>
      </c>
      <c r="AJ6" s="20" t="s">
        <v>17</v>
      </c>
      <c r="AK6" s="20" t="s">
        <v>18</v>
      </c>
      <c r="AL6" s="20" t="s">
        <v>19</v>
      </c>
      <c r="AM6" s="20" t="s">
        <v>20</v>
      </c>
      <c r="AN6" s="20" t="s">
        <v>102</v>
      </c>
      <c r="AO6" s="20" t="s">
        <v>21</v>
      </c>
      <c r="AP6" s="20" t="s">
        <v>103</v>
      </c>
      <c r="AS6" s="44"/>
      <c r="AT6" s="45"/>
      <c r="AU6" s="55" t="s">
        <v>215</v>
      </c>
      <c r="AV6" s="55"/>
      <c r="AW6" s="55"/>
    </row>
    <row r="7" spans="1:60">
      <c r="A7" s="22" t="s">
        <v>22</v>
      </c>
      <c r="B7" s="22" t="s">
        <v>23</v>
      </c>
      <c r="C7" s="26">
        <v>43481.385416666664</v>
      </c>
      <c r="D7" s="22">
        <v>46.85</v>
      </c>
      <c r="E7" s="26">
        <v>43481.447916666664</v>
      </c>
      <c r="F7" s="22">
        <v>47.85</v>
      </c>
      <c r="G7" s="30">
        <v>2.1299999999999999E-2</v>
      </c>
      <c r="H7" s="22">
        <v>-1067.24</v>
      </c>
      <c r="I7" s="30">
        <v>-2.1299999999999999E-2</v>
      </c>
      <c r="J7" s="22">
        <v>1067.2360000000001</v>
      </c>
      <c r="K7" s="22">
        <v>50000</v>
      </c>
      <c r="L7" s="22">
        <v>-1067.24</v>
      </c>
      <c r="M7" s="22">
        <v>7</v>
      </c>
      <c r="N7" s="22">
        <v>-152.46</v>
      </c>
      <c r="O7" s="30">
        <v>-2.1299999999999999E-2</v>
      </c>
      <c r="P7" s="30">
        <v>6.4000000000000003E-3</v>
      </c>
      <c r="Q7" s="22" t="s">
        <v>24</v>
      </c>
      <c r="R7" s="22">
        <v>0</v>
      </c>
      <c r="S7" s="22">
        <v>47.45</v>
      </c>
      <c r="U7" s="47">
        <f>VLOOKUP(AU7,[1]expiry_dates!$B$2:$C$2894,2,FALSE)</f>
        <v>43496</v>
      </c>
      <c r="V7" s="22" t="s">
        <v>104</v>
      </c>
      <c r="W7" s="22" t="s">
        <v>23</v>
      </c>
      <c r="X7" s="48">
        <v>43481.385416666664</v>
      </c>
      <c r="Y7" s="22">
        <v>1.3</v>
      </c>
      <c r="Z7" s="22">
        <v>43481.447916666664</v>
      </c>
      <c r="AA7" s="22">
        <v>1.7</v>
      </c>
      <c r="AB7" s="22">
        <v>0.30769999999999997</v>
      </c>
      <c r="AC7" s="22">
        <v>-15384.62</v>
      </c>
      <c r="AD7" s="22">
        <v>-0.30769999999999997</v>
      </c>
      <c r="AE7" s="22">
        <v>38461.54</v>
      </c>
      <c r="AF7" s="22">
        <v>50000</v>
      </c>
      <c r="AG7" s="22">
        <v>-15384.62</v>
      </c>
      <c r="AH7" s="22">
        <v>7</v>
      </c>
      <c r="AI7" s="22">
        <v>-2197.8000000000002</v>
      </c>
      <c r="AJ7" s="22">
        <v>-0.30769999999999997</v>
      </c>
      <c r="AK7" s="22">
        <v>3.85E-2</v>
      </c>
      <c r="AL7" s="22" t="s">
        <v>24</v>
      </c>
      <c r="AM7" s="22">
        <v>46.85</v>
      </c>
      <c r="AN7" s="22">
        <v>27512.95</v>
      </c>
      <c r="AO7" s="22">
        <v>47.45</v>
      </c>
      <c r="AP7" s="22">
        <v>0</v>
      </c>
      <c r="AR7" s="46"/>
      <c r="AS7" s="44"/>
      <c r="AT7" s="45"/>
      <c r="AU7" s="2">
        <v>43481</v>
      </c>
      <c r="AV7" s="52">
        <v>0.38541666666666669</v>
      </c>
      <c r="AW7" s="2" t="s">
        <v>212</v>
      </c>
      <c r="AY7" s="3"/>
      <c r="BA7" s="3"/>
      <c r="BG7" s="3"/>
      <c r="BH7" s="3"/>
    </row>
    <row r="8" spans="1:60">
      <c r="A8" s="23" t="s">
        <v>22</v>
      </c>
      <c r="B8" s="23" t="s">
        <v>25</v>
      </c>
      <c r="C8" s="27">
        <v>43481.447916666664</v>
      </c>
      <c r="D8" s="23">
        <v>47.85</v>
      </c>
      <c r="E8" s="27">
        <v>43481.625</v>
      </c>
      <c r="F8" s="23">
        <v>48.25</v>
      </c>
      <c r="G8" s="31">
        <v>8.3999999999999995E-3</v>
      </c>
      <c r="H8" s="23">
        <v>417.96</v>
      </c>
      <c r="I8" s="31">
        <v>8.3999999999999995E-3</v>
      </c>
      <c r="J8" s="23">
        <v>1044.904</v>
      </c>
      <c r="K8" s="23">
        <v>49998.66</v>
      </c>
      <c r="L8" s="23">
        <v>-649.27</v>
      </c>
      <c r="M8" s="23">
        <v>18</v>
      </c>
      <c r="N8" s="23">
        <v>23.22</v>
      </c>
      <c r="O8" s="31">
        <v>-1.5699999999999999E-2</v>
      </c>
      <c r="P8" s="31">
        <v>3.4500000000000003E-2</v>
      </c>
      <c r="Q8" s="23" t="s">
        <v>24</v>
      </c>
      <c r="R8" s="23">
        <v>0</v>
      </c>
      <c r="S8" s="23">
        <v>46.59</v>
      </c>
      <c r="U8" s="47">
        <f>VLOOKUP(AU8,[1]expiry_dates!$B$2:$C$2894,2,FALSE)</f>
        <v>43496</v>
      </c>
      <c r="V8" s="23" t="s">
        <v>105</v>
      </c>
      <c r="W8" s="23" t="s">
        <v>23</v>
      </c>
      <c r="X8" s="49">
        <v>43481.447916666664</v>
      </c>
      <c r="Y8" s="23">
        <v>0.85</v>
      </c>
      <c r="Z8" s="23">
        <v>43481.625</v>
      </c>
      <c r="AA8" s="23">
        <v>0.75</v>
      </c>
      <c r="AB8" s="23">
        <v>-0.1176</v>
      </c>
      <c r="AC8" s="23">
        <v>5880.09</v>
      </c>
      <c r="AD8" s="23">
        <v>0.1176</v>
      </c>
      <c r="AE8" s="23">
        <v>58800.9</v>
      </c>
      <c r="AF8" s="23">
        <v>49980.77</v>
      </c>
      <c r="AG8" s="23">
        <v>-9504.5300000000007</v>
      </c>
      <c r="AH8" s="23">
        <v>18</v>
      </c>
      <c r="AI8" s="23">
        <v>326.67</v>
      </c>
      <c r="AJ8" s="23">
        <v>-0.35289999999999999</v>
      </c>
      <c r="AK8" s="23">
        <v>0.52939999999999998</v>
      </c>
      <c r="AL8" s="23" t="s">
        <v>24</v>
      </c>
      <c r="AM8" s="23">
        <v>47.85</v>
      </c>
      <c r="AN8" s="23">
        <v>27506.9</v>
      </c>
      <c r="AO8" s="23">
        <v>46.59</v>
      </c>
      <c r="AP8" s="23">
        <v>0</v>
      </c>
      <c r="AR8" s="46"/>
      <c r="AS8" s="44"/>
      <c r="AT8" s="45"/>
      <c r="AU8" s="2">
        <v>43481</v>
      </c>
      <c r="AV8" s="52">
        <v>0.44791666666666669</v>
      </c>
      <c r="AW8" s="2" t="s">
        <v>212</v>
      </c>
      <c r="AY8" s="3"/>
      <c r="BA8" s="3"/>
      <c r="BG8" s="3"/>
      <c r="BH8" s="3"/>
    </row>
    <row r="9" spans="1:60">
      <c r="A9" s="23" t="s">
        <v>22</v>
      </c>
      <c r="B9" s="23" t="s">
        <v>23</v>
      </c>
      <c r="C9" s="27">
        <v>43481.625</v>
      </c>
      <c r="D9" s="23">
        <v>48.25</v>
      </c>
      <c r="E9" s="27">
        <v>43483.458333333336</v>
      </c>
      <c r="F9" s="23">
        <v>47.35</v>
      </c>
      <c r="G9" s="31">
        <v>-1.8700000000000001E-2</v>
      </c>
      <c r="H9" s="23">
        <v>932.63</v>
      </c>
      <c r="I9" s="31">
        <v>1.8700000000000001E-2</v>
      </c>
      <c r="J9" s="23">
        <v>1036.251</v>
      </c>
      <c r="K9" s="23">
        <v>49999.11</v>
      </c>
      <c r="L9" s="23">
        <v>283.35000000000002</v>
      </c>
      <c r="M9" s="23">
        <v>43</v>
      </c>
      <c r="N9" s="23">
        <v>21.69</v>
      </c>
      <c r="O9" s="31">
        <v>-1.55E-2</v>
      </c>
      <c r="P9" s="31">
        <v>3.1099999999999999E-2</v>
      </c>
      <c r="Q9" s="23" t="s">
        <v>24</v>
      </c>
      <c r="R9" s="23">
        <v>0</v>
      </c>
      <c r="S9" s="23">
        <v>49.45</v>
      </c>
      <c r="U9" s="47">
        <f>VLOOKUP(AU9,[1]expiry_dates!$B$2:$C$2894,2,FALSE)</f>
        <v>43496</v>
      </c>
      <c r="V9" s="23" t="s">
        <v>106</v>
      </c>
      <c r="W9" s="23" t="s">
        <v>23</v>
      </c>
      <c r="X9" s="49">
        <v>43481.625</v>
      </c>
      <c r="Y9" s="23">
        <v>1.5</v>
      </c>
      <c r="Z9" s="23">
        <v>43483.458333333336</v>
      </c>
      <c r="AA9" s="23">
        <v>0.9</v>
      </c>
      <c r="AB9" s="23">
        <v>-0.4</v>
      </c>
      <c r="AC9" s="23">
        <v>19998.63</v>
      </c>
      <c r="AD9" s="23">
        <v>0.4</v>
      </c>
      <c r="AE9" s="23">
        <v>33331.050000000003</v>
      </c>
      <c r="AF9" s="23">
        <v>49996.58</v>
      </c>
      <c r="AG9" s="23">
        <v>10494.11</v>
      </c>
      <c r="AH9" s="23">
        <v>43</v>
      </c>
      <c r="AI9" s="23">
        <v>465.08</v>
      </c>
      <c r="AJ9" s="23">
        <v>-0.23330000000000001</v>
      </c>
      <c r="AK9" s="23">
        <v>0.5</v>
      </c>
      <c r="AL9" s="23" t="s">
        <v>24</v>
      </c>
      <c r="AM9" s="23">
        <v>48.25</v>
      </c>
      <c r="AN9" s="23">
        <v>27491.55</v>
      </c>
      <c r="AO9" s="23">
        <v>49.45</v>
      </c>
      <c r="AP9" s="23">
        <v>0</v>
      </c>
      <c r="AR9" s="46"/>
      <c r="AS9" s="44"/>
      <c r="AT9" s="45"/>
      <c r="AU9" s="2">
        <v>43481</v>
      </c>
      <c r="AV9" s="52">
        <v>0.125</v>
      </c>
      <c r="AW9" s="2" t="s">
        <v>213</v>
      </c>
      <c r="AY9" s="3"/>
      <c r="BA9" s="3"/>
      <c r="BG9" s="3"/>
      <c r="BH9" s="3"/>
    </row>
    <row r="10" spans="1:60">
      <c r="A10" s="23" t="s">
        <v>22</v>
      </c>
      <c r="B10" s="23" t="s">
        <v>25</v>
      </c>
      <c r="C10" s="27">
        <v>43483.458333333336</v>
      </c>
      <c r="D10" s="23">
        <v>47.35</v>
      </c>
      <c r="E10" s="27">
        <v>43483.53125</v>
      </c>
      <c r="F10" s="23">
        <v>47.2</v>
      </c>
      <c r="G10" s="31">
        <v>-3.2000000000000002E-3</v>
      </c>
      <c r="H10" s="23">
        <v>-158.4</v>
      </c>
      <c r="I10" s="31">
        <v>-3.2000000000000002E-3</v>
      </c>
      <c r="J10" s="23">
        <v>1056.002</v>
      </c>
      <c r="K10" s="23">
        <v>50001.67</v>
      </c>
      <c r="L10" s="23">
        <v>124.95</v>
      </c>
      <c r="M10" s="23">
        <v>8</v>
      </c>
      <c r="N10" s="23">
        <v>-19.8</v>
      </c>
      <c r="O10" s="31">
        <v>-3.2000000000000002E-3</v>
      </c>
      <c r="P10" s="31">
        <v>9.4999999999999998E-3</v>
      </c>
      <c r="Q10" s="23" t="s">
        <v>24</v>
      </c>
      <c r="R10" s="23">
        <v>0</v>
      </c>
      <c r="S10" s="23">
        <v>46.75</v>
      </c>
      <c r="U10" s="47">
        <f>VLOOKUP(AU10,[1]expiry_dates!$B$2:$C$2894,2,FALSE)</f>
        <v>43496</v>
      </c>
      <c r="V10" s="23" t="s">
        <v>105</v>
      </c>
      <c r="W10" s="23" t="s">
        <v>23</v>
      </c>
      <c r="X10" s="49">
        <v>43483.458333333336</v>
      </c>
      <c r="Y10" s="23">
        <v>0.95</v>
      </c>
      <c r="Z10" s="23">
        <v>43483.53125</v>
      </c>
      <c r="AA10" s="23">
        <v>1</v>
      </c>
      <c r="AB10" s="23">
        <v>5.2600000000000001E-2</v>
      </c>
      <c r="AC10" s="23">
        <v>-2634.34</v>
      </c>
      <c r="AD10" s="23">
        <v>-5.2600000000000001E-2</v>
      </c>
      <c r="AE10" s="23">
        <v>52686.81</v>
      </c>
      <c r="AF10" s="23">
        <v>50052.47</v>
      </c>
      <c r="AG10" s="23">
        <v>7859.76</v>
      </c>
      <c r="AH10" s="23">
        <v>8</v>
      </c>
      <c r="AI10" s="23">
        <v>-329.29</v>
      </c>
      <c r="AJ10" s="23">
        <v>-5.2600000000000001E-2</v>
      </c>
      <c r="AK10" s="23">
        <v>0.15790000000000001</v>
      </c>
      <c r="AL10" s="23" t="s">
        <v>24</v>
      </c>
      <c r="AM10" s="23">
        <v>47.35</v>
      </c>
      <c r="AN10" s="23">
        <v>27490.3</v>
      </c>
      <c r="AO10" s="23">
        <v>46.75</v>
      </c>
      <c r="AP10" s="23">
        <v>0</v>
      </c>
      <c r="AR10" s="46"/>
      <c r="AS10" s="44"/>
      <c r="AT10" s="45"/>
      <c r="AU10" s="2">
        <v>43483</v>
      </c>
      <c r="AV10" s="52">
        <v>0.45833333333333331</v>
      </c>
      <c r="AW10" s="2" t="s">
        <v>212</v>
      </c>
      <c r="AY10" s="3"/>
      <c r="BA10" s="3"/>
      <c r="BG10" s="3"/>
      <c r="BH10" s="3"/>
    </row>
    <row r="11" spans="1:60">
      <c r="A11" s="23" t="s">
        <v>22</v>
      </c>
      <c r="B11" s="23" t="s">
        <v>23</v>
      </c>
      <c r="C11" s="27">
        <v>43483.53125</v>
      </c>
      <c r="D11" s="23">
        <v>47.2</v>
      </c>
      <c r="E11" s="27">
        <v>43486.541666666664</v>
      </c>
      <c r="F11" s="23">
        <v>47.1</v>
      </c>
      <c r="G11" s="31">
        <v>-2.0999999999999999E-3</v>
      </c>
      <c r="H11" s="23">
        <v>105.94</v>
      </c>
      <c r="I11" s="31">
        <v>2.0999999999999999E-3</v>
      </c>
      <c r="J11" s="23">
        <v>1059.3520000000001</v>
      </c>
      <c r="K11" s="23">
        <v>50001.42</v>
      </c>
      <c r="L11" s="23">
        <v>230.89</v>
      </c>
      <c r="M11" s="23">
        <v>31</v>
      </c>
      <c r="N11" s="23">
        <v>3.42</v>
      </c>
      <c r="O11" s="31">
        <v>-7.4000000000000003E-3</v>
      </c>
      <c r="P11" s="31">
        <v>1.06E-2</v>
      </c>
      <c r="Q11" s="23" t="s">
        <v>24</v>
      </c>
      <c r="R11" s="23">
        <v>0</v>
      </c>
      <c r="S11" s="23">
        <v>47.77</v>
      </c>
      <c r="U11" s="47">
        <f>VLOOKUP(AU11,[1]expiry_dates!$B$2:$C$2894,2,FALSE)</f>
        <v>43496</v>
      </c>
      <c r="V11" s="23" t="s">
        <v>104</v>
      </c>
      <c r="W11" s="23" t="s">
        <v>23</v>
      </c>
      <c r="X11" s="49">
        <v>43483.53125</v>
      </c>
      <c r="Y11" s="23">
        <v>1.2</v>
      </c>
      <c r="Z11" s="23">
        <v>43486.541666666664</v>
      </c>
      <c r="AA11" s="23">
        <v>1.05</v>
      </c>
      <c r="AB11" s="23">
        <v>-0.125</v>
      </c>
      <c r="AC11" s="23">
        <v>6256.56</v>
      </c>
      <c r="AD11" s="23">
        <v>0.125</v>
      </c>
      <c r="AE11" s="23">
        <v>41710.39</v>
      </c>
      <c r="AF11" s="23">
        <v>50052.47</v>
      </c>
      <c r="AG11" s="23">
        <v>14116.32</v>
      </c>
      <c r="AH11" s="23">
        <v>31</v>
      </c>
      <c r="AI11" s="23">
        <v>201.82</v>
      </c>
      <c r="AJ11" s="23">
        <v>-8.3299999999999999E-2</v>
      </c>
      <c r="AK11" s="23">
        <v>0.25</v>
      </c>
      <c r="AL11" s="23" t="s">
        <v>24</v>
      </c>
      <c r="AM11" s="23">
        <v>47.2</v>
      </c>
      <c r="AN11" s="23">
        <v>27458.35</v>
      </c>
      <c r="AO11" s="23">
        <v>47.77</v>
      </c>
      <c r="AP11" s="23">
        <v>0</v>
      </c>
      <c r="AR11" s="46"/>
      <c r="AS11" s="44"/>
      <c r="AT11" s="45"/>
      <c r="AU11" s="2">
        <v>43483</v>
      </c>
      <c r="AV11" s="52">
        <v>0.53125</v>
      </c>
      <c r="AW11" s="2" t="s">
        <v>213</v>
      </c>
      <c r="AY11" s="3"/>
      <c r="BA11" s="3"/>
      <c r="BG11" s="3"/>
      <c r="BH11" s="3"/>
    </row>
    <row r="12" spans="1:60">
      <c r="A12" s="23" t="s">
        <v>22</v>
      </c>
      <c r="B12" s="23" t="s">
        <v>25</v>
      </c>
      <c r="C12" s="27">
        <v>43486.541666666664</v>
      </c>
      <c r="D12" s="23">
        <v>47.1</v>
      </c>
      <c r="E12" s="27">
        <v>43486.583333333336</v>
      </c>
      <c r="F12" s="23">
        <v>46.8</v>
      </c>
      <c r="G12" s="31">
        <v>-6.4000000000000003E-3</v>
      </c>
      <c r="H12" s="23">
        <v>-318.48</v>
      </c>
      <c r="I12" s="31">
        <v>-6.4000000000000003E-3</v>
      </c>
      <c r="J12" s="23">
        <v>1061.596</v>
      </c>
      <c r="K12" s="23">
        <v>50001.16</v>
      </c>
      <c r="L12" s="23">
        <v>-87.59</v>
      </c>
      <c r="M12" s="23">
        <v>5</v>
      </c>
      <c r="N12" s="23">
        <v>-63.7</v>
      </c>
      <c r="O12" s="31">
        <v>-6.4000000000000003E-3</v>
      </c>
      <c r="P12" s="31">
        <v>1.1000000000000001E-3</v>
      </c>
      <c r="Q12" s="23" t="s">
        <v>24</v>
      </c>
      <c r="R12" s="23">
        <v>0</v>
      </c>
      <c r="S12" s="23">
        <v>46.71</v>
      </c>
      <c r="U12" s="47">
        <f>VLOOKUP(AU12,[1]expiry_dates!$B$2:$C$2894,2,FALSE)</f>
        <v>43496</v>
      </c>
      <c r="V12" s="23" t="s">
        <v>107</v>
      </c>
      <c r="W12" s="23" t="s">
        <v>23</v>
      </c>
      <c r="X12" s="49">
        <v>43486.541666666664</v>
      </c>
      <c r="Y12" s="23">
        <v>0.5</v>
      </c>
      <c r="Z12" s="23">
        <v>43486.583333333336</v>
      </c>
      <c r="AA12" s="23">
        <v>0.6</v>
      </c>
      <c r="AB12" s="23">
        <v>0.2</v>
      </c>
      <c r="AC12" s="23">
        <v>-10014.120000000001</v>
      </c>
      <c r="AD12" s="23">
        <v>-0.2</v>
      </c>
      <c r="AE12" s="23">
        <v>100141.2</v>
      </c>
      <c r="AF12" s="23">
        <v>50070.58</v>
      </c>
      <c r="AG12" s="23">
        <v>4102.21</v>
      </c>
      <c r="AH12" s="23">
        <v>5</v>
      </c>
      <c r="AI12" s="23">
        <v>-2002.82</v>
      </c>
      <c r="AJ12" s="23">
        <v>-0.2</v>
      </c>
      <c r="AK12" s="23">
        <v>0</v>
      </c>
      <c r="AL12" s="23" t="s">
        <v>24</v>
      </c>
      <c r="AM12" s="23">
        <v>47.1</v>
      </c>
      <c r="AN12" s="23">
        <v>27609.55</v>
      </c>
      <c r="AO12" s="23">
        <v>46.71</v>
      </c>
      <c r="AP12" s="23">
        <v>0</v>
      </c>
      <c r="AR12" s="46"/>
      <c r="AS12" s="44"/>
      <c r="AT12" s="45"/>
      <c r="AU12" s="2">
        <v>43486</v>
      </c>
      <c r="AV12" s="52">
        <v>4.1666666666666664E-2</v>
      </c>
      <c r="AW12" s="2" t="s">
        <v>213</v>
      </c>
      <c r="AY12" s="3"/>
      <c r="BA12" s="3"/>
      <c r="BG12" s="3"/>
      <c r="BH12" s="3"/>
    </row>
    <row r="13" spans="1:60">
      <c r="A13" s="23" t="s">
        <v>22</v>
      </c>
      <c r="B13" s="23" t="s">
        <v>23</v>
      </c>
      <c r="C13" s="27">
        <v>43486.583333333336</v>
      </c>
      <c r="D13" s="23">
        <v>46.8</v>
      </c>
      <c r="E13" s="27">
        <v>43487.552083333336</v>
      </c>
      <c r="F13" s="23">
        <v>46.05</v>
      </c>
      <c r="G13" s="31">
        <v>-1.6E-2</v>
      </c>
      <c r="H13" s="23">
        <v>801.29</v>
      </c>
      <c r="I13" s="31">
        <v>1.6E-2</v>
      </c>
      <c r="J13" s="23">
        <v>1068.3889999999999</v>
      </c>
      <c r="K13" s="23">
        <v>50000.63</v>
      </c>
      <c r="L13" s="23">
        <v>713.7</v>
      </c>
      <c r="M13" s="23">
        <v>27</v>
      </c>
      <c r="N13" s="23">
        <v>29.68</v>
      </c>
      <c r="O13" s="31">
        <v>-4.3E-3</v>
      </c>
      <c r="P13" s="31">
        <v>3.85E-2</v>
      </c>
      <c r="Q13" s="23" t="s">
        <v>24</v>
      </c>
      <c r="R13" s="23">
        <v>0</v>
      </c>
      <c r="S13" s="23">
        <v>47.15</v>
      </c>
      <c r="U13" s="47">
        <f>VLOOKUP(AU13,[1]expiry_dates!$B$2:$C$2894,2,FALSE)</f>
        <v>43496</v>
      </c>
      <c r="V13" s="23" t="s">
        <v>104</v>
      </c>
      <c r="W13" s="23" t="s">
        <v>23</v>
      </c>
      <c r="X13" s="49">
        <v>43486.583333333336</v>
      </c>
      <c r="Y13" s="23">
        <v>0.9</v>
      </c>
      <c r="Z13" s="23">
        <v>43487.552083333336</v>
      </c>
      <c r="AA13" s="23">
        <v>0.65</v>
      </c>
      <c r="AB13" s="23">
        <v>-0.27779999999999999</v>
      </c>
      <c r="AC13" s="23">
        <v>13901.54</v>
      </c>
      <c r="AD13" s="23">
        <v>0.27779999999999999</v>
      </c>
      <c r="AE13" s="23">
        <v>55606.16</v>
      </c>
      <c r="AF13" s="23">
        <v>50045.55</v>
      </c>
      <c r="AG13" s="23">
        <v>18003.75</v>
      </c>
      <c r="AH13" s="23">
        <v>27</v>
      </c>
      <c r="AI13" s="23">
        <v>514.87</v>
      </c>
      <c r="AJ13" s="23">
        <v>-0.1111</v>
      </c>
      <c r="AK13" s="23">
        <v>0.66669999999999996</v>
      </c>
      <c r="AL13" s="23" t="s">
        <v>24</v>
      </c>
      <c r="AM13" s="23">
        <v>46.8</v>
      </c>
      <c r="AN13" s="23">
        <v>27561.05</v>
      </c>
      <c r="AO13" s="23">
        <v>47.15</v>
      </c>
      <c r="AP13" s="23">
        <v>0</v>
      </c>
      <c r="AR13" s="46"/>
      <c r="AS13" s="44"/>
      <c r="AT13" s="45"/>
      <c r="AU13" s="2">
        <v>43486</v>
      </c>
      <c r="AV13" s="52">
        <v>8.3333333333333329E-2</v>
      </c>
      <c r="AW13" s="2" t="s">
        <v>213</v>
      </c>
      <c r="AY13" s="3"/>
      <c r="BA13" s="3"/>
      <c r="BG13" s="3"/>
      <c r="BH13" s="3"/>
    </row>
    <row r="14" spans="1:60">
      <c r="A14" s="23" t="s">
        <v>22</v>
      </c>
      <c r="B14" s="23" t="s">
        <v>25</v>
      </c>
      <c r="C14" s="27">
        <v>43487.552083333336</v>
      </c>
      <c r="D14" s="23">
        <v>46.05</v>
      </c>
      <c r="E14" s="27">
        <v>43488.625</v>
      </c>
      <c r="F14" s="23">
        <v>47.2</v>
      </c>
      <c r="G14" s="31">
        <v>2.5000000000000001E-2</v>
      </c>
      <c r="H14" s="23">
        <v>1248.8</v>
      </c>
      <c r="I14" s="31">
        <v>2.5000000000000001E-2</v>
      </c>
      <c r="J14" s="23">
        <v>1085.912</v>
      </c>
      <c r="K14" s="23">
        <v>50006.239999999998</v>
      </c>
      <c r="L14" s="23">
        <v>1962.5</v>
      </c>
      <c r="M14" s="23">
        <v>37</v>
      </c>
      <c r="N14" s="23">
        <v>33.75</v>
      </c>
      <c r="O14" s="31">
        <v>-1.1900000000000001E-2</v>
      </c>
      <c r="P14" s="31">
        <v>4.1300000000000003E-2</v>
      </c>
      <c r="Q14" s="23" t="s">
        <v>24</v>
      </c>
      <c r="R14" s="23">
        <v>0</v>
      </c>
      <c r="S14" s="23">
        <v>45</v>
      </c>
      <c r="U14" s="47">
        <f>VLOOKUP(AU14,[1]expiry_dates!$B$2:$C$2894,2,FALSE)</f>
        <v>43496</v>
      </c>
      <c r="V14" s="23" t="s">
        <v>107</v>
      </c>
      <c r="W14" s="23" t="s">
        <v>23</v>
      </c>
      <c r="X14" s="49">
        <v>43487.552083333336</v>
      </c>
      <c r="Y14" s="23">
        <v>0.9</v>
      </c>
      <c r="Z14" s="23">
        <v>43488.625</v>
      </c>
      <c r="AA14" s="23">
        <v>0.4</v>
      </c>
      <c r="AB14" s="23">
        <v>-0.55559999999999998</v>
      </c>
      <c r="AC14" s="23">
        <v>27858.68</v>
      </c>
      <c r="AD14" s="23">
        <v>0.55559999999999998</v>
      </c>
      <c r="AE14" s="23">
        <v>55717.36</v>
      </c>
      <c r="AF14" s="23">
        <v>50145.63</v>
      </c>
      <c r="AG14" s="23">
        <v>45862.43</v>
      </c>
      <c r="AH14" s="23">
        <v>37</v>
      </c>
      <c r="AI14" s="23">
        <v>752.94</v>
      </c>
      <c r="AJ14" s="23">
        <v>-0.27779999999999999</v>
      </c>
      <c r="AK14" s="23">
        <v>0.66669999999999996</v>
      </c>
      <c r="AL14" s="23" t="s">
        <v>24</v>
      </c>
      <c r="AM14" s="23">
        <v>46.05</v>
      </c>
      <c r="AN14" s="23">
        <v>27435.95</v>
      </c>
      <c r="AO14" s="23">
        <v>45</v>
      </c>
      <c r="AP14" s="23">
        <v>0</v>
      </c>
      <c r="AR14" s="46"/>
      <c r="AS14" s="44"/>
      <c r="AT14" s="45"/>
      <c r="AU14" s="2">
        <v>43487</v>
      </c>
      <c r="AV14" s="52">
        <v>5.2083333333333336E-2</v>
      </c>
      <c r="AW14" s="2" t="s">
        <v>213</v>
      </c>
      <c r="AY14" s="3"/>
      <c r="BA14" s="3"/>
      <c r="BG14" s="3"/>
      <c r="BH14" s="3"/>
    </row>
    <row r="15" spans="1:60">
      <c r="A15" s="23" t="s">
        <v>22</v>
      </c>
      <c r="B15" s="23" t="s">
        <v>23</v>
      </c>
      <c r="C15" s="27">
        <v>43488.625</v>
      </c>
      <c r="D15" s="23">
        <v>47.2</v>
      </c>
      <c r="E15" s="27">
        <v>43489.416666666664</v>
      </c>
      <c r="F15" s="23">
        <v>47.6</v>
      </c>
      <c r="G15" s="31">
        <v>8.5000000000000006E-3</v>
      </c>
      <c r="H15" s="23">
        <v>-423.83</v>
      </c>
      <c r="I15" s="31">
        <v>-8.5000000000000006E-3</v>
      </c>
      <c r="J15" s="23">
        <v>1059.587</v>
      </c>
      <c r="K15" s="23">
        <v>50012.53</v>
      </c>
      <c r="L15" s="23">
        <v>1538.66</v>
      </c>
      <c r="M15" s="23">
        <v>10</v>
      </c>
      <c r="N15" s="23">
        <v>-42.38</v>
      </c>
      <c r="O15" s="31">
        <v>-1.06E-2</v>
      </c>
      <c r="P15" s="31">
        <v>4.1999999999999997E-3</v>
      </c>
      <c r="Q15" s="23" t="s">
        <v>24</v>
      </c>
      <c r="R15" s="23">
        <v>0</v>
      </c>
      <c r="S15" s="23">
        <v>47.92</v>
      </c>
      <c r="U15" s="47">
        <f>VLOOKUP(AU15,[1]expiry_dates!$B$2:$C$2894,2,FALSE)</f>
        <v>43496</v>
      </c>
      <c r="V15" s="23" t="s">
        <v>104</v>
      </c>
      <c r="W15" s="23" t="s">
        <v>23</v>
      </c>
      <c r="X15" s="49">
        <v>43488.625</v>
      </c>
      <c r="Y15" s="23">
        <v>0.95</v>
      </c>
      <c r="Z15" s="23">
        <v>43489.416666666664</v>
      </c>
      <c r="AA15" s="23">
        <v>1.25</v>
      </c>
      <c r="AB15" s="23">
        <v>0.31580000000000003</v>
      </c>
      <c r="AC15" s="23">
        <v>-15866.29</v>
      </c>
      <c r="AD15" s="23">
        <v>-0.31580000000000003</v>
      </c>
      <c r="AE15" s="23">
        <v>52887.63</v>
      </c>
      <c r="AF15" s="23">
        <v>50243.24</v>
      </c>
      <c r="AG15" s="23">
        <v>29996.14</v>
      </c>
      <c r="AH15" s="23">
        <v>10</v>
      </c>
      <c r="AI15" s="23">
        <v>-1586.63</v>
      </c>
      <c r="AJ15" s="23">
        <v>-0.42109999999999997</v>
      </c>
      <c r="AK15" s="23">
        <v>5.2600000000000001E-2</v>
      </c>
      <c r="AL15" s="23" t="s">
        <v>24</v>
      </c>
      <c r="AM15" s="23">
        <v>47.2</v>
      </c>
      <c r="AN15" s="23">
        <v>27229.4</v>
      </c>
      <c r="AO15" s="23">
        <v>47.92</v>
      </c>
      <c r="AP15" s="23">
        <v>0</v>
      </c>
      <c r="AR15" s="46"/>
      <c r="AS15" s="44"/>
      <c r="AT15" s="45"/>
      <c r="AU15" s="2">
        <v>43488</v>
      </c>
      <c r="AV15" s="52">
        <v>0.125</v>
      </c>
      <c r="AW15" s="2" t="s">
        <v>213</v>
      </c>
      <c r="AY15" s="3"/>
      <c r="BA15" s="3"/>
      <c r="BG15" s="3"/>
      <c r="BH15" s="3"/>
    </row>
    <row r="16" spans="1:60">
      <c r="A16" s="23" t="s">
        <v>22</v>
      </c>
      <c r="B16" s="23" t="s">
        <v>25</v>
      </c>
      <c r="C16" s="27">
        <v>43489.416666666664</v>
      </c>
      <c r="D16" s="23">
        <v>47.6</v>
      </c>
      <c r="E16" s="27">
        <v>43489.5</v>
      </c>
      <c r="F16" s="23">
        <v>47.3</v>
      </c>
      <c r="G16" s="31">
        <v>-6.3E-3</v>
      </c>
      <c r="H16" s="23">
        <v>-315.18</v>
      </c>
      <c r="I16" s="31">
        <v>-6.3E-3</v>
      </c>
      <c r="J16" s="23">
        <v>1050.5989999999999</v>
      </c>
      <c r="K16" s="23">
        <v>50008.49</v>
      </c>
      <c r="L16" s="23">
        <v>1223.48</v>
      </c>
      <c r="M16" s="23">
        <v>9</v>
      </c>
      <c r="N16" s="23">
        <v>-35.020000000000003</v>
      </c>
      <c r="O16" s="31">
        <v>-6.3E-3</v>
      </c>
      <c r="P16" s="31">
        <v>3.2000000000000002E-3</v>
      </c>
      <c r="Q16" s="23" t="s">
        <v>24</v>
      </c>
      <c r="R16" s="23">
        <v>0</v>
      </c>
      <c r="S16" s="23">
        <v>47.03</v>
      </c>
      <c r="U16" s="47">
        <f>VLOOKUP(AU16,[1]expiry_dates!$B$2:$C$2894,2,FALSE)</f>
        <v>43496</v>
      </c>
      <c r="V16" s="23" t="s">
        <v>107</v>
      </c>
      <c r="W16" s="23" t="s">
        <v>23</v>
      </c>
      <c r="X16" s="49">
        <v>43489.416666666664</v>
      </c>
      <c r="Y16" s="23">
        <v>0.3</v>
      </c>
      <c r="Z16" s="23">
        <v>43489.5</v>
      </c>
      <c r="AA16" s="23">
        <v>0.35</v>
      </c>
      <c r="AB16" s="23">
        <v>0.16669999999999999</v>
      </c>
      <c r="AC16" s="23">
        <v>-8360.5300000000007</v>
      </c>
      <c r="AD16" s="23">
        <v>-0.16669999999999999</v>
      </c>
      <c r="AE16" s="23">
        <v>167210.70000000001</v>
      </c>
      <c r="AF16" s="23">
        <v>50163.199999999997</v>
      </c>
      <c r="AG16" s="23">
        <v>21635.61</v>
      </c>
      <c r="AH16" s="23">
        <v>9</v>
      </c>
      <c r="AI16" s="23">
        <v>-928.95</v>
      </c>
      <c r="AJ16" s="23">
        <v>-0.33329999999999999</v>
      </c>
      <c r="AK16" s="23">
        <v>0</v>
      </c>
      <c r="AL16" s="23" t="s">
        <v>24</v>
      </c>
      <c r="AM16" s="23">
        <v>47.6</v>
      </c>
      <c r="AN16" s="23">
        <v>27231.85</v>
      </c>
      <c r="AO16" s="23">
        <v>47.03</v>
      </c>
      <c r="AP16" s="23">
        <v>0</v>
      </c>
      <c r="AR16" s="46"/>
      <c r="AS16" s="44"/>
      <c r="AT16" s="45"/>
      <c r="AU16" s="2">
        <v>43489</v>
      </c>
      <c r="AV16" s="52">
        <v>0.41666666666666669</v>
      </c>
      <c r="AW16" s="2" t="s">
        <v>212</v>
      </c>
      <c r="AY16" s="3"/>
      <c r="BA16" s="3"/>
      <c r="BG16" s="3"/>
      <c r="BH16" s="3"/>
    </row>
    <row r="17" spans="1:60">
      <c r="A17" s="23" t="s">
        <v>22</v>
      </c>
      <c r="B17" s="23" t="s">
        <v>23</v>
      </c>
      <c r="C17" s="27">
        <v>43489.5</v>
      </c>
      <c r="D17" s="23">
        <v>47.3</v>
      </c>
      <c r="E17" s="27">
        <v>43490.385416666664</v>
      </c>
      <c r="F17" s="23">
        <v>47.65</v>
      </c>
      <c r="G17" s="31">
        <v>7.4000000000000003E-3</v>
      </c>
      <c r="H17" s="23">
        <v>-370.03</v>
      </c>
      <c r="I17" s="31">
        <v>-7.4000000000000003E-3</v>
      </c>
      <c r="J17" s="23">
        <v>1057.2170000000001</v>
      </c>
      <c r="K17" s="23">
        <v>50006.38</v>
      </c>
      <c r="L17" s="23">
        <v>853.46</v>
      </c>
      <c r="M17" s="23">
        <v>19</v>
      </c>
      <c r="N17" s="23">
        <v>-19.48</v>
      </c>
      <c r="O17" s="31">
        <v>-7.4000000000000003E-3</v>
      </c>
      <c r="P17" s="31">
        <v>1.1599999999999999E-2</v>
      </c>
      <c r="Q17" s="23" t="s">
        <v>24</v>
      </c>
      <c r="R17" s="23">
        <v>0</v>
      </c>
      <c r="S17" s="23">
        <v>47.74</v>
      </c>
      <c r="U17" s="47">
        <f>VLOOKUP(AU17,[1]expiry_dates!$B$2:$C$2894,2,FALSE)</f>
        <v>43496</v>
      </c>
      <c r="V17" s="23" t="s">
        <v>104</v>
      </c>
      <c r="W17" s="23" t="s">
        <v>23</v>
      </c>
      <c r="X17" s="49">
        <v>43489.5</v>
      </c>
      <c r="Y17" s="23">
        <v>1.1000000000000001</v>
      </c>
      <c r="Z17" s="23">
        <v>43490.385416666664</v>
      </c>
      <c r="AA17" s="23">
        <v>1.2</v>
      </c>
      <c r="AB17" s="23">
        <v>9.0899999999999995E-2</v>
      </c>
      <c r="AC17" s="23">
        <v>-4551.49</v>
      </c>
      <c r="AD17" s="23">
        <v>-9.0899999999999995E-2</v>
      </c>
      <c r="AE17" s="23">
        <v>45514.89</v>
      </c>
      <c r="AF17" s="23">
        <v>50066.38</v>
      </c>
      <c r="AG17" s="23">
        <v>17084.12</v>
      </c>
      <c r="AH17" s="23">
        <v>19</v>
      </c>
      <c r="AI17" s="23">
        <v>-239.55</v>
      </c>
      <c r="AJ17" s="23">
        <v>-9.0899999999999995E-2</v>
      </c>
      <c r="AK17" s="23">
        <v>0.2727</v>
      </c>
      <c r="AL17" s="23" t="s">
        <v>24</v>
      </c>
      <c r="AM17" s="23">
        <v>47.3</v>
      </c>
      <c r="AN17" s="23">
        <v>27209.35</v>
      </c>
      <c r="AO17" s="23">
        <v>47.74</v>
      </c>
      <c r="AP17" s="23">
        <v>0</v>
      </c>
      <c r="AR17" s="46"/>
      <c r="AS17" s="44"/>
      <c r="AT17" s="45"/>
      <c r="AU17" s="2">
        <v>43489</v>
      </c>
      <c r="AV17" s="52">
        <v>0.5</v>
      </c>
      <c r="AW17" s="2" t="s">
        <v>213</v>
      </c>
      <c r="AY17" s="3"/>
      <c r="BA17" s="3"/>
      <c r="BG17" s="3"/>
      <c r="BH17" s="3"/>
    </row>
    <row r="18" spans="1:60">
      <c r="A18" s="23" t="s">
        <v>22</v>
      </c>
      <c r="B18" s="23" t="s">
        <v>25</v>
      </c>
      <c r="C18" s="27">
        <v>43490.385416666664</v>
      </c>
      <c r="D18" s="23">
        <v>47.65</v>
      </c>
      <c r="E18" s="27">
        <v>43490.510416666664</v>
      </c>
      <c r="F18" s="23">
        <v>47.3</v>
      </c>
      <c r="G18" s="31">
        <v>-7.3000000000000001E-3</v>
      </c>
      <c r="H18" s="23">
        <v>-367.31</v>
      </c>
      <c r="I18" s="31">
        <v>-7.3000000000000001E-3</v>
      </c>
      <c r="J18" s="23">
        <v>1049.4570000000001</v>
      </c>
      <c r="K18" s="23">
        <v>50006.65</v>
      </c>
      <c r="L18" s="23">
        <v>486.15</v>
      </c>
      <c r="M18" s="23">
        <v>13</v>
      </c>
      <c r="N18" s="23">
        <v>-28.25</v>
      </c>
      <c r="O18" s="31">
        <v>-9.4000000000000004E-3</v>
      </c>
      <c r="P18" s="31">
        <v>2.0999999999999999E-3</v>
      </c>
      <c r="Q18" s="23" t="s">
        <v>24</v>
      </c>
      <c r="R18" s="23">
        <v>0</v>
      </c>
      <c r="S18" s="23">
        <v>46.78</v>
      </c>
      <c r="U18" s="47">
        <f>VLOOKUP(AU18,[1]expiry_dates!$B$2:$C$2894,2,FALSE)</f>
        <v>43496</v>
      </c>
      <c r="V18" s="23" t="s">
        <v>108</v>
      </c>
      <c r="W18" s="23" t="s">
        <v>23</v>
      </c>
      <c r="X18" s="49">
        <v>43490.385416666664</v>
      </c>
      <c r="Y18" s="23">
        <v>1.05</v>
      </c>
      <c r="Z18" s="23">
        <v>43490.510416666664</v>
      </c>
      <c r="AA18" s="23">
        <v>1.1000000000000001</v>
      </c>
      <c r="AB18" s="23">
        <v>4.7600000000000003E-2</v>
      </c>
      <c r="AC18" s="23">
        <v>-2387.73</v>
      </c>
      <c r="AD18" s="23">
        <v>-4.7600000000000003E-2</v>
      </c>
      <c r="AE18" s="23">
        <v>47754.59</v>
      </c>
      <c r="AF18" s="23">
        <v>50142.31</v>
      </c>
      <c r="AG18" s="23">
        <v>14696.39</v>
      </c>
      <c r="AH18" s="23">
        <v>13</v>
      </c>
      <c r="AI18" s="23">
        <v>-183.67</v>
      </c>
      <c r="AJ18" s="23">
        <v>-0.1429</v>
      </c>
      <c r="AK18" s="23">
        <v>4.7600000000000003E-2</v>
      </c>
      <c r="AL18" s="23" t="s">
        <v>24</v>
      </c>
      <c r="AM18" s="23">
        <v>47.65</v>
      </c>
      <c r="AN18" s="23">
        <v>27399.15</v>
      </c>
      <c r="AO18" s="23">
        <v>46.78</v>
      </c>
      <c r="AP18" s="23">
        <v>0</v>
      </c>
      <c r="AR18" s="46"/>
      <c r="AS18" s="44"/>
      <c r="AT18" s="45"/>
      <c r="AU18" s="2">
        <v>43490</v>
      </c>
      <c r="AV18" s="52">
        <v>0.38541666666666669</v>
      </c>
      <c r="AW18" s="2" t="s">
        <v>212</v>
      </c>
      <c r="AY18" s="3"/>
      <c r="BA18" s="3"/>
      <c r="BG18" s="3"/>
      <c r="BH18" s="3"/>
    </row>
    <row r="19" spans="1:60">
      <c r="A19" s="23" t="s">
        <v>22</v>
      </c>
      <c r="B19" s="23" t="s">
        <v>23</v>
      </c>
      <c r="C19" s="27">
        <v>43490.510416666664</v>
      </c>
      <c r="D19" s="23">
        <v>47.3</v>
      </c>
      <c r="E19" s="27">
        <v>43493.541666666664</v>
      </c>
      <c r="F19" s="23">
        <v>46.15</v>
      </c>
      <c r="G19" s="31">
        <v>-2.4299999999999999E-2</v>
      </c>
      <c r="H19" s="23">
        <v>1215.71</v>
      </c>
      <c r="I19" s="31">
        <v>2.4299999999999999E-2</v>
      </c>
      <c r="J19" s="23">
        <v>1057.1389999999999</v>
      </c>
      <c r="K19" s="23">
        <v>50002.69</v>
      </c>
      <c r="L19" s="23">
        <v>1701.86</v>
      </c>
      <c r="M19" s="23">
        <v>33</v>
      </c>
      <c r="N19" s="23">
        <v>36.840000000000003</v>
      </c>
      <c r="O19" s="31">
        <v>-2.0999999999999999E-3</v>
      </c>
      <c r="P19" s="31">
        <v>3.6999999999999998E-2</v>
      </c>
      <c r="Q19" s="23" t="s">
        <v>24</v>
      </c>
      <c r="R19" s="23">
        <v>0</v>
      </c>
      <c r="S19" s="23">
        <v>47.74</v>
      </c>
      <c r="U19" s="47">
        <f>VLOOKUP(AU19,[1]expiry_dates!$B$2:$C$2894,2,FALSE)</f>
        <v>43496</v>
      </c>
      <c r="V19" s="23" t="s">
        <v>104</v>
      </c>
      <c r="W19" s="23" t="s">
        <v>23</v>
      </c>
      <c r="X19" s="49">
        <v>43490.510416666664</v>
      </c>
      <c r="Y19" s="23">
        <v>1</v>
      </c>
      <c r="Z19" s="23">
        <v>43493.541666666664</v>
      </c>
      <c r="AA19" s="23">
        <v>0.45</v>
      </c>
      <c r="AB19" s="23">
        <v>-0.55000000000000004</v>
      </c>
      <c r="AC19" s="23">
        <v>27540.41</v>
      </c>
      <c r="AD19" s="23">
        <v>0.55000000000000004</v>
      </c>
      <c r="AE19" s="23">
        <v>50073.48</v>
      </c>
      <c r="AF19" s="23">
        <v>50073.48</v>
      </c>
      <c r="AG19" s="23">
        <v>42236.800000000003</v>
      </c>
      <c r="AH19" s="23">
        <v>33</v>
      </c>
      <c r="AI19" s="23">
        <v>834.56</v>
      </c>
      <c r="AJ19" s="23">
        <v>-0.15</v>
      </c>
      <c r="AK19" s="23">
        <v>0.65</v>
      </c>
      <c r="AL19" s="23" t="s">
        <v>24</v>
      </c>
      <c r="AM19" s="23">
        <v>47.3</v>
      </c>
      <c r="AN19" s="23">
        <v>27352.2</v>
      </c>
      <c r="AO19" s="23">
        <v>47.74</v>
      </c>
      <c r="AP19" s="23">
        <v>0</v>
      </c>
      <c r="AR19" s="46"/>
      <c r="AS19" s="44"/>
      <c r="AT19" s="45"/>
      <c r="AU19" s="2">
        <v>43490</v>
      </c>
      <c r="AV19" s="52">
        <v>0.51041666666666663</v>
      </c>
      <c r="AW19" s="2" t="s">
        <v>213</v>
      </c>
      <c r="AY19" s="3"/>
      <c r="BA19" s="3"/>
      <c r="BG19" s="3"/>
      <c r="BH19" s="3"/>
    </row>
    <row r="20" spans="1:60">
      <c r="A20" s="23" t="s">
        <v>22</v>
      </c>
      <c r="B20" s="23" t="s">
        <v>25</v>
      </c>
      <c r="C20" s="27">
        <v>43493.541666666664</v>
      </c>
      <c r="D20" s="23">
        <v>46.15</v>
      </c>
      <c r="E20" s="27">
        <v>43493.572916666664</v>
      </c>
      <c r="F20" s="23">
        <v>45.75</v>
      </c>
      <c r="G20" s="31">
        <v>-8.6999999999999994E-3</v>
      </c>
      <c r="H20" s="23">
        <v>-433.45</v>
      </c>
      <c r="I20" s="31">
        <v>-8.6999999999999994E-3</v>
      </c>
      <c r="J20" s="23">
        <v>1083.614</v>
      </c>
      <c r="K20" s="23">
        <v>50008.77</v>
      </c>
      <c r="L20" s="23">
        <v>1268.4100000000001</v>
      </c>
      <c r="M20" s="23">
        <v>4</v>
      </c>
      <c r="N20" s="23">
        <v>-108.36</v>
      </c>
      <c r="O20" s="31">
        <v>-8.6999999999999994E-3</v>
      </c>
      <c r="P20" s="31">
        <v>7.6E-3</v>
      </c>
      <c r="Q20" s="23" t="s">
        <v>24</v>
      </c>
      <c r="R20" s="23">
        <v>0</v>
      </c>
      <c r="S20" s="23">
        <v>45.56</v>
      </c>
      <c r="U20" s="47">
        <f>VLOOKUP(AU20,[1]expiry_dates!$B$2:$C$2894,2,FALSE)</f>
        <v>43496</v>
      </c>
      <c r="V20" s="23" t="s">
        <v>109</v>
      </c>
      <c r="W20" s="23" t="s">
        <v>23</v>
      </c>
      <c r="X20" s="49">
        <v>43493.541666666664</v>
      </c>
      <c r="Y20" s="23">
        <v>0.35</v>
      </c>
      <c r="Z20" s="23">
        <v>43493.572916666664</v>
      </c>
      <c r="AA20" s="23">
        <v>0.35</v>
      </c>
      <c r="AB20" s="23">
        <v>0</v>
      </c>
      <c r="AC20" s="23">
        <v>0</v>
      </c>
      <c r="AD20" s="23">
        <v>0</v>
      </c>
      <c r="AE20" s="23">
        <v>143460.5</v>
      </c>
      <c r="AF20" s="23">
        <v>50211.18</v>
      </c>
      <c r="AG20" s="23">
        <v>42236.800000000003</v>
      </c>
      <c r="AH20" s="23">
        <v>4</v>
      </c>
      <c r="AI20" s="23">
        <v>0</v>
      </c>
      <c r="AJ20" s="23">
        <v>0</v>
      </c>
      <c r="AK20" s="23">
        <v>0.28570000000000001</v>
      </c>
      <c r="AL20" s="23" t="s">
        <v>24</v>
      </c>
      <c r="AM20" s="23">
        <v>46.15</v>
      </c>
      <c r="AN20" s="23">
        <v>26711.05</v>
      </c>
      <c r="AO20" s="23">
        <v>45.56</v>
      </c>
      <c r="AP20" s="23">
        <v>0</v>
      </c>
      <c r="AR20" s="46"/>
      <c r="AS20" s="44"/>
      <c r="AT20" s="45"/>
      <c r="AU20" s="2">
        <v>43493</v>
      </c>
      <c r="AV20" s="52">
        <v>4.1666666666666664E-2</v>
      </c>
      <c r="AW20" s="2" t="s">
        <v>213</v>
      </c>
      <c r="AY20" s="3"/>
      <c r="BA20" s="3"/>
      <c r="BG20" s="3"/>
      <c r="BH20" s="3"/>
    </row>
    <row r="21" spans="1:60">
      <c r="A21" s="23" t="s">
        <v>22</v>
      </c>
      <c r="B21" s="23" t="s">
        <v>23</v>
      </c>
      <c r="C21" s="27">
        <v>43493.572916666664</v>
      </c>
      <c r="D21" s="23">
        <v>45.75</v>
      </c>
      <c r="E21" s="27">
        <v>43494.4375</v>
      </c>
      <c r="F21" s="23">
        <v>45.9</v>
      </c>
      <c r="G21" s="31">
        <v>3.3E-3</v>
      </c>
      <c r="H21" s="23">
        <v>-163.96</v>
      </c>
      <c r="I21" s="31">
        <v>-3.3E-3</v>
      </c>
      <c r="J21" s="23">
        <v>1093.047</v>
      </c>
      <c r="K21" s="23">
        <v>50006.879999999997</v>
      </c>
      <c r="L21" s="23">
        <v>1104.46</v>
      </c>
      <c r="M21" s="23">
        <v>17</v>
      </c>
      <c r="N21" s="23">
        <v>-9.64</v>
      </c>
      <c r="O21" s="31">
        <v>-5.4999999999999997E-3</v>
      </c>
      <c r="P21" s="31">
        <v>7.7000000000000002E-3</v>
      </c>
      <c r="Q21" s="23" t="s">
        <v>24</v>
      </c>
      <c r="R21" s="23">
        <v>0</v>
      </c>
      <c r="S21" s="23">
        <v>46.5</v>
      </c>
      <c r="U21" s="47">
        <f>VLOOKUP(AU21,[1]expiry_dates!$B$2:$C$2894,2,FALSE)</f>
        <v>43496</v>
      </c>
      <c r="V21" s="23" t="s">
        <v>110</v>
      </c>
      <c r="W21" s="23" t="s">
        <v>23</v>
      </c>
      <c r="X21" s="49">
        <v>43493.572916666664</v>
      </c>
      <c r="Y21" s="23">
        <v>0.6</v>
      </c>
      <c r="Z21" s="23">
        <v>43494.4375</v>
      </c>
      <c r="AA21" s="23">
        <v>0.6</v>
      </c>
      <c r="AB21" s="23">
        <v>0</v>
      </c>
      <c r="AC21" s="23">
        <v>0</v>
      </c>
      <c r="AD21" s="23">
        <v>0</v>
      </c>
      <c r="AE21" s="23">
        <v>83685.3</v>
      </c>
      <c r="AF21" s="23">
        <v>50211.18</v>
      </c>
      <c r="AG21" s="23">
        <v>42236.800000000003</v>
      </c>
      <c r="AH21" s="23">
        <v>17</v>
      </c>
      <c r="AI21" s="23">
        <v>0</v>
      </c>
      <c r="AJ21" s="23">
        <v>-0.33329999999999999</v>
      </c>
      <c r="AK21" s="23">
        <v>0.16669999999999999</v>
      </c>
      <c r="AL21" s="23" t="s">
        <v>24</v>
      </c>
      <c r="AM21" s="23">
        <v>45.75</v>
      </c>
      <c r="AN21" s="23">
        <v>26614.25</v>
      </c>
      <c r="AO21" s="23">
        <v>46.5</v>
      </c>
      <c r="AP21" s="23">
        <v>0</v>
      </c>
      <c r="AR21" s="46"/>
      <c r="AS21" s="44"/>
      <c r="AT21" s="45"/>
      <c r="AU21" s="2">
        <v>43493</v>
      </c>
      <c r="AV21" s="52">
        <v>7.2916666666666671E-2</v>
      </c>
      <c r="AW21" s="2" t="s">
        <v>213</v>
      </c>
      <c r="AY21" s="3"/>
      <c r="BA21" s="3"/>
      <c r="BG21" s="3"/>
      <c r="BH21" s="3"/>
    </row>
    <row r="22" spans="1:60">
      <c r="A22" s="23" t="s">
        <v>22</v>
      </c>
      <c r="B22" s="23" t="s">
        <v>25</v>
      </c>
      <c r="C22" s="27">
        <v>43494.4375</v>
      </c>
      <c r="D22" s="23">
        <v>45.9</v>
      </c>
      <c r="E22" s="27">
        <v>43494.552083333336</v>
      </c>
      <c r="F22" s="23">
        <v>45.8</v>
      </c>
      <c r="G22" s="31">
        <v>-2.2000000000000001E-3</v>
      </c>
      <c r="H22" s="23">
        <v>-108.95</v>
      </c>
      <c r="I22" s="31">
        <v>-2.2000000000000001E-3</v>
      </c>
      <c r="J22" s="23">
        <v>1089.451</v>
      </c>
      <c r="K22" s="23">
        <v>50005.79</v>
      </c>
      <c r="L22" s="23">
        <v>995.51</v>
      </c>
      <c r="M22" s="23">
        <v>12</v>
      </c>
      <c r="N22" s="23">
        <v>-9.08</v>
      </c>
      <c r="O22" s="31">
        <v>-6.4999999999999997E-3</v>
      </c>
      <c r="P22" s="31">
        <v>6.4999999999999997E-3</v>
      </c>
      <c r="Q22" s="23" t="s">
        <v>24</v>
      </c>
      <c r="R22" s="23">
        <v>0</v>
      </c>
      <c r="S22" s="23">
        <v>45.4</v>
      </c>
      <c r="U22" s="47">
        <f>VLOOKUP(AU22,[1]expiry_dates!$B$2:$C$2894,2,FALSE)</f>
        <v>43496</v>
      </c>
      <c r="V22" s="23" t="s">
        <v>109</v>
      </c>
      <c r="W22" s="23" t="s">
        <v>23</v>
      </c>
      <c r="X22" s="49">
        <v>43494.4375</v>
      </c>
      <c r="Y22" s="23">
        <v>0.3</v>
      </c>
      <c r="Z22" s="23">
        <v>43494.552083333336</v>
      </c>
      <c r="AA22" s="23">
        <v>0.35</v>
      </c>
      <c r="AB22" s="23">
        <v>0.16669999999999999</v>
      </c>
      <c r="AC22" s="23">
        <v>-8368.5300000000007</v>
      </c>
      <c r="AD22" s="23">
        <v>-0.16669999999999999</v>
      </c>
      <c r="AE22" s="23">
        <v>167370.6</v>
      </c>
      <c r="AF22" s="23">
        <v>50211.18</v>
      </c>
      <c r="AG22" s="23">
        <v>33868.269999999997</v>
      </c>
      <c r="AH22" s="23">
        <v>12</v>
      </c>
      <c r="AI22" s="23">
        <v>-697.38</v>
      </c>
      <c r="AJ22" s="23">
        <v>-0.16669999999999999</v>
      </c>
      <c r="AK22" s="23">
        <v>0.33329999999999999</v>
      </c>
      <c r="AL22" s="23" t="s">
        <v>24</v>
      </c>
      <c r="AM22" s="23">
        <v>45.9</v>
      </c>
      <c r="AN22" s="23">
        <v>26652.45</v>
      </c>
      <c r="AO22" s="23">
        <v>45.4</v>
      </c>
      <c r="AP22" s="23">
        <v>0</v>
      </c>
      <c r="AR22" s="46"/>
      <c r="AS22" s="44"/>
      <c r="AT22" s="45"/>
      <c r="AU22" s="2">
        <v>43494</v>
      </c>
      <c r="AV22" s="52">
        <v>0.4375</v>
      </c>
      <c r="AW22" s="2" t="s">
        <v>212</v>
      </c>
      <c r="AY22" s="3"/>
      <c r="BA22" s="3"/>
      <c r="BG22" s="3"/>
      <c r="BH22" s="3"/>
    </row>
    <row r="23" spans="1:60">
      <c r="A23" s="23" t="s">
        <v>22</v>
      </c>
      <c r="B23" s="23" t="s">
        <v>23</v>
      </c>
      <c r="C23" s="27">
        <v>43494.552083333336</v>
      </c>
      <c r="D23" s="23">
        <v>45.8</v>
      </c>
      <c r="E23" s="27">
        <v>43494.625</v>
      </c>
      <c r="F23" s="23">
        <v>46.1</v>
      </c>
      <c r="G23" s="31">
        <v>6.6E-3</v>
      </c>
      <c r="H23" s="23">
        <v>-327.55</v>
      </c>
      <c r="I23" s="31">
        <v>-6.6E-3</v>
      </c>
      <c r="J23" s="23">
        <v>1091.818</v>
      </c>
      <c r="K23" s="23">
        <v>50005.25</v>
      </c>
      <c r="L23" s="23">
        <v>667.97</v>
      </c>
      <c r="M23" s="23">
        <v>8</v>
      </c>
      <c r="N23" s="23">
        <v>-40.94</v>
      </c>
      <c r="O23" s="31">
        <v>-6.6E-3</v>
      </c>
      <c r="P23" s="31">
        <v>3.3E-3</v>
      </c>
      <c r="Q23" s="23" t="s">
        <v>24</v>
      </c>
      <c r="R23" s="23">
        <v>0</v>
      </c>
      <c r="S23" s="23">
        <v>46.2</v>
      </c>
      <c r="U23" s="47">
        <f>VLOOKUP(AU23,[1]expiry_dates!$B$2:$C$2894,2,FALSE)</f>
        <v>43496</v>
      </c>
      <c r="V23" s="23" t="s">
        <v>110</v>
      </c>
      <c r="W23" s="23" t="s">
        <v>23</v>
      </c>
      <c r="X23" s="49">
        <v>43494.552083333336</v>
      </c>
      <c r="Y23" s="23">
        <v>0.45</v>
      </c>
      <c r="Z23" s="23">
        <v>43494.625</v>
      </c>
      <c r="AA23" s="23">
        <v>0.55000000000000004</v>
      </c>
      <c r="AB23" s="23">
        <v>0.22220000000000001</v>
      </c>
      <c r="AC23" s="23">
        <v>-11158.04</v>
      </c>
      <c r="AD23" s="23">
        <v>-0.22220000000000001</v>
      </c>
      <c r="AE23" s="23">
        <v>111580.4</v>
      </c>
      <c r="AF23" s="23">
        <v>50211.18</v>
      </c>
      <c r="AG23" s="23">
        <v>22710.23</v>
      </c>
      <c r="AH23" s="23">
        <v>8</v>
      </c>
      <c r="AI23" s="23">
        <v>-1394.76</v>
      </c>
      <c r="AJ23" s="23">
        <v>-0.22220000000000001</v>
      </c>
      <c r="AK23" s="23">
        <v>0.22220000000000001</v>
      </c>
      <c r="AL23" s="23" t="s">
        <v>24</v>
      </c>
      <c r="AM23" s="23">
        <v>45.8</v>
      </c>
      <c r="AN23" s="23">
        <v>26535.5</v>
      </c>
      <c r="AO23" s="23">
        <v>46.2</v>
      </c>
      <c r="AP23" s="23">
        <v>0</v>
      </c>
      <c r="AR23" s="46"/>
      <c r="AS23" s="44"/>
      <c r="AT23" s="45"/>
      <c r="AU23" s="2">
        <v>43494</v>
      </c>
      <c r="AV23" s="52">
        <v>5.2083333333333336E-2</v>
      </c>
      <c r="AW23" s="2" t="s">
        <v>213</v>
      </c>
      <c r="AY23" s="3"/>
      <c r="BA23" s="3"/>
      <c r="BG23" s="3"/>
      <c r="BH23" s="3"/>
    </row>
    <row r="24" spans="1:60">
      <c r="A24" s="23" t="s">
        <v>22</v>
      </c>
      <c r="B24" s="23" t="s">
        <v>25</v>
      </c>
      <c r="C24" s="27">
        <v>43494.625</v>
      </c>
      <c r="D24" s="23">
        <v>46.1</v>
      </c>
      <c r="E24" s="27">
        <v>43495.395833333336</v>
      </c>
      <c r="F24" s="23">
        <v>45.7</v>
      </c>
      <c r="G24" s="31">
        <v>-8.6999999999999994E-3</v>
      </c>
      <c r="H24" s="23">
        <v>-433.89</v>
      </c>
      <c r="I24" s="31">
        <v>-8.6999999999999994E-3</v>
      </c>
      <c r="J24" s="23">
        <v>1084.7239999999999</v>
      </c>
      <c r="K24" s="23">
        <v>50005.8</v>
      </c>
      <c r="L24" s="23">
        <v>234.08</v>
      </c>
      <c r="M24" s="23">
        <v>8</v>
      </c>
      <c r="N24" s="23">
        <v>-54.24</v>
      </c>
      <c r="O24" s="31">
        <v>-9.7999999999999997E-3</v>
      </c>
      <c r="P24" s="31">
        <v>9.7999999999999997E-3</v>
      </c>
      <c r="Q24" s="23" t="s">
        <v>24</v>
      </c>
      <c r="R24" s="23">
        <v>0</v>
      </c>
      <c r="S24" s="23">
        <v>45.65</v>
      </c>
      <c r="U24" s="47">
        <f>VLOOKUP(AU24,[1]expiry_dates!$B$2:$C$2894,2,FALSE)</f>
        <v>43496</v>
      </c>
      <c r="V24" s="23" t="s">
        <v>107</v>
      </c>
      <c r="W24" s="23" t="s">
        <v>23</v>
      </c>
      <c r="X24" s="49">
        <v>43494.625</v>
      </c>
      <c r="Y24" s="23">
        <v>0.45</v>
      </c>
      <c r="Z24" s="23">
        <v>43495.395833333336</v>
      </c>
      <c r="AA24" s="23">
        <v>0.55000000000000004</v>
      </c>
      <c r="AB24" s="23">
        <v>0.22220000000000001</v>
      </c>
      <c r="AC24" s="23">
        <v>-11154.94</v>
      </c>
      <c r="AD24" s="23">
        <v>-0.22220000000000001</v>
      </c>
      <c r="AE24" s="23">
        <v>111549.4</v>
      </c>
      <c r="AF24" s="23">
        <v>50197.23</v>
      </c>
      <c r="AG24" s="23">
        <v>11555.29</v>
      </c>
      <c r="AH24" s="23">
        <v>8</v>
      </c>
      <c r="AI24" s="23">
        <v>-1394.37</v>
      </c>
      <c r="AJ24" s="23">
        <v>-0.33329999999999999</v>
      </c>
      <c r="AK24" s="23">
        <v>0.33329999999999999</v>
      </c>
      <c r="AL24" s="23" t="s">
        <v>24</v>
      </c>
      <c r="AM24" s="23">
        <v>46.1</v>
      </c>
      <c r="AN24" s="23">
        <v>26512.15</v>
      </c>
      <c r="AO24" s="23">
        <v>45.65</v>
      </c>
      <c r="AP24" s="23">
        <v>0</v>
      </c>
      <c r="AR24" s="46"/>
      <c r="AS24" s="44"/>
      <c r="AT24" s="45"/>
      <c r="AU24" s="2">
        <v>43494</v>
      </c>
      <c r="AV24" s="52">
        <v>0.125</v>
      </c>
      <c r="AW24" s="2" t="s">
        <v>213</v>
      </c>
      <c r="AY24" s="3"/>
      <c r="BA24" s="3"/>
      <c r="BG24" s="3"/>
      <c r="BH24" s="3"/>
    </row>
    <row r="25" spans="1:60">
      <c r="A25" s="23" t="s">
        <v>22</v>
      </c>
      <c r="B25" s="23" t="s">
        <v>23</v>
      </c>
      <c r="C25" s="27">
        <v>43495.395833333336</v>
      </c>
      <c r="D25" s="23">
        <v>45.7</v>
      </c>
      <c r="E25" s="27">
        <v>43496.46875</v>
      </c>
      <c r="F25" s="23">
        <v>44.7</v>
      </c>
      <c r="G25" s="31">
        <v>-2.1899999999999999E-2</v>
      </c>
      <c r="H25" s="23">
        <v>1094.1600000000001</v>
      </c>
      <c r="I25" s="31">
        <v>2.1899999999999999E-2</v>
      </c>
      <c r="J25" s="23">
        <v>1094.1590000000001</v>
      </c>
      <c r="K25" s="23">
        <v>50003.07</v>
      </c>
      <c r="L25" s="23">
        <v>1328.23</v>
      </c>
      <c r="M25" s="23">
        <v>37</v>
      </c>
      <c r="N25" s="23">
        <v>29.57</v>
      </c>
      <c r="O25" s="31">
        <v>-7.7000000000000002E-3</v>
      </c>
      <c r="P25" s="31">
        <v>4.5999999999999999E-2</v>
      </c>
      <c r="Q25" s="23" t="s">
        <v>24</v>
      </c>
      <c r="R25" s="23">
        <v>0</v>
      </c>
      <c r="S25" s="23">
        <v>46.52</v>
      </c>
      <c r="U25" s="47">
        <f>VLOOKUP(AU25,[1]expiry_dates!$B$2:$C$2894,2,FALSE)</f>
        <v>43496</v>
      </c>
      <c r="V25" s="23" t="s">
        <v>110</v>
      </c>
      <c r="W25" s="23" t="s">
        <v>23</v>
      </c>
      <c r="X25" s="49">
        <v>43495.395833333336</v>
      </c>
      <c r="Y25" s="23">
        <v>0.4</v>
      </c>
      <c r="Z25" s="23">
        <v>43496.46875</v>
      </c>
      <c r="AA25" s="23">
        <v>0.05</v>
      </c>
      <c r="AB25" s="23">
        <v>-0.875</v>
      </c>
      <c r="AC25" s="23">
        <v>43922.559999999998</v>
      </c>
      <c r="AD25" s="23">
        <v>0.875</v>
      </c>
      <c r="AE25" s="23">
        <v>125493</v>
      </c>
      <c r="AF25" s="23">
        <v>50197.21</v>
      </c>
      <c r="AG25" s="23">
        <v>55477.85</v>
      </c>
      <c r="AH25" s="23">
        <v>37</v>
      </c>
      <c r="AI25" s="23">
        <v>1187.0999999999999</v>
      </c>
      <c r="AJ25" s="23">
        <v>-0.25</v>
      </c>
      <c r="AK25" s="23">
        <v>0.875</v>
      </c>
      <c r="AL25" s="23" t="s">
        <v>24</v>
      </c>
      <c r="AM25" s="23">
        <v>45.7</v>
      </c>
      <c r="AN25" s="23">
        <v>26761.35</v>
      </c>
      <c r="AO25" s="23">
        <v>46.52</v>
      </c>
      <c r="AP25" s="23">
        <v>0</v>
      </c>
      <c r="AR25" s="46"/>
      <c r="AS25" s="44"/>
      <c r="AT25" s="45"/>
      <c r="AU25" s="2">
        <v>43495</v>
      </c>
      <c r="AV25" s="52">
        <v>0.39583333333333331</v>
      </c>
      <c r="AW25" s="2" t="s">
        <v>212</v>
      </c>
      <c r="AY25" s="3"/>
      <c r="BA25" s="3"/>
      <c r="BG25" s="3"/>
      <c r="BH25" s="3"/>
    </row>
    <row r="26" spans="1:60">
      <c r="A26" s="23" t="s">
        <v>22</v>
      </c>
      <c r="B26" s="23" t="s">
        <v>25</v>
      </c>
      <c r="C26" s="27">
        <v>43496.46875</v>
      </c>
      <c r="D26" s="23">
        <v>44.7</v>
      </c>
      <c r="E26" s="27">
        <v>43496.6875</v>
      </c>
      <c r="F26" s="23">
        <v>45.2</v>
      </c>
      <c r="G26" s="31">
        <v>1.12E-2</v>
      </c>
      <c r="H26" s="23">
        <v>559.39</v>
      </c>
      <c r="I26" s="31">
        <v>1.12E-2</v>
      </c>
      <c r="J26" s="23">
        <v>1118.7719999999999</v>
      </c>
      <c r="K26" s="23">
        <v>50009.1</v>
      </c>
      <c r="L26" s="23">
        <v>1887.62</v>
      </c>
      <c r="M26" s="23">
        <v>20</v>
      </c>
      <c r="N26" s="23">
        <v>27.97</v>
      </c>
      <c r="O26" s="31">
        <v>-1.23E-2</v>
      </c>
      <c r="P26" s="31">
        <v>2.8000000000000001E-2</v>
      </c>
      <c r="Q26" s="23" t="s">
        <v>24</v>
      </c>
      <c r="R26" s="23">
        <v>0</v>
      </c>
      <c r="S26" s="23">
        <v>43.6</v>
      </c>
      <c r="U26" s="47">
        <f>VLOOKUP(AU26,[1]expiry_dates!$B$2:$C$2894,2,FALSE)</f>
        <v>43496</v>
      </c>
      <c r="V26" s="23" t="s">
        <v>111</v>
      </c>
      <c r="W26" s="23" t="s">
        <v>23</v>
      </c>
      <c r="X26" s="49">
        <v>43496.46875</v>
      </c>
      <c r="Y26" s="23">
        <v>0.15</v>
      </c>
      <c r="Z26" s="23">
        <v>43496.6875</v>
      </c>
      <c r="AA26" s="23">
        <v>0.05</v>
      </c>
      <c r="AB26" s="23">
        <v>-0.66669999999999996</v>
      </c>
      <c r="AC26" s="23">
        <v>33518.26</v>
      </c>
      <c r="AD26" s="23">
        <v>0.66669999999999996</v>
      </c>
      <c r="AE26" s="23">
        <v>335182.59999999998</v>
      </c>
      <c r="AF26" s="23">
        <v>50277.39</v>
      </c>
      <c r="AG26" s="23">
        <v>88996.11</v>
      </c>
      <c r="AH26" s="23">
        <v>20</v>
      </c>
      <c r="AI26" s="23">
        <v>1675.91</v>
      </c>
      <c r="AJ26" s="23">
        <v>-0.66669999999999996</v>
      </c>
      <c r="AK26" s="23">
        <v>0.66669999999999996</v>
      </c>
      <c r="AL26" s="23" t="s">
        <v>24</v>
      </c>
      <c r="AM26" s="23">
        <v>44.7</v>
      </c>
      <c r="AN26" s="23">
        <v>27042.95</v>
      </c>
      <c r="AO26" s="23">
        <v>43.6</v>
      </c>
      <c r="AP26" s="23">
        <v>0</v>
      </c>
      <c r="AR26" s="46"/>
      <c r="AS26" s="44"/>
      <c r="AT26" s="45"/>
      <c r="AU26" s="2">
        <v>43496</v>
      </c>
      <c r="AV26" s="52">
        <v>0.46875</v>
      </c>
      <c r="AW26" s="2" t="s">
        <v>212</v>
      </c>
      <c r="AY26" s="3"/>
      <c r="BA26" s="3"/>
      <c r="BG26" s="3"/>
      <c r="BH26" s="3"/>
    </row>
    <row r="27" spans="1:60">
      <c r="A27" s="23" t="s">
        <v>22</v>
      </c>
      <c r="B27" s="23" t="s">
        <v>25</v>
      </c>
      <c r="C27" s="27">
        <v>43497.385416666664</v>
      </c>
      <c r="D27" s="23">
        <v>44.9</v>
      </c>
      <c r="E27" s="27">
        <v>43497.395833333336</v>
      </c>
      <c r="F27" s="23">
        <v>44.95</v>
      </c>
      <c r="G27" s="31">
        <v>1.1000000000000001E-3</v>
      </c>
      <c r="H27" s="23">
        <v>55.69</v>
      </c>
      <c r="I27" s="31">
        <v>1.1000000000000001E-3</v>
      </c>
      <c r="J27" s="23">
        <v>1113.796</v>
      </c>
      <c r="K27" s="23">
        <v>50009.440000000002</v>
      </c>
      <c r="L27" s="23">
        <v>1943.31</v>
      </c>
      <c r="M27" s="23">
        <v>2</v>
      </c>
      <c r="N27" s="23">
        <v>27.84</v>
      </c>
      <c r="O27" s="31">
        <v>-1.1000000000000001E-3</v>
      </c>
      <c r="P27" s="31">
        <v>8.8999999999999999E-3</v>
      </c>
      <c r="Q27" s="23" t="s">
        <v>24</v>
      </c>
      <c r="R27" s="23">
        <v>0</v>
      </c>
      <c r="S27" s="23">
        <v>44.84</v>
      </c>
      <c r="U27" s="47">
        <f>VLOOKUP(AU27,[1]expiry_dates!$B$2:$C$2894,2,FALSE)</f>
        <v>43524</v>
      </c>
      <c r="V27" s="23" t="s">
        <v>109</v>
      </c>
      <c r="W27" s="23" t="s">
        <v>23</v>
      </c>
      <c r="X27" s="49">
        <v>43497.385416666664</v>
      </c>
      <c r="Y27" s="23">
        <v>1.75</v>
      </c>
      <c r="Z27" s="23">
        <v>43497.395833333336</v>
      </c>
      <c r="AA27" s="23">
        <v>1.85</v>
      </c>
      <c r="AB27" s="23">
        <v>5.7099999999999998E-2</v>
      </c>
      <c r="AC27" s="23">
        <v>-2882.57</v>
      </c>
      <c r="AD27" s="23">
        <v>-5.7099999999999998E-2</v>
      </c>
      <c r="AE27" s="23">
        <v>28825.7</v>
      </c>
      <c r="AF27" s="23">
        <v>50444.98</v>
      </c>
      <c r="AG27" s="23">
        <v>86113.54</v>
      </c>
      <c r="AH27" s="23">
        <v>2</v>
      </c>
      <c r="AI27" s="23">
        <v>-1441.29</v>
      </c>
      <c r="AJ27" s="23">
        <v>-5.7099999999999998E-2</v>
      </c>
      <c r="AK27" s="23">
        <v>2.86E-2</v>
      </c>
      <c r="AL27" s="23" t="s">
        <v>24</v>
      </c>
      <c r="AM27" s="23">
        <v>44.9</v>
      </c>
      <c r="AN27" s="23">
        <v>27260.05</v>
      </c>
      <c r="AO27" s="23">
        <v>44.84</v>
      </c>
      <c r="AP27" s="23">
        <v>0</v>
      </c>
      <c r="AR27" s="46"/>
      <c r="AS27" s="44"/>
      <c r="AT27" s="45"/>
      <c r="AU27" s="2">
        <v>43497</v>
      </c>
      <c r="AV27" s="52">
        <v>0.38541666666666669</v>
      </c>
      <c r="AW27" s="2" t="s">
        <v>212</v>
      </c>
      <c r="AY27" s="3"/>
      <c r="BA27" s="3"/>
      <c r="BG27" s="3"/>
      <c r="BH27" s="3"/>
    </row>
    <row r="28" spans="1:60">
      <c r="A28" s="23" t="s">
        <v>22</v>
      </c>
      <c r="B28" s="23" t="s">
        <v>23</v>
      </c>
      <c r="C28" s="27">
        <v>43497.395833333336</v>
      </c>
      <c r="D28" s="23">
        <v>44.95</v>
      </c>
      <c r="E28" s="27">
        <v>43497.520833333336</v>
      </c>
      <c r="F28" s="23">
        <v>45.1</v>
      </c>
      <c r="G28" s="31">
        <v>3.3E-3</v>
      </c>
      <c r="H28" s="23">
        <v>-166.88</v>
      </c>
      <c r="I28" s="31">
        <v>-3.3E-3</v>
      </c>
      <c r="J28" s="23">
        <v>1112.557</v>
      </c>
      <c r="K28" s="23">
        <v>50009.440000000002</v>
      </c>
      <c r="L28" s="23">
        <v>1776.43</v>
      </c>
      <c r="M28" s="23">
        <v>13</v>
      </c>
      <c r="N28" s="23">
        <v>-12.84</v>
      </c>
      <c r="O28" s="31">
        <v>-5.5999999999999999E-3</v>
      </c>
      <c r="P28" s="31">
        <v>7.7999999999999996E-3</v>
      </c>
      <c r="Q28" s="23" t="s">
        <v>24</v>
      </c>
      <c r="R28" s="23">
        <v>0</v>
      </c>
      <c r="S28" s="23">
        <v>45.9</v>
      </c>
      <c r="U28" s="47">
        <f>VLOOKUP(AU28,[1]expiry_dates!$B$2:$C$2894,2,FALSE)</f>
        <v>43524</v>
      </c>
      <c r="V28" s="23" t="s">
        <v>112</v>
      </c>
      <c r="W28" s="23" t="s">
        <v>23</v>
      </c>
      <c r="X28" s="49">
        <v>43497.395833333336</v>
      </c>
      <c r="Y28" s="23">
        <v>1.7</v>
      </c>
      <c r="Z28" s="23">
        <v>43497.520833333336</v>
      </c>
      <c r="AA28" s="23">
        <v>1.7</v>
      </c>
      <c r="AB28" s="23">
        <v>0</v>
      </c>
      <c r="AC28" s="23">
        <v>0</v>
      </c>
      <c r="AD28" s="23">
        <v>0</v>
      </c>
      <c r="AE28" s="23">
        <v>29673.52</v>
      </c>
      <c r="AF28" s="23">
        <v>50444.98</v>
      </c>
      <c r="AG28" s="23">
        <v>86113.54</v>
      </c>
      <c r="AH28" s="23">
        <v>13</v>
      </c>
      <c r="AI28" s="23">
        <v>0</v>
      </c>
      <c r="AJ28" s="23">
        <v>-8.8200000000000001E-2</v>
      </c>
      <c r="AK28" s="23">
        <v>0.1176</v>
      </c>
      <c r="AL28" s="23" t="s">
        <v>24</v>
      </c>
      <c r="AM28" s="23">
        <v>44.95</v>
      </c>
      <c r="AN28" s="23">
        <v>27255.25</v>
      </c>
      <c r="AO28" s="23">
        <v>45.9</v>
      </c>
      <c r="AP28" s="23">
        <v>0</v>
      </c>
      <c r="AR28" s="46"/>
      <c r="AS28" s="44"/>
      <c r="AT28" s="45"/>
      <c r="AU28" s="2">
        <v>43497</v>
      </c>
      <c r="AV28" s="52">
        <v>0.39583333333333331</v>
      </c>
      <c r="AW28" s="2" t="s">
        <v>212</v>
      </c>
      <c r="AY28" s="3"/>
      <c r="BA28" s="3"/>
      <c r="BG28" s="3"/>
      <c r="BH28" s="3"/>
    </row>
    <row r="29" spans="1:60">
      <c r="A29" s="23" t="s">
        <v>22</v>
      </c>
      <c r="B29" s="23" t="s">
        <v>25</v>
      </c>
      <c r="C29" s="27">
        <v>43497.520833333336</v>
      </c>
      <c r="D29" s="23">
        <v>45.1</v>
      </c>
      <c r="E29" s="27">
        <v>43497.583333333336</v>
      </c>
      <c r="F29" s="23">
        <v>45.1</v>
      </c>
      <c r="G29" s="31">
        <v>0</v>
      </c>
      <c r="H29" s="23">
        <v>0</v>
      </c>
      <c r="I29" s="31">
        <v>0</v>
      </c>
      <c r="J29" s="23">
        <v>1108.857</v>
      </c>
      <c r="K29" s="23">
        <v>50009.440000000002</v>
      </c>
      <c r="L29" s="23">
        <v>1776.43</v>
      </c>
      <c r="M29" s="23">
        <v>7</v>
      </c>
      <c r="N29" s="23">
        <v>0</v>
      </c>
      <c r="O29" s="31">
        <v>-6.7000000000000002E-3</v>
      </c>
      <c r="P29" s="31">
        <v>0.01</v>
      </c>
      <c r="Q29" s="23" t="s">
        <v>24</v>
      </c>
      <c r="R29" s="23">
        <v>0</v>
      </c>
      <c r="S29" s="23">
        <v>44.63</v>
      </c>
      <c r="U29" s="47">
        <f>VLOOKUP(AU29,[1]expiry_dates!$B$2:$C$2894,2,FALSE)</f>
        <v>43524</v>
      </c>
      <c r="V29" s="23" t="s">
        <v>111</v>
      </c>
      <c r="W29" s="23" t="s">
        <v>23</v>
      </c>
      <c r="X29" s="49">
        <v>43497.520833333336</v>
      </c>
      <c r="Y29" s="23">
        <v>1</v>
      </c>
      <c r="Z29" s="23">
        <v>43497.583333333336</v>
      </c>
      <c r="AA29" s="23">
        <v>1.05</v>
      </c>
      <c r="AB29" s="23">
        <v>0.05</v>
      </c>
      <c r="AC29" s="23">
        <v>-2522.64</v>
      </c>
      <c r="AD29" s="23">
        <v>-0.05</v>
      </c>
      <c r="AE29" s="23">
        <v>50452.82</v>
      </c>
      <c r="AF29" s="23">
        <v>50452.82</v>
      </c>
      <c r="AG29" s="23">
        <v>83590.899999999994</v>
      </c>
      <c r="AH29" s="23">
        <v>7</v>
      </c>
      <c r="AI29" s="23">
        <v>-360.38</v>
      </c>
      <c r="AJ29" s="23">
        <v>-0.05</v>
      </c>
      <c r="AK29" s="23">
        <v>0.05</v>
      </c>
      <c r="AL29" s="23" t="s">
        <v>24</v>
      </c>
      <c r="AM29" s="23">
        <v>45.1</v>
      </c>
      <c r="AN29" s="23">
        <v>27405.15</v>
      </c>
      <c r="AO29" s="23">
        <v>44.63</v>
      </c>
      <c r="AP29" s="23">
        <v>0</v>
      </c>
      <c r="AR29" s="46"/>
      <c r="AS29" s="44"/>
      <c r="AT29" s="45"/>
      <c r="AU29" s="2">
        <v>43497</v>
      </c>
      <c r="AV29" s="52">
        <v>0.52083333333333337</v>
      </c>
      <c r="AW29" s="2" t="s">
        <v>213</v>
      </c>
      <c r="AY29" s="3"/>
      <c r="BA29" s="3"/>
      <c r="BG29" s="3"/>
      <c r="BH29" s="3"/>
    </row>
    <row r="30" spans="1:60">
      <c r="A30" s="23" t="s">
        <v>22</v>
      </c>
      <c r="B30" s="23" t="s">
        <v>23</v>
      </c>
      <c r="C30" s="27">
        <v>43497.583333333336</v>
      </c>
      <c r="D30" s="23">
        <v>45.1</v>
      </c>
      <c r="E30" s="27">
        <v>43501.385416666664</v>
      </c>
      <c r="F30" s="23">
        <v>43.65</v>
      </c>
      <c r="G30" s="31">
        <v>-3.2199999999999999E-2</v>
      </c>
      <c r="H30" s="23">
        <v>1607.82</v>
      </c>
      <c r="I30" s="31">
        <v>3.2199999999999999E-2</v>
      </c>
      <c r="J30" s="23">
        <v>1108.8440000000001</v>
      </c>
      <c r="K30" s="23">
        <v>50008.88</v>
      </c>
      <c r="L30" s="23">
        <v>3384.25</v>
      </c>
      <c r="M30" s="23">
        <v>40</v>
      </c>
      <c r="N30" s="23">
        <v>40.200000000000003</v>
      </c>
      <c r="O30" s="31">
        <v>-1.1000000000000001E-3</v>
      </c>
      <c r="P30" s="31">
        <v>4.99E-2</v>
      </c>
      <c r="Q30" s="23" t="s">
        <v>24</v>
      </c>
      <c r="R30" s="23">
        <v>0</v>
      </c>
      <c r="S30" s="23">
        <v>45.54</v>
      </c>
      <c r="U30" s="47">
        <f>VLOOKUP(AU30,[1]expiry_dates!$B$2:$C$2894,2,FALSE)</f>
        <v>43524</v>
      </c>
      <c r="V30" s="23" t="s">
        <v>112</v>
      </c>
      <c r="W30" s="23" t="s">
        <v>23</v>
      </c>
      <c r="X30" s="49">
        <v>43497.583333333336</v>
      </c>
      <c r="Y30" s="23">
        <v>1.65</v>
      </c>
      <c r="Z30" s="23">
        <v>43501.385416666664</v>
      </c>
      <c r="AA30" s="23">
        <v>1.35</v>
      </c>
      <c r="AB30" s="23">
        <v>-0.18179999999999999</v>
      </c>
      <c r="AC30" s="23">
        <v>9169.19</v>
      </c>
      <c r="AD30" s="23">
        <v>0.18179999999999999</v>
      </c>
      <c r="AE30" s="23">
        <v>30563.98</v>
      </c>
      <c r="AF30" s="23">
        <v>50430.57</v>
      </c>
      <c r="AG30" s="23">
        <v>92760.09</v>
      </c>
      <c r="AH30" s="23">
        <v>40</v>
      </c>
      <c r="AI30" s="23">
        <v>229.23</v>
      </c>
      <c r="AJ30" s="23">
        <v>-6.0600000000000001E-2</v>
      </c>
      <c r="AK30" s="23">
        <v>0.39389999999999997</v>
      </c>
      <c r="AL30" s="23" t="s">
        <v>24</v>
      </c>
      <c r="AM30" s="23">
        <v>45.1</v>
      </c>
      <c r="AN30" s="23">
        <v>27163.1</v>
      </c>
      <c r="AO30" s="23">
        <v>45.54</v>
      </c>
      <c r="AP30" s="23">
        <v>0</v>
      </c>
      <c r="AR30" s="46"/>
      <c r="AS30" s="44"/>
      <c r="AT30" s="45"/>
      <c r="AU30" s="2">
        <v>43497</v>
      </c>
      <c r="AV30" s="52">
        <v>8.3333333333333329E-2</v>
      </c>
      <c r="AW30" s="2" t="s">
        <v>213</v>
      </c>
      <c r="AY30" s="3"/>
      <c r="BA30" s="3"/>
      <c r="BG30" s="3"/>
      <c r="BH30" s="3"/>
    </row>
    <row r="31" spans="1:60">
      <c r="A31" s="23" t="s">
        <v>22</v>
      </c>
      <c r="B31" s="23" t="s">
        <v>25</v>
      </c>
      <c r="C31" s="27">
        <v>43501.385416666664</v>
      </c>
      <c r="D31" s="23">
        <v>43.65</v>
      </c>
      <c r="E31" s="27">
        <v>43501.520833333336</v>
      </c>
      <c r="F31" s="23">
        <v>43.3</v>
      </c>
      <c r="G31" s="31">
        <v>-8.0000000000000002E-3</v>
      </c>
      <c r="H31" s="23">
        <v>-401.07</v>
      </c>
      <c r="I31" s="31">
        <v>-8.0000000000000002E-3</v>
      </c>
      <c r="J31" s="23">
        <v>1145.9069999999999</v>
      </c>
      <c r="K31" s="23">
        <v>50018.86</v>
      </c>
      <c r="L31" s="23">
        <v>2983.18</v>
      </c>
      <c r="M31" s="23">
        <v>14</v>
      </c>
      <c r="N31" s="23">
        <v>-28.65</v>
      </c>
      <c r="O31" s="31">
        <v>-1.03E-2</v>
      </c>
      <c r="P31" s="31">
        <v>8.0000000000000002E-3</v>
      </c>
      <c r="Q31" s="23" t="s">
        <v>24</v>
      </c>
      <c r="R31" s="23">
        <v>0</v>
      </c>
      <c r="S31" s="23">
        <v>42.88</v>
      </c>
      <c r="U31" s="47">
        <f>VLOOKUP(AU31,[1]expiry_dates!$B$2:$C$2894,2,FALSE)</f>
        <v>43524</v>
      </c>
      <c r="V31" s="23" t="s">
        <v>113</v>
      </c>
      <c r="W31" s="23" t="s">
        <v>23</v>
      </c>
      <c r="X31" s="49">
        <v>43501.385416666664</v>
      </c>
      <c r="Y31" s="23">
        <v>0.6</v>
      </c>
      <c r="Z31" s="23">
        <v>43501.520833333336</v>
      </c>
      <c r="AA31" s="23">
        <v>0.5</v>
      </c>
      <c r="AB31" s="23">
        <v>-0.16669999999999999</v>
      </c>
      <c r="AC31" s="23">
        <v>8414.4500000000007</v>
      </c>
      <c r="AD31" s="23">
        <v>0.16669999999999999</v>
      </c>
      <c r="AE31" s="23">
        <v>84144.54</v>
      </c>
      <c r="AF31" s="23">
        <v>50486.73</v>
      </c>
      <c r="AG31" s="23">
        <v>101174.55</v>
      </c>
      <c r="AH31" s="23">
        <v>14</v>
      </c>
      <c r="AI31" s="23">
        <v>601.03</v>
      </c>
      <c r="AJ31" s="23">
        <v>-8.3299999999999999E-2</v>
      </c>
      <c r="AK31" s="23">
        <v>0.33329999999999999</v>
      </c>
      <c r="AL31" s="23" t="s">
        <v>24</v>
      </c>
      <c r="AM31" s="23">
        <v>43.65</v>
      </c>
      <c r="AN31" s="23">
        <v>27183.05</v>
      </c>
      <c r="AO31" s="23">
        <v>42.88</v>
      </c>
      <c r="AP31" s="23">
        <v>0</v>
      </c>
      <c r="AR31" s="46"/>
      <c r="AS31" s="44"/>
      <c r="AT31" s="45"/>
      <c r="AU31" s="2">
        <v>43501</v>
      </c>
      <c r="AV31" s="52">
        <v>0.38541666666666669</v>
      </c>
      <c r="AW31" s="2" t="s">
        <v>212</v>
      </c>
      <c r="AY31" s="3"/>
      <c r="BA31" s="3"/>
      <c r="BG31" s="3"/>
      <c r="BH31" s="3"/>
    </row>
    <row r="32" spans="1:60">
      <c r="A32" s="23" t="s">
        <v>22</v>
      </c>
      <c r="B32" s="23" t="s">
        <v>23</v>
      </c>
      <c r="C32" s="27">
        <v>43501.520833333336</v>
      </c>
      <c r="D32" s="23">
        <v>43.3</v>
      </c>
      <c r="E32" s="27">
        <v>43502.46875</v>
      </c>
      <c r="F32" s="23">
        <v>42.2</v>
      </c>
      <c r="G32" s="31">
        <v>-2.5399999999999999E-2</v>
      </c>
      <c r="H32" s="23">
        <v>1270.6199999999999</v>
      </c>
      <c r="I32" s="31">
        <v>2.5399999999999999E-2</v>
      </c>
      <c r="J32" s="23">
        <v>1155.1120000000001</v>
      </c>
      <c r="K32" s="23">
        <v>50016.35</v>
      </c>
      <c r="L32" s="23">
        <v>4253.8100000000004</v>
      </c>
      <c r="M32" s="23">
        <v>25</v>
      </c>
      <c r="N32" s="23">
        <v>50.82</v>
      </c>
      <c r="O32" s="31">
        <v>-6.8999999999999999E-3</v>
      </c>
      <c r="P32" s="31">
        <v>7.0400000000000004E-2</v>
      </c>
      <c r="Q32" s="23" t="s">
        <v>24</v>
      </c>
      <c r="R32" s="23">
        <v>0</v>
      </c>
      <c r="S32" s="23">
        <v>43.99</v>
      </c>
      <c r="U32" s="47">
        <f>VLOOKUP(AU32,[1]expiry_dates!$B$2:$C$2894,2,FALSE)</f>
        <v>43524</v>
      </c>
      <c r="V32" s="23" t="s">
        <v>114</v>
      </c>
      <c r="W32" s="23" t="s">
        <v>23</v>
      </c>
      <c r="X32" s="49">
        <v>43501.520833333336</v>
      </c>
      <c r="Y32" s="23">
        <v>1.9</v>
      </c>
      <c r="Z32" s="23">
        <v>43502.46875</v>
      </c>
      <c r="AA32" s="23">
        <v>1.35</v>
      </c>
      <c r="AB32" s="23">
        <v>-0.28949999999999998</v>
      </c>
      <c r="AC32" s="23">
        <v>14632.3</v>
      </c>
      <c r="AD32" s="23">
        <v>0.28949999999999998</v>
      </c>
      <c r="AE32" s="23">
        <v>26604.18</v>
      </c>
      <c r="AF32" s="23">
        <v>50547.95</v>
      </c>
      <c r="AG32" s="23">
        <v>115806.85</v>
      </c>
      <c r="AH32" s="23">
        <v>25</v>
      </c>
      <c r="AI32" s="23">
        <v>585.29</v>
      </c>
      <c r="AJ32" s="23">
        <v>-0.15790000000000001</v>
      </c>
      <c r="AK32" s="23">
        <v>0.57889999999999997</v>
      </c>
      <c r="AL32" s="23" t="s">
        <v>24</v>
      </c>
      <c r="AM32" s="23">
        <v>43.3</v>
      </c>
      <c r="AN32" s="23">
        <v>27296.35</v>
      </c>
      <c r="AO32" s="23">
        <v>43.99</v>
      </c>
      <c r="AP32" s="23">
        <v>0</v>
      </c>
      <c r="AR32" s="46"/>
      <c r="AS32" s="44"/>
      <c r="AT32" s="45"/>
      <c r="AU32" s="2">
        <v>43501</v>
      </c>
      <c r="AV32" s="52">
        <v>0.52083333333333337</v>
      </c>
      <c r="AW32" s="2" t="s">
        <v>213</v>
      </c>
      <c r="AY32" s="3"/>
      <c r="BA32" s="3"/>
      <c r="BG32" s="3"/>
      <c r="BH32" s="3"/>
    </row>
    <row r="33" spans="1:60">
      <c r="A33" s="23" t="s">
        <v>22</v>
      </c>
      <c r="B33" s="23" t="s">
        <v>25</v>
      </c>
      <c r="C33" s="27">
        <v>43502.46875</v>
      </c>
      <c r="D33" s="23">
        <v>42.2</v>
      </c>
      <c r="E33" s="27">
        <v>43502.614583333336</v>
      </c>
      <c r="F33" s="23">
        <v>41.45</v>
      </c>
      <c r="G33" s="31">
        <v>-1.78E-2</v>
      </c>
      <c r="H33" s="23">
        <v>-889.07</v>
      </c>
      <c r="I33" s="31">
        <v>-1.78E-2</v>
      </c>
      <c r="J33" s="23">
        <v>1185.42</v>
      </c>
      <c r="K33" s="23">
        <v>50024.73</v>
      </c>
      <c r="L33" s="23">
        <v>3364.74</v>
      </c>
      <c r="M33" s="23">
        <v>15</v>
      </c>
      <c r="N33" s="23">
        <v>-59.27</v>
      </c>
      <c r="O33" s="31">
        <v>-2.2499999999999999E-2</v>
      </c>
      <c r="P33" s="31">
        <v>5.8999999999999999E-3</v>
      </c>
      <c r="Q33" s="23" t="s">
        <v>24</v>
      </c>
      <c r="R33" s="23">
        <v>0</v>
      </c>
      <c r="S33" s="23">
        <v>40.29</v>
      </c>
      <c r="U33" s="47">
        <f>VLOOKUP(AU33,[1]expiry_dates!$B$2:$C$2894,2,FALSE)</f>
        <v>43524</v>
      </c>
      <c r="V33" s="23" t="s">
        <v>115</v>
      </c>
      <c r="W33" s="23" t="s">
        <v>23</v>
      </c>
      <c r="X33" s="49">
        <v>43502.46875</v>
      </c>
      <c r="Y33" s="23">
        <v>1.45</v>
      </c>
      <c r="Z33" s="23">
        <v>43502.614583333336</v>
      </c>
      <c r="AA33" s="23">
        <v>1.8</v>
      </c>
      <c r="AB33" s="23">
        <v>0.2414</v>
      </c>
      <c r="AC33" s="23">
        <v>-12218.36</v>
      </c>
      <c r="AD33" s="23">
        <v>-0.2414</v>
      </c>
      <c r="AE33" s="23">
        <v>34909.61</v>
      </c>
      <c r="AF33" s="23">
        <v>50618.94</v>
      </c>
      <c r="AG33" s="23">
        <v>103588.48</v>
      </c>
      <c r="AH33" s="23">
        <v>15</v>
      </c>
      <c r="AI33" s="23">
        <v>-814.56</v>
      </c>
      <c r="AJ33" s="23">
        <v>-0.31030000000000002</v>
      </c>
      <c r="AK33" s="23">
        <v>0</v>
      </c>
      <c r="AL33" s="23" t="s">
        <v>24</v>
      </c>
      <c r="AM33" s="23">
        <v>42.2</v>
      </c>
      <c r="AN33" s="23">
        <v>27376.15</v>
      </c>
      <c r="AO33" s="23">
        <v>40.29</v>
      </c>
      <c r="AP33" s="23">
        <v>0</v>
      </c>
      <c r="AR33" s="46"/>
      <c r="AS33" s="44"/>
      <c r="AT33" s="45"/>
      <c r="AU33" s="2">
        <v>43502</v>
      </c>
      <c r="AV33" s="52">
        <v>0.46875</v>
      </c>
      <c r="AW33" s="2" t="s">
        <v>212</v>
      </c>
      <c r="AY33" s="3"/>
      <c r="BA33" s="3"/>
      <c r="BG33" s="3"/>
      <c r="BH33" s="3"/>
    </row>
    <row r="34" spans="1:60">
      <c r="A34" s="23" t="s">
        <v>22</v>
      </c>
      <c r="B34" s="23" t="s">
        <v>23</v>
      </c>
      <c r="C34" s="27">
        <v>43502.614583333336</v>
      </c>
      <c r="D34" s="23">
        <v>41.45</v>
      </c>
      <c r="E34" s="27">
        <v>43503.385416666664</v>
      </c>
      <c r="F34" s="23">
        <v>42.2</v>
      </c>
      <c r="G34" s="31">
        <v>1.8100000000000002E-2</v>
      </c>
      <c r="H34" s="23">
        <v>-905.05</v>
      </c>
      <c r="I34" s="31">
        <v>-1.8100000000000002E-2</v>
      </c>
      <c r="J34" s="23">
        <v>1206.7360000000001</v>
      </c>
      <c r="K34" s="23">
        <v>50019.199999999997</v>
      </c>
      <c r="L34" s="23">
        <v>2459.69</v>
      </c>
      <c r="M34" s="23">
        <v>8</v>
      </c>
      <c r="N34" s="23">
        <v>-113.13</v>
      </c>
      <c r="O34" s="31">
        <v>-2.1700000000000001E-2</v>
      </c>
      <c r="P34" s="31">
        <v>1.1999999999999999E-3</v>
      </c>
      <c r="Q34" s="23" t="s">
        <v>24</v>
      </c>
      <c r="R34" s="23">
        <v>0</v>
      </c>
      <c r="S34" s="23">
        <v>42.45</v>
      </c>
      <c r="U34" s="47">
        <f>VLOOKUP(AU34,[1]expiry_dates!$B$2:$C$2894,2,FALSE)</f>
        <v>43524</v>
      </c>
      <c r="V34" s="23" t="s">
        <v>116</v>
      </c>
      <c r="W34" s="23" t="s">
        <v>23</v>
      </c>
      <c r="X34" s="49">
        <v>43502.614583333336</v>
      </c>
      <c r="Y34" s="23">
        <v>1.65</v>
      </c>
      <c r="Z34" s="23">
        <v>43503.385416666664</v>
      </c>
      <c r="AA34" s="23">
        <v>1.85</v>
      </c>
      <c r="AB34" s="23">
        <v>0.1212</v>
      </c>
      <c r="AC34" s="23">
        <v>-6123.39</v>
      </c>
      <c r="AD34" s="23">
        <v>-0.1212</v>
      </c>
      <c r="AE34" s="23">
        <v>30616.94</v>
      </c>
      <c r="AF34" s="23">
        <v>50517.94</v>
      </c>
      <c r="AG34" s="23">
        <v>97465.1</v>
      </c>
      <c r="AH34" s="23">
        <v>8</v>
      </c>
      <c r="AI34" s="23">
        <v>-765.42</v>
      </c>
      <c r="AJ34" s="23">
        <v>-0.1212</v>
      </c>
      <c r="AK34" s="23">
        <v>0.1515</v>
      </c>
      <c r="AL34" s="23" t="s">
        <v>24</v>
      </c>
      <c r="AM34" s="23">
        <v>41.45</v>
      </c>
      <c r="AN34" s="23">
        <v>27403.15</v>
      </c>
      <c r="AO34" s="23">
        <v>42.45</v>
      </c>
      <c r="AP34" s="23">
        <v>0</v>
      </c>
      <c r="AR34" s="46"/>
      <c r="AS34" s="44"/>
      <c r="AT34" s="45"/>
      <c r="AU34" s="2">
        <v>43502</v>
      </c>
      <c r="AV34" s="52">
        <v>0.11458333333333333</v>
      </c>
      <c r="AW34" s="2" t="s">
        <v>213</v>
      </c>
      <c r="AY34" s="3"/>
      <c r="BA34" s="3"/>
      <c r="BG34" s="3"/>
      <c r="BH34" s="3"/>
    </row>
    <row r="35" spans="1:60">
      <c r="A35" s="23" t="s">
        <v>22</v>
      </c>
      <c r="B35" s="23" t="s">
        <v>25</v>
      </c>
      <c r="C35" s="27">
        <v>43503.385416666664</v>
      </c>
      <c r="D35" s="23">
        <v>42.2</v>
      </c>
      <c r="E35" s="27">
        <v>43504.395833333336</v>
      </c>
      <c r="F35" s="23">
        <v>43.65</v>
      </c>
      <c r="G35" s="31">
        <v>3.44E-2</v>
      </c>
      <c r="H35" s="23">
        <v>1718.4</v>
      </c>
      <c r="I35" s="31">
        <v>3.44E-2</v>
      </c>
      <c r="J35" s="23">
        <v>1185.104</v>
      </c>
      <c r="K35" s="23">
        <v>50011.39</v>
      </c>
      <c r="L35" s="23">
        <v>4178.09</v>
      </c>
      <c r="M35" s="23">
        <v>31</v>
      </c>
      <c r="N35" s="23">
        <v>55.43</v>
      </c>
      <c r="O35" s="31">
        <v>-5.8999999999999999E-3</v>
      </c>
      <c r="P35" s="31">
        <v>5.9200000000000003E-2</v>
      </c>
      <c r="Q35" s="23" t="s">
        <v>24</v>
      </c>
      <c r="R35" s="23">
        <v>0</v>
      </c>
      <c r="S35" s="23">
        <v>41.46</v>
      </c>
      <c r="U35" s="47">
        <f>VLOOKUP(AU35,[1]expiry_dates!$B$2:$C$2894,2,FALSE)</f>
        <v>43524</v>
      </c>
      <c r="V35" s="23" t="s">
        <v>115</v>
      </c>
      <c r="W35" s="23" t="s">
        <v>23</v>
      </c>
      <c r="X35" s="49">
        <v>43503.385416666664</v>
      </c>
      <c r="Y35" s="23">
        <v>1.55</v>
      </c>
      <c r="Z35" s="23">
        <v>43504.395833333336</v>
      </c>
      <c r="AA35" s="23">
        <v>0.8</v>
      </c>
      <c r="AB35" s="23">
        <v>-0.4839</v>
      </c>
      <c r="AC35" s="23">
        <v>24444.17</v>
      </c>
      <c r="AD35" s="23">
        <v>0.4839</v>
      </c>
      <c r="AE35" s="23">
        <v>32592.22</v>
      </c>
      <c r="AF35" s="23">
        <v>50517.95</v>
      </c>
      <c r="AG35" s="23">
        <v>121909.26</v>
      </c>
      <c r="AH35" s="23">
        <v>31</v>
      </c>
      <c r="AI35" s="23">
        <v>788.52</v>
      </c>
      <c r="AJ35" s="23">
        <v>-3.2300000000000002E-2</v>
      </c>
      <c r="AK35" s="23">
        <v>0.6452</v>
      </c>
      <c r="AL35" s="23" t="s">
        <v>24</v>
      </c>
      <c r="AM35" s="23">
        <v>42.2</v>
      </c>
      <c r="AN35" s="23">
        <v>27461.05</v>
      </c>
      <c r="AO35" s="23">
        <v>41.46</v>
      </c>
      <c r="AP35" s="23">
        <v>0</v>
      </c>
      <c r="AR35" s="46"/>
      <c r="AS35" s="44"/>
      <c r="AT35" s="45"/>
      <c r="AU35" s="2">
        <v>43503</v>
      </c>
      <c r="AV35" s="52">
        <v>0.38541666666666669</v>
      </c>
      <c r="AW35" s="2" t="s">
        <v>212</v>
      </c>
      <c r="AY35" s="3"/>
      <c r="BA35" s="3"/>
      <c r="BG35" s="3"/>
      <c r="BH35" s="3"/>
    </row>
    <row r="36" spans="1:60">
      <c r="A36" s="23" t="s">
        <v>22</v>
      </c>
      <c r="B36" s="23" t="s">
        <v>23</v>
      </c>
      <c r="C36" s="27">
        <v>43504.395833333336</v>
      </c>
      <c r="D36" s="23">
        <v>43.65</v>
      </c>
      <c r="E36" s="27">
        <v>43504.458333333336</v>
      </c>
      <c r="F36" s="23">
        <v>44.3</v>
      </c>
      <c r="G36" s="31">
        <v>1.49E-2</v>
      </c>
      <c r="H36" s="23">
        <v>-744.91</v>
      </c>
      <c r="I36" s="31">
        <v>-1.49E-2</v>
      </c>
      <c r="J36" s="23">
        <v>1146.0219999999999</v>
      </c>
      <c r="K36" s="23">
        <v>50023.86</v>
      </c>
      <c r="L36" s="23">
        <v>3433.18</v>
      </c>
      <c r="M36" s="23">
        <v>7</v>
      </c>
      <c r="N36" s="23">
        <v>-106.42</v>
      </c>
      <c r="O36" s="31">
        <v>-1.49E-2</v>
      </c>
      <c r="P36" s="31">
        <v>1.03E-2</v>
      </c>
      <c r="Q36" s="23" t="s">
        <v>24</v>
      </c>
      <c r="R36" s="23">
        <v>0</v>
      </c>
      <c r="S36" s="23">
        <v>44.68</v>
      </c>
      <c r="U36" s="47">
        <f>VLOOKUP(AU36,[1]expiry_dates!$B$2:$C$2894,2,FALSE)</f>
        <v>43524</v>
      </c>
      <c r="V36" s="23" t="s">
        <v>114</v>
      </c>
      <c r="W36" s="23" t="s">
        <v>23</v>
      </c>
      <c r="X36" s="49">
        <v>43504.395833333336</v>
      </c>
      <c r="Y36" s="23">
        <v>1.95</v>
      </c>
      <c r="Z36" s="23">
        <v>43504.458333333336</v>
      </c>
      <c r="AA36" s="23">
        <v>2.35</v>
      </c>
      <c r="AB36" s="23">
        <v>0.2051</v>
      </c>
      <c r="AC36" s="23">
        <v>-10388.129999999999</v>
      </c>
      <c r="AD36" s="23">
        <v>-0.2051</v>
      </c>
      <c r="AE36" s="23">
        <v>25970.33</v>
      </c>
      <c r="AF36" s="23">
        <v>50642.14</v>
      </c>
      <c r="AG36" s="23">
        <v>111521.13</v>
      </c>
      <c r="AH36" s="23">
        <v>7</v>
      </c>
      <c r="AI36" s="23">
        <v>-1484.02</v>
      </c>
      <c r="AJ36" s="23">
        <v>-0.2051</v>
      </c>
      <c r="AK36" s="23">
        <v>0.1026</v>
      </c>
      <c r="AL36" s="23" t="s">
        <v>24</v>
      </c>
      <c r="AM36" s="23">
        <v>43.65</v>
      </c>
      <c r="AN36" s="23">
        <v>27304.45</v>
      </c>
      <c r="AO36" s="23">
        <v>44.68</v>
      </c>
      <c r="AP36" s="23">
        <v>0</v>
      </c>
      <c r="AR36" s="46"/>
      <c r="AS36" s="44"/>
      <c r="AT36" s="45"/>
      <c r="AU36" s="2">
        <v>43504</v>
      </c>
      <c r="AV36" s="52">
        <v>0.39583333333333331</v>
      </c>
      <c r="AW36" s="2" t="s">
        <v>212</v>
      </c>
      <c r="AY36" s="3"/>
      <c r="BA36" s="3"/>
      <c r="BG36" s="3"/>
      <c r="BH36" s="3"/>
    </row>
    <row r="37" spans="1:60">
      <c r="A37" s="23" t="s">
        <v>22</v>
      </c>
      <c r="B37" s="23" t="s">
        <v>25</v>
      </c>
      <c r="C37" s="27">
        <v>43504.458333333336</v>
      </c>
      <c r="D37" s="23">
        <v>44.3</v>
      </c>
      <c r="E37" s="27">
        <v>43504.625</v>
      </c>
      <c r="F37" s="23">
        <v>44.3</v>
      </c>
      <c r="G37" s="31">
        <v>0</v>
      </c>
      <c r="H37" s="23">
        <v>0</v>
      </c>
      <c r="I37" s="31">
        <v>0</v>
      </c>
      <c r="J37" s="23">
        <v>1129.069</v>
      </c>
      <c r="K37" s="23">
        <v>50017.74</v>
      </c>
      <c r="L37" s="23">
        <v>3433.18</v>
      </c>
      <c r="M37" s="23">
        <v>17</v>
      </c>
      <c r="N37" s="23">
        <v>0</v>
      </c>
      <c r="O37" s="31">
        <v>-8.9999999999999993E-3</v>
      </c>
      <c r="P37" s="31">
        <v>1.5800000000000002E-2</v>
      </c>
      <c r="Q37" s="23" t="s">
        <v>24</v>
      </c>
      <c r="R37" s="23">
        <v>0</v>
      </c>
      <c r="S37" s="23">
        <v>43.25</v>
      </c>
      <c r="U37" s="47">
        <f>VLOOKUP(AU37,[1]expiry_dates!$B$2:$C$2894,2,FALSE)</f>
        <v>43524</v>
      </c>
      <c r="V37" s="23" t="s">
        <v>113</v>
      </c>
      <c r="W37" s="23" t="s">
        <v>23</v>
      </c>
      <c r="X37" s="49">
        <v>43504.458333333336</v>
      </c>
      <c r="Y37" s="23">
        <v>0.35</v>
      </c>
      <c r="Z37" s="23">
        <v>43504.625</v>
      </c>
      <c r="AA37" s="23">
        <v>0.3</v>
      </c>
      <c r="AB37" s="23">
        <v>-0.1429</v>
      </c>
      <c r="AC37" s="23">
        <v>7225.3</v>
      </c>
      <c r="AD37" s="23">
        <v>0.1429</v>
      </c>
      <c r="AE37" s="23">
        <v>144506</v>
      </c>
      <c r="AF37" s="23">
        <v>50577.08</v>
      </c>
      <c r="AG37" s="23">
        <v>118746.43</v>
      </c>
      <c r="AH37" s="23">
        <v>17</v>
      </c>
      <c r="AI37" s="23">
        <v>425.02</v>
      </c>
      <c r="AJ37" s="23">
        <v>0</v>
      </c>
      <c r="AK37" s="23">
        <v>0.1429</v>
      </c>
      <c r="AL37" s="23" t="s">
        <v>24</v>
      </c>
      <c r="AM37" s="23">
        <v>44.3</v>
      </c>
      <c r="AN37" s="23">
        <v>27252.95</v>
      </c>
      <c r="AO37" s="23">
        <v>43.25</v>
      </c>
      <c r="AP37" s="23">
        <v>0</v>
      </c>
      <c r="AR37" s="46"/>
      <c r="AS37" s="44"/>
      <c r="AT37" s="45"/>
      <c r="AU37" s="2">
        <v>43504</v>
      </c>
      <c r="AV37" s="52">
        <v>0.45833333333333331</v>
      </c>
      <c r="AW37" s="2" t="s">
        <v>212</v>
      </c>
      <c r="AY37" s="3"/>
      <c r="BA37" s="3"/>
      <c r="BG37" s="3"/>
      <c r="BH37" s="3"/>
    </row>
    <row r="38" spans="1:60">
      <c r="A38" s="23" t="s">
        <v>22</v>
      </c>
      <c r="B38" s="23" t="s">
        <v>23</v>
      </c>
      <c r="C38" s="27">
        <v>43504.625</v>
      </c>
      <c r="D38" s="23">
        <v>44.3</v>
      </c>
      <c r="E38" s="27">
        <v>43507.489583333336</v>
      </c>
      <c r="F38" s="23">
        <v>44.15</v>
      </c>
      <c r="G38" s="31">
        <v>-3.3999999999999998E-3</v>
      </c>
      <c r="H38" s="23">
        <v>169.36</v>
      </c>
      <c r="I38" s="31">
        <v>3.3999999999999998E-3</v>
      </c>
      <c r="J38" s="23">
        <v>1129.0809999999999</v>
      </c>
      <c r="K38" s="23">
        <v>50018.3</v>
      </c>
      <c r="L38" s="23">
        <v>3602.54</v>
      </c>
      <c r="M38" s="23">
        <v>17</v>
      </c>
      <c r="N38" s="23">
        <v>9.9600000000000009</v>
      </c>
      <c r="O38" s="31">
        <v>-6.7999999999999996E-3</v>
      </c>
      <c r="P38" s="31">
        <v>2.1399999999999999E-2</v>
      </c>
      <c r="Q38" s="23" t="s">
        <v>24</v>
      </c>
      <c r="R38" s="23">
        <v>0</v>
      </c>
      <c r="S38" s="23">
        <v>44.98</v>
      </c>
      <c r="U38" s="47">
        <f>VLOOKUP(AU38,[1]expiry_dates!$B$2:$C$2894,2,FALSE)</f>
        <v>43524</v>
      </c>
      <c r="V38" s="23" t="s">
        <v>117</v>
      </c>
      <c r="W38" s="23" t="s">
        <v>23</v>
      </c>
      <c r="X38" s="49">
        <v>43504.625</v>
      </c>
      <c r="Y38" s="23">
        <v>1.6</v>
      </c>
      <c r="Z38" s="23">
        <v>43507.489583333336</v>
      </c>
      <c r="AA38" s="23">
        <v>1.55</v>
      </c>
      <c r="AB38" s="23">
        <v>-3.1300000000000001E-2</v>
      </c>
      <c r="AC38" s="23">
        <v>1581.05</v>
      </c>
      <c r="AD38" s="23">
        <v>3.1300000000000001E-2</v>
      </c>
      <c r="AE38" s="23">
        <v>31621.08</v>
      </c>
      <c r="AF38" s="23">
        <v>50593.73</v>
      </c>
      <c r="AG38" s="23">
        <v>120327.48</v>
      </c>
      <c r="AH38" s="23">
        <v>17</v>
      </c>
      <c r="AI38" s="23">
        <v>93</v>
      </c>
      <c r="AJ38" s="23">
        <v>-0.15620000000000001</v>
      </c>
      <c r="AK38" s="23">
        <v>0.21879999999999999</v>
      </c>
      <c r="AL38" s="23" t="s">
        <v>24</v>
      </c>
      <c r="AM38" s="23">
        <v>44.3</v>
      </c>
      <c r="AN38" s="23">
        <v>27275.45</v>
      </c>
      <c r="AO38" s="23">
        <v>44.98</v>
      </c>
      <c r="AP38" s="23">
        <v>0</v>
      </c>
      <c r="AR38" s="46"/>
      <c r="AS38" s="44"/>
      <c r="AT38" s="45"/>
      <c r="AU38" s="2">
        <v>43504</v>
      </c>
      <c r="AV38" s="52">
        <v>0.125</v>
      </c>
      <c r="AW38" s="2" t="s">
        <v>213</v>
      </c>
      <c r="AY38" s="3"/>
      <c r="BA38" s="3"/>
      <c r="BG38" s="3"/>
      <c r="BH38" s="3"/>
    </row>
    <row r="39" spans="1:60">
      <c r="A39" s="23" t="s">
        <v>22</v>
      </c>
      <c r="B39" s="23" t="s">
        <v>25</v>
      </c>
      <c r="C39" s="27">
        <v>43507.489583333336</v>
      </c>
      <c r="D39" s="23">
        <v>44.15</v>
      </c>
      <c r="E39" s="27">
        <v>43508.604166666664</v>
      </c>
      <c r="F39" s="23">
        <v>45.25</v>
      </c>
      <c r="G39" s="31">
        <v>2.4899999999999999E-2</v>
      </c>
      <c r="H39" s="23">
        <v>1246.23</v>
      </c>
      <c r="I39" s="31">
        <v>2.4899999999999999E-2</v>
      </c>
      <c r="J39" s="23">
        <v>1132.9359999999999</v>
      </c>
      <c r="K39" s="23">
        <v>50019.14</v>
      </c>
      <c r="L39" s="23">
        <v>4848.7700000000004</v>
      </c>
      <c r="M39" s="23">
        <v>41</v>
      </c>
      <c r="N39" s="23">
        <v>30.4</v>
      </c>
      <c r="O39" s="31">
        <v>-6.7999999999999996E-3</v>
      </c>
      <c r="P39" s="31">
        <v>3.7400000000000003E-2</v>
      </c>
      <c r="Q39" s="23" t="s">
        <v>24</v>
      </c>
      <c r="R39" s="23">
        <v>0</v>
      </c>
      <c r="S39" s="23">
        <v>43.37</v>
      </c>
      <c r="U39" s="47">
        <f>VLOOKUP(AU39,[1]expiry_dates!$B$2:$C$2894,2,FALSE)</f>
        <v>43524</v>
      </c>
      <c r="V39" s="23" t="s">
        <v>113</v>
      </c>
      <c r="W39" s="23" t="s">
        <v>23</v>
      </c>
      <c r="X39" s="49">
        <v>43507.489583333336</v>
      </c>
      <c r="Y39" s="23">
        <v>0.3</v>
      </c>
      <c r="Z39" s="23">
        <v>43508.604166666664</v>
      </c>
      <c r="AA39" s="23">
        <v>0.2</v>
      </c>
      <c r="AB39" s="23">
        <v>-0.33329999999999999</v>
      </c>
      <c r="AC39" s="23">
        <v>16869.849999999999</v>
      </c>
      <c r="AD39" s="23">
        <v>0.33329999999999999</v>
      </c>
      <c r="AE39" s="23">
        <v>168698.5</v>
      </c>
      <c r="AF39" s="23">
        <v>50609.54</v>
      </c>
      <c r="AG39" s="23">
        <v>137197.32999999999</v>
      </c>
      <c r="AH39" s="23">
        <v>41</v>
      </c>
      <c r="AI39" s="23">
        <v>411.46</v>
      </c>
      <c r="AJ39" s="23">
        <v>-0.16669999999999999</v>
      </c>
      <c r="AK39" s="23">
        <v>0.5</v>
      </c>
      <c r="AL39" s="23" t="s">
        <v>24</v>
      </c>
      <c r="AM39" s="23">
        <v>44.15</v>
      </c>
      <c r="AN39" s="23">
        <v>27255.3</v>
      </c>
      <c r="AO39" s="23">
        <v>43.37</v>
      </c>
      <c r="AP39" s="23">
        <v>0</v>
      </c>
      <c r="AR39" s="46"/>
      <c r="AS39" s="44"/>
      <c r="AT39" s="45"/>
      <c r="AU39" s="2">
        <v>43507</v>
      </c>
      <c r="AV39" s="52">
        <v>0.48958333333333331</v>
      </c>
      <c r="AW39" s="2" t="s">
        <v>212</v>
      </c>
      <c r="AY39" s="3"/>
      <c r="BA39" s="3"/>
      <c r="BG39" s="3"/>
      <c r="BH39" s="3"/>
    </row>
    <row r="40" spans="1:60">
      <c r="A40" s="23" t="s">
        <v>22</v>
      </c>
      <c r="B40" s="23" t="s">
        <v>23</v>
      </c>
      <c r="C40" s="27">
        <v>43508.604166666664</v>
      </c>
      <c r="D40" s="23">
        <v>45.25</v>
      </c>
      <c r="E40" s="27">
        <v>43509.5625</v>
      </c>
      <c r="F40" s="23">
        <v>44.85</v>
      </c>
      <c r="G40" s="31">
        <v>-8.8000000000000005E-3</v>
      </c>
      <c r="H40" s="23">
        <v>442.22</v>
      </c>
      <c r="I40" s="31">
        <v>8.8000000000000005E-3</v>
      </c>
      <c r="J40" s="23">
        <v>1105.546</v>
      </c>
      <c r="K40" s="23">
        <v>50025.94</v>
      </c>
      <c r="L40" s="23">
        <v>5290.99</v>
      </c>
      <c r="M40" s="23">
        <v>26</v>
      </c>
      <c r="N40" s="23">
        <v>17.010000000000002</v>
      </c>
      <c r="O40" s="31">
        <v>-9.9000000000000008E-3</v>
      </c>
      <c r="P40" s="31">
        <v>1.66E-2</v>
      </c>
      <c r="Q40" s="23" t="s">
        <v>24</v>
      </c>
      <c r="R40" s="23">
        <v>0</v>
      </c>
      <c r="S40" s="23">
        <v>45.79</v>
      </c>
      <c r="U40" s="47">
        <f>VLOOKUP(AU40,[1]expiry_dates!$B$2:$C$2894,2,FALSE)</f>
        <v>43524</v>
      </c>
      <c r="V40" s="23" t="s">
        <v>112</v>
      </c>
      <c r="W40" s="23" t="s">
        <v>23</v>
      </c>
      <c r="X40" s="49">
        <v>43508.604166666664</v>
      </c>
      <c r="Y40" s="23">
        <v>1.45</v>
      </c>
      <c r="Z40" s="23">
        <v>43509.5625</v>
      </c>
      <c r="AA40" s="23">
        <v>1.25</v>
      </c>
      <c r="AB40" s="23">
        <v>-0.13789999999999999</v>
      </c>
      <c r="AC40" s="23">
        <v>6991.17</v>
      </c>
      <c r="AD40" s="23">
        <v>0.13789999999999999</v>
      </c>
      <c r="AE40" s="23">
        <v>34955.85</v>
      </c>
      <c r="AF40" s="23">
        <v>50685.99</v>
      </c>
      <c r="AG40" s="23">
        <v>144188.5</v>
      </c>
      <c r="AH40" s="23">
        <v>26</v>
      </c>
      <c r="AI40" s="23">
        <v>268.89</v>
      </c>
      <c r="AJ40" s="23">
        <v>-0.13789999999999999</v>
      </c>
      <c r="AK40" s="23">
        <v>0.2414</v>
      </c>
      <c r="AL40" s="23" t="s">
        <v>24</v>
      </c>
      <c r="AM40" s="23">
        <v>45.25</v>
      </c>
      <c r="AN40" s="23">
        <v>27096.5</v>
      </c>
      <c r="AO40" s="23">
        <v>45.79</v>
      </c>
      <c r="AP40" s="23">
        <v>0</v>
      </c>
      <c r="AR40" s="46"/>
      <c r="AS40" s="44"/>
      <c r="AT40" s="45"/>
      <c r="AU40" s="2">
        <v>43508</v>
      </c>
      <c r="AV40" s="52">
        <v>0.10416666666666667</v>
      </c>
      <c r="AW40" s="2" t="s">
        <v>213</v>
      </c>
      <c r="AY40" s="3"/>
      <c r="BA40" s="3"/>
      <c r="BG40" s="3"/>
      <c r="BH40" s="3"/>
    </row>
    <row r="41" spans="1:60">
      <c r="A41" s="23" t="s">
        <v>22</v>
      </c>
      <c r="B41" s="23" t="s">
        <v>25</v>
      </c>
      <c r="C41" s="27">
        <v>43509.5625</v>
      </c>
      <c r="D41" s="23">
        <v>44.85</v>
      </c>
      <c r="E41" s="27">
        <v>43509.604166666664</v>
      </c>
      <c r="F41" s="23">
        <v>44.7</v>
      </c>
      <c r="G41" s="31">
        <v>-3.3E-3</v>
      </c>
      <c r="H41" s="23">
        <v>-167.31</v>
      </c>
      <c r="I41" s="31">
        <v>-3.3E-3</v>
      </c>
      <c r="J41" s="23">
        <v>1115.423</v>
      </c>
      <c r="K41" s="23">
        <v>50026.73</v>
      </c>
      <c r="L41" s="23">
        <v>5123.67</v>
      </c>
      <c r="M41" s="23">
        <v>5</v>
      </c>
      <c r="N41" s="23">
        <v>-33.46</v>
      </c>
      <c r="O41" s="31">
        <v>-3.3E-3</v>
      </c>
      <c r="P41" s="31">
        <v>5.5999999999999999E-3</v>
      </c>
      <c r="Q41" s="23" t="s">
        <v>24</v>
      </c>
      <c r="R41" s="23">
        <v>0</v>
      </c>
      <c r="S41" s="23">
        <v>44.52</v>
      </c>
      <c r="U41" s="47">
        <f>VLOOKUP(AU41,[1]expiry_dates!$B$2:$C$2894,2,FALSE)</f>
        <v>43524</v>
      </c>
      <c r="V41" s="23" t="s">
        <v>109</v>
      </c>
      <c r="W41" s="23" t="s">
        <v>23</v>
      </c>
      <c r="X41" s="49">
        <v>43509.5625</v>
      </c>
      <c r="Y41" s="23">
        <v>1.4</v>
      </c>
      <c r="Z41" s="23">
        <v>43509.604166666664</v>
      </c>
      <c r="AA41" s="23">
        <v>1.4</v>
      </c>
      <c r="AB41" s="23">
        <v>0</v>
      </c>
      <c r="AC41" s="23">
        <v>0</v>
      </c>
      <c r="AD41" s="23">
        <v>0</v>
      </c>
      <c r="AE41" s="23">
        <v>36235.49</v>
      </c>
      <c r="AF41" s="23">
        <v>50729.68</v>
      </c>
      <c r="AG41" s="23">
        <v>144188.5</v>
      </c>
      <c r="AH41" s="23">
        <v>5</v>
      </c>
      <c r="AI41" s="23">
        <v>0</v>
      </c>
      <c r="AJ41" s="23">
        <v>0</v>
      </c>
      <c r="AK41" s="23">
        <v>0.1071</v>
      </c>
      <c r="AL41" s="23" t="s">
        <v>24</v>
      </c>
      <c r="AM41" s="23">
        <v>44.85</v>
      </c>
      <c r="AN41" s="23">
        <v>26978.35</v>
      </c>
      <c r="AO41" s="23">
        <v>44.52</v>
      </c>
      <c r="AP41" s="23">
        <v>0</v>
      </c>
      <c r="AR41" s="46"/>
      <c r="AS41" s="44"/>
      <c r="AT41" s="45"/>
      <c r="AU41" s="2">
        <v>43509</v>
      </c>
      <c r="AV41" s="52">
        <v>6.25E-2</v>
      </c>
      <c r="AW41" s="2" t="s">
        <v>213</v>
      </c>
      <c r="AY41" s="3"/>
      <c r="BA41" s="3"/>
      <c r="BG41" s="3"/>
      <c r="BH41" s="3"/>
    </row>
    <row r="42" spans="1:60">
      <c r="A42" s="23" t="s">
        <v>22</v>
      </c>
      <c r="B42" s="23" t="s">
        <v>23</v>
      </c>
      <c r="C42" s="27">
        <v>43509.604166666664</v>
      </c>
      <c r="D42" s="23">
        <v>44.7</v>
      </c>
      <c r="E42" s="27">
        <v>43510.489583333336</v>
      </c>
      <c r="F42" s="23">
        <v>44.1</v>
      </c>
      <c r="G42" s="31">
        <v>-1.34E-2</v>
      </c>
      <c r="H42" s="23">
        <v>671.49</v>
      </c>
      <c r="I42" s="31">
        <v>1.34E-2</v>
      </c>
      <c r="J42" s="23">
        <v>1119.1479999999999</v>
      </c>
      <c r="K42" s="23">
        <v>50025.9</v>
      </c>
      <c r="L42" s="23">
        <v>5795.16</v>
      </c>
      <c r="M42" s="23">
        <v>19</v>
      </c>
      <c r="N42" s="23">
        <v>35.340000000000003</v>
      </c>
      <c r="O42" s="31">
        <v>-1.1000000000000001E-3</v>
      </c>
      <c r="P42" s="31">
        <v>2.9100000000000001E-2</v>
      </c>
      <c r="Q42" s="23" t="s">
        <v>24</v>
      </c>
      <c r="R42" s="23">
        <v>0</v>
      </c>
      <c r="S42" s="23">
        <v>45.09</v>
      </c>
      <c r="U42" s="47">
        <f>VLOOKUP(AU42,[1]expiry_dates!$B$2:$C$2894,2,FALSE)</f>
        <v>43524</v>
      </c>
      <c r="V42" s="23" t="s">
        <v>112</v>
      </c>
      <c r="W42" s="23" t="s">
        <v>23</v>
      </c>
      <c r="X42" s="49">
        <v>43509.604166666664</v>
      </c>
      <c r="Y42" s="23">
        <v>1.05</v>
      </c>
      <c r="Z42" s="23">
        <v>43510.489583333336</v>
      </c>
      <c r="AA42" s="23">
        <v>0.85</v>
      </c>
      <c r="AB42" s="23">
        <v>-0.1905</v>
      </c>
      <c r="AC42" s="23">
        <v>9666.31</v>
      </c>
      <c r="AD42" s="23">
        <v>0.1905</v>
      </c>
      <c r="AE42" s="23">
        <v>48331.54</v>
      </c>
      <c r="AF42" s="23">
        <v>50748.12</v>
      </c>
      <c r="AG42" s="23">
        <v>153854.81</v>
      </c>
      <c r="AH42" s="23">
        <v>19</v>
      </c>
      <c r="AI42" s="23">
        <v>508.75</v>
      </c>
      <c r="AJ42" s="23">
        <v>-9.5200000000000007E-2</v>
      </c>
      <c r="AK42" s="23">
        <v>0.33329999999999999</v>
      </c>
      <c r="AL42" s="23" t="s">
        <v>24</v>
      </c>
      <c r="AM42" s="23">
        <v>44.7</v>
      </c>
      <c r="AN42" s="23">
        <v>26991.25</v>
      </c>
      <c r="AO42" s="23">
        <v>45.09</v>
      </c>
      <c r="AP42" s="23">
        <v>0</v>
      </c>
      <c r="AR42" s="46"/>
      <c r="AS42" s="44"/>
      <c r="AT42" s="45"/>
      <c r="AU42" s="2">
        <v>43509</v>
      </c>
      <c r="AV42" s="52">
        <v>0.10416666666666667</v>
      </c>
      <c r="AW42" s="2" t="s">
        <v>213</v>
      </c>
      <c r="AY42" s="3"/>
      <c r="BA42" s="3"/>
      <c r="BG42" s="3"/>
      <c r="BH42" s="3"/>
    </row>
    <row r="43" spans="1:60">
      <c r="A43" s="23" t="s">
        <v>22</v>
      </c>
      <c r="B43" s="23" t="s">
        <v>25</v>
      </c>
      <c r="C43" s="27">
        <v>43510.489583333336</v>
      </c>
      <c r="D43" s="23">
        <v>44.1</v>
      </c>
      <c r="E43" s="27">
        <v>43511.40625</v>
      </c>
      <c r="F43" s="23">
        <v>44.3</v>
      </c>
      <c r="G43" s="31">
        <v>4.4999999999999997E-3</v>
      </c>
      <c r="H43" s="23">
        <v>226.89</v>
      </c>
      <c r="I43" s="31">
        <v>4.4999999999999997E-3</v>
      </c>
      <c r="J43" s="23">
        <v>1134.463</v>
      </c>
      <c r="K43" s="23">
        <v>50029.82</v>
      </c>
      <c r="L43" s="23">
        <v>6022.05</v>
      </c>
      <c r="M43" s="23">
        <v>22</v>
      </c>
      <c r="N43" s="23">
        <v>10.31</v>
      </c>
      <c r="O43" s="31">
        <v>-3.3999999999999998E-3</v>
      </c>
      <c r="P43" s="31">
        <v>2.0400000000000001E-2</v>
      </c>
      <c r="Q43" s="23" t="s">
        <v>24</v>
      </c>
      <c r="R43" s="23">
        <v>0</v>
      </c>
      <c r="S43" s="23">
        <v>43.4</v>
      </c>
      <c r="U43" s="47">
        <f>VLOOKUP(AU43,[1]expiry_dates!$B$2:$C$2894,2,FALSE)</f>
        <v>43524</v>
      </c>
      <c r="V43" s="23" t="s">
        <v>113</v>
      </c>
      <c r="W43" s="23" t="s">
        <v>23</v>
      </c>
      <c r="X43" s="49">
        <v>43510.489583333336</v>
      </c>
      <c r="Y43" s="23">
        <v>0.15</v>
      </c>
      <c r="Z43" s="23">
        <v>43511.40625</v>
      </c>
      <c r="AA43" s="23">
        <v>0.15</v>
      </c>
      <c r="AB43" s="23">
        <v>0</v>
      </c>
      <c r="AC43" s="23">
        <v>0</v>
      </c>
      <c r="AD43" s="23">
        <v>0</v>
      </c>
      <c r="AE43" s="23">
        <v>338461.8</v>
      </c>
      <c r="AF43" s="23">
        <v>50769.27</v>
      </c>
      <c r="AG43" s="23">
        <v>153854.81</v>
      </c>
      <c r="AH43" s="23">
        <v>22</v>
      </c>
      <c r="AI43" s="23">
        <v>0</v>
      </c>
      <c r="AJ43" s="23">
        <v>-0.33329999999999999</v>
      </c>
      <c r="AK43" s="23">
        <v>0</v>
      </c>
      <c r="AL43" s="23" t="s">
        <v>24</v>
      </c>
      <c r="AM43" s="23">
        <v>44.1</v>
      </c>
      <c r="AN43" s="23">
        <v>26925.5</v>
      </c>
      <c r="AO43" s="23">
        <v>43.4</v>
      </c>
      <c r="AP43" s="23">
        <v>0</v>
      </c>
      <c r="AR43" s="46"/>
      <c r="AS43" s="44"/>
      <c r="AT43" s="45"/>
      <c r="AU43" s="2">
        <v>43510</v>
      </c>
      <c r="AV43" s="52">
        <v>0.48958333333333331</v>
      </c>
      <c r="AW43" s="2" t="s">
        <v>212</v>
      </c>
      <c r="AY43" s="3"/>
      <c r="BA43" s="3"/>
      <c r="BG43" s="3"/>
      <c r="BH43" s="3"/>
    </row>
    <row r="44" spans="1:60">
      <c r="A44" s="23" t="s">
        <v>22</v>
      </c>
      <c r="B44" s="23" t="s">
        <v>23</v>
      </c>
      <c r="C44" s="27">
        <v>43511.40625</v>
      </c>
      <c r="D44" s="23">
        <v>44.3</v>
      </c>
      <c r="E44" s="27">
        <v>43511.5625</v>
      </c>
      <c r="F44" s="23">
        <v>44.35</v>
      </c>
      <c r="G44" s="31">
        <v>1.1000000000000001E-3</v>
      </c>
      <c r="H44" s="23">
        <v>-56.47</v>
      </c>
      <c r="I44" s="31">
        <v>-1.1000000000000001E-3</v>
      </c>
      <c r="J44" s="23">
        <v>1129.3610000000001</v>
      </c>
      <c r="K44" s="23">
        <v>50030.68</v>
      </c>
      <c r="L44" s="23">
        <v>5965.59</v>
      </c>
      <c r="M44" s="23">
        <v>16</v>
      </c>
      <c r="N44" s="23">
        <v>-3.53</v>
      </c>
      <c r="O44" s="31">
        <v>-7.9000000000000008E-3</v>
      </c>
      <c r="P44" s="31">
        <v>1.47E-2</v>
      </c>
      <c r="Q44" s="23" t="s">
        <v>24</v>
      </c>
      <c r="R44" s="23">
        <v>0</v>
      </c>
      <c r="S44" s="23">
        <v>45</v>
      </c>
      <c r="U44" s="47">
        <f>VLOOKUP(AU44,[1]expiry_dates!$B$2:$C$2894,2,FALSE)</f>
        <v>43524</v>
      </c>
      <c r="V44" s="23" t="s">
        <v>117</v>
      </c>
      <c r="W44" s="23" t="s">
        <v>23</v>
      </c>
      <c r="X44" s="49">
        <v>43511.40625</v>
      </c>
      <c r="Y44" s="23">
        <v>1.45</v>
      </c>
      <c r="Z44" s="23">
        <v>43511.5625</v>
      </c>
      <c r="AA44" s="23">
        <v>1.3</v>
      </c>
      <c r="AB44" s="23">
        <v>-0.10340000000000001</v>
      </c>
      <c r="AC44" s="23">
        <v>5251.99</v>
      </c>
      <c r="AD44" s="23">
        <v>0.10340000000000001</v>
      </c>
      <c r="AE44" s="23">
        <v>35013.29</v>
      </c>
      <c r="AF44" s="23">
        <v>50769.279999999999</v>
      </c>
      <c r="AG44" s="23">
        <v>159106.79999999999</v>
      </c>
      <c r="AH44" s="23">
        <v>16</v>
      </c>
      <c r="AI44" s="23">
        <v>328.25</v>
      </c>
      <c r="AJ44" s="23">
        <v>-6.9000000000000006E-2</v>
      </c>
      <c r="AK44" s="23">
        <v>0.1724</v>
      </c>
      <c r="AL44" s="23" t="s">
        <v>24</v>
      </c>
      <c r="AM44" s="23">
        <v>44.3</v>
      </c>
      <c r="AN44" s="23">
        <v>26839.45</v>
      </c>
      <c r="AO44" s="23">
        <v>45</v>
      </c>
      <c r="AP44" s="23">
        <v>0</v>
      </c>
      <c r="AR44" s="46"/>
      <c r="AS44" s="44"/>
      <c r="AT44" s="45"/>
      <c r="AU44" s="2">
        <v>43511</v>
      </c>
      <c r="AV44" s="52">
        <v>0.40625</v>
      </c>
      <c r="AW44" s="2" t="s">
        <v>212</v>
      </c>
      <c r="AY44" s="3"/>
      <c r="BA44" s="3"/>
      <c r="BG44" s="3"/>
      <c r="BH44" s="3"/>
    </row>
    <row r="45" spans="1:60">
      <c r="A45" s="23" t="s">
        <v>22</v>
      </c>
      <c r="B45" s="23" t="s">
        <v>25</v>
      </c>
      <c r="C45" s="27">
        <v>43511.5625</v>
      </c>
      <c r="D45" s="23">
        <v>44.35</v>
      </c>
      <c r="E45" s="27">
        <v>43514.385416666664</v>
      </c>
      <c r="F45" s="23">
        <v>44.1</v>
      </c>
      <c r="G45" s="31">
        <v>-5.5999999999999999E-3</v>
      </c>
      <c r="H45" s="23">
        <v>-282.02</v>
      </c>
      <c r="I45" s="31">
        <v>-5.5999999999999999E-3</v>
      </c>
      <c r="J45" s="23">
        <v>1128.0940000000001</v>
      </c>
      <c r="K45" s="23">
        <v>50030.96</v>
      </c>
      <c r="L45" s="23">
        <v>5683.56</v>
      </c>
      <c r="M45" s="23">
        <v>13</v>
      </c>
      <c r="N45" s="23">
        <v>-21.69</v>
      </c>
      <c r="O45" s="31">
        <v>-5.5999999999999999E-3</v>
      </c>
      <c r="P45" s="31">
        <v>1.01E-2</v>
      </c>
      <c r="Q45" s="23" t="s">
        <v>24</v>
      </c>
      <c r="R45" s="23">
        <v>0</v>
      </c>
      <c r="S45" s="23">
        <v>43.68</v>
      </c>
      <c r="U45" s="47">
        <f>VLOOKUP(AU45,[1]expiry_dates!$B$2:$C$2894,2,FALSE)</f>
        <v>43524</v>
      </c>
      <c r="V45" s="23" t="s">
        <v>111</v>
      </c>
      <c r="W45" s="23" t="s">
        <v>23</v>
      </c>
      <c r="X45" s="49">
        <v>43511.5625</v>
      </c>
      <c r="Y45" s="23">
        <v>1.1000000000000001</v>
      </c>
      <c r="Z45" s="23">
        <v>43514.385416666664</v>
      </c>
      <c r="AA45" s="23">
        <v>1.2</v>
      </c>
      <c r="AB45" s="23">
        <v>9.0899999999999995E-2</v>
      </c>
      <c r="AC45" s="23">
        <v>-4617.78</v>
      </c>
      <c r="AD45" s="23">
        <v>-9.0899999999999995E-2</v>
      </c>
      <c r="AE45" s="23">
        <v>46177.760000000002</v>
      </c>
      <c r="AF45" s="23">
        <v>50795.54</v>
      </c>
      <c r="AG45" s="23">
        <v>154489.03</v>
      </c>
      <c r="AH45" s="23">
        <v>13</v>
      </c>
      <c r="AI45" s="23">
        <v>-355.21</v>
      </c>
      <c r="AJ45" s="23">
        <v>-9.0899999999999995E-2</v>
      </c>
      <c r="AK45" s="23">
        <v>0.18179999999999999</v>
      </c>
      <c r="AL45" s="23" t="s">
        <v>24</v>
      </c>
      <c r="AM45" s="23">
        <v>44.35</v>
      </c>
      <c r="AN45" s="23">
        <v>26777.05</v>
      </c>
      <c r="AO45" s="23">
        <v>43.68</v>
      </c>
      <c r="AP45" s="23">
        <v>0</v>
      </c>
      <c r="AR45" s="46"/>
      <c r="AS45" s="44"/>
      <c r="AT45" s="45"/>
      <c r="AU45" s="2">
        <v>43511</v>
      </c>
      <c r="AV45" s="52">
        <v>6.25E-2</v>
      </c>
      <c r="AW45" s="2" t="s">
        <v>213</v>
      </c>
      <c r="AY45" s="3"/>
      <c r="BA45" s="3"/>
      <c r="BG45" s="3"/>
      <c r="BH45" s="3"/>
    </row>
    <row r="46" spans="1:60">
      <c r="A46" s="23" t="s">
        <v>22</v>
      </c>
      <c r="B46" s="23" t="s">
        <v>23</v>
      </c>
      <c r="C46" s="27">
        <v>43514.385416666664</v>
      </c>
      <c r="D46" s="23">
        <v>44.1</v>
      </c>
      <c r="E46" s="27">
        <v>43515.385416666664</v>
      </c>
      <c r="F46" s="23">
        <v>43.5</v>
      </c>
      <c r="G46" s="31">
        <v>-1.3599999999999999E-2</v>
      </c>
      <c r="H46" s="23">
        <v>680.67</v>
      </c>
      <c r="I46" s="31">
        <v>1.3599999999999999E-2</v>
      </c>
      <c r="J46" s="23">
        <v>1134.4570000000001</v>
      </c>
      <c r="K46" s="23">
        <v>50029.55</v>
      </c>
      <c r="L46" s="23">
        <v>6364.24</v>
      </c>
      <c r="M46" s="23">
        <v>30</v>
      </c>
      <c r="N46" s="23">
        <v>22.69</v>
      </c>
      <c r="O46" s="31">
        <v>-7.9000000000000008E-3</v>
      </c>
      <c r="P46" s="31">
        <v>2.8299999999999999E-2</v>
      </c>
      <c r="Q46" s="23" t="s">
        <v>24</v>
      </c>
      <c r="R46" s="23">
        <v>0</v>
      </c>
      <c r="S46" s="23">
        <v>44.76</v>
      </c>
      <c r="U46" s="47">
        <f>VLOOKUP(AU46,[1]expiry_dates!$B$2:$C$2894,2,FALSE)</f>
        <v>43524</v>
      </c>
      <c r="V46" s="23" t="s">
        <v>117</v>
      </c>
      <c r="W46" s="23" t="s">
        <v>23</v>
      </c>
      <c r="X46" s="49">
        <v>43514.385416666664</v>
      </c>
      <c r="Y46" s="23">
        <v>1.55</v>
      </c>
      <c r="Z46" s="23">
        <v>43515.385416666664</v>
      </c>
      <c r="AA46" s="23">
        <v>1</v>
      </c>
      <c r="AB46" s="23">
        <v>-0.3548</v>
      </c>
      <c r="AC46" s="23">
        <v>18024.22</v>
      </c>
      <c r="AD46" s="23">
        <v>0.3548</v>
      </c>
      <c r="AE46" s="23">
        <v>32771.31</v>
      </c>
      <c r="AF46" s="23">
        <v>50795.53</v>
      </c>
      <c r="AG46" s="23">
        <v>172513.25</v>
      </c>
      <c r="AH46" s="23">
        <v>30</v>
      </c>
      <c r="AI46" s="23">
        <v>600.80999999999995</v>
      </c>
      <c r="AJ46" s="23">
        <v>0</v>
      </c>
      <c r="AK46" s="23">
        <v>0.4516</v>
      </c>
      <c r="AL46" s="23" t="s">
        <v>24</v>
      </c>
      <c r="AM46" s="23">
        <v>44.1</v>
      </c>
      <c r="AN46" s="23">
        <v>26749.599999999999</v>
      </c>
      <c r="AO46" s="23">
        <v>44.76</v>
      </c>
      <c r="AP46" s="23">
        <v>0</v>
      </c>
      <c r="AR46" s="46"/>
      <c r="AS46" s="44"/>
      <c r="AT46" s="45"/>
      <c r="AU46" s="2">
        <v>43514</v>
      </c>
      <c r="AV46" s="52">
        <v>0.38541666666666669</v>
      </c>
      <c r="AW46" s="2" t="s">
        <v>212</v>
      </c>
      <c r="AY46" s="3"/>
      <c r="BA46" s="3"/>
      <c r="BG46" s="3"/>
      <c r="BH46" s="3"/>
    </row>
    <row r="47" spans="1:60">
      <c r="A47" s="23" t="s">
        <v>22</v>
      </c>
      <c r="B47" s="23" t="s">
        <v>25</v>
      </c>
      <c r="C47" s="27">
        <v>43515.385416666664</v>
      </c>
      <c r="D47" s="23">
        <v>43.5</v>
      </c>
      <c r="E47" s="27">
        <v>43515.59375</v>
      </c>
      <c r="F47" s="23">
        <v>43.6</v>
      </c>
      <c r="G47" s="31">
        <v>2.3E-3</v>
      </c>
      <c r="H47" s="23">
        <v>115.02</v>
      </c>
      <c r="I47" s="31">
        <v>2.3E-3</v>
      </c>
      <c r="J47" s="23">
        <v>1150.242</v>
      </c>
      <c r="K47" s="23">
        <v>50035.51</v>
      </c>
      <c r="L47" s="23">
        <v>6479.26</v>
      </c>
      <c r="M47" s="23">
        <v>21</v>
      </c>
      <c r="N47" s="23">
        <v>5.48</v>
      </c>
      <c r="O47" s="31">
        <v>-1.38E-2</v>
      </c>
      <c r="P47" s="31">
        <v>1.15E-2</v>
      </c>
      <c r="Q47" s="23" t="s">
        <v>24</v>
      </c>
      <c r="R47" s="23">
        <v>0</v>
      </c>
      <c r="S47" s="23">
        <v>42.85</v>
      </c>
      <c r="U47" s="47">
        <f>VLOOKUP(AU47,[1]expiry_dates!$B$2:$C$2894,2,FALSE)</f>
        <v>43524</v>
      </c>
      <c r="V47" s="23" t="s">
        <v>118</v>
      </c>
      <c r="W47" s="23" t="s">
        <v>23</v>
      </c>
      <c r="X47" s="49">
        <v>43515.385416666664</v>
      </c>
      <c r="Y47" s="23">
        <v>1.05</v>
      </c>
      <c r="Z47" s="23">
        <v>43515.59375</v>
      </c>
      <c r="AA47" s="23">
        <v>0.74999990000000005</v>
      </c>
      <c r="AB47" s="23">
        <v>-0.28570000000000001</v>
      </c>
      <c r="AC47" s="23">
        <v>14536.84</v>
      </c>
      <c r="AD47" s="23">
        <v>0.28570000000000001</v>
      </c>
      <c r="AE47" s="23">
        <v>48456.15</v>
      </c>
      <c r="AF47" s="23">
        <v>50878.95</v>
      </c>
      <c r="AG47" s="23">
        <v>187050.09</v>
      </c>
      <c r="AH47" s="23">
        <v>21</v>
      </c>
      <c r="AI47" s="23">
        <v>692.23</v>
      </c>
      <c r="AJ47" s="23">
        <v>-9.5200000000000007E-2</v>
      </c>
      <c r="AK47" s="23">
        <v>0.38100000000000001</v>
      </c>
      <c r="AL47" s="23" t="s">
        <v>24</v>
      </c>
      <c r="AM47" s="23">
        <v>43.5</v>
      </c>
      <c r="AN47" s="23">
        <v>26765.1</v>
      </c>
      <c r="AO47" s="23">
        <v>42.85</v>
      </c>
      <c r="AP47" s="23">
        <v>0</v>
      </c>
      <c r="AR47" s="46"/>
      <c r="AS47" s="44"/>
      <c r="AT47" s="45"/>
      <c r="AU47" s="2">
        <v>43515</v>
      </c>
      <c r="AV47" s="52">
        <v>0.38541666666666669</v>
      </c>
      <c r="AW47" s="2" t="s">
        <v>212</v>
      </c>
      <c r="AY47" s="3"/>
      <c r="BA47" s="3"/>
      <c r="BG47" s="3"/>
      <c r="BH47" s="3"/>
    </row>
    <row r="48" spans="1:60">
      <c r="A48" s="23" t="s">
        <v>22</v>
      </c>
      <c r="B48" s="23" t="s">
        <v>23</v>
      </c>
      <c r="C48" s="27">
        <v>43515.59375</v>
      </c>
      <c r="D48" s="23">
        <v>43.6</v>
      </c>
      <c r="E48" s="27">
        <v>43516.385416666664</v>
      </c>
      <c r="F48" s="23">
        <v>43.95</v>
      </c>
      <c r="G48" s="31">
        <v>8.0000000000000002E-3</v>
      </c>
      <c r="H48" s="23">
        <v>-401.64</v>
      </c>
      <c r="I48" s="31">
        <v>-8.0000000000000002E-3</v>
      </c>
      <c r="J48" s="23">
        <v>1147.539</v>
      </c>
      <c r="K48" s="23">
        <v>50032.68</v>
      </c>
      <c r="L48" s="23">
        <v>6077.62</v>
      </c>
      <c r="M48" s="23">
        <v>10</v>
      </c>
      <c r="N48" s="23">
        <v>-40.159999999999997</v>
      </c>
      <c r="O48" s="31">
        <v>-8.0000000000000002E-3</v>
      </c>
      <c r="P48" s="31">
        <v>6.8999999999999999E-3</v>
      </c>
      <c r="Q48" s="23" t="s">
        <v>24</v>
      </c>
      <c r="R48" s="23">
        <v>0</v>
      </c>
      <c r="S48" s="23">
        <v>43.99</v>
      </c>
      <c r="U48" s="47">
        <f>VLOOKUP(AU48,[1]expiry_dates!$B$2:$C$2894,2,FALSE)</f>
        <v>43524</v>
      </c>
      <c r="V48" s="23" t="s">
        <v>112</v>
      </c>
      <c r="W48" s="23" t="s">
        <v>23</v>
      </c>
      <c r="X48" s="49">
        <v>43515.59375</v>
      </c>
      <c r="Y48" s="23">
        <v>0.55000000000000004</v>
      </c>
      <c r="Z48" s="23">
        <v>43516.385416666664</v>
      </c>
      <c r="AA48" s="23">
        <v>0.7</v>
      </c>
      <c r="AB48" s="23">
        <v>0.2727</v>
      </c>
      <c r="AC48" s="23">
        <v>-13894.74</v>
      </c>
      <c r="AD48" s="23">
        <v>-0.2727</v>
      </c>
      <c r="AE48" s="23">
        <v>92631.57</v>
      </c>
      <c r="AF48" s="23">
        <v>50947.360000000001</v>
      </c>
      <c r="AG48" s="23">
        <v>173155.36</v>
      </c>
      <c r="AH48" s="23">
        <v>10</v>
      </c>
      <c r="AI48" s="23">
        <v>-1389.47</v>
      </c>
      <c r="AJ48" s="23">
        <v>-0.2727</v>
      </c>
      <c r="AK48" s="23">
        <v>9.0899999999999995E-2</v>
      </c>
      <c r="AL48" s="23" t="s">
        <v>24</v>
      </c>
      <c r="AM48" s="23">
        <v>43.6</v>
      </c>
      <c r="AN48" s="23">
        <v>26898.2</v>
      </c>
      <c r="AO48" s="23">
        <v>43.99</v>
      </c>
      <c r="AP48" s="23">
        <v>0</v>
      </c>
      <c r="AR48" s="46"/>
      <c r="AS48" s="44"/>
      <c r="AT48" s="45"/>
      <c r="AU48" s="2">
        <v>43515</v>
      </c>
      <c r="AV48" s="52">
        <v>9.375E-2</v>
      </c>
      <c r="AW48" s="2" t="s">
        <v>213</v>
      </c>
      <c r="AY48" s="3"/>
      <c r="BA48" s="3"/>
      <c r="BG48" s="3"/>
      <c r="BH48" s="3"/>
    </row>
    <row r="49" spans="1:60">
      <c r="A49" s="23" t="s">
        <v>22</v>
      </c>
      <c r="B49" s="23" t="s">
        <v>25</v>
      </c>
      <c r="C49" s="27">
        <v>43516.385416666664</v>
      </c>
      <c r="D49" s="23">
        <v>43.95</v>
      </c>
      <c r="E49" s="27">
        <v>43517.520833333336</v>
      </c>
      <c r="F49" s="23">
        <v>45.05</v>
      </c>
      <c r="G49" s="31">
        <v>2.5000000000000001E-2</v>
      </c>
      <c r="H49" s="23">
        <v>1252.2</v>
      </c>
      <c r="I49" s="31">
        <v>2.5000000000000001E-2</v>
      </c>
      <c r="J49" s="23">
        <v>1138.3610000000001</v>
      </c>
      <c r="K49" s="23">
        <v>50030.96</v>
      </c>
      <c r="L49" s="23">
        <v>7329.82</v>
      </c>
      <c r="M49" s="23">
        <v>43</v>
      </c>
      <c r="N49" s="23">
        <v>29.12</v>
      </c>
      <c r="O49" s="31">
        <v>-8.0000000000000002E-3</v>
      </c>
      <c r="P49" s="31">
        <v>3.4099999999999998E-2</v>
      </c>
      <c r="Q49" s="23" t="s">
        <v>24</v>
      </c>
      <c r="R49" s="23">
        <v>0</v>
      </c>
      <c r="S49" s="23">
        <v>43.34</v>
      </c>
      <c r="U49" s="47">
        <f>VLOOKUP(AU49,[1]expiry_dates!$B$2:$C$2894,2,FALSE)</f>
        <v>43524</v>
      </c>
      <c r="V49" s="23" t="s">
        <v>113</v>
      </c>
      <c r="W49" s="23" t="s">
        <v>23</v>
      </c>
      <c r="X49" s="49">
        <v>43516.385416666664</v>
      </c>
      <c r="Y49" s="23">
        <v>0.15</v>
      </c>
      <c r="Z49" s="23">
        <v>43517.520833333336</v>
      </c>
      <c r="AA49" s="23">
        <v>0.1</v>
      </c>
      <c r="AB49" s="23">
        <v>-0.33329999999999999</v>
      </c>
      <c r="AC49" s="23">
        <v>16970.7</v>
      </c>
      <c r="AD49" s="23">
        <v>0.33329999999999999</v>
      </c>
      <c r="AE49" s="23">
        <v>339413.9</v>
      </c>
      <c r="AF49" s="23">
        <v>50912.09</v>
      </c>
      <c r="AG49" s="23">
        <v>190126.06</v>
      </c>
      <c r="AH49" s="23">
        <v>43</v>
      </c>
      <c r="AI49" s="23">
        <v>394.67</v>
      </c>
      <c r="AJ49" s="23">
        <v>-0.33329999999999999</v>
      </c>
      <c r="AK49" s="23">
        <v>0.33329999999999999</v>
      </c>
      <c r="AL49" s="23" t="s">
        <v>24</v>
      </c>
      <c r="AM49" s="23">
        <v>43.95</v>
      </c>
      <c r="AN49" s="23">
        <v>26876.75</v>
      </c>
      <c r="AO49" s="23">
        <v>43.34</v>
      </c>
      <c r="AP49" s="23">
        <v>0</v>
      </c>
      <c r="AR49" s="46"/>
      <c r="AS49" s="44"/>
      <c r="AT49" s="45"/>
      <c r="AU49" s="2">
        <v>43516</v>
      </c>
      <c r="AV49" s="52">
        <v>0.38541666666666669</v>
      </c>
      <c r="AW49" s="2" t="s">
        <v>212</v>
      </c>
      <c r="AY49" s="3"/>
      <c r="BA49" s="3"/>
      <c r="BG49" s="3"/>
      <c r="BH49" s="3"/>
    </row>
    <row r="50" spans="1:60">
      <c r="A50" s="23" t="s">
        <v>22</v>
      </c>
      <c r="B50" s="23" t="s">
        <v>23</v>
      </c>
      <c r="C50" s="27">
        <v>43517.520833333336</v>
      </c>
      <c r="D50" s="23">
        <v>45.05</v>
      </c>
      <c r="E50" s="27">
        <v>43517.635416666664</v>
      </c>
      <c r="F50" s="23">
        <v>45.1</v>
      </c>
      <c r="G50" s="31">
        <v>1.1000000000000001E-3</v>
      </c>
      <c r="H50" s="23">
        <v>-55.53</v>
      </c>
      <c r="I50" s="31">
        <v>-1.1000000000000001E-3</v>
      </c>
      <c r="J50" s="23">
        <v>1110.6790000000001</v>
      </c>
      <c r="K50" s="23">
        <v>50036.08</v>
      </c>
      <c r="L50" s="23">
        <v>7274.29</v>
      </c>
      <c r="M50" s="23">
        <v>12</v>
      </c>
      <c r="N50" s="23">
        <v>-4.63</v>
      </c>
      <c r="O50" s="31">
        <v>-1.1000000000000001E-3</v>
      </c>
      <c r="P50" s="31">
        <v>5.4999999999999997E-3</v>
      </c>
      <c r="Q50" s="23" t="s">
        <v>24</v>
      </c>
      <c r="R50" s="23">
        <v>0</v>
      </c>
      <c r="S50" s="23">
        <v>45.43</v>
      </c>
      <c r="U50" s="47">
        <f>VLOOKUP(AU50,[1]expiry_dates!$B$2:$C$2894,2,FALSE)</f>
        <v>43524</v>
      </c>
      <c r="V50" s="23" t="s">
        <v>112</v>
      </c>
      <c r="W50" s="23" t="s">
        <v>23</v>
      </c>
      <c r="X50" s="49">
        <v>43517.520833333336</v>
      </c>
      <c r="Y50" s="23">
        <v>0.9</v>
      </c>
      <c r="Z50" s="23">
        <v>43517.635416666664</v>
      </c>
      <c r="AA50" s="23">
        <v>0.85</v>
      </c>
      <c r="AB50" s="23">
        <v>-5.5599999999999997E-2</v>
      </c>
      <c r="AC50" s="23">
        <v>2830.59</v>
      </c>
      <c r="AD50" s="23">
        <v>5.5599999999999997E-2</v>
      </c>
      <c r="AE50" s="23">
        <v>56611.81</v>
      </c>
      <c r="AF50" s="23">
        <v>50950.63</v>
      </c>
      <c r="AG50" s="23">
        <v>192956.65</v>
      </c>
      <c r="AH50" s="23">
        <v>12</v>
      </c>
      <c r="AI50" s="23">
        <v>235.88</v>
      </c>
      <c r="AJ50" s="23">
        <v>-5.5599999999999997E-2</v>
      </c>
      <c r="AK50" s="23">
        <v>0.1111</v>
      </c>
      <c r="AL50" s="23" t="s">
        <v>24</v>
      </c>
      <c r="AM50" s="23">
        <v>45.05</v>
      </c>
      <c r="AN50" s="23">
        <v>27026.2</v>
      </c>
      <c r="AO50" s="23">
        <v>45.43</v>
      </c>
      <c r="AP50" s="23">
        <v>0</v>
      </c>
      <c r="AR50" s="46"/>
      <c r="AS50" s="44"/>
      <c r="AT50" s="45"/>
      <c r="AU50" s="2">
        <v>43517</v>
      </c>
      <c r="AV50" s="52">
        <v>0.52083333333333337</v>
      </c>
      <c r="AW50" s="2" t="s">
        <v>213</v>
      </c>
      <c r="AY50" s="3"/>
      <c r="BA50" s="3"/>
      <c r="BG50" s="3"/>
      <c r="BH50" s="3"/>
    </row>
    <row r="51" spans="1:60">
      <c r="A51" s="23" t="s">
        <v>22</v>
      </c>
      <c r="B51" s="23" t="s">
        <v>25</v>
      </c>
      <c r="C51" s="27">
        <v>43517.635416666664</v>
      </c>
      <c r="D51" s="23">
        <v>45.1</v>
      </c>
      <c r="E51" s="27">
        <v>43518.46875</v>
      </c>
      <c r="F51" s="23">
        <v>45.2</v>
      </c>
      <c r="G51" s="31">
        <v>2.2000000000000001E-3</v>
      </c>
      <c r="H51" s="23">
        <v>110.95</v>
      </c>
      <c r="I51" s="31">
        <v>2.2000000000000001E-3</v>
      </c>
      <c r="J51" s="23">
        <v>1109.4659999999999</v>
      </c>
      <c r="K51" s="23">
        <v>50036.93</v>
      </c>
      <c r="L51" s="23">
        <v>7385.23</v>
      </c>
      <c r="M51" s="23">
        <v>14</v>
      </c>
      <c r="N51" s="23">
        <v>7.92</v>
      </c>
      <c r="O51" s="31">
        <v>-4.4000000000000003E-3</v>
      </c>
      <c r="P51" s="31">
        <v>7.7999999999999996E-3</v>
      </c>
      <c r="Q51" s="23" t="s">
        <v>24</v>
      </c>
      <c r="R51" s="23">
        <v>0</v>
      </c>
      <c r="S51" s="23">
        <v>44.81</v>
      </c>
      <c r="U51" s="47">
        <f>VLOOKUP(AU51,[1]expiry_dates!$B$2:$C$2894,2,FALSE)</f>
        <v>43524</v>
      </c>
      <c r="V51" s="23" t="s">
        <v>113</v>
      </c>
      <c r="W51" s="23" t="s">
        <v>23</v>
      </c>
      <c r="X51" s="49">
        <v>43517.635416666664</v>
      </c>
      <c r="Y51" s="23">
        <v>0.1</v>
      </c>
      <c r="Z51" s="23">
        <v>43518.46875</v>
      </c>
      <c r="AA51" s="23">
        <v>0.1</v>
      </c>
      <c r="AB51" s="23">
        <v>0</v>
      </c>
      <c r="AC51" s="23">
        <v>0</v>
      </c>
      <c r="AD51" s="23">
        <v>0</v>
      </c>
      <c r="AE51" s="23">
        <v>509789.3</v>
      </c>
      <c r="AF51" s="23">
        <v>50978.93</v>
      </c>
      <c r="AG51" s="23">
        <v>192956.65</v>
      </c>
      <c r="AH51" s="23">
        <v>14</v>
      </c>
      <c r="AI51" s="23">
        <v>0</v>
      </c>
      <c r="AJ51" s="23">
        <v>0</v>
      </c>
      <c r="AK51" s="23">
        <v>0</v>
      </c>
      <c r="AL51" s="23" t="s">
        <v>24</v>
      </c>
      <c r="AM51" s="23">
        <v>45.1</v>
      </c>
      <c r="AN51" s="23">
        <v>27060.75</v>
      </c>
      <c r="AO51" s="23">
        <v>44.81</v>
      </c>
      <c r="AP51" s="23">
        <v>0</v>
      </c>
      <c r="AR51" s="46"/>
      <c r="AS51" s="44"/>
      <c r="AT51" s="45"/>
      <c r="AU51" s="2">
        <v>43517</v>
      </c>
      <c r="AV51" s="52">
        <v>0.13541666666666666</v>
      </c>
      <c r="AW51" s="2" t="s">
        <v>213</v>
      </c>
      <c r="AY51" s="3"/>
      <c r="BA51" s="3"/>
      <c r="BG51" s="3"/>
      <c r="BH51" s="3"/>
    </row>
    <row r="52" spans="1:60">
      <c r="A52" s="23" t="s">
        <v>22</v>
      </c>
      <c r="B52" s="23" t="s">
        <v>23</v>
      </c>
      <c r="C52" s="27">
        <v>43518.46875</v>
      </c>
      <c r="D52" s="23">
        <v>45.2</v>
      </c>
      <c r="E52" s="27">
        <v>43518.479166666664</v>
      </c>
      <c r="F52" s="23">
        <v>45.65</v>
      </c>
      <c r="G52" s="31">
        <v>0.01</v>
      </c>
      <c r="H52" s="23">
        <v>-498.16</v>
      </c>
      <c r="I52" s="31">
        <v>-0.01</v>
      </c>
      <c r="J52" s="23">
        <v>1107.0119999999999</v>
      </c>
      <c r="K52" s="23">
        <v>50036.93</v>
      </c>
      <c r="L52" s="23">
        <v>6887.08</v>
      </c>
      <c r="M52" s="23">
        <v>2</v>
      </c>
      <c r="N52" s="23">
        <v>-249.08</v>
      </c>
      <c r="O52" s="31">
        <v>-0.01</v>
      </c>
      <c r="P52" s="31">
        <v>2.2000000000000001E-3</v>
      </c>
      <c r="Q52" s="23" t="s">
        <v>24</v>
      </c>
      <c r="R52" s="23">
        <v>0</v>
      </c>
      <c r="S52" s="23">
        <v>45.44</v>
      </c>
      <c r="U52" s="47">
        <f>VLOOKUP(AU52,[1]expiry_dates!$B$2:$C$2894,2,FALSE)</f>
        <v>43524</v>
      </c>
      <c r="V52" s="23" t="s">
        <v>112</v>
      </c>
      <c r="W52" s="23" t="s">
        <v>23</v>
      </c>
      <c r="X52" s="49">
        <v>43518.46875</v>
      </c>
      <c r="Y52" s="23">
        <v>0.85</v>
      </c>
      <c r="Z52" s="23">
        <v>43518.479166666664</v>
      </c>
      <c r="AA52" s="23">
        <v>1.1499999999999999</v>
      </c>
      <c r="AB52" s="23">
        <v>0.35289999999999999</v>
      </c>
      <c r="AC52" s="23">
        <v>-17987.57</v>
      </c>
      <c r="AD52" s="23">
        <v>-0.35289999999999999</v>
      </c>
      <c r="AE52" s="23">
        <v>59958.57</v>
      </c>
      <c r="AF52" s="23">
        <v>50964.78</v>
      </c>
      <c r="AG52" s="23">
        <v>174969.08</v>
      </c>
      <c r="AH52" s="23">
        <v>2</v>
      </c>
      <c r="AI52" s="23">
        <v>-8993.7800000000007</v>
      </c>
      <c r="AJ52" s="23">
        <v>-0.35289999999999999</v>
      </c>
      <c r="AK52" s="23">
        <v>0</v>
      </c>
      <c r="AL52" s="23" t="s">
        <v>24</v>
      </c>
      <c r="AM52" s="23">
        <v>45.2</v>
      </c>
      <c r="AN52" s="23">
        <v>26891.85</v>
      </c>
      <c r="AO52" s="23">
        <v>45.44</v>
      </c>
      <c r="AP52" s="23">
        <v>0</v>
      </c>
      <c r="AR52" s="46"/>
      <c r="AS52" s="44"/>
      <c r="AT52" s="45"/>
      <c r="AU52" s="2">
        <v>43518</v>
      </c>
      <c r="AV52" s="52">
        <v>0.46875</v>
      </c>
      <c r="AW52" s="2" t="s">
        <v>212</v>
      </c>
      <c r="AY52" s="3"/>
      <c r="BA52" s="3"/>
      <c r="BG52" s="3"/>
      <c r="BH52" s="3"/>
    </row>
    <row r="53" spans="1:60">
      <c r="A53" s="23" t="s">
        <v>22</v>
      </c>
      <c r="B53" s="23" t="s">
        <v>25</v>
      </c>
      <c r="C53" s="27">
        <v>43518.479166666664</v>
      </c>
      <c r="D53" s="23">
        <v>45.65</v>
      </c>
      <c r="E53" s="27">
        <v>43518.552083333336</v>
      </c>
      <c r="F53" s="23">
        <v>45.35</v>
      </c>
      <c r="G53" s="31">
        <v>-6.6E-3</v>
      </c>
      <c r="H53" s="23">
        <v>-328.83</v>
      </c>
      <c r="I53" s="31">
        <v>-6.6E-3</v>
      </c>
      <c r="J53" s="23">
        <v>1096.0989999999999</v>
      </c>
      <c r="K53" s="23">
        <v>50036.93</v>
      </c>
      <c r="L53" s="23">
        <v>6558.25</v>
      </c>
      <c r="M53" s="23">
        <v>8</v>
      </c>
      <c r="N53" s="23">
        <v>-41.1</v>
      </c>
      <c r="O53" s="31">
        <v>-1.0999999999999999E-2</v>
      </c>
      <c r="P53" s="31">
        <v>4.4000000000000003E-3</v>
      </c>
      <c r="Q53" s="23" t="s">
        <v>24</v>
      </c>
      <c r="R53" s="23">
        <v>0</v>
      </c>
      <c r="S53" s="23">
        <v>45.1</v>
      </c>
      <c r="U53" s="47">
        <f>VLOOKUP(AU53,[1]expiry_dates!$B$2:$C$2894,2,FALSE)</f>
        <v>43524</v>
      </c>
      <c r="V53" s="23" t="s">
        <v>109</v>
      </c>
      <c r="W53" s="23" t="s">
        <v>23</v>
      </c>
      <c r="X53" s="49">
        <v>43518.479166666664</v>
      </c>
      <c r="Y53" s="23">
        <v>0.45</v>
      </c>
      <c r="Z53" s="23">
        <v>43518.552083333336</v>
      </c>
      <c r="AA53" s="23">
        <v>0.55000000000000004</v>
      </c>
      <c r="AB53" s="23">
        <v>0.22220000000000001</v>
      </c>
      <c r="AC53" s="23">
        <v>-11325.51</v>
      </c>
      <c r="AD53" s="23">
        <v>-0.22220000000000001</v>
      </c>
      <c r="AE53" s="23">
        <v>113255.1</v>
      </c>
      <c r="AF53" s="23">
        <v>50964.79</v>
      </c>
      <c r="AG53" s="23">
        <v>163643.57</v>
      </c>
      <c r="AH53" s="23">
        <v>8</v>
      </c>
      <c r="AI53" s="23">
        <v>-1415.69</v>
      </c>
      <c r="AJ53" s="23">
        <v>-0.22220000000000001</v>
      </c>
      <c r="AK53" s="23">
        <v>0.22220000000000001</v>
      </c>
      <c r="AL53" s="23" t="s">
        <v>24</v>
      </c>
      <c r="AM53" s="23">
        <v>45.65</v>
      </c>
      <c r="AN53" s="23">
        <v>26891.65</v>
      </c>
      <c r="AO53" s="23">
        <v>45.1</v>
      </c>
      <c r="AP53" s="23">
        <v>0</v>
      </c>
      <c r="AR53" s="46"/>
      <c r="AS53" s="44"/>
      <c r="AT53" s="45"/>
      <c r="AU53" s="2">
        <v>43518</v>
      </c>
      <c r="AV53" s="52">
        <v>0.47916666666666669</v>
      </c>
      <c r="AW53" s="2" t="s">
        <v>212</v>
      </c>
      <c r="AY53" s="3"/>
      <c r="BA53" s="3"/>
      <c r="BG53" s="3"/>
      <c r="BH53" s="3"/>
    </row>
    <row r="54" spans="1:60">
      <c r="A54" s="23" t="s">
        <v>22</v>
      </c>
      <c r="B54" s="23" t="s">
        <v>23</v>
      </c>
      <c r="C54" s="27">
        <v>43518.552083333336</v>
      </c>
      <c r="D54" s="23">
        <v>45.35</v>
      </c>
      <c r="E54" s="27">
        <v>43518.614583333336</v>
      </c>
      <c r="F54" s="23">
        <v>45.55</v>
      </c>
      <c r="G54" s="31">
        <v>4.4000000000000003E-3</v>
      </c>
      <c r="H54" s="23">
        <v>-220.65</v>
      </c>
      <c r="I54" s="31">
        <v>-4.4000000000000003E-3</v>
      </c>
      <c r="J54" s="23">
        <v>1103.2650000000001</v>
      </c>
      <c r="K54" s="23">
        <v>50033.07</v>
      </c>
      <c r="L54" s="23">
        <v>6337.59</v>
      </c>
      <c r="M54" s="23">
        <v>7</v>
      </c>
      <c r="N54" s="23">
        <v>-31.52</v>
      </c>
      <c r="O54" s="31">
        <v>-6.6E-3</v>
      </c>
      <c r="P54" s="31">
        <v>1.1000000000000001E-3</v>
      </c>
      <c r="Q54" s="23" t="s">
        <v>24</v>
      </c>
      <c r="R54" s="23">
        <v>0</v>
      </c>
      <c r="S54" s="23">
        <v>45.83</v>
      </c>
      <c r="U54" s="47">
        <f>VLOOKUP(AU54,[1]expiry_dates!$B$2:$C$2894,2,FALSE)</f>
        <v>43524</v>
      </c>
      <c r="V54" s="23" t="s">
        <v>112</v>
      </c>
      <c r="W54" s="23" t="s">
        <v>23</v>
      </c>
      <c r="X54" s="49">
        <v>43518.552083333336</v>
      </c>
      <c r="Y54" s="23">
        <v>1.1499999999999999</v>
      </c>
      <c r="Z54" s="23">
        <v>43518.614583333336</v>
      </c>
      <c r="AA54" s="23">
        <v>1.1499999999999999</v>
      </c>
      <c r="AB54" s="23">
        <v>0</v>
      </c>
      <c r="AC54" s="23">
        <v>0</v>
      </c>
      <c r="AD54" s="23">
        <v>0</v>
      </c>
      <c r="AE54" s="23">
        <v>44214.38</v>
      </c>
      <c r="AF54" s="23">
        <v>50846.53</v>
      </c>
      <c r="AG54" s="23">
        <v>163643.57</v>
      </c>
      <c r="AH54" s="23">
        <v>7</v>
      </c>
      <c r="AI54" s="23">
        <v>0</v>
      </c>
      <c r="AJ54" s="23">
        <v>-4.3499999999999997E-2</v>
      </c>
      <c r="AK54" s="23">
        <v>0.13039999999999999</v>
      </c>
      <c r="AL54" s="23" t="s">
        <v>24</v>
      </c>
      <c r="AM54" s="23">
        <v>45.35</v>
      </c>
      <c r="AN54" s="23">
        <v>26898.85</v>
      </c>
      <c r="AO54" s="23">
        <v>45.83</v>
      </c>
      <c r="AP54" s="23">
        <v>0</v>
      </c>
      <c r="AR54" s="46"/>
      <c r="AS54" s="44"/>
      <c r="AT54" s="45"/>
      <c r="AU54" s="2">
        <v>43518</v>
      </c>
      <c r="AV54" s="52">
        <v>5.2083333333333336E-2</v>
      </c>
      <c r="AW54" s="2" t="s">
        <v>213</v>
      </c>
      <c r="AY54" s="3"/>
      <c r="BA54" s="3"/>
      <c r="BG54" s="3"/>
      <c r="BH54" s="3"/>
    </row>
    <row r="55" spans="1:60">
      <c r="A55" s="23" t="s">
        <v>22</v>
      </c>
      <c r="B55" s="23" t="s">
        <v>25</v>
      </c>
      <c r="C55" s="27">
        <v>43518.614583333336</v>
      </c>
      <c r="D55" s="23">
        <v>45.55</v>
      </c>
      <c r="E55" s="27">
        <v>43521.489583333336</v>
      </c>
      <c r="F55" s="23">
        <v>45.75</v>
      </c>
      <c r="G55" s="31">
        <v>4.4000000000000003E-3</v>
      </c>
      <c r="H55" s="23">
        <v>219.68</v>
      </c>
      <c r="I55" s="31">
        <v>4.4000000000000003E-3</v>
      </c>
      <c r="J55" s="23">
        <v>1098.3779999999999</v>
      </c>
      <c r="K55" s="23">
        <v>50031.14</v>
      </c>
      <c r="L55" s="23">
        <v>6557.27</v>
      </c>
      <c r="M55" s="23">
        <v>18</v>
      </c>
      <c r="N55" s="23">
        <v>12.2</v>
      </c>
      <c r="O55" s="31">
        <v>-2.2000000000000001E-3</v>
      </c>
      <c r="P55" s="31">
        <v>1.54E-2</v>
      </c>
      <c r="Q55" s="23" t="s">
        <v>24</v>
      </c>
      <c r="R55" s="23">
        <v>0</v>
      </c>
      <c r="S55" s="23">
        <v>45.32</v>
      </c>
      <c r="U55" s="47">
        <f>VLOOKUP(AU55,[1]expiry_dates!$B$2:$C$2894,2,FALSE)</f>
        <v>43524</v>
      </c>
      <c r="V55" s="23" t="s">
        <v>115</v>
      </c>
      <c r="W55" s="23" t="s">
        <v>23</v>
      </c>
      <c r="X55" s="49">
        <v>43518.614583333336</v>
      </c>
      <c r="Y55" s="23">
        <v>0.05</v>
      </c>
      <c r="Z55" s="23">
        <v>43521.489583333336</v>
      </c>
      <c r="AA55" s="23">
        <v>0.05</v>
      </c>
      <c r="AB55" s="23">
        <v>0</v>
      </c>
      <c r="AC55" s="23">
        <v>0</v>
      </c>
      <c r="AD55" s="23">
        <v>0</v>
      </c>
      <c r="AE55" s="23">
        <v>1016585</v>
      </c>
      <c r="AF55" s="23">
        <v>50829.27</v>
      </c>
      <c r="AG55" s="23">
        <v>163643.57</v>
      </c>
      <c r="AH55" s="23">
        <v>18</v>
      </c>
      <c r="AI55" s="23">
        <v>0</v>
      </c>
      <c r="AJ55" s="23">
        <v>-1</v>
      </c>
      <c r="AK55" s="23">
        <v>0</v>
      </c>
      <c r="AL55" s="23" t="s">
        <v>24</v>
      </c>
      <c r="AM55" s="23">
        <v>45.55</v>
      </c>
      <c r="AN55" s="23">
        <v>26869.8</v>
      </c>
      <c r="AO55" s="23">
        <v>45.32</v>
      </c>
      <c r="AP55" s="23">
        <v>0</v>
      </c>
      <c r="AR55" s="46"/>
      <c r="AS55" s="44"/>
      <c r="AT55" s="45"/>
      <c r="AU55" s="2">
        <v>43518</v>
      </c>
      <c r="AV55" s="52">
        <v>0.11458333333333333</v>
      </c>
      <c r="AW55" s="2" t="s">
        <v>213</v>
      </c>
      <c r="AY55" s="3"/>
      <c r="BA55" s="3"/>
      <c r="BG55" s="3"/>
      <c r="BH55" s="3"/>
    </row>
    <row r="56" spans="1:60">
      <c r="A56" s="23" t="s">
        <v>22</v>
      </c>
      <c r="B56" s="23" t="s">
        <v>23</v>
      </c>
      <c r="C56" s="27">
        <v>43521.489583333336</v>
      </c>
      <c r="D56" s="23">
        <v>45.75</v>
      </c>
      <c r="E56" s="27">
        <v>43521.625</v>
      </c>
      <c r="F56" s="23">
        <v>46</v>
      </c>
      <c r="G56" s="31">
        <v>5.4999999999999997E-3</v>
      </c>
      <c r="H56" s="23">
        <v>-273.41000000000003</v>
      </c>
      <c r="I56" s="31">
        <v>-5.4999999999999997E-3</v>
      </c>
      <c r="J56" s="23">
        <v>1093.625</v>
      </c>
      <c r="K56" s="23">
        <v>50033.34</v>
      </c>
      <c r="L56" s="23">
        <v>6283.86</v>
      </c>
      <c r="M56" s="23">
        <v>14</v>
      </c>
      <c r="N56" s="23">
        <v>-19.53</v>
      </c>
      <c r="O56" s="31">
        <v>-5.4999999999999997E-3</v>
      </c>
      <c r="P56" s="31">
        <v>3.3E-3</v>
      </c>
      <c r="Q56" s="23" t="s">
        <v>24</v>
      </c>
      <c r="R56" s="23">
        <v>0</v>
      </c>
      <c r="S56" s="23">
        <v>46.24</v>
      </c>
      <c r="U56" s="47">
        <f>VLOOKUP(AU56,[1]expiry_dates!$B$2:$C$2894,2,FALSE)</f>
        <v>43524</v>
      </c>
      <c r="V56" s="23" t="s">
        <v>110</v>
      </c>
      <c r="W56" s="23" t="s">
        <v>23</v>
      </c>
      <c r="X56" s="49">
        <v>43521.489583333336</v>
      </c>
      <c r="Y56" s="23">
        <v>0.65</v>
      </c>
      <c r="Z56" s="23">
        <v>43521.625</v>
      </c>
      <c r="AA56" s="23">
        <v>0.65</v>
      </c>
      <c r="AB56" s="23">
        <v>0</v>
      </c>
      <c r="AC56" s="23">
        <v>0</v>
      </c>
      <c r="AD56" s="23">
        <v>0</v>
      </c>
      <c r="AE56" s="23">
        <v>78181.88</v>
      </c>
      <c r="AF56" s="23">
        <v>50818.22</v>
      </c>
      <c r="AG56" s="23">
        <v>163643.57</v>
      </c>
      <c r="AH56" s="23">
        <v>14</v>
      </c>
      <c r="AI56" s="23">
        <v>0</v>
      </c>
      <c r="AJ56" s="23">
        <v>-7.6899999999999996E-2</v>
      </c>
      <c r="AK56" s="23">
        <v>7.6899999999999996E-2</v>
      </c>
      <c r="AL56" s="23" t="s">
        <v>24</v>
      </c>
      <c r="AM56" s="23">
        <v>45.75</v>
      </c>
      <c r="AN56" s="23">
        <v>27010.400000000001</v>
      </c>
      <c r="AO56" s="23">
        <v>46.24</v>
      </c>
      <c r="AP56" s="23">
        <v>0</v>
      </c>
      <c r="AR56" s="46"/>
      <c r="AS56" s="44"/>
      <c r="AT56" s="45"/>
      <c r="AU56" s="2">
        <v>43521</v>
      </c>
      <c r="AV56" s="52">
        <v>0.48958333333333331</v>
      </c>
      <c r="AW56" s="2" t="s">
        <v>212</v>
      </c>
      <c r="AY56" s="3"/>
      <c r="BA56" s="3"/>
      <c r="BG56" s="3"/>
      <c r="BH56" s="3"/>
    </row>
    <row r="57" spans="1:60">
      <c r="A57" s="23" t="s">
        <v>22</v>
      </c>
      <c r="B57" s="23" t="s">
        <v>25</v>
      </c>
      <c r="C57" s="27">
        <v>43521.625</v>
      </c>
      <c r="D57" s="23">
        <v>46</v>
      </c>
      <c r="E57" s="27">
        <v>43522.385416666664</v>
      </c>
      <c r="F57" s="23">
        <v>44.95</v>
      </c>
      <c r="G57" s="31">
        <v>-2.2800000000000001E-2</v>
      </c>
      <c r="H57" s="23">
        <v>-1142.05</v>
      </c>
      <c r="I57" s="31">
        <v>-2.2800000000000001E-2</v>
      </c>
      <c r="J57" s="23">
        <v>1087.6690000000001</v>
      </c>
      <c r="K57" s="23">
        <v>50032.79</v>
      </c>
      <c r="L57" s="23">
        <v>5141.8100000000004</v>
      </c>
      <c r="M57" s="23">
        <v>7</v>
      </c>
      <c r="N57" s="23">
        <v>-163.15</v>
      </c>
      <c r="O57" s="31">
        <v>-2.2800000000000001E-2</v>
      </c>
      <c r="P57" s="31">
        <v>1.1000000000000001E-3</v>
      </c>
      <c r="Q57" s="23" t="s">
        <v>24</v>
      </c>
      <c r="R57" s="23">
        <v>0</v>
      </c>
      <c r="S57" s="23">
        <v>45.61</v>
      </c>
      <c r="U57" s="47">
        <f>VLOOKUP(AU57,[1]expiry_dates!$B$2:$C$2894,2,FALSE)</f>
        <v>43524</v>
      </c>
      <c r="V57" s="23" t="s">
        <v>115</v>
      </c>
      <c r="W57" s="23" t="s">
        <v>23</v>
      </c>
      <c r="X57" s="49">
        <v>43521.625</v>
      </c>
      <c r="Y57" s="23">
        <v>0.1</v>
      </c>
      <c r="Z57" s="23">
        <v>43522.385416666664</v>
      </c>
      <c r="AA57" s="23">
        <v>0.1</v>
      </c>
      <c r="AB57" s="23">
        <v>0</v>
      </c>
      <c r="AC57" s="23">
        <v>0</v>
      </c>
      <c r="AD57" s="23">
        <v>0</v>
      </c>
      <c r="AE57" s="23">
        <v>508377.59999999998</v>
      </c>
      <c r="AF57" s="23">
        <v>50837.760000000002</v>
      </c>
      <c r="AG57" s="23">
        <v>163643.57</v>
      </c>
      <c r="AH57" s="23">
        <v>7</v>
      </c>
      <c r="AI57" s="23">
        <v>0</v>
      </c>
      <c r="AJ57" s="23">
        <v>0</v>
      </c>
      <c r="AK57" s="23">
        <v>0.5</v>
      </c>
      <c r="AL57" s="23" t="s">
        <v>24</v>
      </c>
      <c r="AM57" s="23">
        <v>46</v>
      </c>
      <c r="AN57" s="23">
        <v>27186.1</v>
      </c>
      <c r="AO57" s="23">
        <v>45.61</v>
      </c>
      <c r="AP57" s="23">
        <v>0</v>
      </c>
      <c r="AR57" s="46"/>
      <c r="AS57" s="44"/>
      <c r="AT57" s="45"/>
      <c r="AU57" s="2">
        <v>43521</v>
      </c>
      <c r="AV57" s="52">
        <v>0.125</v>
      </c>
      <c r="AW57" s="2" t="s">
        <v>213</v>
      </c>
      <c r="AY57" s="3"/>
      <c r="BA57" s="3"/>
      <c r="BG57" s="3"/>
      <c r="BH57" s="3"/>
    </row>
    <row r="58" spans="1:60">
      <c r="A58" s="23" t="s">
        <v>22</v>
      </c>
      <c r="B58" s="23" t="s">
        <v>23</v>
      </c>
      <c r="C58" s="27">
        <v>43522.385416666664</v>
      </c>
      <c r="D58" s="23">
        <v>44.95</v>
      </c>
      <c r="E58" s="27">
        <v>43522.489583333336</v>
      </c>
      <c r="F58" s="23">
        <v>45.2</v>
      </c>
      <c r="G58" s="31">
        <v>5.5999999999999999E-3</v>
      </c>
      <c r="H58" s="23">
        <v>-278.23</v>
      </c>
      <c r="I58" s="31">
        <v>-5.5999999999999999E-3</v>
      </c>
      <c r="J58" s="23">
        <v>1112.9369999999999</v>
      </c>
      <c r="K58" s="23">
        <v>50026.52</v>
      </c>
      <c r="L58" s="23">
        <v>4863.58</v>
      </c>
      <c r="M58" s="23">
        <v>11</v>
      </c>
      <c r="N58" s="23">
        <v>-25.29</v>
      </c>
      <c r="O58" s="31">
        <v>-0.01</v>
      </c>
      <c r="P58" s="31">
        <v>1.67E-2</v>
      </c>
      <c r="Q58" s="23" t="s">
        <v>24</v>
      </c>
      <c r="R58" s="23">
        <v>0</v>
      </c>
      <c r="S58" s="23">
        <v>45.98</v>
      </c>
      <c r="U58" s="47">
        <f>VLOOKUP(AU58,[1]expiry_dates!$B$2:$C$2894,2,FALSE)</f>
        <v>43524</v>
      </c>
      <c r="V58" s="23" t="s">
        <v>112</v>
      </c>
      <c r="W58" s="23" t="s">
        <v>23</v>
      </c>
      <c r="X58" s="49">
        <v>43522.385416666664</v>
      </c>
      <c r="Y58" s="23">
        <v>0.65</v>
      </c>
      <c r="Z58" s="23">
        <v>43522.489583333336</v>
      </c>
      <c r="AA58" s="23">
        <v>0.65</v>
      </c>
      <c r="AB58" s="23">
        <v>0</v>
      </c>
      <c r="AC58" s="23">
        <v>0</v>
      </c>
      <c r="AD58" s="23">
        <v>0</v>
      </c>
      <c r="AE58" s="23">
        <v>78181.88</v>
      </c>
      <c r="AF58" s="23">
        <v>50818.22</v>
      </c>
      <c r="AG58" s="23">
        <v>163643.57</v>
      </c>
      <c r="AH58" s="23">
        <v>11</v>
      </c>
      <c r="AI58" s="23">
        <v>0</v>
      </c>
      <c r="AJ58" s="23">
        <v>-0.15379999999999999</v>
      </c>
      <c r="AK58" s="23">
        <v>0.46150000000000002</v>
      </c>
      <c r="AL58" s="23" t="s">
        <v>24</v>
      </c>
      <c r="AM58" s="23">
        <v>44.95</v>
      </c>
      <c r="AN58" s="23">
        <v>26877.3</v>
      </c>
      <c r="AO58" s="23">
        <v>45.98</v>
      </c>
      <c r="AP58" s="23">
        <v>0</v>
      </c>
      <c r="AR58" s="46"/>
      <c r="AS58" s="44"/>
      <c r="AT58" s="45"/>
      <c r="AU58" s="2">
        <v>43522</v>
      </c>
      <c r="AV58" s="52">
        <v>0.38541666666666669</v>
      </c>
      <c r="AW58" s="2" t="s">
        <v>212</v>
      </c>
      <c r="AY58" s="3"/>
      <c r="BA58" s="3"/>
      <c r="BG58" s="3"/>
      <c r="BH58" s="3"/>
    </row>
    <row r="59" spans="1:60">
      <c r="A59" s="23" t="s">
        <v>22</v>
      </c>
      <c r="B59" s="23" t="s">
        <v>25</v>
      </c>
      <c r="C59" s="27">
        <v>43522.489583333336</v>
      </c>
      <c r="D59" s="23">
        <v>45.2</v>
      </c>
      <c r="E59" s="27">
        <v>43523.46875</v>
      </c>
      <c r="F59" s="23">
        <v>45.45</v>
      </c>
      <c r="G59" s="31">
        <v>5.4999999999999997E-3</v>
      </c>
      <c r="H59" s="23">
        <v>276.69</v>
      </c>
      <c r="I59" s="31">
        <v>5.4999999999999997E-3</v>
      </c>
      <c r="J59" s="23">
        <v>1106.7449999999999</v>
      </c>
      <c r="K59" s="23">
        <v>50024.88</v>
      </c>
      <c r="L59" s="23">
        <v>5140.26</v>
      </c>
      <c r="M59" s="23">
        <v>28</v>
      </c>
      <c r="N59" s="23">
        <v>9.8800000000000008</v>
      </c>
      <c r="O59" s="31">
        <v>-4.4000000000000003E-3</v>
      </c>
      <c r="P59" s="31">
        <v>1.66E-2</v>
      </c>
      <c r="Q59" s="23" t="s">
        <v>24</v>
      </c>
      <c r="R59" s="23">
        <v>0</v>
      </c>
      <c r="S59" s="23">
        <v>44.22</v>
      </c>
      <c r="U59" s="47">
        <f>VLOOKUP(AU59,[1]expiry_dates!$B$2:$C$2894,2,FALSE)</f>
        <v>43524</v>
      </c>
      <c r="V59" s="23" t="s">
        <v>111</v>
      </c>
      <c r="W59" s="23" t="s">
        <v>23</v>
      </c>
      <c r="X59" s="49">
        <v>43522.489583333336</v>
      </c>
      <c r="Y59" s="23">
        <v>0.25</v>
      </c>
      <c r="Z59" s="23">
        <v>43523.46875</v>
      </c>
      <c r="AA59" s="23">
        <v>0.1</v>
      </c>
      <c r="AB59" s="23">
        <v>-0.6</v>
      </c>
      <c r="AC59" s="23">
        <v>30514.39</v>
      </c>
      <c r="AD59" s="23">
        <v>0.6</v>
      </c>
      <c r="AE59" s="23">
        <v>203429.2</v>
      </c>
      <c r="AF59" s="23">
        <v>50857.31</v>
      </c>
      <c r="AG59" s="23">
        <v>194157.95</v>
      </c>
      <c r="AH59" s="23">
        <v>28</v>
      </c>
      <c r="AI59" s="23">
        <v>1089.8</v>
      </c>
      <c r="AJ59" s="23">
        <v>0</v>
      </c>
      <c r="AK59" s="23">
        <v>0.8</v>
      </c>
      <c r="AL59" s="23" t="s">
        <v>24</v>
      </c>
      <c r="AM59" s="23">
        <v>45.2</v>
      </c>
      <c r="AN59" s="23">
        <v>26941</v>
      </c>
      <c r="AO59" s="23">
        <v>44.22</v>
      </c>
      <c r="AP59" s="23">
        <v>0</v>
      </c>
      <c r="AR59" s="46"/>
      <c r="AS59" s="44"/>
      <c r="AT59" s="45"/>
      <c r="AU59" s="2">
        <v>43522</v>
      </c>
      <c r="AV59" s="52">
        <v>0.48958333333333331</v>
      </c>
      <c r="AW59" s="2" t="s">
        <v>212</v>
      </c>
      <c r="AY59" s="3"/>
      <c r="BA59" s="3"/>
      <c r="BG59" s="3"/>
      <c r="BH59" s="3"/>
    </row>
    <row r="60" spans="1:60">
      <c r="A60" s="23" t="s">
        <v>22</v>
      </c>
      <c r="B60" s="23" t="s">
        <v>23</v>
      </c>
      <c r="C60" s="27">
        <v>43523.46875</v>
      </c>
      <c r="D60" s="23">
        <v>45.45</v>
      </c>
      <c r="E60" s="27">
        <v>43523.635416666664</v>
      </c>
      <c r="F60" s="23">
        <v>45.15</v>
      </c>
      <c r="G60" s="31">
        <v>-6.6E-3</v>
      </c>
      <c r="H60" s="23">
        <v>330.21</v>
      </c>
      <c r="I60" s="31">
        <v>6.6E-3</v>
      </c>
      <c r="J60" s="23">
        <v>1100.712</v>
      </c>
      <c r="K60" s="23">
        <v>50027.360000000001</v>
      </c>
      <c r="L60" s="23">
        <v>5470.48</v>
      </c>
      <c r="M60" s="23">
        <v>17</v>
      </c>
      <c r="N60" s="23">
        <v>19.420000000000002</v>
      </c>
      <c r="O60" s="31">
        <v>-6.6E-3</v>
      </c>
      <c r="P60" s="31">
        <v>2.3099999999999999E-2</v>
      </c>
      <c r="Q60" s="23" t="s">
        <v>24</v>
      </c>
      <c r="R60" s="23">
        <v>0</v>
      </c>
      <c r="S60" s="23">
        <v>45.95</v>
      </c>
      <c r="U60" s="47">
        <f>VLOOKUP(AU60,[1]expiry_dates!$B$2:$C$2894,2,FALSE)</f>
        <v>43524</v>
      </c>
      <c r="V60" s="23" t="s">
        <v>112</v>
      </c>
      <c r="W60" s="23" t="s">
        <v>23</v>
      </c>
      <c r="X60" s="49">
        <v>43523.46875</v>
      </c>
      <c r="Y60" s="23">
        <v>0.7</v>
      </c>
      <c r="Z60" s="23">
        <v>43523.635416666664</v>
      </c>
      <c r="AA60" s="23">
        <v>0.3</v>
      </c>
      <c r="AB60" s="23">
        <v>-0.57140000000000002</v>
      </c>
      <c r="AC60" s="23">
        <v>29126.17</v>
      </c>
      <c r="AD60" s="23">
        <v>0.57140000000000002</v>
      </c>
      <c r="AE60" s="23">
        <v>72815.41</v>
      </c>
      <c r="AF60" s="23">
        <v>50970.79</v>
      </c>
      <c r="AG60" s="23">
        <v>223284.12</v>
      </c>
      <c r="AH60" s="23">
        <v>17</v>
      </c>
      <c r="AI60" s="23">
        <v>1713.3</v>
      </c>
      <c r="AJ60" s="23">
        <v>-0.21429999999999999</v>
      </c>
      <c r="AK60" s="23">
        <v>0.64290000000000003</v>
      </c>
      <c r="AL60" s="23" t="s">
        <v>24</v>
      </c>
      <c r="AM60" s="23">
        <v>45.45</v>
      </c>
      <c r="AN60" s="23">
        <v>27053.45</v>
      </c>
      <c r="AO60" s="23">
        <v>45.95</v>
      </c>
      <c r="AP60" s="23">
        <v>0</v>
      </c>
      <c r="AR60" s="46"/>
      <c r="AS60" s="44"/>
      <c r="AT60" s="45"/>
      <c r="AU60" s="2">
        <v>43523</v>
      </c>
      <c r="AV60" s="52">
        <v>0.46875</v>
      </c>
      <c r="AW60" s="2" t="s">
        <v>212</v>
      </c>
      <c r="AY60" s="3"/>
      <c r="BA60" s="3"/>
      <c r="BG60" s="3"/>
      <c r="BH60" s="3"/>
    </row>
    <row r="61" spans="1:60">
      <c r="A61" s="23" t="s">
        <v>22</v>
      </c>
      <c r="B61" s="23" t="s">
        <v>25</v>
      </c>
      <c r="C61" s="27">
        <v>43523.635416666664</v>
      </c>
      <c r="D61" s="23">
        <v>45.15</v>
      </c>
      <c r="E61" s="27">
        <v>43524.604166666664</v>
      </c>
      <c r="F61" s="23">
        <v>45.2</v>
      </c>
      <c r="G61" s="31">
        <v>1.1000000000000001E-3</v>
      </c>
      <c r="H61" s="23">
        <v>55.4</v>
      </c>
      <c r="I61" s="31">
        <v>1.1000000000000001E-3</v>
      </c>
      <c r="J61" s="23">
        <v>1108.056</v>
      </c>
      <c r="K61" s="23">
        <v>50028.73</v>
      </c>
      <c r="L61" s="23">
        <v>5525.88</v>
      </c>
      <c r="M61" s="23">
        <v>27</v>
      </c>
      <c r="N61" s="23">
        <v>2.0499999999999998</v>
      </c>
      <c r="O61" s="31">
        <v>-7.7999999999999996E-3</v>
      </c>
      <c r="P61" s="31">
        <v>6.6E-3</v>
      </c>
      <c r="Q61" s="23" t="s">
        <v>24</v>
      </c>
      <c r="R61" s="23">
        <v>0</v>
      </c>
      <c r="S61" s="23">
        <v>44.43</v>
      </c>
      <c r="U61" s="47">
        <f>VLOOKUP(AU61,[1]expiry_dates!$B$2:$C$2894,2,FALSE)</f>
        <v>43524</v>
      </c>
      <c r="V61" s="23" t="s">
        <v>109</v>
      </c>
      <c r="W61" s="23" t="s">
        <v>23</v>
      </c>
      <c r="X61" s="49">
        <v>43523.635416666664</v>
      </c>
      <c r="Y61" s="23">
        <v>0.4</v>
      </c>
      <c r="Z61" s="23">
        <v>43524.604166666664</v>
      </c>
      <c r="AA61" s="23">
        <v>0.1</v>
      </c>
      <c r="AB61" s="23">
        <v>-0.75</v>
      </c>
      <c r="AC61" s="23">
        <v>38323.660000000003</v>
      </c>
      <c r="AD61" s="23">
        <v>0.75</v>
      </c>
      <c r="AE61" s="23">
        <v>127745.5</v>
      </c>
      <c r="AF61" s="23">
        <v>51098.21</v>
      </c>
      <c r="AG61" s="23">
        <v>261607.78</v>
      </c>
      <c r="AH61" s="23">
        <v>27</v>
      </c>
      <c r="AI61" s="23">
        <v>1419.39</v>
      </c>
      <c r="AJ61" s="23">
        <v>-0.25</v>
      </c>
      <c r="AK61" s="23">
        <v>0.75</v>
      </c>
      <c r="AL61" s="23" t="s">
        <v>24</v>
      </c>
      <c r="AM61" s="23">
        <v>45.15</v>
      </c>
      <c r="AN61" s="23">
        <v>26778.3</v>
      </c>
      <c r="AO61" s="23">
        <v>44.43</v>
      </c>
      <c r="AP61" s="23">
        <v>0</v>
      </c>
      <c r="AR61" s="46"/>
      <c r="AS61" s="44"/>
      <c r="AT61" s="45"/>
      <c r="AU61" s="2">
        <v>43523</v>
      </c>
      <c r="AV61" s="52">
        <v>0.13541666666666666</v>
      </c>
      <c r="AW61" s="2" t="s">
        <v>213</v>
      </c>
      <c r="AY61" s="3"/>
      <c r="BA61" s="3"/>
      <c r="BG61" s="3"/>
      <c r="BH61" s="3"/>
    </row>
    <row r="62" spans="1:60">
      <c r="A62" s="23" t="s">
        <v>22</v>
      </c>
      <c r="B62" s="23" t="s">
        <v>23</v>
      </c>
      <c r="C62" s="27">
        <v>43524.604166666664</v>
      </c>
      <c r="D62" s="23">
        <v>45.2</v>
      </c>
      <c r="E62" s="27">
        <v>43524.6875</v>
      </c>
      <c r="F62" s="23">
        <v>44.75</v>
      </c>
      <c r="G62" s="31">
        <v>-0.01</v>
      </c>
      <c r="H62" s="23">
        <v>498.07</v>
      </c>
      <c r="I62" s="31">
        <v>0.01</v>
      </c>
      <c r="J62" s="23">
        <v>1106.8119999999999</v>
      </c>
      <c r="K62" s="23">
        <v>50027.9</v>
      </c>
      <c r="L62" s="23">
        <v>6023.95</v>
      </c>
      <c r="M62" s="23">
        <v>7</v>
      </c>
      <c r="N62" s="23">
        <v>71.150000000000006</v>
      </c>
      <c r="O62" s="31">
        <v>-1.1000000000000001E-3</v>
      </c>
      <c r="P62" s="31">
        <v>1.44E-2</v>
      </c>
      <c r="Q62" s="23" t="s">
        <v>24</v>
      </c>
      <c r="R62" s="23">
        <v>0</v>
      </c>
      <c r="S62" s="23">
        <v>45.43</v>
      </c>
      <c r="U62" s="47">
        <f>VLOOKUP(AU62,[1]expiry_dates!$B$2:$C$2894,2,FALSE)</f>
        <v>43524</v>
      </c>
      <c r="V62" s="23" t="s">
        <v>112</v>
      </c>
      <c r="W62" s="23" t="s">
        <v>23</v>
      </c>
      <c r="X62" s="49">
        <v>43524.604166666664</v>
      </c>
      <c r="Y62" s="23">
        <v>0.15</v>
      </c>
      <c r="Z62" s="23">
        <v>43524.6875</v>
      </c>
      <c r="AA62" s="23">
        <v>0.05</v>
      </c>
      <c r="AB62" s="23">
        <v>-0.66669999999999996</v>
      </c>
      <c r="AC62" s="23">
        <v>34205.360000000001</v>
      </c>
      <c r="AD62" s="23">
        <v>0.66669999999999996</v>
      </c>
      <c r="AE62" s="23">
        <v>342053.6</v>
      </c>
      <c r="AF62" s="23">
        <v>51308.04</v>
      </c>
      <c r="AG62" s="23">
        <v>295813.14</v>
      </c>
      <c r="AH62" s="23">
        <v>7</v>
      </c>
      <c r="AI62" s="23">
        <v>4886.4799999999996</v>
      </c>
      <c r="AJ62" s="23">
        <v>-0.33329999999999999</v>
      </c>
      <c r="AK62" s="23">
        <v>0.66669999999999996</v>
      </c>
      <c r="AL62" s="23" t="s">
        <v>24</v>
      </c>
      <c r="AM62" s="23">
        <v>45.2</v>
      </c>
      <c r="AN62" s="23">
        <v>26855.75</v>
      </c>
      <c r="AO62" s="23">
        <v>45.43</v>
      </c>
      <c r="AP62" s="23">
        <v>0</v>
      </c>
      <c r="AR62" s="46"/>
      <c r="AS62" s="44"/>
      <c r="AT62" s="45"/>
      <c r="AU62" s="2">
        <v>43524</v>
      </c>
      <c r="AV62" s="52">
        <v>0.10416666666666667</v>
      </c>
      <c r="AW62" s="2" t="s">
        <v>213</v>
      </c>
      <c r="AY62" s="3"/>
      <c r="BA62" s="3"/>
      <c r="BG62" s="3"/>
      <c r="BH62" s="3"/>
    </row>
    <row r="63" spans="1:60">
      <c r="A63" s="23" t="s">
        <v>22</v>
      </c>
      <c r="B63" s="23" t="s">
        <v>25</v>
      </c>
      <c r="C63" s="27">
        <v>43525.385416666664</v>
      </c>
      <c r="D63" s="23">
        <v>45.85</v>
      </c>
      <c r="E63" s="27">
        <v>43530.541666666664</v>
      </c>
      <c r="F63" s="23">
        <v>51.4</v>
      </c>
      <c r="G63" s="31">
        <v>0.121</v>
      </c>
      <c r="H63" s="23">
        <v>6055.99</v>
      </c>
      <c r="I63" s="31">
        <v>0.121</v>
      </c>
      <c r="J63" s="23">
        <v>1091.17</v>
      </c>
      <c r="K63" s="23">
        <v>50030.12</v>
      </c>
      <c r="L63" s="23">
        <v>12079.94</v>
      </c>
      <c r="M63" s="23">
        <v>74</v>
      </c>
      <c r="N63" s="23">
        <v>81.84</v>
      </c>
      <c r="O63" s="31">
        <v>-1.5299999999999999E-2</v>
      </c>
      <c r="P63" s="31">
        <v>0.14069999999999999</v>
      </c>
      <c r="Q63" s="23" t="s">
        <v>24</v>
      </c>
      <c r="R63" s="23">
        <v>0</v>
      </c>
      <c r="S63" s="23">
        <v>44.6</v>
      </c>
      <c r="U63" s="47">
        <f>VLOOKUP(AU63,[1]expiry_dates!$B$2:$C$2894,2,FALSE)</f>
        <v>43552</v>
      </c>
      <c r="V63" s="23" t="s">
        <v>109</v>
      </c>
      <c r="W63" s="23" t="s">
        <v>23</v>
      </c>
      <c r="X63" s="49">
        <v>43525.385416666664</v>
      </c>
      <c r="Y63" s="23">
        <v>1.1000000000000001</v>
      </c>
      <c r="Z63" s="23">
        <v>43530.541666666664</v>
      </c>
      <c r="AA63" s="23">
        <v>0.25</v>
      </c>
      <c r="AB63" s="23">
        <v>-0.77270000000000005</v>
      </c>
      <c r="AC63" s="23">
        <v>39779.279999999999</v>
      </c>
      <c r="AD63" s="23">
        <v>0.77270000000000005</v>
      </c>
      <c r="AE63" s="23">
        <v>46799.15</v>
      </c>
      <c r="AF63" s="23">
        <v>51479.06</v>
      </c>
      <c r="AG63" s="23">
        <v>335592.42</v>
      </c>
      <c r="AH63" s="23">
        <v>74</v>
      </c>
      <c r="AI63" s="23">
        <v>537.55999999999995</v>
      </c>
      <c r="AJ63" s="23">
        <v>-0.13639999999999999</v>
      </c>
      <c r="AK63" s="23">
        <v>0.86360000000000003</v>
      </c>
      <c r="AL63" s="23" t="s">
        <v>24</v>
      </c>
      <c r="AM63" s="23">
        <v>45.85</v>
      </c>
      <c r="AN63" s="23">
        <v>27001</v>
      </c>
      <c r="AO63" s="23">
        <v>44.6</v>
      </c>
      <c r="AP63" s="23">
        <v>0</v>
      </c>
      <c r="AR63" s="46"/>
      <c r="AS63" s="44"/>
      <c r="AT63" s="45"/>
      <c r="AU63" s="2">
        <v>43525</v>
      </c>
      <c r="AV63" s="52">
        <v>0.38541666666666669</v>
      </c>
      <c r="AW63" s="2" t="s">
        <v>212</v>
      </c>
      <c r="AY63" s="3"/>
      <c r="BA63" s="3"/>
      <c r="BG63" s="3"/>
      <c r="BH63" s="3"/>
    </row>
    <row r="64" spans="1:60">
      <c r="A64" s="23" t="s">
        <v>22</v>
      </c>
      <c r="B64" s="23" t="s">
        <v>23</v>
      </c>
      <c r="C64" s="27">
        <v>43530.541666666664</v>
      </c>
      <c r="D64" s="23">
        <v>51.4</v>
      </c>
      <c r="E64" s="27">
        <v>43531.4375</v>
      </c>
      <c r="F64" s="23">
        <v>50.8</v>
      </c>
      <c r="G64" s="31">
        <v>-1.17E-2</v>
      </c>
      <c r="H64" s="23">
        <v>584.35</v>
      </c>
      <c r="I64" s="31">
        <v>1.17E-2</v>
      </c>
      <c r="J64" s="23">
        <v>973.92179999999996</v>
      </c>
      <c r="K64" s="23">
        <v>50059.58</v>
      </c>
      <c r="L64" s="23">
        <v>12664.29</v>
      </c>
      <c r="M64" s="23">
        <v>20</v>
      </c>
      <c r="N64" s="23">
        <v>29.22</v>
      </c>
      <c r="O64" s="31">
        <v>-5.7999999999999996E-3</v>
      </c>
      <c r="P64" s="31">
        <v>4.6699999999999998E-2</v>
      </c>
      <c r="Q64" s="23" t="s">
        <v>24</v>
      </c>
      <c r="R64" s="23">
        <v>0</v>
      </c>
      <c r="S64" s="23">
        <v>52.27</v>
      </c>
      <c r="U64" s="47">
        <f>VLOOKUP(AU64,[1]expiry_dates!$B$2:$C$2894,2,FALSE)</f>
        <v>43552</v>
      </c>
      <c r="V64" s="23" t="s">
        <v>119</v>
      </c>
      <c r="W64" s="23" t="s">
        <v>23</v>
      </c>
      <c r="X64" s="49">
        <v>43530.541666666664</v>
      </c>
      <c r="Y64" s="23">
        <v>2.1</v>
      </c>
      <c r="Z64" s="23">
        <v>43531.4375</v>
      </c>
      <c r="AA64" s="23">
        <v>1.75</v>
      </c>
      <c r="AB64" s="23">
        <v>-0.16669999999999999</v>
      </c>
      <c r="AC64" s="23">
        <v>8614.94</v>
      </c>
      <c r="AD64" s="23">
        <v>0.16669999999999999</v>
      </c>
      <c r="AE64" s="23">
        <v>24614.13</v>
      </c>
      <c r="AF64" s="23">
        <v>51689.66</v>
      </c>
      <c r="AG64" s="23">
        <v>344207.35999999999</v>
      </c>
      <c r="AH64" s="23">
        <v>20</v>
      </c>
      <c r="AI64" s="23">
        <v>430.75</v>
      </c>
      <c r="AJ64" s="23">
        <v>-0.16669999999999999</v>
      </c>
      <c r="AK64" s="23">
        <v>0.47620000000000001</v>
      </c>
      <c r="AL64" s="23" t="s">
        <v>24</v>
      </c>
      <c r="AM64" s="23">
        <v>51.4</v>
      </c>
      <c r="AN64" s="23">
        <v>27570.35</v>
      </c>
      <c r="AO64" s="23">
        <v>52.27</v>
      </c>
      <c r="AP64" s="23">
        <v>0</v>
      </c>
      <c r="AR64" s="46"/>
      <c r="AS64" s="44"/>
      <c r="AT64" s="45"/>
      <c r="AU64" s="2">
        <v>43530</v>
      </c>
      <c r="AV64" s="52">
        <v>4.1666666666666664E-2</v>
      </c>
      <c r="AW64" s="2" t="s">
        <v>213</v>
      </c>
      <c r="AY64" s="3"/>
      <c r="BA64" s="3"/>
      <c r="BG64" s="3"/>
      <c r="BH64" s="3"/>
    </row>
    <row r="65" spans="1:60">
      <c r="A65" s="23" t="s">
        <v>22</v>
      </c>
      <c r="B65" s="23" t="s">
        <v>25</v>
      </c>
      <c r="C65" s="27">
        <v>43531.4375</v>
      </c>
      <c r="D65" s="23">
        <v>50.8</v>
      </c>
      <c r="E65" s="27">
        <v>43531.510416666664</v>
      </c>
      <c r="F65" s="23">
        <v>49.95</v>
      </c>
      <c r="G65" s="31">
        <v>-1.67E-2</v>
      </c>
      <c r="H65" s="23">
        <v>-837.69</v>
      </c>
      <c r="I65" s="31">
        <v>-1.67E-2</v>
      </c>
      <c r="J65" s="23">
        <v>985.52250000000004</v>
      </c>
      <c r="K65" s="23">
        <v>50064.54</v>
      </c>
      <c r="L65" s="23">
        <v>11826.6</v>
      </c>
      <c r="M65" s="23">
        <v>8</v>
      </c>
      <c r="N65" s="23">
        <v>-104.71</v>
      </c>
      <c r="O65" s="31">
        <v>-1.67E-2</v>
      </c>
      <c r="P65" s="31">
        <v>5.8999999999999999E-3</v>
      </c>
      <c r="Q65" s="23" t="s">
        <v>24</v>
      </c>
      <c r="R65" s="23">
        <v>0</v>
      </c>
      <c r="S65" s="23">
        <v>49.08</v>
      </c>
      <c r="U65" s="47">
        <f>VLOOKUP(AU65,[1]expiry_dates!$B$2:$C$2894,2,FALSE)</f>
        <v>43552</v>
      </c>
      <c r="V65" s="23" t="s">
        <v>120</v>
      </c>
      <c r="W65" s="23" t="s">
        <v>23</v>
      </c>
      <c r="X65" s="49">
        <v>43531.4375</v>
      </c>
      <c r="Y65" s="23">
        <v>2</v>
      </c>
      <c r="Z65" s="23">
        <v>43531.510416666664</v>
      </c>
      <c r="AA65" s="23">
        <v>2.35</v>
      </c>
      <c r="AB65" s="23">
        <v>0.17499999999999999</v>
      </c>
      <c r="AC65" s="23">
        <v>-9051.18</v>
      </c>
      <c r="AD65" s="23">
        <v>-0.17499999999999999</v>
      </c>
      <c r="AE65" s="23">
        <v>25860.52</v>
      </c>
      <c r="AF65" s="23">
        <v>51721.04</v>
      </c>
      <c r="AG65" s="23">
        <v>335156.18</v>
      </c>
      <c r="AH65" s="23">
        <v>8</v>
      </c>
      <c r="AI65" s="23">
        <v>-1131.4000000000001</v>
      </c>
      <c r="AJ65" s="23">
        <v>-0.17499999999999999</v>
      </c>
      <c r="AK65" s="23">
        <v>2.5000000000000001E-2</v>
      </c>
      <c r="AL65" s="23" t="s">
        <v>24</v>
      </c>
      <c r="AM65" s="23">
        <v>50.8</v>
      </c>
      <c r="AN65" s="23">
        <v>27646.2</v>
      </c>
      <c r="AO65" s="23">
        <v>49.08</v>
      </c>
      <c r="AP65" s="23">
        <v>0</v>
      </c>
      <c r="AR65" s="46"/>
      <c r="AS65" s="44"/>
      <c r="AT65" s="45"/>
      <c r="AU65" s="2">
        <v>43531</v>
      </c>
      <c r="AV65" s="52">
        <v>0.4375</v>
      </c>
      <c r="AW65" s="2" t="s">
        <v>212</v>
      </c>
      <c r="AY65" s="3"/>
      <c r="BA65" s="3"/>
      <c r="BG65" s="3"/>
      <c r="BH65" s="3"/>
    </row>
    <row r="66" spans="1:60">
      <c r="A66" s="23" t="s">
        <v>22</v>
      </c>
      <c r="B66" s="23" t="s">
        <v>23</v>
      </c>
      <c r="C66" s="27">
        <v>43531.510416666664</v>
      </c>
      <c r="D66" s="23">
        <v>49.95</v>
      </c>
      <c r="E66" s="27">
        <v>43532.46875</v>
      </c>
      <c r="F66" s="23">
        <v>49.35</v>
      </c>
      <c r="G66" s="31">
        <v>-1.2E-2</v>
      </c>
      <c r="H66" s="23">
        <v>601.32000000000005</v>
      </c>
      <c r="I66" s="31">
        <v>1.2E-2</v>
      </c>
      <c r="J66" s="23">
        <v>1002.1950000000001</v>
      </c>
      <c r="K66" s="23">
        <v>50059.63</v>
      </c>
      <c r="L66" s="23">
        <v>12427.91</v>
      </c>
      <c r="M66" s="23">
        <v>26</v>
      </c>
      <c r="N66" s="23">
        <v>23.13</v>
      </c>
      <c r="O66" s="31">
        <v>-8.9999999999999993E-3</v>
      </c>
      <c r="P66" s="31">
        <v>2.9000000000000001E-2</v>
      </c>
      <c r="Q66" s="23" t="s">
        <v>24</v>
      </c>
      <c r="R66" s="23">
        <v>0</v>
      </c>
      <c r="S66" s="23">
        <v>51.07</v>
      </c>
      <c r="U66" s="47">
        <f>VLOOKUP(AU66,[1]expiry_dates!$B$2:$C$2894,2,FALSE)</f>
        <v>43552</v>
      </c>
      <c r="V66" s="23" t="s">
        <v>121</v>
      </c>
      <c r="W66" s="23" t="s">
        <v>23</v>
      </c>
      <c r="X66" s="49">
        <v>43531.510416666664</v>
      </c>
      <c r="Y66" s="23">
        <v>1.8</v>
      </c>
      <c r="Z66" s="23">
        <v>43532.46875</v>
      </c>
      <c r="AA66" s="23">
        <v>1.55</v>
      </c>
      <c r="AB66" s="23">
        <v>-0.1389</v>
      </c>
      <c r="AC66" s="23">
        <v>7178.99</v>
      </c>
      <c r="AD66" s="23">
        <v>0.1389</v>
      </c>
      <c r="AE66" s="23">
        <v>28715.95</v>
      </c>
      <c r="AF66" s="23">
        <v>51688.71</v>
      </c>
      <c r="AG66" s="23">
        <v>342335.17</v>
      </c>
      <c r="AH66" s="23">
        <v>26</v>
      </c>
      <c r="AI66" s="23">
        <v>276.11</v>
      </c>
      <c r="AJ66" s="23">
        <v>-5.5599999999999997E-2</v>
      </c>
      <c r="AK66" s="23">
        <v>0.33329999999999999</v>
      </c>
      <c r="AL66" s="23" t="s">
        <v>24</v>
      </c>
      <c r="AM66" s="23">
        <v>49.95</v>
      </c>
      <c r="AN66" s="23">
        <v>27609.55</v>
      </c>
      <c r="AO66" s="23">
        <v>51.07</v>
      </c>
      <c r="AP66" s="23">
        <v>0</v>
      </c>
      <c r="AR66" s="46"/>
      <c r="AS66" s="44"/>
      <c r="AT66" s="45"/>
      <c r="AU66" s="2">
        <v>43531</v>
      </c>
      <c r="AV66" s="52">
        <v>0.51041666666666663</v>
      </c>
      <c r="AW66" s="2" t="s">
        <v>213</v>
      </c>
      <c r="AY66" s="3"/>
      <c r="BA66" s="3"/>
      <c r="BG66" s="3"/>
      <c r="BH66" s="3"/>
    </row>
    <row r="67" spans="1:60">
      <c r="A67" s="23" t="s">
        <v>22</v>
      </c>
      <c r="B67" s="23" t="s">
        <v>25</v>
      </c>
      <c r="C67" s="27">
        <v>43532.46875</v>
      </c>
      <c r="D67" s="23">
        <v>49.35</v>
      </c>
      <c r="E67" s="27">
        <v>43532.520833333336</v>
      </c>
      <c r="F67" s="23">
        <v>49</v>
      </c>
      <c r="G67" s="31">
        <v>-7.1000000000000004E-3</v>
      </c>
      <c r="H67" s="23">
        <v>-355.07</v>
      </c>
      <c r="I67" s="31">
        <v>-7.1000000000000004E-3</v>
      </c>
      <c r="J67" s="23">
        <v>1014.481</v>
      </c>
      <c r="K67" s="23">
        <v>50064.639999999999</v>
      </c>
      <c r="L67" s="23">
        <v>12072.84</v>
      </c>
      <c r="M67" s="23">
        <v>6</v>
      </c>
      <c r="N67" s="23">
        <v>-59.18</v>
      </c>
      <c r="O67" s="31">
        <v>-1.01E-2</v>
      </c>
      <c r="P67" s="31">
        <v>5.1000000000000004E-3</v>
      </c>
      <c r="Q67" s="23" t="s">
        <v>24</v>
      </c>
      <c r="R67" s="23">
        <v>0</v>
      </c>
      <c r="S67" s="23">
        <v>48.52</v>
      </c>
      <c r="U67" s="47">
        <f>VLOOKUP(AU67,[1]expiry_dates!$B$2:$C$2894,2,FALSE)</f>
        <v>43552</v>
      </c>
      <c r="V67" s="23" t="s">
        <v>122</v>
      </c>
      <c r="W67" s="23" t="s">
        <v>23</v>
      </c>
      <c r="X67" s="49">
        <v>43532.46875</v>
      </c>
      <c r="Y67" s="23">
        <v>1.5</v>
      </c>
      <c r="Z67" s="23">
        <v>43532.520833333336</v>
      </c>
      <c r="AA67" s="23">
        <v>1.8</v>
      </c>
      <c r="AB67" s="23">
        <v>0.2</v>
      </c>
      <c r="AC67" s="23">
        <v>-10349.51</v>
      </c>
      <c r="AD67" s="23">
        <v>-0.2</v>
      </c>
      <c r="AE67" s="23">
        <v>34498.379999999997</v>
      </c>
      <c r="AF67" s="23">
        <v>51747.57</v>
      </c>
      <c r="AG67" s="23">
        <v>331985.65000000002</v>
      </c>
      <c r="AH67" s="23">
        <v>6</v>
      </c>
      <c r="AI67" s="23">
        <v>-1724.92</v>
      </c>
      <c r="AJ67" s="23">
        <v>-0.2</v>
      </c>
      <c r="AK67" s="23">
        <v>0</v>
      </c>
      <c r="AL67" s="23" t="s">
        <v>24</v>
      </c>
      <c r="AM67" s="23">
        <v>49.35</v>
      </c>
      <c r="AN67" s="23">
        <v>27790.3</v>
      </c>
      <c r="AO67" s="23">
        <v>48.52</v>
      </c>
      <c r="AP67" s="23">
        <v>0</v>
      </c>
      <c r="AR67" s="46"/>
      <c r="AS67" s="44"/>
      <c r="AT67" s="45"/>
      <c r="AU67" s="2">
        <v>43532</v>
      </c>
      <c r="AV67" s="52">
        <v>0.46875</v>
      </c>
      <c r="AW67" s="2" t="s">
        <v>212</v>
      </c>
      <c r="AY67" s="3"/>
      <c r="BA67" s="3"/>
      <c r="BG67" s="3"/>
      <c r="BH67" s="3"/>
    </row>
    <row r="68" spans="1:60">
      <c r="A68" s="23" t="s">
        <v>22</v>
      </c>
      <c r="B68" s="23" t="s">
        <v>23</v>
      </c>
      <c r="C68" s="27">
        <v>43532.520833333336</v>
      </c>
      <c r="D68" s="23">
        <v>49</v>
      </c>
      <c r="E68" s="27">
        <v>43535.385416666664</v>
      </c>
      <c r="F68" s="23">
        <v>49.2</v>
      </c>
      <c r="G68" s="31">
        <v>4.1000000000000003E-3</v>
      </c>
      <c r="H68" s="23">
        <v>-204.33</v>
      </c>
      <c r="I68" s="31">
        <v>-4.1000000000000003E-3</v>
      </c>
      <c r="J68" s="23">
        <v>1021.6609999999999</v>
      </c>
      <c r="K68" s="23">
        <v>50061.38</v>
      </c>
      <c r="L68" s="23">
        <v>11868.51</v>
      </c>
      <c r="M68" s="23">
        <v>17</v>
      </c>
      <c r="N68" s="23">
        <v>-12.02</v>
      </c>
      <c r="O68" s="31">
        <v>-4.1000000000000003E-3</v>
      </c>
      <c r="P68" s="31">
        <v>6.1000000000000004E-3</v>
      </c>
      <c r="Q68" s="23" t="s">
        <v>24</v>
      </c>
      <c r="R68" s="23">
        <v>0</v>
      </c>
      <c r="S68" s="23">
        <v>49.6</v>
      </c>
      <c r="U68" s="47">
        <f>VLOOKUP(AU68,[1]expiry_dates!$B$2:$C$2894,2,FALSE)</f>
        <v>43552</v>
      </c>
      <c r="V68" s="23" t="s">
        <v>123</v>
      </c>
      <c r="W68" s="23" t="s">
        <v>23</v>
      </c>
      <c r="X68" s="49">
        <v>43532.520833333336</v>
      </c>
      <c r="Y68" s="23">
        <v>1.65</v>
      </c>
      <c r="Z68" s="23">
        <v>43535.385416666664</v>
      </c>
      <c r="AA68" s="23">
        <v>1.7</v>
      </c>
      <c r="AB68" s="23">
        <v>3.0300000000000001E-2</v>
      </c>
      <c r="AC68" s="23">
        <v>-1565.98</v>
      </c>
      <c r="AD68" s="23">
        <v>-3.0300000000000001E-2</v>
      </c>
      <c r="AE68" s="23">
        <v>31319.5</v>
      </c>
      <c r="AF68" s="23">
        <v>51677.18</v>
      </c>
      <c r="AG68" s="23">
        <v>330419.68</v>
      </c>
      <c r="AH68" s="23">
        <v>17</v>
      </c>
      <c r="AI68" s="23">
        <v>-92.12</v>
      </c>
      <c r="AJ68" s="23">
        <v>-3.0300000000000001E-2</v>
      </c>
      <c r="AK68" s="23">
        <v>0</v>
      </c>
      <c r="AL68" s="23" t="s">
        <v>24</v>
      </c>
      <c r="AM68" s="23">
        <v>49</v>
      </c>
      <c r="AN68" s="23">
        <v>27692.55</v>
      </c>
      <c r="AO68" s="23">
        <v>49.6</v>
      </c>
      <c r="AP68" s="23">
        <v>0</v>
      </c>
      <c r="AR68" s="46"/>
      <c r="AS68" s="44"/>
      <c r="AT68" s="45"/>
      <c r="AU68" s="2">
        <v>43532</v>
      </c>
      <c r="AV68" s="52">
        <v>0.52083333333333337</v>
      </c>
      <c r="AW68" s="2" t="s">
        <v>213</v>
      </c>
      <c r="AY68" s="3"/>
      <c r="BA68" s="3"/>
      <c r="BG68" s="3"/>
      <c r="BH68" s="3"/>
    </row>
    <row r="69" spans="1:60">
      <c r="A69" s="23" t="s">
        <v>22</v>
      </c>
      <c r="B69" s="23" t="s">
        <v>25</v>
      </c>
      <c r="C69" s="27">
        <v>43535.385416666664</v>
      </c>
      <c r="D69" s="23">
        <v>49.2</v>
      </c>
      <c r="E69" s="27">
        <v>43535.635416666664</v>
      </c>
      <c r="F69" s="23">
        <v>49.9</v>
      </c>
      <c r="G69" s="31">
        <v>1.4200000000000001E-2</v>
      </c>
      <c r="H69" s="23">
        <v>712.23</v>
      </c>
      <c r="I69" s="31">
        <v>1.4200000000000001E-2</v>
      </c>
      <c r="J69" s="23">
        <v>1017.471</v>
      </c>
      <c r="K69" s="23">
        <v>50059.6</v>
      </c>
      <c r="L69" s="23">
        <v>12580.74</v>
      </c>
      <c r="M69" s="23">
        <v>25</v>
      </c>
      <c r="N69" s="23">
        <v>28.49</v>
      </c>
      <c r="O69" s="31">
        <v>-1.12E-2</v>
      </c>
      <c r="P69" s="31">
        <v>2.9499999999999998E-2</v>
      </c>
      <c r="Q69" s="23" t="s">
        <v>24</v>
      </c>
      <c r="R69" s="23">
        <v>0</v>
      </c>
      <c r="S69" s="23">
        <v>48.65</v>
      </c>
      <c r="U69" s="47">
        <f>VLOOKUP(AU69,[1]expiry_dates!$B$2:$C$2894,2,FALSE)</f>
        <v>43552</v>
      </c>
      <c r="V69" s="23" t="s">
        <v>122</v>
      </c>
      <c r="W69" s="23" t="s">
        <v>23</v>
      </c>
      <c r="X69" s="49">
        <v>43535.385416666664</v>
      </c>
      <c r="Y69" s="23">
        <v>1.55</v>
      </c>
      <c r="Z69" s="23">
        <v>43535.635416666664</v>
      </c>
      <c r="AA69" s="23">
        <v>1</v>
      </c>
      <c r="AB69" s="23">
        <v>-0.3548</v>
      </c>
      <c r="AC69" s="23">
        <v>18328.16</v>
      </c>
      <c r="AD69" s="23">
        <v>0.3548</v>
      </c>
      <c r="AE69" s="23">
        <v>33323.93</v>
      </c>
      <c r="AF69" s="23">
        <v>51652.09</v>
      </c>
      <c r="AG69" s="23">
        <v>348747.84</v>
      </c>
      <c r="AH69" s="23">
        <v>25</v>
      </c>
      <c r="AI69" s="23">
        <v>733.13</v>
      </c>
      <c r="AJ69" s="23">
        <v>-3.2300000000000002E-2</v>
      </c>
      <c r="AK69" s="23">
        <v>0.3871</v>
      </c>
      <c r="AL69" s="23" t="s">
        <v>24</v>
      </c>
      <c r="AM69" s="23">
        <v>49.2</v>
      </c>
      <c r="AN69" s="23">
        <v>27939.65</v>
      </c>
      <c r="AO69" s="23">
        <v>48.65</v>
      </c>
      <c r="AP69" s="23">
        <v>0</v>
      </c>
      <c r="AR69" s="46"/>
      <c r="AS69" s="44"/>
      <c r="AT69" s="45"/>
      <c r="AU69" s="2">
        <v>43535</v>
      </c>
      <c r="AV69" s="52">
        <v>0.38541666666666669</v>
      </c>
      <c r="AW69" s="2" t="s">
        <v>212</v>
      </c>
      <c r="AY69" s="3"/>
      <c r="BA69" s="3"/>
      <c r="BG69" s="3"/>
      <c r="BH69" s="3"/>
    </row>
    <row r="70" spans="1:60">
      <c r="A70" s="23" t="s">
        <v>22</v>
      </c>
      <c r="B70" s="23" t="s">
        <v>23</v>
      </c>
      <c r="C70" s="27">
        <v>43535.635416666664</v>
      </c>
      <c r="D70" s="23">
        <v>49.9</v>
      </c>
      <c r="E70" s="27">
        <v>43536.385416666664</v>
      </c>
      <c r="F70" s="23">
        <v>50.6</v>
      </c>
      <c r="G70" s="31">
        <v>1.4E-2</v>
      </c>
      <c r="H70" s="23">
        <v>-702.29</v>
      </c>
      <c r="I70" s="31">
        <v>-1.4E-2</v>
      </c>
      <c r="J70" s="23">
        <v>1003.27</v>
      </c>
      <c r="K70" s="23">
        <v>50063.16</v>
      </c>
      <c r="L70" s="23">
        <v>11878.45</v>
      </c>
      <c r="M70" s="23">
        <v>6</v>
      </c>
      <c r="N70" s="23">
        <v>-117.05</v>
      </c>
      <c r="O70" s="31">
        <v>-1.4E-2</v>
      </c>
      <c r="P70" s="31">
        <v>1E-3</v>
      </c>
      <c r="Q70" s="23" t="s">
        <v>24</v>
      </c>
      <c r="R70" s="23">
        <v>0</v>
      </c>
      <c r="S70" s="23">
        <v>50.65</v>
      </c>
      <c r="U70" s="47">
        <f>VLOOKUP(AU70,[1]expiry_dates!$B$2:$C$2894,2,FALSE)</f>
        <v>43552</v>
      </c>
      <c r="V70" s="23" t="s">
        <v>121</v>
      </c>
      <c r="W70" s="23" t="s">
        <v>23</v>
      </c>
      <c r="X70" s="49">
        <v>43535.635416666664</v>
      </c>
      <c r="Y70" s="23">
        <v>1.7</v>
      </c>
      <c r="Z70" s="23">
        <v>43536.385416666664</v>
      </c>
      <c r="AA70" s="23">
        <v>1.95</v>
      </c>
      <c r="AB70" s="23">
        <v>0.14710000000000001</v>
      </c>
      <c r="AC70" s="23">
        <v>-7609.37</v>
      </c>
      <c r="AD70" s="23">
        <v>-0.14710000000000001</v>
      </c>
      <c r="AE70" s="23">
        <v>30437.49</v>
      </c>
      <c r="AF70" s="23">
        <v>51743.74</v>
      </c>
      <c r="AG70" s="23">
        <v>341138.47</v>
      </c>
      <c r="AH70" s="23">
        <v>6</v>
      </c>
      <c r="AI70" s="23">
        <v>-1268.23</v>
      </c>
      <c r="AJ70" s="23">
        <v>-0.17649999999999999</v>
      </c>
      <c r="AK70" s="23">
        <v>8.8200000000000001E-2</v>
      </c>
      <c r="AL70" s="23" t="s">
        <v>24</v>
      </c>
      <c r="AM70" s="23">
        <v>49.9</v>
      </c>
      <c r="AN70" s="23">
        <v>27973.05</v>
      </c>
      <c r="AO70" s="23">
        <v>50.65</v>
      </c>
      <c r="AP70" s="23">
        <v>0</v>
      </c>
      <c r="AR70" s="46"/>
      <c r="AS70" s="44"/>
      <c r="AT70" s="45"/>
      <c r="AU70" s="2">
        <v>43535</v>
      </c>
      <c r="AV70" s="52">
        <v>0.13541666666666666</v>
      </c>
      <c r="AW70" s="2" t="s">
        <v>213</v>
      </c>
      <c r="AY70" s="3"/>
      <c r="BA70" s="3"/>
      <c r="BG70" s="3"/>
      <c r="BH70" s="3"/>
    </row>
    <row r="71" spans="1:60">
      <c r="A71" s="23" t="s">
        <v>22</v>
      </c>
      <c r="B71" s="23" t="s">
        <v>25</v>
      </c>
      <c r="C71" s="27">
        <v>43536.385416666664</v>
      </c>
      <c r="D71" s="23">
        <v>50.6</v>
      </c>
      <c r="E71" s="27">
        <v>43536.40625</v>
      </c>
      <c r="F71" s="23">
        <v>49.7</v>
      </c>
      <c r="G71" s="31">
        <v>-1.78E-2</v>
      </c>
      <c r="H71" s="23">
        <v>-890.39</v>
      </c>
      <c r="I71" s="31">
        <v>-1.78E-2</v>
      </c>
      <c r="J71" s="23">
        <v>989.32100000000003</v>
      </c>
      <c r="K71" s="23">
        <v>50059.64</v>
      </c>
      <c r="L71" s="23">
        <v>10988.06</v>
      </c>
      <c r="M71" s="23">
        <v>3</v>
      </c>
      <c r="N71" s="23">
        <v>-296.8</v>
      </c>
      <c r="O71" s="31">
        <v>-1.78E-2</v>
      </c>
      <c r="P71" s="31">
        <v>3.0000000000000001E-3</v>
      </c>
      <c r="Q71" s="23" t="s">
        <v>24</v>
      </c>
      <c r="R71" s="23">
        <v>0</v>
      </c>
      <c r="S71" s="23">
        <v>49.89</v>
      </c>
      <c r="U71" s="47">
        <f>VLOOKUP(AU71,[1]expiry_dates!$B$2:$C$2894,2,FALSE)</f>
        <v>43552</v>
      </c>
      <c r="V71" s="23" t="s">
        <v>124</v>
      </c>
      <c r="W71" s="23" t="s">
        <v>23</v>
      </c>
      <c r="X71" s="49">
        <v>43536.385416666664</v>
      </c>
      <c r="Y71" s="23">
        <v>1.3</v>
      </c>
      <c r="Z71" s="23">
        <v>43536.40625</v>
      </c>
      <c r="AA71" s="23">
        <v>1.7</v>
      </c>
      <c r="AB71" s="23">
        <v>0.30769999999999997</v>
      </c>
      <c r="AC71" s="23">
        <v>-15921.15</v>
      </c>
      <c r="AD71" s="23">
        <v>-0.30769999999999997</v>
      </c>
      <c r="AE71" s="23">
        <v>39802.879999999997</v>
      </c>
      <c r="AF71" s="23">
        <v>51743.74</v>
      </c>
      <c r="AG71" s="23">
        <v>325217.32</v>
      </c>
      <c r="AH71" s="23">
        <v>3</v>
      </c>
      <c r="AI71" s="23">
        <v>-5307.05</v>
      </c>
      <c r="AJ71" s="23">
        <v>-0.30769999999999997</v>
      </c>
      <c r="AK71" s="23">
        <v>0</v>
      </c>
      <c r="AL71" s="23" t="s">
        <v>24</v>
      </c>
      <c r="AM71" s="23">
        <v>50.6</v>
      </c>
      <c r="AN71" s="23">
        <v>28181.1</v>
      </c>
      <c r="AO71" s="23">
        <v>49.89</v>
      </c>
      <c r="AP71" s="23">
        <v>0</v>
      </c>
      <c r="AR71" s="46"/>
      <c r="AS71" s="44"/>
      <c r="AT71" s="45"/>
      <c r="AU71" s="2">
        <v>43536</v>
      </c>
      <c r="AV71" s="52">
        <v>0.38541666666666669</v>
      </c>
      <c r="AW71" s="2" t="s">
        <v>212</v>
      </c>
      <c r="AY71" s="3"/>
      <c r="BA71" s="3"/>
      <c r="BG71" s="3"/>
      <c r="BH71" s="3"/>
    </row>
    <row r="72" spans="1:60">
      <c r="A72" s="23" t="s">
        <v>22</v>
      </c>
      <c r="B72" s="23" t="s">
        <v>23</v>
      </c>
      <c r="C72" s="27">
        <v>43536.40625</v>
      </c>
      <c r="D72" s="23">
        <v>49.7</v>
      </c>
      <c r="E72" s="27">
        <v>43536.552083333336</v>
      </c>
      <c r="F72" s="23">
        <v>49.9</v>
      </c>
      <c r="G72" s="31">
        <v>4.0000000000000001E-3</v>
      </c>
      <c r="H72" s="23">
        <v>-201.44</v>
      </c>
      <c r="I72" s="31">
        <v>-4.0000000000000001E-3</v>
      </c>
      <c r="J72" s="23">
        <v>1007.216</v>
      </c>
      <c r="K72" s="23">
        <v>50058.65</v>
      </c>
      <c r="L72" s="23">
        <v>10786.62</v>
      </c>
      <c r="M72" s="23">
        <v>15</v>
      </c>
      <c r="N72" s="23">
        <v>-13.43</v>
      </c>
      <c r="O72" s="31">
        <v>-1.5100000000000001E-2</v>
      </c>
      <c r="P72" s="31">
        <v>1.5100000000000001E-2</v>
      </c>
      <c r="Q72" s="23" t="s">
        <v>24</v>
      </c>
      <c r="R72" s="23">
        <v>0</v>
      </c>
      <c r="S72" s="23">
        <v>50.73</v>
      </c>
      <c r="U72" s="47">
        <f>VLOOKUP(AU72,[1]expiry_dates!$B$2:$C$2894,2,FALSE)</f>
        <v>43552</v>
      </c>
      <c r="V72" s="23" t="s">
        <v>121</v>
      </c>
      <c r="W72" s="23" t="s">
        <v>23</v>
      </c>
      <c r="X72" s="49">
        <v>43536.40625</v>
      </c>
      <c r="Y72" s="23">
        <v>1.5</v>
      </c>
      <c r="Z72" s="23">
        <v>43536.552083333336</v>
      </c>
      <c r="AA72" s="23">
        <v>1.55</v>
      </c>
      <c r="AB72" s="23">
        <v>3.3300000000000003E-2</v>
      </c>
      <c r="AC72" s="23">
        <v>-1723.19</v>
      </c>
      <c r="AD72" s="23">
        <v>-3.3300000000000003E-2</v>
      </c>
      <c r="AE72" s="23">
        <v>34463.83</v>
      </c>
      <c r="AF72" s="23">
        <v>51695.74</v>
      </c>
      <c r="AG72" s="23">
        <v>323494.13</v>
      </c>
      <c r="AH72" s="23">
        <v>15</v>
      </c>
      <c r="AI72" s="23">
        <v>-114.88</v>
      </c>
      <c r="AJ72" s="23">
        <v>-0.2</v>
      </c>
      <c r="AK72" s="23">
        <v>0.1333</v>
      </c>
      <c r="AL72" s="23" t="s">
        <v>24</v>
      </c>
      <c r="AM72" s="23">
        <v>49.7</v>
      </c>
      <c r="AN72" s="23">
        <v>28234.799999999999</v>
      </c>
      <c r="AO72" s="23">
        <v>50.73</v>
      </c>
      <c r="AP72" s="23">
        <v>0</v>
      </c>
      <c r="AR72" s="46"/>
      <c r="AS72" s="44"/>
      <c r="AT72" s="45"/>
      <c r="AU72" s="2">
        <v>43536</v>
      </c>
      <c r="AV72" s="52">
        <v>0.40625</v>
      </c>
      <c r="AW72" s="2" t="s">
        <v>212</v>
      </c>
      <c r="AY72" s="3"/>
      <c r="BA72" s="3"/>
      <c r="BG72" s="3"/>
      <c r="BH72" s="3"/>
    </row>
    <row r="73" spans="1:60">
      <c r="A73" s="23" t="s">
        <v>22</v>
      </c>
      <c r="B73" s="23" t="s">
        <v>25</v>
      </c>
      <c r="C73" s="27">
        <v>43536.552083333336</v>
      </c>
      <c r="D73" s="23">
        <v>49.9</v>
      </c>
      <c r="E73" s="27">
        <v>43537.385416666664</v>
      </c>
      <c r="F73" s="23">
        <v>49.55</v>
      </c>
      <c r="G73" s="31">
        <v>-7.0000000000000001E-3</v>
      </c>
      <c r="H73" s="23">
        <v>-351.09</v>
      </c>
      <c r="I73" s="31">
        <v>-7.0000000000000001E-3</v>
      </c>
      <c r="J73" s="23">
        <v>1003.115</v>
      </c>
      <c r="K73" s="23">
        <v>50055.44</v>
      </c>
      <c r="L73" s="23">
        <v>10435.530000000001</v>
      </c>
      <c r="M73" s="23">
        <v>14</v>
      </c>
      <c r="N73" s="23">
        <v>-25.08</v>
      </c>
      <c r="O73" s="31">
        <v>-7.0000000000000001E-3</v>
      </c>
      <c r="P73" s="31">
        <v>4.0000000000000001E-3</v>
      </c>
      <c r="Q73" s="23" t="s">
        <v>24</v>
      </c>
      <c r="R73" s="23">
        <v>0</v>
      </c>
      <c r="S73" s="23">
        <v>48.95</v>
      </c>
      <c r="U73" s="47">
        <f>VLOOKUP(AU73,[1]expiry_dates!$B$2:$C$2894,2,FALSE)</f>
        <v>43552</v>
      </c>
      <c r="V73" s="23" t="s">
        <v>122</v>
      </c>
      <c r="W73" s="23" t="s">
        <v>23</v>
      </c>
      <c r="X73" s="49">
        <v>43536.552083333336</v>
      </c>
      <c r="Y73" s="23">
        <v>1.2</v>
      </c>
      <c r="Z73" s="23">
        <v>43537.385416666664</v>
      </c>
      <c r="AA73" s="23">
        <v>1.25</v>
      </c>
      <c r="AB73" s="23">
        <v>4.1700000000000001E-2</v>
      </c>
      <c r="AC73" s="23">
        <v>-2151.8000000000002</v>
      </c>
      <c r="AD73" s="23">
        <v>-4.1700000000000001E-2</v>
      </c>
      <c r="AE73" s="23">
        <v>43036.1</v>
      </c>
      <c r="AF73" s="23">
        <v>51643.32</v>
      </c>
      <c r="AG73" s="23">
        <v>321342.32</v>
      </c>
      <c r="AH73" s="23">
        <v>14</v>
      </c>
      <c r="AI73" s="23">
        <v>-153.69999999999999</v>
      </c>
      <c r="AJ73" s="23">
        <v>-0.16669999999999999</v>
      </c>
      <c r="AK73" s="23">
        <v>4.1700000000000001E-2</v>
      </c>
      <c r="AL73" s="23" t="s">
        <v>24</v>
      </c>
      <c r="AM73" s="23">
        <v>49.9</v>
      </c>
      <c r="AN73" s="23">
        <v>28358.95</v>
      </c>
      <c r="AO73" s="23">
        <v>48.95</v>
      </c>
      <c r="AP73" s="23">
        <v>0</v>
      </c>
      <c r="AR73" s="46"/>
      <c r="AS73" s="44"/>
      <c r="AT73" s="45"/>
      <c r="AU73" s="2">
        <v>43536</v>
      </c>
      <c r="AV73" s="52">
        <v>5.2083333333333336E-2</v>
      </c>
      <c r="AW73" s="2" t="s">
        <v>213</v>
      </c>
      <c r="AY73" s="3"/>
      <c r="BA73" s="3"/>
      <c r="BG73" s="3"/>
      <c r="BH73" s="3"/>
    </row>
    <row r="74" spans="1:60">
      <c r="A74" s="23" t="s">
        <v>22</v>
      </c>
      <c r="B74" s="23" t="s">
        <v>23</v>
      </c>
      <c r="C74" s="27">
        <v>43537.385416666664</v>
      </c>
      <c r="D74" s="23">
        <v>49.55</v>
      </c>
      <c r="E74" s="27">
        <v>43537.395833333336</v>
      </c>
      <c r="F74" s="23">
        <v>50.2</v>
      </c>
      <c r="G74" s="31">
        <v>1.3100000000000001E-2</v>
      </c>
      <c r="H74" s="23">
        <v>-656.6</v>
      </c>
      <c r="I74" s="31">
        <v>-1.3100000000000001E-2</v>
      </c>
      <c r="J74" s="23">
        <v>1010.155</v>
      </c>
      <c r="K74" s="23">
        <v>50053.18</v>
      </c>
      <c r="L74" s="23">
        <v>9778.93</v>
      </c>
      <c r="M74" s="23">
        <v>2</v>
      </c>
      <c r="N74" s="23">
        <v>-328.3</v>
      </c>
      <c r="O74" s="31">
        <v>-1.3100000000000001E-2</v>
      </c>
      <c r="P74" s="31">
        <v>4.0000000000000001E-3</v>
      </c>
      <c r="Q74" s="23" t="s">
        <v>24</v>
      </c>
      <c r="R74" s="23">
        <v>0</v>
      </c>
      <c r="S74" s="23">
        <v>50.07</v>
      </c>
      <c r="U74" s="47">
        <f>VLOOKUP(AU74,[1]expiry_dates!$B$2:$C$2894,2,FALSE)</f>
        <v>43552</v>
      </c>
      <c r="V74" s="23" t="s">
        <v>121</v>
      </c>
      <c r="W74" s="23" t="s">
        <v>23</v>
      </c>
      <c r="X74" s="49">
        <v>43537.385416666664</v>
      </c>
      <c r="Y74" s="23">
        <v>1.45</v>
      </c>
      <c r="Z74" s="23">
        <v>43537.395833333336</v>
      </c>
      <c r="AA74" s="23">
        <v>1.8</v>
      </c>
      <c r="AB74" s="23">
        <v>0.2414</v>
      </c>
      <c r="AC74" s="23">
        <v>-12456.79</v>
      </c>
      <c r="AD74" s="23">
        <v>-0.2414</v>
      </c>
      <c r="AE74" s="23">
        <v>35590.839999999997</v>
      </c>
      <c r="AF74" s="23">
        <v>51606.71</v>
      </c>
      <c r="AG74" s="23">
        <v>308885.53000000003</v>
      </c>
      <c r="AH74" s="23">
        <v>2</v>
      </c>
      <c r="AI74" s="23">
        <v>-6228.4</v>
      </c>
      <c r="AJ74" s="23">
        <v>-0.2414</v>
      </c>
      <c r="AK74" s="23">
        <v>0</v>
      </c>
      <c r="AL74" s="23" t="s">
        <v>24</v>
      </c>
      <c r="AM74" s="23">
        <v>49.55</v>
      </c>
      <c r="AN74" s="23">
        <v>28426.6</v>
      </c>
      <c r="AO74" s="23">
        <v>50.07</v>
      </c>
      <c r="AP74" s="23">
        <v>0</v>
      </c>
      <c r="AR74" s="46"/>
      <c r="AS74" s="44"/>
      <c r="AT74" s="45"/>
      <c r="AU74" s="2">
        <v>43537</v>
      </c>
      <c r="AV74" s="52">
        <v>0.38541666666666669</v>
      </c>
      <c r="AW74" s="2" t="s">
        <v>212</v>
      </c>
      <c r="AY74" s="3"/>
      <c r="BA74" s="3"/>
      <c r="BG74" s="3"/>
      <c r="BH74" s="3"/>
    </row>
    <row r="75" spans="1:60">
      <c r="A75" s="23" t="s">
        <v>22</v>
      </c>
      <c r="B75" s="23" t="s">
        <v>25</v>
      </c>
      <c r="C75" s="27">
        <v>43537.395833333336</v>
      </c>
      <c r="D75" s="23">
        <v>50.2</v>
      </c>
      <c r="E75" s="27">
        <v>43537.427083333336</v>
      </c>
      <c r="F75" s="23">
        <v>49.5</v>
      </c>
      <c r="G75" s="31">
        <v>-1.3899999999999999E-2</v>
      </c>
      <c r="H75" s="23">
        <v>-697.94</v>
      </c>
      <c r="I75" s="31">
        <v>-1.3899999999999999E-2</v>
      </c>
      <c r="J75" s="23">
        <v>997.05529999999999</v>
      </c>
      <c r="K75" s="23">
        <v>50052.18</v>
      </c>
      <c r="L75" s="23">
        <v>9080.99</v>
      </c>
      <c r="M75" s="23">
        <v>4</v>
      </c>
      <c r="N75" s="23">
        <v>-174.48</v>
      </c>
      <c r="O75" s="31">
        <v>-1.49E-2</v>
      </c>
      <c r="P75" s="31">
        <v>1E-3</v>
      </c>
      <c r="Q75" s="23" t="s">
        <v>24</v>
      </c>
      <c r="R75" s="23">
        <v>0</v>
      </c>
      <c r="S75" s="23">
        <v>49.35</v>
      </c>
      <c r="U75" s="47">
        <f>VLOOKUP(AU75,[1]expiry_dates!$B$2:$C$2894,2,FALSE)</f>
        <v>43552</v>
      </c>
      <c r="V75" s="23" t="s">
        <v>124</v>
      </c>
      <c r="W75" s="23" t="s">
        <v>23</v>
      </c>
      <c r="X75" s="49">
        <v>43537.395833333336</v>
      </c>
      <c r="Y75" s="23">
        <v>1.5</v>
      </c>
      <c r="Z75" s="23">
        <v>43537.427083333336</v>
      </c>
      <c r="AA75" s="23">
        <v>1.75</v>
      </c>
      <c r="AB75" s="23">
        <v>0.16669999999999999</v>
      </c>
      <c r="AC75" s="23">
        <v>-8601.1200000000008</v>
      </c>
      <c r="AD75" s="23">
        <v>-0.16669999999999999</v>
      </c>
      <c r="AE75" s="23">
        <v>34404.47</v>
      </c>
      <c r="AF75" s="23">
        <v>51606.71</v>
      </c>
      <c r="AG75" s="23">
        <v>300284.40999999997</v>
      </c>
      <c r="AH75" s="23">
        <v>4</v>
      </c>
      <c r="AI75" s="23">
        <v>-2150.2800000000002</v>
      </c>
      <c r="AJ75" s="23">
        <v>-0.2</v>
      </c>
      <c r="AK75" s="23">
        <v>0</v>
      </c>
      <c r="AL75" s="23" t="s">
        <v>24</v>
      </c>
      <c r="AM75" s="23">
        <v>50.2</v>
      </c>
      <c r="AN75" s="23">
        <v>28564.799999999999</v>
      </c>
      <c r="AO75" s="23">
        <v>49.35</v>
      </c>
      <c r="AP75" s="23">
        <v>0</v>
      </c>
      <c r="AR75" s="46"/>
      <c r="AS75" s="44"/>
      <c r="AT75" s="45"/>
      <c r="AU75" s="2">
        <v>43537</v>
      </c>
      <c r="AV75" s="52">
        <v>0.39583333333333331</v>
      </c>
      <c r="AW75" s="2" t="s">
        <v>212</v>
      </c>
      <c r="AY75" s="3"/>
      <c r="BA75" s="3"/>
      <c r="BG75" s="3"/>
      <c r="BH75" s="3"/>
    </row>
    <row r="76" spans="1:60">
      <c r="A76" s="23" t="s">
        <v>22</v>
      </c>
      <c r="B76" s="23" t="s">
        <v>23</v>
      </c>
      <c r="C76" s="27">
        <v>43537.427083333336</v>
      </c>
      <c r="D76" s="23">
        <v>49.5</v>
      </c>
      <c r="E76" s="27">
        <v>43537.552083333336</v>
      </c>
      <c r="F76" s="23">
        <v>49.95</v>
      </c>
      <c r="G76" s="31">
        <v>9.1000000000000004E-3</v>
      </c>
      <c r="H76" s="23">
        <v>-454.97</v>
      </c>
      <c r="I76" s="31">
        <v>-9.1000000000000004E-3</v>
      </c>
      <c r="J76" s="23">
        <v>1011.033</v>
      </c>
      <c r="K76" s="23">
        <v>50046.15</v>
      </c>
      <c r="L76" s="23">
        <v>8626.0300000000007</v>
      </c>
      <c r="M76" s="23">
        <v>13</v>
      </c>
      <c r="N76" s="23">
        <v>-35</v>
      </c>
      <c r="O76" s="31">
        <v>-9.1000000000000004E-3</v>
      </c>
      <c r="P76" s="31">
        <v>2E-3</v>
      </c>
      <c r="Q76" s="23" t="s">
        <v>24</v>
      </c>
      <c r="R76" s="23">
        <v>0</v>
      </c>
      <c r="S76" s="23">
        <v>50.22</v>
      </c>
      <c r="U76" s="47">
        <f>VLOOKUP(AU76,[1]expiry_dates!$B$2:$C$2894,2,FALSE)</f>
        <v>43552</v>
      </c>
      <c r="V76" s="23" t="s">
        <v>121</v>
      </c>
      <c r="W76" s="23" t="s">
        <v>23</v>
      </c>
      <c r="X76" s="49">
        <v>43537.427083333336</v>
      </c>
      <c r="Y76" s="23">
        <v>1.45</v>
      </c>
      <c r="Z76" s="23">
        <v>43537.552083333336</v>
      </c>
      <c r="AA76" s="23">
        <v>1.6</v>
      </c>
      <c r="AB76" s="23">
        <v>0.10340000000000001</v>
      </c>
      <c r="AC76" s="23">
        <v>-5327.73</v>
      </c>
      <c r="AD76" s="23">
        <v>-0.10340000000000001</v>
      </c>
      <c r="AE76" s="23">
        <v>35518.22</v>
      </c>
      <c r="AF76" s="23">
        <v>51501.43</v>
      </c>
      <c r="AG76" s="23">
        <v>294956.68</v>
      </c>
      <c r="AH76" s="23">
        <v>13</v>
      </c>
      <c r="AI76" s="23">
        <v>-409.83</v>
      </c>
      <c r="AJ76" s="23">
        <v>-0.13789999999999999</v>
      </c>
      <c r="AK76" s="23">
        <v>0.10340000000000001</v>
      </c>
      <c r="AL76" s="23" t="s">
        <v>24</v>
      </c>
      <c r="AM76" s="23">
        <v>49.5</v>
      </c>
      <c r="AN76" s="23">
        <v>28543.200000000001</v>
      </c>
      <c r="AO76" s="23">
        <v>50.22</v>
      </c>
      <c r="AP76" s="23">
        <v>0</v>
      </c>
      <c r="AR76" s="46"/>
      <c r="AS76" s="44"/>
      <c r="AT76" s="45"/>
      <c r="AU76" s="2">
        <v>43537</v>
      </c>
      <c r="AV76" s="52">
        <v>0.42708333333333331</v>
      </c>
      <c r="AW76" s="2" t="s">
        <v>212</v>
      </c>
      <c r="AY76" s="3"/>
      <c r="BA76" s="3"/>
      <c r="BG76" s="3"/>
      <c r="BH76" s="3"/>
    </row>
    <row r="77" spans="1:60">
      <c r="A77" s="23" t="s">
        <v>22</v>
      </c>
      <c r="B77" s="23" t="s">
        <v>25</v>
      </c>
      <c r="C77" s="27">
        <v>43537.552083333336</v>
      </c>
      <c r="D77" s="23">
        <v>49.95</v>
      </c>
      <c r="E77" s="27">
        <v>43538.427083333336</v>
      </c>
      <c r="F77" s="23">
        <v>49.9</v>
      </c>
      <c r="G77" s="31">
        <v>-1E-3</v>
      </c>
      <c r="H77" s="23">
        <v>-50.09</v>
      </c>
      <c r="I77" s="31">
        <v>-1E-3</v>
      </c>
      <c r="J77" s="23">
        <v>1001.895</v>
      </c>
      <c r="K77" s="23">
        <v>50044.65</v>
      </c>
      <c r="L77" s="23">
        <v>8575.93</v>
      </c>
      <c r="M77" s="23">
        <v>18</v>
      </c>
      <c r="N77" s="23">
        <v>-2.78</v>
      </c>
      <c r="O77" s="31">
        <v>-7.0000000000000001E-3</v>
      </c>
      <c r="P77" s="31">
        <v>2.3E-2</v>
      </c>
      <c r="Q77" s="23" t="s">
        <v>24</v>
      </c>
      <c r="R77" s="23">
        <v>0</v>
      </c>
      <c r="S77" s="23">
        <v>49.4</v>
      </c>
      <c r="U77" s="47">
        <f>VLOOKUP(AU77,[1]expiry_dates!$B$2:$C$2894,2,FALSE)</f>
        <v>43552</v>
      </c>
      <c r="V77" s="23" t="s">
        <v>109</v>
      </c>
      <c r="W77" s="23" t="s">
        <v>23</v>
      </c>
      <c r="X77" s="49">
        <v>43537.552083333336</v>
      </c>
      <c r="Y77" s="23">
        <v>0.3</v>
      </c>
      <c r="Z77" s="23">
        <v>43538.427083333336</v>
      </c>
      <c r="AA77" s="23">
        <v>0.25</v>
      </c>
      <c r="AB77" s="23">
        <v>-0.16669999999999999</v>
      </c>
      <c r="AC77" s="23">
        <v>8583.57</v>
      </c>
      <c r="AD77" s="23">
        <v>0.16669999999999999</v>
      </c>
      <c r="AE77" s="23">
        <v>171671.4</v>
      </c>
      <c r="AF77" s="23">
        <v>51501.43</v>
      </c>
      <c r="AG77" s="23">
        <v>303540.25</v>
      </c>
      <c r="AH77" s="23">
        <v>18</v>
      </c>
      <c r="AI77" s="23">
        <v>476.87</v>
      </c>
      <c r="AJ77" s="23">
        <v>0</v>
      </c>
      <c r="AK77" s="23">
        <v>0.33329999999999999</v>
      </c>
      <c r="AL77" s="23" t="s">
        <v>24</v>
      </c>
      <c r="AM77" s="23">
        <v>49.95</v>
      </c>
      <c r="AN77" s="23">
        <v>28703.200000000001</v>
      </c>
      <c r="AO77" s="23">
        <v>49.4</v>
      </c>
      <c r="AP77" s="23">
        <v>0</v>
      </c>
      <c r="AR77" s="46"/>
      <c r="AS77" s="44"/>
      <c r="AT77" s="45"/>
      <c r="AU77" s="2">
        <v>43537</v>
      </c>
      <c r="AV77" s="52">
        <v>5.2083333333333336E-2</v>
      </c>
      <c r="AW77" s="2" t="s">
        <v>213</v>
      </c>
      <c r="AY77" s="3"/>
      <c r="BA77" s="3"/>
      <c r="BG77" s="3"/>
      <c r="BH77" s="3"/>
    </row>
    <row r="78" spans="1:60">
      <c r="A78" s="23" t="s">
        <v>22</v>
      </c>
      <c r="B78" s="23" t="s">
        <v>23</v>
      </c>
      <c r="C78" s="27">
        <v>43538.427083333336</v>
      </c>
      <c r="D78" s="23">
        <v>49.9</v>
      </c>
      <c r="E78" s="27">
        <v>43538.5625</v>
      </c>
      <c r="F78" s="23">
        <v>50.4</v>
      </c>
      <c r="G78" s="31">
        <v>0.01</v>
      </c>
      <c r="H78" s="23">
        <v>-501.45</v>
      </c>
      <c r="I78" s="31">
        <v>-0.01</v>
      </c>
      <c r="J78" s="23">
        <v>1002.908</v>
      </c>
      <c r="K78" s="23">
        <v>50045.13</v>
      </c>
      <c r="L78" s="23">
        <v>8074.48</v>
      </c>
      <c r="M78" s="23">
        <v>14</v>
      </c>
      <c r="N78" s="23">
        <v>-35.82</v>
      </c>
      <c r="O78" s="31">
        <v>-1.2E-2</v>
      </c>
      <c r="P78" s="31">
        <v>3.0000000000000001E-3</v>
      </c>
      <c r="Q78" s="23" t="s">
        <v>24</v>
      </c>
      <c r="R78" s="23">
        <v>0</v>
      </c>
      <c r="S78" s="23">
        <v>51.06</v>
      </c>
      <c r="U78" s="47">
        <f>VLOOKUP(AU78,[1]expiry_dates!$B$2:$C$2894,2,FALSE)</f>
        <v>43552</v>
      </c>
      <c r="V78" s="23" t="s">
        <v>121</v>
      </c>
      <c r="W78" s="23" t="s">
        <v>23</v>
      </c>
      <c r="X78" s="49">
        <v>43538.427083333336</v>
      </c>
      <c r="Y78" s="23">
        <v>1.5</v>
      </c>
      <c r="Z78" s="23">
        <v>43538.5625</v>
      </c>
      <c r="AA78" s="23">
        <v>1.8</v>
      </c>
      <c r="AB78" s="23">
        <v>0.2</v>
      </c>
      <c r="AC78" s="23">
        <v>-10303.540000000001</v>
      </c>
      <c r="AD78" s="23">
        <v>-0.2</v>
      </c>
      <c r="AE78" s="23">
        <v>34345.129999999997</v>
      </c>
      <c r="AF78" s="23">
        <v>51517.7</v>
      </c>
      <c r="AG78" s="23">
        <v>293236.71000000002</v>
      </c>
      <c r="AH78" s="23">
        <v>14</v>
      </c>
      <c r="AI78" s="23">
        <v>-735.97</v>
      </c>
      <c r="AJ78" s="23">
        <v>-0.2</v>
      </c>
      <c r="AK78" s="23">
        <v>3.3300000000000003E-2</v>
      </c>
      <c r="AL78" s="23" t="s">
        <v>24</v>
      </c>
      <c r="AM78" s="23">
        <v>49.9</v>
      </c>
      <c r="AN78" s="23">
        <v>28870.75</v>
      </c>
      <c r="AO78" s="23">
        <v>51.06</v>
      </c>
      <c r="AP78" s="23">
        <v>0</v>
      </c>
      <c r="AR78" s="46"/>
      <c r="AS78" s="44"/>
      <c r="AT78" s="45"/>
      <c r="AU78" s="2">
        <v>43538</v>
      </c>
      <c r="AV78" s="52">
        <v>0.42708333333333331</v>
      </c>
      <c r="AW78" s="2" t="s">
        <v>212</v>
      </c>
      <c r="AY78" s="3"/>
      <c r="BA78" s="3"/>
      <c r="BG78" s="3"/>
      <c r="BH78" s="3"/>
    </row>
    <row r="79" spans="1:60">
      <c r="A79" s="23" t="s">
        <v>22</v>
      </c>
      <c r="B79" s="23" t="s">
        <v>25</v>
      </c>
      <c r="C79" s="27">
        <v>43538.5625</v>
      </c>
      <c r="D79" s="23">
        <v>50.4</v>
      </c>
      <c r="E79" s="27">
        <v>43539.635416666664</v>
      </c>
      <c r="F79" s="23">
        <v>51.75</v>
      </c>
      <c r="G79" s="31">
        <v>2.6800000000000001E-2</v>
      </c>
      <c r="H79" s="23">
        <v>1340.37</v>
      </c>
      <c r="I79" s="31">
        <v>2.6800000000000001E-2</v>
      </c>
      <c r="J79" s="23">
        <v>992.86940000000004</v>
      </c>
      <c r="K79" s="23">
        <v>50040.62</v>
      </c>
      <c r="L79" s="23">
        <v>9414.85</v>
      </c>
      <c r="M79" s="23">
        <v>37</v>
      </c>
      <c r="N79" s="23">
        <v>36.229999999999997</v>
      </c>
      <c r="O79" s="31">
        <v>-4.0000000000000001E-3</v>
      </c>
      <c r="P79" s="31">
        <v>4.2700000000000002E-2</v>
      </c>
      <c r="Q79" s="23" t="s">
        <v>24</v>
      </c>
      <c r="R79" s="23">
        <v>0</v>
      </c>
      <c r="S79" s="23">
        <v>49.78</v>
      </c>
      <c r="U79" s="47">
        <f>VLOOKUP(AU79,[1]expiry_dates!$B$2:$C$2894,2,FALSE)</f>
        <v>43552</v>
      </c>
      <c r="V79" s="23" t="s">
        <v>122</v>
      </c>
      <c r="W79" s="23" t="s">
        <v>23</v>
      </c>
      <c r="X79" s="49">
        <v>43538.5625</v>
      </c>
      <c r="Y79" s="23">
        <v>0.95</v>
      </c>
      <c r="Z79" s="23">
        <v>43539.635416666664</v>
      </c>
      <c r="AA79" s="23">
        <v>0.5</v>
      </c>
      <c r="AB79" s="23">
        <v>-0.47370000000000001</v>
      </c>
      <c r="AC79" s="23">
        <v>24386.85</v>
      </c>
      <c r="AD79" s="23">
        <v>0.47370000000000001</v>
      </c>
      <c r="AE79" s="23">
        <v>54193.01</v>
      </c>
      <c r="AF79" s="23">
        <v>51483.360000000001</v>
      </c>
      <c r="AG79" s="23">
        <v>317623.56</v>
      </c>
      <c r="AH79" s="23">
        <v>37</v>
      </c>
      <c r="AI79" s="23">
        <v>659.1</v>
      </c>
      <c r="AJ79" s="23">
        <v>-5.2600000000000001E-2</v>
      </c>
      <c r="AK79" s="23">
        <v>0.57889999999999997</v>
      </c>
      <c r="AL79" s="23" t="s">
        <v>24</v>
      </c>
      <c r="AM79" s="23">
        <v>50.4</v>
      </c>
      <c r="AN79" s="23">
        <v>28910.45</v>
      </c>
      <c r="AO79" s="23">
        <v>49.78</v>
      </c>
      <c r="AP79" s="23">
        <v>0</v>
      </c>
      <c r="AR79" s="46"/>
      <c r="AS79" s="44"/>
      <c r="AT79" s="45"/>
      <c r="AU79" s="2">
        <v>43538</v>
      </c>
      <c r="AV79" s="52">
        <v>6.25E-2</v>
      </c>
      <c r="AW79" s="2" t="s">
        <v>213</v>
      </c>
      <c r="AY79" s="3"/>
      <c r="BA79" s="3"/>
      <c r="BG79" s="3"/>
      <c r="BH79" s="3"/>
    </row>
    <row r="80" spans="1:60">
      <c r="A80" s="23" t="s">
        <v>22</v>
      </c>
      <c r="B80" s="23" t="s">
        <v>23</v>
      </c>
      <c r="C80" s="27">
        <v>43539.635416666664</v>
      </c>
      <c r="D80" s="23">
        <v>51.75</v>
      </c>
      <c r="E80" s="27">
        <v>43542.385416666664</v>
      </c>
      <c r="F80" s="23">
        <v>52.45</v>
      </c>
      <c r="G80" s="31">
        <v>1.35E-2</v>
      </c>
      <c r="H80" s="23">
        <v>-676.99</v>
      </c>
      <c r="I80" s="31">
        <v>-1.35E-2</v>
      </c>
      <c r="J80" s="23">
        <v>967.12199999999996</v>
      </c>
      <c r="K80" s="23">
        <v>50048.56</v>
      </c>
      <c r="L80" s="23">
        <v>8737.8700000000008</v>
      </c>
      <c r="M80" s="23">
        <v>6</v>
      </c>
      <c r="N80" s="23">
        <v>-112.83</v>
      </c>
      <c r="O80" s="31">
        <v>-1.4500000000000001E-2</v>
      </c>
      <c r="P80" s="31">
        <v>1.9E-3</v>
      </c>
      <c r="Q80" s="23" t="s">
        <v>24</v>
      </c>
      <c r="R80" s="23">
        <v>0</v>
      </c>
      <c r="S80" s="23">
        <v>52.55</v>
      </c>
      <c r="U80" s="47">
        <f>VLOOKUP(AU80,[1]expiry_dates!$B$2:$C$2894,2,FALSE)</f>
        <v>43552</v>
      </c>
      <c r="V80" s="23" t="s">
        <v>125</v>
      </c>
      <c r="W80" s="23" t="s">
        <v>23</v>
      </c>
      <c r="X80" s="49">
        <v>43539.635416666664</v>
      </c>
      <c r="Y80" s="23">
        <v>1.2</v>
      </c>
      <c r="Z80" s="23">
        <v>43542.385416666664</v>
      </c>
      <c r="AA80" s="23">
        <v>1.45</v>
      </c>
      <c r="AB80" s="23">
        <v>0.20830000000000001</v>
      </c>
      <c r="AC80" s="23">
        <v>-10750.35</v>
      </c>
      <c r="AD80" s="23">
        <v>-0.20830000000000001</v>
      </c>
      <c r="AE80" s="23">
        <v>43001.39</v>
      </c>
      <c r="AF80" s="23">
        <v>51601.67</v>
      </c>
      <c r="AG80" s="23">
        <v>306873.21000000002</v>
      </c>
      <c r="AH80" s="23">
        <v>6</v>
      </c>
      <c r="AI80" s="23">
        <v>-1791.72</v>
      </c>
      <c r="AJ80" s="23">
        <v>-0.29170000000000001</v>
      </c>
      <c r="AK80" s="23">
        <v>8.3299999999999999E-2</v>
      </c>
      <c r="AL80" s="23" t="s">
        <v>24</v>
      </c>
      <c r="AM80" s="23">
        <v>51.75</v>
      </c>
      <c r="AN80" s="23">
        <v>29411.45</v>
      </c>
      <c r="AO80" s="23">
        <v>52.55</v>
      </c>
      <c r="AP80" s="23">
        <v>0</v>
      </c>
      <c r="AR80" s="46"/>
      <c r="AS80" s="44"/>
      <c r="AT80" s="45"/>
      <c r="AU80" s="2">
        <v>43539</v>
      </c>
      <c r="AV80" s="52">
        <v>0.13541666666666666</v>
      </c>
      <c r="AW80" s="2" t="s">
        <v>213</v>
      </c>
      <c r="AY80" s="3"/>
      <c r="BA80" s="3"/>
      <c r="BG80" s="3"/>
      <c r="BH80" s="3"/>
    </row>
    <row r="81" spans="1:60">
      <c r="A81" s="23" t="s">
        <v>22</v>
      </c>
      <c r="B81" s="23" t="s">
        <v>25</v>
      </c>
      <c r="C81" s="27">
        <v>43542.385416666664</v>
      </c>
      <c r="D81" s="23">
        <v>52.45</v>
      </c>
      <c r="E81" s="27">
        <v>43542.40625</v>
      </c>
      <c r="F81" s="23">
        <v>52</v>
      </c>
      <c r="G81" s="31">
        <v>-8.6E-3</v>
      </c>
      <c r="H81" s="23">
        <v>-429.35</v>
      </c>
      <c r="I81" s="31">
        <v>-8.6E-3</v>
      </c>
      <c r="J81" s="23">
        <v>954.11720000000003</v>
      </c>
      <c r="K81" s="23">
        <v>50043.45</v>
      </c>
      <c r="L81" s="23">
        <v>8308.51</v>
      </c>
      <c r="M81" s="23">
        <v>3</v>
      </c>
      <c r="N81" s="23">
        <v>-143.12</v>
      </c>
      <c r="O81" s="31">
        <v>-8.6E-3</v>
      </c>
      <c r="P81" s="31">
        <v>7.6E-3</v>
      </c>
      <c r="Q81" s="23" t="s">
        <v>24</v>
      </c>
      <c r="R81" s="23">
        <v>0</v>
      </c>
      <c r="S81" s="23">
        <v>51.71</v>
      </c>
      <c r="U81" s="47">
        <f>VLOOKUP(AU81,[1]expiry_dates!$B$2:$C$2894,2,FALSE)</f>
        <v>43552</v>
      </c>
      <c r="V81" s="23" t="s">
        <v>120</v>
      </c>
      <c r="W81" s="23" t="s">
        <v>23</v>
      </c>
      <c r="X81" s="49">
        <v>43542.385416666664</v>
      </c>
      <c r="Y81" s="23">
        <v>1</v>
      </c>
      <c r="Z81" s="23">
        <v>43542.40625</v>
      </c>
      <c r="AA81" s="23">
        <v>1.1499999999999999</v>
      </c>
      <c r="AB81" s="23">
        <v>0.15</v>
      </c>
      <c r="AC81" s="23">
        <v>-7738.22</v>
      </c>
      <c r="AD81" s="23">
        <v>-0.15</v>
      </c>
      <c r="AE81" s="23">
        <v>51588.12</v>
      </c>
      <c r="AF81" s="23">
        <v>51588.12</v>
      </c>
      <c r="AG81" s="23">
        <v>299135</v>
      </c>
      <c r="AH81" s="23">
        <v>3</v>
      </c>
      <c r="AI81" s="23">
        <v>-2579.41</v>
      </c>
      <c r="AJ81" s="23">
        <v>-0.15</v>
      </c>
      <c r="AK81" s="23">
        <v>0.1</v>
      </c>
      <c r="AL81" s="23" t="s">
        <v>24</v>
      </c>
      <c r="AM81" s="23">
        <v>52.45</v>
      </c>
      <c r="AN81" s="23">
        <v>29757.8</v>
      </c>
      <c r="AO81" s="23">
        <v>51.71</v>
      </c>
      <c r="AP81" s="23">
        <v>0</v>
      </c>
      <c r="AR81" s="46"/>
      <c r="AS81" s="44"/>
      <c r="AT81" s="45"/>
      <c r="AU81" s="2">
        <v>43542</v>
      </c>
      <c r="AV81" s="52">
        <v>0.38541666666666669</v>
      </c>
      <c r="AW81" s="2" t="s">
        <v>212</v>
      </c>
      <c r="AY81" s="3"/>
      <c r="BA81" s="3"/>
      <c r="BG81" s="3"/>
      <c r="BH81" s="3"/>
    </row>
    <row r="82" spans="1:60">
      <c r="A82" s="23" t="s">
        <v>22</v>
      </c>
      <c r="B82" s="23" t="s">
        <v>23</v>
      </c>
      <c r="C82" s="27">
        <v>43542.40625</v>
      </c>
      <c r="D82" s="23">
        <v>52</v>
      </c>
      <c r="E82" s="27">
        <v>43542.510416666664</v>
      </c>
      <c r="F82" s="23">
        <v>52.25</v>
      </c>
      <c r="G82" s="31">
        <v>4.7999999999999996E-3</v>
      </c>
      <c r="H82" s="23">
        <v>-240.59</v>
      </c>
      <c r="I82" s="31">
        <v>-4.7999999999999996E-3</v>
      </c>
      <c r="J82" s="23">
        <v>962.36940000000004</v>
      </c>
      <c r="K82" s="23">
        <v>50043.21</v>
      </c>
      <c r="L82" s="23">
        <v>8067.92</v>
      </c>
      <c r="M82" s="23">
        <v>11</v>
      </c>
      <c r="N82" s="23">
        <v>-21.87</v>
      </c>
      <c r="O82" s="31">
        <v>-7.7000000000000002E-3</v>
      </c>
      <c r="P82" s="31">
        <v>9.5999999999999992E-3</v>
      </c>
      <c r="Q82" s="23" t="s">
        <v>24</v>
      </c>
      <c r="R82" s="23">
        <v>0</v>
      </c>
      <c r="S82" s="23">
        <v>52.85</v>
      </c>
      <c r="U82" s="47">
        <f>VLOOKUP(AU82,[1]expiry_dates!$B$2:$C$2894,2,FALSE)</f>
        <v>43552</v>
      </c>
      <c r="V82" s="23" t="s">
        <v>125</v>
      </c>
      <c r="W82" s="23" t="s">
        <v>23</v>
      </c>
      <c r="X82" s="49">
        <v>43542.40625</v>
      </c>
      <c r="Y82" s="23">
        <v>1.2</v>
      </c>
      <c r="Z82" s="23">
        <v>43542.510416666664</v>
      </c>
      <c r="AA82" s="23">
        <v>1.4</v>
      </c>
      <c r="AB82" s="23">
        <v>0.16669999999999999</v>
      </c>
      <c r="AC82" s="23">
        <v>-8586.91</v>
      </c>
      <c r="AD82" s="23">
        <v>-0.16669999999999999</v>
      </c>
      <c r="AE82" s="23">
        <v>42934.55</v>
      </c>
      <c r="AF82" s="23">
        <v>51521.47</v>
      </c>
      <c r="AG82" s="23">
        <v>290548.09000000003</v>
      </c>
      <c r="AH82" s="23">
        <v>11</v>
      </c>
      <c r="AI82" s="23">
        <v>-780.63</v>
      </c>
      <c r="AJ82" s="23">
        <v>-0.16669999999999999</v>
      </c>
      <c r="AK82" s="23">
        <v>0.16669999999999999</v>
      </c>
      <c r="AL82" s="23" t="s">
        <v>24</v>
      </c>
      <c r="AM82" s="23">
        <v>52</v>
      </c>
      <c r="AN82" s="23">
        <v>29735.55</v>
      </c>
      <c r="AO82" s="23">
        <v>52.85</v>
      </c>
      <c r="AP82" s="23">
        <v>0</v>
      </c>
      <c r="AR82" s="46"/>
      <c r="AS82" s="44"/>
      <c r="AT82" s="45"/>
      <c r="AU82" s="2">
        <v>43542</v>
      </c>
      <c r="AV82" s="52">
        <v>0.40625</v>
      </c>
      <c r="AW82" s="2" t="s">
        <v>212</v>
      </c>
      <c r="AY82" s="3"/>
      <c r="BA82" s="3"/>
      <c r="BG82" s="3"/>
      <c r="BH82" s="3"/>
    </row>
    <row r="83" spans="1:60">
      <c r="A83" s="23" t="s">
        <v>22</v>
      </c>
      <c r="B83" s="23" t="s">
        <v>25</v>
      </c>
      <c r="C83" s="27">
        <v>43542.510416666664</v>
      </c>
      <c r="D83" s="23">
        <v>52.25</v>
      </c>
      <c r="E83" s="27">
        <v>43543.385416666664</v>
      </c>
      <c r="F83" s="23">
        <v>52.15</v>
      </c>
      <c r="G83" s="31">
        <v>-1.9E-3</v>
      </c>
      <c r="H83" s="23">
        <v>-95.77</v>
      </c>
      <c r="I83" s="31">
        <v>-1.9E-3</v>
      </c>
      <c r="J83" s="23">
        <v>957.74210000000005</v>
      </c>
      <c r="K83" s="23">
        <v>50042.02</v>
      </c>
      <c r="L83" s="23">
        <v>7972.15</v>
      </c>
      <c r="M83" s="23">
        <v>18</v>
      </c>
      <c r="N83" s="23">
        <v>-5.32</v>
      </c>
      <c r="O83" s="31">
        <v>-7.7000000000000002E-3</v>
      </c>
      <c r="P83" s="31">
        <v>7.7000000000000002E-3</v>
      </c>
      <c r="Q83" s="23" t="s">
        <v>24</v>
      </c>
      <c r="R83" s="23">
        <v>0</v>
      </c>
      <c r="S83" s="23">
        <v>51.5</v>
      </c>
      <c r="U83" s="47">
        <f>VLOOKUP(AU83,[1]expiry_dates!$B$2:$C$2894,2,FALSE)</f>
        <v>43552</v>
      </c>
      <c r="V83" s="23" t="s">
        <v>126</v>
      </c>
      <c r="W83" s="23" t="s">
        <v>23</v>
      </c>
      <c r="X83" s="49">
        <v>43542.510416666664</v>
      </c>
      <c r="Y83" s="23">
        <v>1.5</v>
      </c>
      <c r="Z83" s="23">
        <v>43543.385416666664</v>
      </c>
      <c r="AA83" s="23">
        <v>1.5</v>
      </c>
      <c r="AB83" s="23">
        <v>0</v>
      </c>
      <c r="AC83" s="23">
        <v>0</v>
      </c>
      <c r="AD83" s="23">
        <v>0</v>
      </c>
      <c r="AE83" s="23">
        <v>34330.449999999997</v>
      </c>
      <c r="AF83" s="23">
        <v>51495.67</v>
      </c>
      <c r="AG83" s="23">
        <v>290548.09000000003</v>
      </c>
      <c r="AH83" s="23">
        <v>18</v>
      </c>
      <c r="AI83" s="23">
        <v>0</v>
      </c>
      <c r="AJ83" s="23">
        <v>-0.2</v>
      </c>
      <c r="AK83" s="23">
        <v>0.1</v>
      </c>
      <c r="AL83" s="23" t="s">
        <v>24</v>
      </c>
      <c r="AM83" s="23">
        <v>52.25</v>
      </c>
      <c r="AN83" s="23">
        <v>29524.65</v>
      </c>
      <c r="AO83" s="23">
        <v>51.5</v>
      </c>
      <c r="AP83" s="23">
        <v>0</v>
      </c>
      <c r="AR83" s="46"/>
      <c r="AS83" s="44"/>
      <c r="AT83" s="45"/>
      <c r="AU83" s="2">
        <v>43542</v>
      </c>
      <c r="AV83" s="52">
        <v>0.51041666666666663</v>
      </c>
      <c r="AW83" s="2" t="s">
        <v>213</v>
      </c>
      <c r="AY83" s="3"/>
      <c r="BA83" s="3"/>
      <c r="BG83" s="3"/>
      <c r="BH83" s="3"/>
    </row>
    <row r="84" spans="1:60">
      <c r="A84" s="23" t="s">
        <v>22</v>
      </c>
      <c r="B84" s="23" t="s">
        <v>23</v>
      </c>
      <c r="C84" s="27">
        <v>43543.385416666664</v>
      </c>
      <c r="D84" s="23">
        <v>52.15</v>
      </c>
      <c r="E84" s="27">
        <v>43543.447916666664</v>
      </c>
      <c r="F84" s="23">
        <v>52.95</v>
      </c>
      <c r="G84" s="31">
        <v>1.5299999999999999E-2</v>
      </c>
      <c r="H84" s="23">
        <v>-767.66</v>
      </c>
      <c r="I84" s="31">
        <v>-1.5299999999999999E-2</v>
      </c>
      <c r="J84" s="23">
        <v>959.56920000000002</v>
      </c>
      <c r="K84" s="23">
        <v>50041.54</v>
      </c>
      <c r="L84" s="23">
        <v>7204.49</v>
      </c>
      <c r="M84" s="23">
        <v>7</v>
      </c>
      <c r="N84" s="23">
        <v>-109.67</v>
      </c>
      <c r="O84" s="31">
        <v>-1.5299999999999999E-2</v>
      </c>
      <c r="P84" s="31">
        <v>1.9E-3</v>
      </c>
      <c r="Q84" s="23" t="s">
        <v>24</v>
      </c>
      <c r="R84" s="23">
        <v>0</v>
      </c>
      <c r="S84" s="23">
        <v>52.75</v>
      </c>
      <c r="U84" s="47">
        <f>VLOOKUP(AU84,[1]expiry_dates!$B$2:$C$2894,2,FALSE)</f>
        <v>43552</v>
      </c>
      <c r="V84" s="23" t="s">
        <v>125</v>
      </c>
      <c r="W84" s="23" t="s">
        <v>23</v>
      </c>
      <c r="X84" s="49">
        <v>43543.385416666664</v>
      </c>
      <c r="Y84" s="23">
        <v>1.3</v>
      </c>
      <c r="Z84" s="23">
        <v>43543.447916666664</v>
      </c>
      <c r="AA84" s="23">
        <v>1.85</v>
      </c>
      <c r="AB84" s="23">
        <v>0.42309999999999998</v>
      </c>
      <c r="AC84" s="23">
        <v>-21779.360000000001</v>
      </c>
      <c r="AD84" s="23">
        <v>-0.42309999999999998</v>
      </c>
      <c r="AE84" s="23">
        <v>39598.839999999997</v>
      </c>
      <c r="AF84" s="23">
        <v>51478.49</v>
      </c>
      <c r="AG84" s="23">
        <v>268768.71999999997</v>
      </c>
      <c r="AH84" s="23">
        <v>7</v>
      </c>
      <c r="AI84" s="23">
        <v>-3111.34</v>
      </c>
      <c r="AJ84" s="23">
        <v>-0.42309999999999998</v>
      </c>
      <c r="AK84" s="23">
        <v>0.15379999999999999</v>
      </c>
      <c r="AL84" s="23" t="s">
        <v>24</v>
      </c>
      <c r="AM84" s="23">
        <v>52.15</v>
      </c>
      <c r="AN84" s="23">
        <v>29659.85</v>
      </c>
      <c r="AO84" s="23">
        <v>52.75</v>
      </c>
      <c r="AP84" s="23">
        <v>0</v>
      </c>
      <c r="AR84" s="46"/>
      <c r="AS84" s="44"/>
      <c r="AT84" s="45"/>
      <c r="AU84" s="2">
        <v>43543</v>
      </c>
      <c r="AV84" s="52">
        <v>0.38541666666666669</v>
      </c>
      <c r="AW84" s="2" t="s">
        <v>212</v>
      </c>
      <c r="AY84" s="3"/>
      <c r="BA84" s="3"/>
      <c r="BG84" s="3"/>
      <c r="BH84" s="3"/>
    </row>
    <row r="85" spans="1:60">
      <c r="A85" s="23" t="s">
        <v>22</v>
      </c>
      <c r="B85" s="23" t="s">
        <v>25</v>
      </c>
      <c r="C85" s="27">
        <v>43543.447916666664</v>
      </c>
      <c r="D85" s="23">
        <v>52.95</v>
      </c>
      <c r="E85" s="27">
        <v>43543.572916666664</v>
      </c>
      <c r="F85" s="23">
        <v>52.7</v>
      </c>
      <c r="G85" s="31">
        <v>-4.7000000000000002E-3</v>
      </c>
      <c r="H85" s="23">
        <v>-236.25</v>
      </c>
      <c r="I85" s="31">
        <v>-4.7000000000000002E-3</v>
      </c>
      <c r="J85" s="23">
        <v>945.00810000000001</v>
      </c>
      <c r="K85" s="23">
        <v>50038.18</v>
      </c>
      <c r="L85" s="23">
        <v>6968.24</v>
      </c>
      <c r="M85" s="23">
        <v>13</v>
      </c>
      <c r="N85" s="23">
        <v>-18.170000000000002</v>
      </c>
      <c r="O85" s="31">
        <v>-1.04E-2</v>
      </c>
      <c r="P85" s="31">
        <v>3.8E-3</v>
      </c>
      <c r="Q85" s="23" t="s">
        <v>24</v>
      </c>
      <c r="R85" s="23">
        <v>0</v>
      </c>
      <c r="S85" s="23">
        <v>52.06</v>
      </c>
      <c r="U85" s="47">
        <f>VLOOKUP(AU85,[1]expiry_dates!$B$2:$C$2894,2,FALSE)</f>
        <v>43552</v>
      </c>
      <c r="V85" s="23" t="s">
        <v>126</v>
      </c>
      <c r="W85" s="23" t="s">
        <v>23</v>
      </c>
      <c r="X85" s="49">
        <v>43543.447916666664</v>
      </c>
      <c r="Y85" s="23">
        <v>0.9</v>
      </c>
      <c r="Z85" s="23">
        <v>43543.572916666664</v>
      </c>
      <c r="AA85" s="23">
        <v>0.9</v>
      </c>
      <c r="AB85" s="23">
        <v>0</v>
      </c>
      <c r="AC85" s="23">
        <v>0</v>
      </c>
      <c r="AD85" s="23">
        <v>0</v>
      </c>
      <c r="AE85" s="23">
        <v>57114.71</v>
      </c>
      <c r="AF85" s="23">
        <v>51403.24</v>
      </c>
      <c r="AG85" s="23">
        <v>268768.71999999997</v>
      </c>
      <c r="AH85" s="23">
        <v>13</v>
      </c>
      <c r="AI85" s="23">
        <v>0</v>
      </c>
      <c r="AJ85" s="23">
        <v>-0.22220000000000001</v>
      </c>
      <c r="AK85" s="23">
        <v>0.1111</v>
      </c>
      <c r="AL85" s="23" t="s">
        <v>24</v>
      </c>
      <c r="AM85" s="23">
        <v>52.95</v>
      </c>
      <c r="AN85" s="23">
        <v>29703.65</v>
      </c>
      <c r="AO85" s="23">
        <v>52.06</v>
      </c>
      <c r="AP85" s="23">
        <v>0</v>
      </c>
      <c r="AR85" s="46"/>
      <c r="AS85" s="44"/>
      <c r="AT85" s="45"/>
      <c r="AU85" s="2">
        <v>43543</v>
      </c>
      <c r="AV85" s="52">
        <v>0.44791666666666669</v>
      </c>
      <c r="AW85" s="2" t="s">
        <v>212</v>
      </c>
      <c r="AY85" s="3"/>
      <c r="BA85" s="3"/>
      <c r="BG85" s="3"/>
      <c r="BH85" s="3"/>
    </row>
    <row r="86" spans="1:60">
      <c r="A86" s="23" t="s">
        <v>22</v>
      </c>
      <c r="B86" s="23" t="s">
        <v>23</v>
      </c>
      <c r="C86" s="27">
        <v>43543.572916666664</v>
      </c>
      <c r="D86" s="23">
        <v>52.7</v>
      </c>
      <c r="E86" s="27">
        <v>43544.53125</v>
      </c>
      <c r="F86" s="23">
        <v>52.15</v>
      </c>
      <c r="G86" s="31">
        <v>-1.04E-2</v>
      </c>
      <c r="H86" s="23">
        <v>522.17999999999995</v>
      </c>
      <c r="I86" s="31">
        <v>1.04E-2</v>
      </c>
      <c r="J86" s="23">
        <v>949.41880000000003</v>
      </c>
      <c r="K86" s="23">
        <v>50034.37</v>
      </c>
      <c r="L86" s="23">
        <v>7490.42</v>
      </c>
      <c r="M86" s="23">
        <v>26</v>
      </c>
      <c r="N86" s="23">
        <v>20.079999999999998</v>
      </c>
      <c r="O86" s="31">
        <v>-2.8E-3</v>
      </c>
      <c r="P86" s="31">
        <v>2.0899999999999998E-2</v>
      </c>
      <c r="Q86" s="23" t="s">
        <v>24</v>
      </c>
      <c r="R86" s="23">
        <v>0</v>
      </c>
      <c r="S86" s="23">
        <v>53.12</v>
      </c>
      <c r="U86" s="47">
        <f>VLOOKUP(AU86,[1]expiry_dates!$B$2:$C$2894,2,FALSE)</f>
        <v>43552</v>
      </c>
      <c r="V86" s="23" t="s">
        <v>127</v>
      </c>
      <c r="W86" s="23" t="s">
        <v>23</v>
      </c>
      <c r="X86" s="49">
        <v>43543.572916666664</v>
      </c>
      <c r="Y86" s="23">
        <v>1.1000000000000001</v>
      </c>
      <c r="Z86" s="23">
        <v>43544.53125</v>
      </c>
      <c r="AA86" s="23">
        <v>0.6</v>
      </c>
      <c r="AB86" s="23">
        <v>-0.45450000000000002</v>
      </c>
      <c r="AC86" s="23">
        <v>23338.11</v>
      </c>
      <c r="AD86" s="23">
        <v>0.45450000000000002</v>
      </c>
      <c r="AE86" s="23">
        <v>46676.22</v>
      </c>
      <c r="AF86" s="23">
        <v>51343.839999999997</v>
      </c>
      <c r="AG86" s="23">
        <v>292106.83</v>
      </c>
      <c r="AH86" s="23">
        <v>26</v>
      </c>
      <c r="AI86" s="23">
        <v>897.62</v>
      </c>
      <c r="AJ86" s="23">
        <v>0</v>
      </c>
      <c r="AK86" s="23">
        <v>0.54549999999999998</v>
      </c>
      <c r="AL86" s="23" t="s">
        <v>24</v>
      </c>
      <c r="AM86" s="23">
        <v>52.7</v>
      </c>
      <c r="AN86" s="23">
        <v>29769.85</v>
      </c>
      <c r="AO86" s="23">
        <v>53.12</v>
      </c>
      <c r="AP86" s="23">
        <v>0</v>
      </c>
      <c r="AR86" s="46"/>
      <c r="AS86" s="44"/>
      <c r="AT86" s="45"/>
      <c r="AU86" s="2">
        <v>43543</v>
      </c>
      <c r="AV86" s="52">
        <v>7.2916666666666671E-2</v>
      </c>
      <c r="AW86" s="2" t="s">
        <v>213</v>
      </c>
      <c r="AY86" s="3"/>
      <c r="BA86" s="3"/>
      <c r="BG86" s="3"/>
      <c r="BH86" s="3"/>
    </row>
    <row r="87" spans="1:60">
      <c r="A87" s="23" t="s">
        <v>22</v>
      </c>
      <c r="B87" s="23" t="s">
        <v>25</v>
      </c>
      <c r="C87" s="27">
        <v>43544.53125</v>
      </c>
      <c r="D87" s="23">
        <v>52.15</v>
      </c>
      <c r="E87" s="27">
        <v>43546.5625</v>
      </c>
      <c r="F87" s="23">
        <v>53.3</v>
      </c>
      <c r="G87" s="31">
        <v>2.2100000000000002E-2</v>
      </c>
      <c r="H87" s="23">
        <v>1103.42</v>
      </c>
      <c r="I87" s="31">
        <v>2.2100000000000002E-2</v>
      </c>
      <c r="J87" s="23">
        <v>959.5</v>
      </c>
      <c r="K87" s="23">
        <v>50037.93</v>
      </c>
      <c r="L87" s="23">
        <v>8593.84</v>
      </c>
      <c r="M87" s="23">
        <v>33</v>
      </c>
      <c r="N87" s="23">
        <v>33.44</v>
      </c>
      <c r="O87" s="31">
        <v>-2.8999999999999998E-3</v>
      </c>
      <c r="P87" s="31">
        <v>3.2599999999999997E-2</v>
      </c>
      <c r="Q87" s="23" t="s">
        <v>24</v>
      </c>
      <c r="R87" s="23">
        <v>0</v>
      </c>
      <c r="S87" s="23">
        <v>51.61</v>
      </c>
      <c r="U87" s="47">
        <f>VLOOKUP(AU87,[1]expiry_dates!$B$2:$C$2894,2,FALSE)</f>
        <v>43552</v>
      </c>
      <c r="V87" s="23" t="s">
        <v>120</v>
      </c>
      <c r="W87" s="23" t="s">
        <v>23</v>
      </c>
      <c r="X87" s="49">
        <v>43544.53125</v>
      </c>
      <c r="Y87" s="23">
        <v>0.75</v>
      </c>
      <c r="Z87" s="23">
        <v>43546.5625</v>
      </c>
      <c r="AA87" s="23">
        <v>0.2</v>
      </c>
      <c r="AB87" s="23">
        <v>-0.73329999999999995</v>
      </c>
      <c r="AC87" s="23">
        <v>37737.730000000003</v>
      </c>
      <c r="AD87" s="23">
        <v>0.73329999999999995</v>
      </c>
      <c r="AE87" s="23">
        <v>68614.05</v>
      </c>
      <c r="AF87" s="23">
        <v>51460.54</v>
      </c>
      <c r="AG87" s="23">
        <v>329844.56</v>
      </c>
      <c r="AH87" s="23">
        <v>33</v>
      </c>
      <c r="AI87" s="23">
        <v>1143.57</v>
      </c>
      <c r="AJ87" s="23">
        <v>-6.6699999999999995E-2</v>
      </c>
      <c r="AK87" s="23">
        <v>0.73329999999999995</v>
      </c>
      <c r="AL87" s="23" t="s">
        <v>24</v>
      </c>
      <c r="AM87" s="23">
        <v>52.15</v>
      </c>
      <c r="AN87" s="23">
        <v>29714.35</v>
      </c>
      <c r="AO87" s="23">
        <v>51.61</v>
      </c>
      <c r="AP87" s="23">
        <v>0</v>
      </c>
      <c r="AR87" s="46"/>
      <c r="AS87" s="44"/>
      <c r="AT87" s="45"/>
      <c r="AU87" s="2">
        <v>43544</v>
      </c>
      <c r="AV87" s="52">
        <v>0.53125</v>
      </c>
      <c r="AW87" s="2" t="s">
        <v>213</v>
      </c>
      <c r="AY87" s="3"/>
      <c r="BA87" s="3"/>
      <c r="BG87" s="3"/>
      <c r="BH87" s="3"/>
    </row>
    <row r="88" spans="1:60">
      <c r="A88" s="23" t="s">
        <v>22</v>
      </c>
      <c r="B88" s="23" t="s">
        <v>23</v>
      </c>
      <c r="C88" s="27">
        <v>43546.5625</v>
      </c>
      <c r="D88" s="23">
        <v>53.3</v>
      </c>
      <c r="E88" s="27">
        <v>43550.385416666664</v>
      </c>
      <c r="F88" s="23">
        <v>52.25</v>
      </c>
      <c r="G88" s="31">
        <v>-1.9699999999999999E-2</v>
      </c>
      <c r="H88" s="23">
        <v>985.84</v>
      </c>
      <c r="I88" s="31">
        <v>1.9699999999999999E-2</v>
      </c>
      <c r="J88" s="23">
        <v>938.89250000000004</v>
      </c>
      <c r="K88" s="23">
        <v>50042.97</v>
      </c>
      <c r="L88" s="23">
        <v>9579.68</v>
      </c>
      <c r="M88" s="23">
        <v>42</v>
      </c>
      <c r="N88" s="23">
        <v>23.47</v>
      </c>
      <c r="O88" s="31">
        <v>-8.9999999999999998E-4</v>
      </c>
      <c r="P88" s="31">
        <v>3.4700000000000002E-2</v>
      </c>
      <c r="Q88" s="23" t="s">
        <v>24</v>
      </c>
      <c r="R88" s="23">
        <v>0</v>
      </c>
      <c r="S88" s="23">
        <v>53.82</v>
      </c>
      <c r="U88" s="47">
        <f>VLOOKUP(AU88,[1]expiry_dates!$B$2:$C$2894,2,FALSE)</f>
        <v>43552</v>
      </c>
      <c r="V88" s="23" t="s">
        <v>125</v>
      </c>
      <c r="W88" s="23" t="s">
        <v>23</v>
      </c>
      <c r="X88" s="49">
        <v>43546.5625</v>
      </c>
      <c r="Y88" s="23">
        <v>1.35</v>
      </c>
      <c r="Z88" s="23">
        <v>43550.385416666664</v>
      </c>
      <c r="AA88" s="23">
        <v>0.8</v>
      </c>
      <c r="AB88" s="23">
        <v>-0.40739999999999998</v>
      </c>
      <c r="AC88" s="23">
        <v>21042.28</v>
      </c>
      <c r="AD88" s="23">
        <v>0.40739999999999998</v>
      </c>
      <c r="AE88" s="23">
        <v>38258.68</v>
      </c>
      <c r="AF88" s="23">
        <v>51649.22</v>
      </c>
      <c r="AG88" s="23">
        <v>350886.84</v>
      </c>
      <c r="AH88" s="23">
        <v>42</v>
      </c>
      <c r="AI88" s="23">
        <v>501.01</v>
      </c>
      <c r="AJ88" s="23">
        <v>0</v>
      </c>
      <c r="AK88" s="23">
        <v>0.66669999999999996</v>
      </c>
      <c r="AL88" s="23" t="s">
        <v>24</v>
      </c>
      <c r="AM88" s="23">
        <v>53.3</v>
      </c>
      <c r="AN88" s="23">
        <v>29817.4</v>
      </c>
      <c r="AO88" s="23">
        <v>53.82</v>
      </c>
      <c r="AP88" s="23">
        <v>0</v>
      </c>
      <c r="AR88" s="46"/>
      <c r="AS88" s="44"/>
      <c r="AT88" s="45"/>
      <c r="AU88" s="2">
        <v>43546</v>
      </c>
      <c r="AV88" s="52">
        <v>6.25E-2</v>
      </c>
      <c r="AW88" s="2" t="s">
        <v>213</v>
      </c>
      <c r="AY88" s="3"/>
      <c r="BA88" s="3"/>
      <c r="BG88" s="3"/>
      <c r="BH88" s="3"/>
    </row>
    <row r="89" spans="1:60">
      <c r="A89" s="23" t="s">
        <v>22</v>
      </c>
      <c r="B89" s="23" t="s">
        <v>25</v>
      </c>
      <c r="C89" s="27">
        <v>43550.385416666664</v>
      </c>
      <c r="D89" s="23">
        <v>52.25</v>
      </c>
      <c r="E89" s="27">
        <v>43550.520833333336</v>
      </c>
      <c r="F89" s="23">
        <v>52.2</v>
      </c>
      <c r="G89" s="31">
        <v>-1E-3</v>
      </c>
      <c r="H89" s="23">
        <v>-47.89</v>
      </c>
      <c r="I89" s="31">
        <v>-1E-3</v>
      </c>
      <c r="J89" s="23">
        <v>957.87699999999995</v>
      </c>
      <c r="K89" s="23">
        <v>50049.07</v>
      </c>
      <c r="L89" s="23">
        <v>9531.7900000000009</v>
      </c>
      <c r="M89" s="23">
        <v>14</v>
      </c>
      <c r="N89" s="23">
        <v>-3.42</v>
      </c>
      <c r="O89" s="31">
        <v>-5.7000000000000002E-3</v>
      </c>
      <c r="P89" s="31">
        <v>5.7000000000000002E-3</v>
      </c>
      <c r="Q89" s="23" t="s">
        <v>24</v>
      </c>
      <c r="R89" s="23">
        <v>0</v>
      </c>
      <c r="S89" s="23">
        <v>51.49</v>
      </c>
      <c r="U89" s="47">
        <f>VLOOKUP(AU89,[1]expiry_dates!$B$2:$C$2894,2,FALSE)</f>
        <v>43552</v>
      </c>
      <c r="V89" s="23" t="s">
        <v>126</v>
      </c>
      <c r="W89" s="23" t="s">
        <v>23</v>
      </c>
      <c r="X89" s="49">
        <v>43550.385416666664</v>
      </c>
      <c r="Y89" s="23">
        <v>0.5</v>
      </c>
      <c r="Z89" s="23">
        <v>43550.520833333336</v>
      </c>
      <c r="AA89" s="23">
        <v>0.5</v>
      </c>
      <c r="AB89" s="23">
        <v>0</v>
      </c>
      <c r="AC89" s="23">
        <v>0</v>
      </c>
      <c r="AD89" s="23">
        <v>0</v>
      </c>
      <c r="AE89" s="23">
        <v>103623.6</v>
      </c>
      <c r="AF89" s="23">
        <v>51811.82</v>
      </c>
      <c r="AG89" s="23">
        <v>350886.84</v>
      </c>
      <c r="AH89" s="23">
        <v>14</v>
      </c>
      <c r="AI89" s="23">
        <v>0</v>
      </c>
      <c r="AJ89" s="23">
        <v>-0.2</v>
      </c>
      <c r="AK89" s="23">
        <v>0.2</v>
      </c>
      <c r="AL89" s="23" t="s">
        <v>24</v>
      </c>
      <c r="AM89" s="23">
        <v>52.25</v>
      </c>
      <c r="AN89" s="23">
        <v>29373.8</v>
      </c>
      <c r="AO89" s="23">
        <v>51.49</v>
      </c>
      <c r="AP89" s="23">
        <v>0</v>
      </c>
      <c r="AR89" s="46"/>
      <c r="AS89" s="44"/>
      <c r="AT89" s="45"/>
      <c r="AU89" s="2">
        <v>43550</v>
      </c>
      <c r="AV89" s="52">
        <v>0.38541666666666669</v>
      </c>
      <c r="AW89" s="2" t="s">
        <v>212</v>
      </c>
      <c r="AY89" s="3"/>
      <c r="BA89" s="3"/>
      <c r="BG89" s="3"/>
      <c r="BH89" s="3"/>
    </row>
    <row r="90" spans="1:60">
      <c r="A90" s="23" t="s">
        <v>22</v>
      </c>
      <c r="B90" s="23" t="s">
        <v>23</v>
      </c>
      <c r="C90" s="27">
        <v>43550.520833333336</v>
      </c>
      <c r="D90" s="23">
        <v>52.2</v>
      </c>
      <c r="E90" s="27">
        <v>43550.614583333336</v>
      </c>
      <c r="F90" s="23">
        <v>52.4</v>
      </c>
      <c r="G90" s="31">
        <v>3.8E-3</v>
      </c>
      <c r="H90" s="23">
        <v>-191.75</v>
      </c>
      <c r="I90" s="31">
        <v>-3.8E-3</v>
      </c>
      <c r="J90" s="23">
        <v>958.75819999999999</v>
      </c>
      <c r="K90" s="23">
        <v>50047.18</v>
      </c>
      <c r="L90" s="23">
        <v>9340.0400000000009</v>
      </c>
      <c r="M90" s="23">
        <v>10</v>
      </c>
      <c r="N90" s="23">
        <v>-19.18</v>
      </c>
      <c r="O90" s="31">
        <v>-3.8E-3</v>
      </c>
      <c r="P90" s="31">
        <v>6.7000000000000002E-3</v>
      </c>
      <c r="Q90" s="23" t="s">
        <v>24</v>
      </c>
      <c r="R90" s="23">
        <v>0</v>
      </c>
      <c r="S90" s="23">
        <v>52.54</v>
      </c>
      <c r="U90" s="47">
        <f>VLOOKUP(AU90,[1]expiry_dates!$B$2:$C$2894,2,FALSE)</f>
        <v>43552</v>
      </c>
      <c r="V90" s="23" t="s">
        <v>125</v>
      </c>
      <c r="W90" s="23" t="s">
        <v>23</v>
      </c>
      <c r="X90" s="49">
        <v>43550.520833333336</v>
      </c>
      <c r="Y90" s="23">
        <v>0.65</v>
      </c>
      <c r="Z90" s="23">
        <v>43550.614583333336</v>
      </c>
      <c r="AA90" s="23">
        <v>0.65</v>
      </c>
      <c r="AB90" s="23">
        <v>0</v>
      </c>
      <c r="AC90" s="23">
        <v>0</v>
      </c>
      <c r="AD90" s="23">
        <v>0</v>
      </c>
      <c r="AE90" s="23">
        <v>79662.06</v>
      </c>
      <c r="AF90" s="23">
        <v>51780.34</v>
      </c>
      <c r="AG90" s="23">
        <v>350886.84</v>
      </c>
      <c r="AH90" s="23">
        <v>10</v>
      </c>
      <c r="AI90" s="23">
        <v>0</v>
      </c>
      <c r="AJ90" s="23">
        <v>0</v>
      </c>
      <c r="AK90" s="23">
        <v>0.15379999999999999</v>
      </c>
      <c r="AL90" s="23" t="s">
        <v>24</v>
      </c>
      <c r="AM90" s="23">
        <v>52.2</v>
      </c>
      <c r="AN90" s="23">
        <v>29425.200000000001</v>
      </c>
      <c r="AO90" s="23">
        <v>52.54</v>
      </c>
      <c r="AP90" s="23">
        <v>0</v>
      </c>
      <c r="AR90" s="46"/>
      <c r="AS90" s="44"/>
      <c r="AT90" s="45"/>
      <c r="AU90" s="2">
        <v>43550</v>
      </c>
      <c r="AV90" s="52">
        <v>0.52083333333333337</v>
      </c>
      <c r="AW90" s="2" t="s">
        <v>213</v>
      </c>
      <c r="AY90" s="3"/>
      <c r="BA90" s="3"/>
      <c r="BG90" s="3"/>
      <c r="BH90" s="3"/>
    </row>
    <row r="91" spans="1:60">
      <c r="A91" s="23" t="s">
        <v>22</v>
      </c>
      <c r="B91" s="23" t="s">
        <v>25</v>
      </c>
      <c r="C91" s="27">
        <v>43550.614583333336</v>
      </c>
      <c r="D91" s="23">
        <v>52.4</v>
      </c>
      <c r="E91" s="27">
        <v>43551.625</v>
      </c>
      <c r="F91" s="23">
        <v>53.65</v>
      </c>
      <c r="G91" s="31">
        <v>2.3900000000000001E-2</v>
      </c>
      <c r="H91" s="23">
        <v>1193.8800000000001</v>
      </c>
      <c r="I91" s="31">
        <v>2.3900000000000001E-2</v>
      </c>
      <c r="J91" s="23">
        <v>955.10339999999997</v>
      </c>
      <c r="K91" s="23">
        <v>50047.42</v>
      </c>
      <c r="L91" s="23">
        <v>10533.91</v>
      </c>
      <c r="M91" s="23">
        <v>31</v>
      </c>
      <c r="N91" s="23">
        <v>38.51</v>
      </c>
      <c r="O91" s="31">
        <v>-4.7999999999999996E-3</v>
      </c>
      <c r="P91" s="31">
        <v>4.1000000000000002E-2</v>
      </c>
      <c r="Q91" s="23" t="s">
        <v>24</v>
      </c>
      <c r="R91" s="23">
        <v>0</v>
      </c>
      <c r="S91" s="23">
        <v>51.86</v>
      </c>
      <c r="U91" s="47">
        <f>VLOOKUP(AU91,[1]expiry_dates!$B$2:$C$2894,2,FALSE)</f>
        <v>43552</v>
      </c>
      <c r="V91" s="23" t="s">
        <v>126</v>
      </c>
      <c r="W91" s="23" t="s">
        <v>23</v>
      </c>
      <c r="X91" s="49">
        <v>43550.614583333336</v>
      </c>
      <c r="Y91" s="23">
        <v>0.25</v>
      </c>
      <c r="Z91" s="23">
        <v>43551.625</v>
      </c>
      <c r="AA91" s="23">
        <v>0.1</v>
      </c>
      <c r="AB91" s="23">
        <v>-0.6</v>
      </c>
      <c r="AC91" s="23">
        <v>31064.61</v>
      </c>
      <c r="AD91" s="23">
        <v>0.6</v>
      </c>
      <c r="AE91" s="23">
        <v>207097.4</v>
      </c>
      <c r="AF91" s="23">
        <v>51774.35</v>
      </c>
      <c r="AG91" s="23">
        <v>381951.45</v>
      </c>
      <c r="AH91" s="23">
        <v>31</v>
      </c>
      <c r="AI91" s="23">
        <v>1002.08</v>
      </c>
      <c r="AJ91" s="23">
        <v>-0.4</v>
      </c>
      <c r="AK91" s="23">
        <v>0.8</v>
      </c>
      <c r="AL91" s="23" t="s">
        <v>24</v>
      </c>
      <c r="AM91" s="23">
        <v>52.4</v>
      </c>
      <c r="AN91" s="23">
        <v>29803.85</v>
      </c>
      <c r="AO91" s="23">
        <v>51.86</v>
      </c>
      <c r="AP91" s="23">
        <v>0</v>
      </c>
      <c r="AR91" s="46"/>
      <c r="AS91" s="44"/>
      <c r="AT91" s="45"/>
      <c r="AU91" s="2">
        <v>43550</v>
      </c>
      <c r="AV91" s="52">
        <v>0.11458333333333333</v>
      </c>
      <c r="AW91" s="2" t="s">
        <v>213</v>
      </c>
      <c r="AY91" s="3"/>
      <c r="BA91" s="3"/>
      <c r="BG91" s="3"/>
      <c r="BH91" s="3"/>
    </row>
    <row r="92" spans="1:60">
      <c r="A92" s="23" t="s">
        <v>22</v>
      </c>
      <c r="B92" s="23" t="s">
        <v>23</v>
      </c>
      <c r="C92" s="27">
        <v>43551.625</v>
      </c>
      <c r="D92" s="23">
        <v>53.65</v>
      </c>
      <c r="E92" s="27">
        <v>43552.447916666664</v>
      </c>
      <c r="F92" s="23">
        <v>53.95</v>
      </c>
      <c r="G92" s="31">
        <v>5.5999999999999999E-3</v>
      </c>
      <c r="H92" s="23">
        <v>-279.89</v>
      </c>
      <c r="I92" s="31">
        <v>-5.5999999999999999E-3</v>
      </c>
      <c r="J92" s="23">
        <v>932.9615</v>
      </c>
      <c r="K92" s="23">
        <v>50053.39</v>
      </c>
      <c r="L92" s="23">
        <v>10254.030000000001</v>
      </c>
      <c r="M92" s="23">
        <v>13</v>
      </c>
      <c r="N92" s="23">
        <v>-21.53</v>
      </c>
      <c r="O92" s="31">
        <v>-6.4999999999999997E-3</v>
      </c>
      <c r="P92" s="31">
        <v>1.21E-2</v>
      </c>
      <c r="Q92" s="23" t="s">
        <v>24</v>
      </c>
      <c r="R92" s="23">
        <v>0</v>
      </c>
      <c r="S92" s="23">
        <v>54.51</v>
      </c>
      <c r="U92" s="47">
        <f>VLOOKUP(AU92,[1]expiry_dates!$B$2:$C$2894,2,FALSE)</f>
        <v>43552</v>
      </c>
      <c r="V92" s="23" t="s">
        <v>128</v>
      </c>
      <c r="W92" s="23" t="s">
        <v>23</v>
      </c>
      <c r="X92" s="49">
        <v>43551.625</v>
      </c>
      <c r="Y92" s="23">
        <v>0.3</v>
      </c>
      <c r="Z92" s="23">
        <v>43552.447916666664</v>
      </c>
      <c r="AA92" s="23">
        <v>0.4</v>
      </c>
      <c r="AB92" s="23">
        <v>0.33329999999999999</v>
      </c>
      <c r="AC92" s="23">
        <v>-17303.25</v>
      </c>
      <c r="AD92" s="23">
        <v>-0.33329999999999999</v>
      </c>
      <c r="AE92" s="23">
        <v>173032.5</v>
      </c>
      <c r="AF92" s="23">
        <v>51909.760000000002</v>
      </c>
      <c r="AG92" s="23">
        <v>364648.19</v>
      </c>
      <c r="AH92" s="23">
        <v>13</v>
      </c>
      <c r="AI92" s="23">
        <v>-1331.02</v>
      </c>
      <c r="AJ92" s="23">
        <v>-0.33329999999999999</v>
      </c>
      <c r="AK92" s="23">
        <v>0.33329999999999999</v>
      </c>
      <c r="AL92" s="23" t="s">
        <v>24</v>
      </c>
      <c r="AM92" s="23">
        <v>53.65</v>
      </c>
      <c r="AN92" s="23">
        <v>30025.35</v>
      </c>
      <c r="AO92" s="23">
        <v>54.51</v>
      </c>
      <c r="AP92" s="23">
        <v>0</v>
      </c>
      <c r="AR92" s="46"/>
      <c r="AS92" s="44"/>
      <c r="AT92" s="45"/>
      <c r="AU92" s="2">
        <v>43551</v>
      </c>
      <c r="AV92" s="52">
        <v>0.125</v>
      </c>
      <c r="AW92" s="2" t="s">
        <v>213</v>
      </c>
      <c r="AY92" s="3"/>
      <c r="BA92" s="3"/>
      <c r="BG92" s="3"/>
      <c r="BH92" s="3"/>
    </row>
    <row r="93" spans="1:60">
      <c r="A93" s="23" t="s">
        <v>22</v>
      </c>
      <c r="B93" s="23" t="s">
        <v>25</v>
      </c>
      <c r="C93" s="27">
        <v>43552.447916666664</v>
      </c>
      <c r="D93" s="23">
        <v>53.95</v>
      </c>
      <c r="E93" s="27">
        <v>43552.6875</v>
      </c>
      <c r="F93" s="23">
        <v>54.65</v>
      </c>
      <c r="G93" s="31">
        <v>1.2999999999999999E-2</v>
      </c>
      <c r="H93" s="23">
        <v>649.42999999999995</v>
      </c>
      <c r="I93" s="31">
        <v>1.2999999999999999E-2</v>
      </c>
      <c r="J93" s="23">
        <v>927.75599999999997</v>
      </c>
      <c r="K93" s="23">
        <v>50052.44</v>
      </c>
      <c r="L93" s="23">
        <v>10903.46</v>
      </c>
      <c r="M93" s="23">
        <v>22</v>
      </c>
      <c r="N93" s="23">
        <v>29.52</v>
      </c>
      <c r="O93" s="31">
        <v>-4.5999999999999999E-3</v>
      </c>
      <c r="P93" s="31">
        <v>1.95E-2</v>
      </c>
      <c r="Q93" s="23" t="s">
        <v>24</v>
      </c>
      <c r="R93" s="23">
        <v>0</v>
      </c>
      <c r="S93" s="23">
        <v>53.02</v>
      </c>
      <c r="U93" s="47">
        <f>VLOOKUP(AU93,[1]expiry_dates!$B$2:$C$2894,2,FALSE)</f>
        <v>43552</v>
      </c>
      <c r="V93" s="23" t="s">
        <v>129</v>
      </c>
      <c r="W93" s="23" t="s">
        <v>23</v>
      </c>
      <c r="X93" s="49">
        <v>43552.447916666664</v>
      </c>
      <c r="Y93" s="23">
        <v>0.1</v>
      </c>
      <c r="Z93" s="23">
        <v>43552.6875</v>
      </c>
      <c r="AA93" s="23">
        <v>0.05</v>
      </c>
      <c r="AB93" s="23">
        <v>-0.5</v>
      </c>
      <c r="AC93" s="23">
        <v>25976.51</v>
      </c>
      <c r="AD93" s="23">
        <v>0.5</v>
      </c>
      <c r="AE93" s="23">
        <v>519530.2</v>
      </c>
      <c r="AF93" s="23">
        <v>51953.02</v>
      </c>
      <c r="AG93" s="23">
        <v>390624.7</v>
      </c>
      <c r="AH93" s="23">
        <v>22</v>
      </c>
      <c r="AI93" s="23">
        <v>1180.75</v>
      </c>
      <c r="AJ93" s="23">
        <v>0</v>
      </c>
      <c r="AK93" s="23">
        <v>0.5</v>
      </c>
      <c r="AL93" s="23" t="s">
        <v>24</v>
      </c>
      <c r="AM93" s="23">
        <v>53.95</v>
      </c>
      <c r="AN93" s="23">
        <v>30109.5</v>
      </c>
      <c r="AO93" s="23">
        <v>53.02</v>
      </c>
      <c r="AP93" s="23">
        <v>0</v>
      </c>
      <c r="AR93" s="46"/>
      <c r="AS93" s="44"/>
      <c r="AT93" s="45"/>
      <c r="AU93" s="2">
        <v>43552</v>
      </c>
      <c r="AV93" s="52">
        <v>0.44791666666666669</v>
      </c>
      <c r="AW93" s="2" t="s">
        <v>212</v>
      </c>
      <c r="AY93" s="3"/>
      <c r="BA93" s="3"/>
      <c r="BG93" s="3"/>
      <c r="BH93" s="3"/>
    </row>
    <row r="94" spans="1:60">
      <c r="A94" s="23" t="s">
        <v>22</v>
      </c>
      <c r="B94" s="23" t="s">
        <v>25</v>
      </c>
      <c r="C94" s="27">
        <v>43553.385416666664</v>
      </c>
      <c r="D94" s="23">
        <v>55.35</v>
      </c>
      <c r="E94" s="27">
        <v>43553.572916666664</v>
      </c>
      <c r="F94" s="23">
        <v>55.05</v>
      </c>
      <c r="G94" s="31">
        <v>-5.4000000000000003E-3</v>
      </c>
      <c r="H94" s="23">
        <v>-271.3</v>
      </c>
      <c r="I94" s="31">
        <v>-5.4000000000000003E-3</v>
      </c>
      <c r="J94" s="23">
        <v>904.32730000000004</v>
      </c>
      <c r="K94" s="23">
        <v>50054.52</v>
      </c>
      <c r="L94" s="23">
        <v>10632.16</v>
      </c>
      <c r="M94" s="23">
        <v>19</v>
      </c>
      <c r="N94" s="23">
        <v>-14.28</v>
      </c>
      <c r="O94" s="31">
        <v>-1.4500000000000001E-2</v>
      </c>
      <c r="P94" s="31">
        <v>3.5999999999999999E-3</v>
      </c>
      <c r="Q94" s="23" t="s">
        <v>24</v>
      </c>
      <c r="R94" s="23">
        <v>0</v>
      </c>
      <c r="S94" s="23">
        <v>54.15</v>
      </c>
      <c r="U94" s="47">
        <f>VLOOKUP(AU94,[1]expiry_dates!$B$2:$C$2894,2,FALSE)</f>
        <v>43580</v>
      </c>
      <c r="V94" s="23" t="s">
        <v>130</v>
      </c>
      <c r="W94" s="23" t="s">
        <v>23</v>
      </c>
      <c r="X94" s="49">
        <v>43553.385416666664</v>
      </c>
      <c r="Y94" s="23">
        <v>2.1</v>
      </c>
      <c r="Z94" s="23">
        <v>43553.572916666664</v>
      </c>
      <c r="AA94" s="23">
        <v>2.2000000000000002</v>
      </c>
      <c r="AB94" s="23">
        <v>4.7600000000000003E-2</v>
      </c>
      <c r="AC94" s="23">
        <v>-2473.96</v>
      </c>
      <c r="AD94" s="23">
        <v>-4.7600000000000003E-2</v>
      </c>
      <c r="AE94" s="23">
        <v>24739.58</v>
      </c>
      <c r="AF94" s="23">
        <v>51953.13</v>
      </c>
      <c r="AG94" s="23">
        <v>388150.74</v>
      </c>
      <c r="AH94" s="23">
        <v>19</v>
      </c>
      <c r="AI94" s="23">
        <v>-130.21</v>
      </c>
      <c r="AJ94" s="23">
        <v>-0.1429</v>
      </c>
      <c r="AK94" s="23">
        <v>0.11899999999999999</v>
      </c>
      <c r="AL94" s="23" t="s">
        <v>24</v>
      </c>
      <c r="AM94" s="23">
        <v>55.35</v>
      </c>
      <c r="AN94" s="23">
        <v>30461.8</v>
      </c>
      <c r="AO94" s="23">
        <v>54.15</v>
      </c>
      <c r="AP94" s="23">
        <v>0</v>
      </c>
      <c r="AR94" s="46"/>
      <c r="AS94" s="44"/>
      <c r="AT94" s="45"/>
      <c r="AU94" s="2">
        <v>43553</v>
      </c>
      <c r="AV94" s="52">
        <v>0.38541666666666669</v>
      </c>
      <c r="AW94" s="2" t="s">
        <v>212</v>
      </c>
      <c r="AY94" s="3"/>
      <c r="BA94" s="3"/>
      <c r="BG94" s="3"/>
      <c r="BH94" s="3"/>
    </row>
    <row r="95" spans="1:60">
      <c r="A95" s="23" t="s">
        <v>22</v>
      </c>
      <c r="B95" s="23" t="s">
        <v>23</v>
      </c>
      <c r="C95" s="27">
        <v>43553.572916666664</v>
      </c>
      <c r="D95" s="23">
        <v>55.05</v>
      </c>
      <c r="E95" s="27">
        <v>43553.625</v>
      </c>
      <c r="F95" s="23">
        <v>55.55</v>
      </c>
      <c r="G95" s="31">
        <v>9.1000000000000004E-3</v>
      </c>
      <c r="H95" s="23">
        <v>-454.63</v>
      </c>
      <c r="I95" s="31">
        <v>-9.1000000000000004E-3</v>
      </c>
      <c r="J95" s="23">
        <v>909.26369999999997</v>
      </c>
      <c r="K95" s="23">
        <v>50054.97</v>
      </c>
      <c r="L95" s="23">
        <v>10177.530000000001</v>
      </c>
      <c r="M95" s="23">
        <v>6</v>
      </c>
      <c r="N95" s="23">
        <v>-75.77</v>
      </c>
      <c r="O95" s="31">
        <v>-9.1000000000000004E-3</v>
      </c>
      <c r="P95" s="31">
        <v>8.9999999999999998E-4</v>
      </c>
      <c r="Q95" s="23" t="s">
        <v>24</v>
      </c>
      <c r="R95" s="23">
        <v>0</v>
      </c>
      <c r="S95" s="23">
        <v>55.55</v>
      </c>
      <c r="U95" s="47">
        <f>VLOOKUP(AU95,[1]expiry_dates!$B$2:$C$2894,2,FALSE)</f>
        <v>43580</v>
      </c>
      <c r="V95" s="23" t="s">
        <v>131</v>
      </c>
      <c r="W95" s="23" t="s">
        <v>23</v>
      </c>
      <c r="X95" s="49">
        <v>43553.572916666664</v>
      </c>
      <c r="Y95" s="23">
        <v>2.2000000000000002</v>
      </c>
      <c r="Z95" s="23">
        <v>43553.625</v>
      </c>
      <c r="AA95" s="23">
        <v>2.2000000000000002</v>
      </c>
      <c r="AB95" s="23">
        <v>0</v>
      </c>
      <c r="AC95" s="23">
        <v>0</v>
      </c>
      <c r="AD95" s="23">
        <v>0</v>
      </c>
      <c r="AE95" s="23">
        <v>23617.87</v>
      </c>
      <c r="AF95" s="23">
        <v>51959.31</v>
      </c>
      <c r="AG95" s="23">
        <v>388150.74</v>
      </c>
      <c r="AH95" s="23">
        <v>6</v>
      </c>
      <c r="AI95" s="23">
        <v>0</v>
      </c>
      <c r="AJ95" s="23">
        <v>-6.8199999999999997E-2</v>
      </c>
      <c r="AK95" s="23">
        <v>4.5499999999999999E-2</v>
      </c>
      <c r="AL95" s="23" t="s">
        <v>24</v>
      </c>
      <c r="AM95" s="23">
        <v>55.05</v>
      </c>
      <c r="AN95" s="23">
        <v>30283</v>
      </c>
      <c r="AO95" s="23">
        <v>55.55</v>
      </c>
      <c r="AP95" s="23">
        <v>0</v>
      </c>
      <c r="AR95" s="46"/>
      <c r="AS95" s="44"/>
      <c r="AT95" s="45"/>
      <c r="AU95" s="2">
        <v>43553</v>
      </c>
      <c r="AV95" s="52">
        <v>7.2916666666666671E-2</v>
      </c>
      <c r="AW95" s="2" t="s">
        <v>213</v>
      </c>
      <c r="AY95" s="3"/>
      <c r="BA95" s="3"/>
      <c r="BG95" s="3"/>
      <c r="BH95" s="3"/>
    </row>
    <row r="96" spans="1:60">
      <c r="A96" s="23" t="s">
        <v>22</v>
      </c>
      <c r="B96" s="23" t="s">
        <v>25</v>
      </c>
      <c r="C96" s="27">
        <v>43553.625</v>
      </c>
      <c r="D96" s="23">
        <v>55.55</v>
      </c>
      <c r="E96" s="27">
        <v>43556.604166666664</v>
      </c>
      <c r="F96" s="23">
        <v>56.35</v>
      </c>
      <c r="G96" s="31">
        <v>1.44E-2</v>
      </c>
      <c r="H96" s="23">
        <v>720.82</v>
      </c>
      <c r="I96" s="31">
        <v>1.44E-2</v>
      </c>
      <c r="J96" s="23">
        <v>901.02250000000004</v>
      </c>
      <c r="K96" s="23">
        <v>50051.8</v>
      </c>
      <c r="L96" s="23">
        <v>10898.34</v>
      </c>
      <c r="M96" s="23">
        <v>28</v>
      </c>
      <c r="N96" s="23">
        <v>25.74</v>
      </c>
      <c r="O96" s="31">
        <v>-5.4000000000000003E-3</v>
      </c>
      <c r="P96" s="31">
        <v>2.3400000000000001E-2</v>
      </c>
      <c r="Q96" s="23" t="s">
        <v>24</v>
      </c>
      <c r="R96" s="23">
        <v>0</v>
      </c>
      <c r="S96" s="23">
        <v>55.01</v>
      </c>
      <c r="U96" s="47">
        <f>VLOOKUP(AU96,[1]expiry_dates!$B$2:$C$2894,2,FALSE)</f>
        <v>43580</v>
      </c>
      <c r="V96" s="23" t="s">
        <v>129</v>
      </c>
      <c r="W96" s="23" t="s">
        <v>23</v>
      </c>
      <c r="X96" s="49">
        <v>43553.625</v>
      </c>
      <c r="Y96" s="23">
        <v>1.25</v>
      </c>
      <c r="Z96" s="23">
        <v>43556.604166666664</v>
      </c>
      <c r="AA96" s="23">
        <v>0.85</v>
      </c>
      <c r="AB96" s="23">
        <v>-0.32</v>
      </c>
      <c r="AC96" s="23">
        <v>16621.04</v>
      </c>
      <c r="AD96" s="23">
        <v>0.32</v>
      </c>
      <c r="AE96" s="23">
        <v>41552.6</v>
      </c>
      <c r="AF96" s="23">
        <v>51940.75</v>
      </c>
      <c r="AG96" s="23">
        <v>404771.78</v>
      </c>
      <c r="AH96" s="23">
        <v>28</v>
      </c>
      <c r="AI96" s="23">
        <v>593.61</v>
      </c>
      <c r="AJ96" s="23">
        <v>-0.08</v>
      </c>
      <c r="AK96" s="23">
        <v>0.32</v>
      </c>
      <c r="AL96" s="23" t="s">
        <v>24</v>
      </c>
      <c r="AM96" s="23">
        <v>55.55</v>
      </c>
      <c r="AN96" s="23">
        <v>30409.200000000001</v>
      </c>
      <c r="AO96" s="23">
        <v>55.01</v>
      </c>
      <c r="AP96" s="23">
        <v>0</v>
      </c>
      <c r="AR96" s="46"/>
      <c r="AS96" s="44"/>
      <c r="AT96" s="45"/>
      <c r="AU96" s="2">
        <v>43553</v>
      </c>
      <c r="AV96" s="52">
        <v>0.125</v>
      </c>
      <c r="AW96" s="2" t="s">
        <v>213</v>
      </c>
      <c r="AY96" s="3"/>
      <c r="BA96" s="3"/>
      <c r="BG96" s="3"/>
      <c r="BH96" s="3"/>
    </row>
    <row r="97" spans="1:60">
      <c r="A97" s="23" t="s">
        <v>22</v>
      </c>
      <c r="B97" s="23" t="s">
        <v>23</v>
      </c>
      <c r="C97" s="27">
        <v>43556.604166666664</v>
      </c>
      <c r="D97" s="23">
        <v>56.35</v>
      </c>
      <c r="E97" s="27">
        <v>43557.520833333336</v>
      </c>
      <c r="F97" s="23">
        <v>55.75</v>
      </c>
      <c r="G97" s="31">
        <v>-1.06E-2</v>
      </c>
      <c r="H97" s="23">
        <v>532.98</v>
      </c>
      <c r="I97" s="31">
        <v>1.06E-2</v>
      </c>
      <c r="J97" s="23">
        <v>888.29449999999997</v>
      </c>
      <c r="K97" s="23">
        <v>50055.39</v>
      </c>
      <c r="L97" s="23">
        <v>11431.32</v>
      </c>
      <c r="M97" s="23">
        <v>22</v>
      </c>
      <c r="N97" s="23">
        <v>24.23</v>
      </c>
      <c r="O97" s="31">
        <v>-6.1999999999999998E-3</v>
      </c>
      <c r="P97" s="31">
        <v>2.4E-2</v>
      </c>
      <c r="Q97" s="23" t="s">
        <v>24</v>
      </c>
      <c r="R97" s="23">
        <v>0</v>
      </c>
      <c r="S97" s="23">
        <v>56.85</v>
      </c>
      <c r="U97" s="47">
        <f>VLOOKUP(AU97,[1]expiry_dates!$B$2:$C$2894,2,FALSE)</f>
        <v>43580</v>
      </c>
      <c r="V97" s="23" t="s">
        <v>132</v>
      </c>
      <c r="W97" s="23" t="s">
        <v>23</v>
      </c>
      <c r="X97" s="49">
        <v>43556.604166666664</v>
      </c>
      <c r="Y97" s="23">
        <v>2.35</v>
      </c>
      <c r="Z97" s="23">
        <v>43557.520833333336</v>
      </c>
      <c r="AA97" s="23">
        <v>2.0499999999999998</v>
      </c>
      <c r="AB97" s="23">
        <v>-0.12770000000000001</v>
      </c>
      <c r="AC97" s="23">
        <v>6641.34</v>
      </c>
      <c r="AD97" s="23">
        <v>0.12770000000000001</v>
      </c>
      <c r="AE97" s="23">
        <v>22137.81</v>
      </c>
      <c r="AF97" s="23">
        <v>52023.86</v>
      </c>
      <c r="AG97" s="23">
        <v>411413.13</v>
      </c>
      <c r="AH97" s="23">
        <v>22</v>
      </c>
      <c r="AI97" s="23">
        <v>301.88</v>
      </c>
      <c r="AJ97" s="23">
        <v>-2.1299999999999999E-2</v>
      </c>
      <c r="AK97" s="23">
        <v>0.23400000000000001</v>
      </c>
      <c r="AL97" s="23" t="s">
        <v>24</v>
      </c>
      <c r="AM97" s="23">
        <v>56.35</v>
      </c>
      <c r="AN97" s="23">
        <v>30494.1</v>
      </c>
      <c r="AO97" s="23">
        <v>56.85</v>
      </c>
      <c r="AP97" s="23">
        <v>0</v>
      </c>
      <c r="AR97" s="46"/>
      <c r="AS97" s="44"/>
      <c r="AT97" s="45"/>
      <c r="AU97" s="2">
        <v>43556</v>
      </c>
      <c r="AV97" s="52">
        <v>0.10416666666666667</v>
      </c>
      <c r="AW97" s="2" t="s">
        <v>213</v>
      </c>
      <c r="AY97" s="3"/>
      <c r="BA97" s="3"/>
      <c r="BG97" s="3"/>
      <c r="BH97" s="3"/>
    </row>
    <row r="98" spans="1:60">
      <c r="A98" s="23" t="s">
        <v>22</v>
      </c>
      <c r="B98" s="23" t="s">
        <v>25</v>
      </c>
      <c r="C98" s="27">
        <v>43557.520833333336</v>
      </c>
      <c r="D98" s="23">
        <v>55.75</v>
      </c>
      <c r="E98" s="27">
        <v>43557.5625</v>
      </c>
      <c r="F98" s="23">
        <v>55.15</v>
      </c>
      <c r="G98" s="31">
        <v>-1.0800000000000001E-2</v>
      </c>
      <c r="H98" s="23">
        <v>-538.73</v>
      </c>
      <c r="I98" s="31">
        <v>-1.0800000000000001E-2</v>
      </c>
      <c r="J98" s="23">
        <v>897.89020000000005</v>
      </c>
      <c r="K98" s="23">
        <v>50057.38</v>
      </c>
      <c r="L98" s="23">
        <v>10892.59</v>
      </c>
      <c r="M98" s="23">
        <v>5</v>
      </c>
      <c r="N98" s="23">
        <v>-107.75</v>
      </c>
      <c r="O98" s="31">
        <v>-1.0800000000000001E-2</v>
      </c>
      <c r="P98" s="31">
        <v>1.8E-3</v>
      </c>
      <c r="Q98" s="23" t="s">
        <v>24</v>
      </c>
      <c r="R98" s="23">
        <v>0</v>
      </c>
      <c r="S98" s="23">
        <v>55</v>
      </c>
      <c r="U98" s="47">
        <f>VLOOKUP(AU98,[1]expiry_dates!$B$2:$C$2894,2,FALSE)</f>
        <v>43580</v>
      </c>
      <c r="V98" s="23" t="s">
        <v>130</v>
      </c>
      <c r="W98" s="23" t="s">
        <v>23</v>
      </c>
      <c r="X98" s="49">
        <v>43557.520833333336</v>
      </c>
      <c r="Y98" s="23">
        <v>1.95</v>
      </c>
      <c r="Z98" s="23">
        <v>43557.5625</v>
      </c>
      <c r="AA98" s="23">
        <v>2.2000000000000002</v>
      </c>
      <c r="AB98" s="23">
        <v>0.12820000000000001</v>
      </c>
      <c r="AC98" s="23">
        <v>-6673.98</v>
      </c>
      <c r="AD98" s="23">
        <v>-0.12820000000000001</v>
      </c>
      <c r="AE98" s="23">
        <v>26695.93</v>
      </c>
      <c r="AF98" s="23">
        <v>52057.06</v>
      </c>
      <c r="AG98" s="23">
        <v>404739.15</v>
      </c>
      <c r="AH98" s="23">
        <v>5</v>
      </c>
      <c r="AI98" s="23">
        <v>-1334.8</v>
      </c>
      <c r="AJ98" s="23">
        <v>-0.12820000000000001</v>
      </c>
      <c r="AK98" s="23">
        <v>2.5600000000000001E-2</v>
      </c>
      <c r="AL98" s="23" t="s">
        <v>24</v>
      </c>
      <c r="AM98" s="23">
        <v>55.75</v>
      </c>
      <c r="AN98" s="23">
        <v>30351.4</v>
      </c>
      <c r="AO98" s="23">
        <v>55</v>
      </c>
      <c r="AP98" s="23">
        <v>0</v>
      </c>
      <c r="AR98" s="46"/>
      <c r="AS98" s="44"/>
      <c r="AT98" s="45"/>
      <c r="AU98" s="2">
        <v>43557</v>
      </c>
      <c r="AV98" s="52">
        <v>0.52083333333333337</v>
      </c>
      <c r="AW98" s="2" t="s">
        <v>213</v>
      </c>
      <c r="AY98" s="3"/>
      <c r="BA98" s="3"/>
      <c r="BG98" s="3"/>
      <c r="BH98" s="3"/>
    </row>
    <row r="99" spans="1:60">
      <c r="A99" s="23" t="s">
        <v>22</v>
      </c>
      <c r="B99" s="23" t="s">
        <v>23</v>
      </c>
      <c r="C99" s="27">
        <v>43557.5625</v>
      </c>
      <c r="D99" s="23">
        <v>55.15</v>
      </c>
      <c r="E99" s="27">
        <v>43558.385416666664</v>
      </c>
      <c r="F99" s="23">
        <v>55.2</v>
      </c>
      <c r="G99" s="31">
        <v>8.9999999999999998E-4</v>
      </c>
      <c r="H99" s="23">
        <v>-45.38</v>
      </c>
      <c r="I99" s="31">
        <v>-8.9999999999999998E-4</v>
      </c>
      <c r="J99" s="23">
        <v>907.62620000000004</v>
      </c>
      <c r="K99" s="23">
        <v>50055.59</v>
      </c>
      <c r="L99" s="23">
        <v>10847.2</v>
      </c>
      <c r="M99" s="23">
        <v>13</v>
      </c>
      <c r="N99" s="23">
        <v>-3.49</v>
      </c>
      <c r="O99" s="31">
        <v>-4.4999999999999997E-3</v>
      </c>
      <c r="P99" s="31">
        <v>1.6299999999999999E-2</v>
      </c>
      <c r="Q99" s="23" t="s">
        <v>24</v>
      </c>
      <c r="R99" s="23">
        <v>0</v>
      </c>
      <c r="S99" s="23">
        <v>55.83</v>
      </c>
      <c r="U99" s="47">
        <f>VLOOKUP(AU99,[1]expiry_dates!$B$2:$C$2894,2,FALSE)</f>
        <v>43580</v>
      </c>
      <c r="V99" s="23" t="s">
        <v>131</v>
      </c>
      <c r="W99" s="23" t="s">
        <v>23</v>
      </c>
      <c r="X99" s="49">
        <v>43557.5625</v>
      </c>
      <c r="Y99" s="23">
        <v>2.2000000000000002</v>
      </c>
      <c r="Z99" s="23">
        <v>43558.385416666664</v>
      </c>
      <c r="AA99" s="23">
        <v>2.4</v>
      </c>
      <c r="AB99" s="23">
        <v>9.0899999999999995E-2</v>
      </c>
      <c r="AC99" s="23">
        <v>-4730.6400000000003</v>
      </c>
      <c r="AD99" s="23">
        <v>-9.0899999999999995E-2</v>
      </c>
      <c r="AE99" s="23">
        <v>23653.200000000001</v>
      </c>
      <c r="AF99" s="23">
        <v>52037.04</v>
      </c>
      <c r="AG99" s="23">
        <v>400008.51</v>
      </c>
      <c r="AH99" s="23">
        <v>13</v>
      </c>
      <c r="AI99" s="23">
        <v>-363.9</v>
      </c>
      <c r="AJ99" s="23">
        <v>-9.0899999999999995E-2</v>
      </c>
      <c r="AK99" s="23">
        <v>0.15909999999999999</v>
      </c>
      <c r="AL99" s="23" t="s">
        <v>24</v>
      </c>
      <c r="AM99" s="23">
        <v>55.15</v>
      </c>
      <c r="AN99" s="23">
        <v>30251.45</v>
      </c>
      <c r="AO99" s="23">
        <v>55.83</v>
      </c>
      <c r="AP99" s="23">
        <v>0</v>
      </c>
      <c r="AR99" s="46"/>
      <c r="AS99" s="44"/>
      <c r="AT99" s="45"/>
      <c r="AU99" s="2">
        <v>43557</v>
      </c>
      <c r="AV99" s="52">
        <v>6.25E-2</v>
      </c>
      <c r="AW99" s="2" t="s">
        <v>213</v>
      </c>
      <c r="AY99" s="3"/>
      <c r="BA99" s="3"/>
      <c r="BG99" s="3"/>
      <c r="BH99" s="3"/>
    </row>
    <row r="100" spans="1:60">
      <c r="A100" s="23" t="s">
        <v>22</v>
      </c>
      <c r="B100" s="23" t="s">
        <v>25</v>
      </c>
      <c r="C100" s="27">
        <v>43558.385416666664</v>
      </c>
      <c r="D100" s="23">
        <v>55.2</v>
      </c>
      <c r="E100" s="27">
        <v>43558.520833333336</v>
      </c>
      <c r="F100" s="23">
        <v>54.95</v>
      </c>
      <c r="G100" s="31">
        <v>-4.4999999999999997E-3</v>
      </c>
      <c r="H100" s="23">
        <v>-226.69</v>
      </c>
      <c r="I100" s="31">
        <v>-4.4999999999999997E-3</v>
      </c>
      <c r="J100" s="23">
        <v>906.77139999999997</v>
      </c>
      <c r="K100" s="23">
        <v>50053.79</v>
      </c>
      <c r="L100" s="23">
        <v>10620.51</v>
      </c>
      <c r="M100" s="23">
        <v>14</v>
      </c>
      <c r="N100" s="23">
        <v>-16.190000000000001</v>
      </c>
      <c r="O100" s="31">
        <v>-5.4000000000000003E-3</v>
      </c>
      <c r="P100" s="31">
        <v>6.3E-3</v>
      </c>
      <c r="Q100" s="23" t="s">
        <v>24</v>
      </c>
      <c r="R100" s="23">
        <v>0</v>
      </c>
      <c r="S100" s="23">
        <v>54.32</v>
      </c>
      <c r="U100" s="47">
        <f>VLOOKUP(AU100,[1]expiry_dates!$B$2:$C$2894,2,FALSE)</f>
        <v>43580</v>
      </c>
      <c r="V100" s="23" t="s">
        <v>124</v>
      </c>
      <c r="W100" s="23" t="s">
        <v>23</v>
      </c>
      <c r="X100" s="49">
        <v>43558.385416666664</v>
      </c>
      <c r="Y100" s="23">
        <v>0.45</v>
      </c>
      <c r="Z100" s="23">
        <v>43558.520833333336</v>
      </c>
      <c r="AA100" s="23">
        <v>0.5</v>
      </c>
      <c r="AB100" s="23">
        <v>0.1111</v>
      </c>
      <c r="AC100" s="23">
        <v>-5779.1</v>
      </c>
      <c r="AD100" s="23">
        <v>-0.1111</v>
      </c>
      <c r="AE100" s="23">
        <v>115581.9</v>
      </c>
      <c r="AF100" s="23">
        <v>52011.87</v>
      </c>
      <c r="AG100" s="23">
        <v>394229.41</v>
      </c>
      <c r="AH100" s="23">
        <v>14</v>
      </c>
      <c r="AI100" s="23">
        <v>-412.79</v>
      </c>
      <c r="AJ100" s="23">
        <v>-0.1111</v>
      </c>
      <c r="AK100" s="23">
        <v>0.1111</v>
      </c>
      <c r="AL100" s="23" t="s">
        <v>24</v>
      </c>
      <c r="AM100" s="23">
        <v>55.2</v>
      </c>
      <c r="AN100" s="23">
        <v>30532.9</v>
      </c>
      <c r="AO100" s="23">
        <v>54.32</v>
      </c>
      <c r="AP100" s="23">
        <v>0</v>
      </c>
      <c r="AR100" s="46"/>
      <c r="AS100" s="44"/>
      <c r="AT100" s="45"/>
      <c r="AU100" s="2">
        <v>43558</v>
      </c>
      <c r="AV100" s="52">
        <v>0.38541666666666669</v>
      </c>
      <c r="AW100" s="2" t="s">
        <v>212</v>
      </c>
      <c r="AY100" s="3"/>
      <c r="BA100" s="3"/>
      <c r="BG100" s="3"/>
      <c r="BH100" s="3"/>
    </row>
    <row r="101" spans="1:60">
      <c r="A101" s="23" t="s">
        <v>22</v>
      </c>
      <c r="B101" s="23" t="s">
        <v>23</v>
      </c>
      <c r="C101" s="27">
        <v>43558.520833333336</v>
      </c>
      <c r="D101" s="23">
        <v>54.95</v>
      </c>
      <c r="E101" s="27">
        <v>43558.5625</v>
      </c>
      <c r="F101" s="23">
        <v>55.25</v>
      </c>
      <c r="G101" s="31">
        <v>5.4999999999999997E-3</v>
      </c>
      <c r="H101" s="23">
        <v>-273.27</v>
      </c>
      <c r="I101" s="31">
        <v>-5.4999999999999997E-3</v>
      </c>
      <c r="J101" s="23">
        <v>910.8845</v>
      </c>
      <c r="K101" s="23">
        <v>50053.1</v>
      </c>
      <c r="L101" s="23">
        <v>10347.25</v>
      </c>
      <c r="M101" s="23">
        <v>5</v>
      </c>
      <c r="N101" s="23">
        <v>-54.65</v>
      </c>
      <c r="O101" s="31">
        <v>-5.4999999999999997E-3</v>
      </c>
      <c r="P101" s="31">
        <v>8.9999999999999998E-4</v>
      </c>
      <c r="Q101" s="23" t="s">
        <v>24</v>
      </c>
      <c r="R101" s="23">
        <v>0</v>
      </c>
      <c r="S101" s="23">
        <v>55.53</v>
      </c>
      <c r="U101" s="47">
        <f>VLOOKUP(AU101,[1]expiry_dates!$B$2:$C$2894,2,FALSE)</f>
        <v>43580</v>
      </c>
      <c r="V101" s="23" t="s">
        <v>131</v>
      </c>
      <c r="W101" s="23" t="s">
        <v>23</v>
      </c>
      <c r="X101" s="49">
        <v>43558.520833333336</v>
      </c>
      <c r="Y101" s="23">
        <v>2.2999999999999998</v>
      </c>
      <c r="Z101" s="23">
        <v>43558.5625</v>
      </c>
      <c r="AA101" s="23">
        <v>2.4</v>
      </c>
      <c r="AB101" s="23">
        <v>4.3499999999999997E-2</v>
      </c>
      <c r="AC101" s="23">
        <v>-2259.62</v>
      </c>
      <c r="AD101" s="23">
        <v>-4.3499999999999997E-2</v>
      </c>
      <c r="AE101" s="23">
        <v>22596.15</v>
      </c>
      <c r="AF101" s="23">
        <v>51971.14</v>
      </c>
      <c r="AG101" s="23">
        <v>391969.79</v>
      </c>
      <c r="AH101" s="23">
        <v>5</v>
      </c>
      <c r="AI101" s="23">
        <v>-451.92</v>
      </c>
      <c r="AJ101" s="23">
        <v>-4.3499999999999997E-2</v>
      </c>
      <c r="AK101" s="23">
        <v>4.3499999999999997E-2</v>
      </c>
      <c r="AL101" s="23" t="s">
        <v>24</v>
      </c>
      <c r="AM101" s="23">
        <v>54.95</v>
      </c>
      <c r="AN101" s="23">
        <v>30460.7</v>
      </c>
      <c r="AO101" s="23">
        <v>55.53</v>
      </c>
      <c r="AP101" s="23">
        <v>0</v>
      </c>
      <c r="AR101" s="46"/>
      <c r="AS101" s="44"/>
      <c r="AT101" s="45"/>
      <c r="AU101" s="2">
        <v>43558</v>
      </c>
      <c r="AV101" s="52">
        <v>0.52083333333333337</v>
      </c>
      <c r="AW101" s="2" t="s">
        <v>213</v>
      </c>
      <c r="AY101" s="3"/>
      <c r="BA101" s="3"/>
      <c r="BG101" s="3"/>
      <c r="BH101" s="3"/>
    </row>
    <row r="102" spans="1:60">
      <c r="A102" s="23" t="s">
        <v>22</v>
      </c>
      <c r="B102" s="23" t="s">
        <v>25</v>
      </c>
      <c r="C102" s="27">
        <v>43558.5625</v>
      </c>
      <c r="D102" s="23">
        <v>55.25</v>
      </c>
      <c r="E102" s="27">
        <v>43558.583333333336</v>
      </c>
      <c r="F102" s="23">
        <v>54.9</v>
      </c>
      <c r="G102" s="31">
        <v>-6.3E-3</v>
      </c>
      <c r="H102" s="23">
        <v>-317.08</v>
      </c>
      <c r="I102" s="31">
        <v>-6.3E-3</v>
      </c>
      <c r="J102" s="23">
        <v>905.93439999999998</v>
      </c>
      <c r="K102" s="23">
        <v>50052.88</v>
      </c>
      <c r="L102" s="23">
        <v>10030.17</v>
      </c>
      <c r="M102" s="23">
        <v>3</v>
      </c>
      <c r="N102" s="23">
        <v>-105.69</v>
      </c>
      <c r="O102" s="31">
        <v>-7.1999999999999998E-3</v>
      </c>
      <c r="P102" s="31">
        <v>2.7000000000000001E-3</v>
      </c>
      <c r="Q102" s="23" t="s">
        <v>24</v>
      </c>
      <c r="R102" s="23">
        <v>0</v>
      </c>
      <c r="S102" s="23">
        <v>54.85</v>
      </c>
      <c r="U102" s="47">
        <f>VLOOKUP(AU102,[1]expiry_dates!$B$2:$C$2894,2,FALSE)</f>
        <v>43580</v>
      </c>
      <c r="V102" s="23" t="s">
        <v>130</v>
      </c>
      <c r="W102" s="23" t="s">
        <v>23</v>
      </c>
      <c r="X102" s="49">
        <v>43558.5625</v>
      </c>
      <c r="Y102" s="23">
        <v>2</v>
      </c>
      <c r="Z102" s="23">
        <v>43558.583333333336</v>
      </c>
      <c r="AA102" s="23">
        <v>2.25</v>
      </c>
      <c r="AB102" s="23">
        <v>0.125</v>
      </c>
      <c r="AC102" s="23">
        <v>-6497.81</v>
      </c>
      <c r="AD102" s="23">
        <v>-0.125</v>
      </c>
      <c r="AE102" s="23">
        <v>25991.22</v>
      </c>
      <c r="AF102" s="23">
        <v>51982.45</v>
      </c>
      <c r="AG102" s="23">
        <v>385471.99</v>
      </c>
      <c r="AH102" s="23">
        <v>3</v>
      </c>
      <c r="AI102" s="23">
        <v>-2165.94</v>
      </c>
      <c r="AJ102" s="23">
        <v>-0.125</v>
      </c>
      <c r="AK102" s="23">
        <v>0</v>
      </c>
      <c r="AL102" s="23" t="s">
        <v>24</v>
      </c>
      <c r="AM102" s="23">
        <v>55.25</v>
      </c>
      <c r="AN102" s="23">
        <v>30447.9</v>
      </c>
      <c r="AO102" s="23">
        <v>54.85</v>
      </c>
      <c r="AP102" s="23">
        <v>0</v>
      </c>
      <c r="AR102" s="46"/>
      <c r="AS102" s="44"/>
      <c r="AT102" s="45"/>
      <c r="AU102" s="2">
        <v>43558</v>
      </c>
      <c r="AV102" s="52">
        <v>6.25E-2</v>
      </c>
      <c r="AW102" s="2" t="s">
        <v>213</v>
      </c>
      <c r="AY102" s="3"/>
      <c r="BA102" s="3"/>
      <c r="BG102" s="3"/>
      <c r="BH102" s="3"/>
    </row>
    <row r="103" spans="1:60">
      <c r="A103" s="23" t="s">
        <v>22</v>
      </c>
      <c r="B103" s="23" t="s">
        <v>23</v>
      </c>
      <c r="C103" s="27">
        <v>43558.583333333336</v>
      </c>
      <c r="D103" s="23">
        <v>54.9</v>
      </c>
      <c r="E103" s="27">
        <v>43559.510416666664</v>
      </c>
      <c r="F103" s="23">
        <v>54.65</v>
      </c>
      <c r="G103" s="31">
        <v>-4.5999999999999999E-3</v>
      </c>
      <c r="H103" s="23">
        <v>227.92</v>
      </c>
      <c r="I103" s="31">
        <v>4.5999999999999999E-3</v>
      </c>
      <c r="J103" s="23">
        <v>911.68089999999995</v>
      </c>
      <c r="K103" s="23">
        <v>50051.29</v>
      </c>
      <c r="L103" s="23">
        <v>10258.09</v>
      </c>
      <c r="M103" s="23">
        <v>23</v>
      </c>
      <c r="N103" s="23">
        <v>9.91</v>
      </c>
      <c r="O103" s="31">
        <v>-6.4000000000000003E-3</v>
      </c>
      <c r="P103" s="31">
        <v>0.02</v>
      </c>
      <c r="Q103" s="23" t="s">
        <v>24</v>
      </c>
      <c r="R103" s="23">
        <v>0</v>
      </c>
      <c r="S103" s="23">
        <v>55.39</v>
      </c>
      <c r="U103" s="47">
        <f>VLOOKUP(AU103,[1]expiry_dates!$B$2:$C$2894,2,FALSE)</f>
        <v>43580</v>
      </c>
      <c r="V103" s="23" t="s">
        <v>131</v>
      </c>
      <c r="W103" s="23" t="s">
        <v>23</v>
      </c>
      <c r="X103" s="49">
        <v>43558.583333333336</v>
      </c>
      <c r="Y103" s="23">
        <v>2.1</v>
      </c>
      <c r="Z103" s="23">
        <v>43559.510416666664</v>
      </c>
      <c r="AA103" s="23">
        <v>2.0499999999999998</v>
      </c>
      <c r="AB103" s="23">
        <v>-2.3800000000000002E-2</v>
      </c>
      <c r="AC103" s="23">
        <v>1237.1400000000001</v>
      </c>
      <c r="AD103" s="23">
        <v>2.3800000000000002E-2</v>
      </c>
      <c r="AE103" s="23">
        <v>24742.79</v>
      </c>
      <c r="AF103" s="23">
        <v>51959.85</v>
      </c>
      <c r="AG103" s="23">
        <v>386709.13</v>
      </c>
      <c r="AH103" s="23">
        <v>23</v>
      </c>
      <c r="AI103" s="23">
        <v>53.79</v>
      </c>
      <c r="AJ103" s="23">
        <v>-4.7600000000000003E-2</v>
      </c>
      <c r="AK103" s="23">
        <v>0.26190000000000002</v>
      </c>
      <c r="AL103" s="23" t="s">
        <v>24</v>
      </c>
      <c r="AM103" s="23">
        <v>54.9</v>
      </c>
      <c r="AN103" s="23">
        <v>30365.7</v>
      </c>
      <c r="AO103" s="23">
        <v>55.39</v>
      </c>
      <c r="AP103" s="23">
        <v>0</v>
      </c>
      <c r="AR103" s="46"/>
      <c r="AS103" s="44"/>
      <c r="AT103" s="45"/>
      <c r="AU103" s="2">
        <v>43558</v>
      </c>
      <c r="AV103" s="52">
        <v>8.3333333333333329E-2</v>
      </c>
      <c r="AW103" s="2" t="s">
        <v>213</v>
      </c>
      <c r="AY103" s="3"/>
      <c r="BA103" s="3"/>
      <c r="BG103" s="3"/>
      <c r="BH103" s="3"/>
    </row>
    <row r="104" spans="1:60">
      <c r="A104" s="23" t="s">
        <v>22</v>
      </c>
      <c r="B104" s="23" t="s">
        <v>25</v>
      </c>
      <c r="C104" s="27">
        <v>43559.510416666664</v>
      </c>
      <c r="D104" s="23">
        <v>54.65</v>
      </c>
      <c r="E104" s="27">
        <v>43559.583333333336</v>
      </c>
      <c r="F104" s="23">
        <v>54.2</v>
      </c>
      <c r="G104" s="31">
        <v>-8.2000000000000007E-3</v>
      </c>
      <c r="H104" s="23">
        <v>-412.15</v>
      </c>
      <c r="I104" s="31">
        <v>-8.2000000000000007E-3</v>
      </c>
      <c r="J104" s="23">
        <v>915.88490000000002</v>
      </c>
      <c r="K104" s="23">
        <v>50053.11</v>
      </c>
      <c r="L104" s="23">
        <v>9845.94</v>
      </c>
      <c r="M104" s="23">
        <v>8</v>
      </c>
      <c r="N104" s="23">
        <v>-51.52</v>
      </c>
      <c r="O104" s="31">
        <v>-8.2000000000000007E-3</v>
      </c>
      <c r="P104" s="31">
        <v>2.7000000000000001E-3</v>
      </c>
      <c r="Q104" s="23" t="s">
        <v>24</v>
      </c>
      <c r="R104" s="23">
        <v>0</v>
      </c>
      <c r="S104" s="23">
        <v>53.84</v>
      </c>
      <c r="U104" s="47">
        <f>VLOOKUP(AU104,[1]expiry_dates!$B$2:$C$2894,2,FALSE)</f>
        <v>43580</v>
      </c>
      <c r="V104" s="23" t="s">
        <v>129</v>
      </c>
      <c r="W104" s="23" t="s">
        <v>23</v>
      </c>
      <c r="X104" s="49">
        <v>43559.510416666664</v>
      </c>
      <c r="Y104" s="23">
        <v>1.1499999999999999</v>
      </c>
      <c r="Z104" s="23">
        <v>43559.583333333336</v>
      </c>
      <c r="AA104" s="23">
        <v>1.35</v>
      </c>
      <c r="AB104" s="23">
        <v>0.1739</v>
      </c>
      <c r="AC104" s="23">
        <v>-9037.2999999999993</v>
      </c>
      <c r="AD104" s="23">
        <v>-0.1739</v>
      </c>
      <c r="AE104" s="23">
        <v>45186.5</v>
      </c>
      <c r="AF104" s="23">
        <v>51964.47</v>
      </c>
      <c r="AG104" s="23">
        <v>377671.83</v>
      </c>
      <c r="AH104" s="23">
        <v>8</v>
      </c>
      <c r="AI104" s="23">
        <v>-1129.6600000000001</v>
      </c>
      <c r="AJ104" s="23">
        <v>-0.1739</v>
      </c>
      <c r="AK104" s="23">
        <v>0</v>
      </c>
      <c r="AL104" s="23" t="s">
        <v>24</v>
      </c>
      <c r="AM104" s="23">
        <v>54.65</v>
      </c>
      <c r="AN104" s="23">
        <v>30155.7</v>
      </c>
      <c r="AO104" s="23">
        <v>53.84</v>
      </c>
      <c r="AP104" s="23">
        <v>0</v>
      </c>
      <c r="AR104" s="46"/>
      <c r="AS104" s="44"/>
      <c r="AT104" s="45"/>
      <c r="AU104" s="2">
        <v>43559</v>
      </c>
      <c r="AV104" s="52">
        <v>0.51041666666666663</v>
      </c>
      <c r="AW104" s="2" t="s">
        <v>213</v>
      </c>
      <c r="AY104" s="3"/>
      <c r="BA104" s="3"/>
      <c r="BG104" s="3"/>
      <c r="BH104" s="3"/>
    </row>
    <row r="105" spans="1:60">
      <c r="A105" s="23" t="s">
        <v>22</v>
      </c>
      <c r="B105" s="23" t="s">
        <v>23</v>
      </c>
      <c r="C105" s="27">
        <v>43559.583333333336</v>
      </c>
      <c r="D105" s="23">
        <v>54.2</v>
      </c>
      <c r="E105" s="27">
        <v>43560.385416666664</v>
      </c>
      <c r="F105" s="23">
        <v>54.65</v>
      </c>
      <c r="G105" s="31">
        <v>8.3000000000000001E-3</v>
      </c>
      <c r="H105" s="23">
        <v>-415.54</v>
      </c>
      <c r="I105" s="31">
        <v>-8.3000000000000001E-3</v>
      </c>
      <c r="J105" s="23">
        <v>923.42600000000004</v>
      </c>
      <c r="K105" s="23">
        <v>50049.69</v>
      </c>
      <c r="L105" s="23">
        <v>9430.4</v>
      </c>
      <c r="M105" s="23">
        <v>11</v>
      </c>
      <c r="N105" s="23">
        <v>-37.78</v>
      </c>
      <c r="O105" s="31">
        <v>-8.3000000000000001E-3</v>
      </c>
      <c r="P105" s="31">
        <v>1.2E-2</v>
      </c>
      <c r="Q105" s="23" t="s">
        <v>24</v>
      </c>
      <c r="R105" s="23">
        <v>0</v>
      </c>
      <c r="S105" s="23">
        <v>54.79</v>
      </c>
      <c r="U105" s="47">
        <f>VLOOKUP(AU105,[1]expiry_dates!$B$2:$C$2894,2,FALSE)</f>
        <v>43580</v>
      </c>
      <c r="V105" s="23" t="s">
        <v>131</v>
      </c>
      <c r="W105" s="23" t="s">
        <v>23</v>
      </c>
      <c r="X105" s="49">
        <v>43559.583333333336</v>
      </c>
      <c r="Y105" s="23">
        <v>1.8</v>
      </c>
      <c r="Z105" s="23">
        <v>43560.385416666664</v>
      </c>
      <c r="AA105" s="23">
        <v>1.9</v>
      </c>
      <c r="AB105" s="23">
        <v>5.5599999999999997E-2</v>
      </c>
      <c r="AC105" s="23">
        <v>-2885.2</v>
      </c>
      <c r="AD105" s="23">
        <v>-5.5599999999999997E-2</v>
      </c>
      <c r="AE105" s="23">
        <v>28851.97</v>
      </c>
      <c r="AF105" s="23">
        <v>51933.55</v>
      </c>
      <c r="AG105" s="23">
        <v>374786.63</v>
      </c>
      <c r="AH105" s="23">
        <v>11</v>
      </c>
      <c r="AI105" s="23">
        <v>-262.29000000000002</v>
      </c>
      <c r="AJ105" s="23">
        <v>-5.5599999999999997E-2</v>
      </c>
      <c r="AK105" s="23">
        <v>0.1389</v>
      </c>
      <c r="AL105" s="23" t="s">
        <v>24</v>
      </c>
      <c r="AM105" s="23">
        <v>54.2</v>
      </c>
      <c r="AN105" s="23">
        <v>30063.25</v>
      </c>
      <c r="AO105" s="23">
        <v>54.79</v>
      </c>
      <c r="AP105" s="23">
        <v>0</v>
      </c>
      <c r="AR105" s="46"/>
      <c r="AS105" s="44"/>
      <c r="AT105" s="45"/>
      <c r="AU105" s="2">
        <v>43559</v>
      </c>
      <c r="AV105" s="52">
        <v>8.3333333333333329E-2</v>
      </c>
      <c r="AW105" s="2" t="s">
        <v>213</v>
      </c>
      <c r="AY105" s="3"/>
      <c r="BA105" s="3"/>
      <c r="BG105" s="3"/>
      <c r="BH105" s="3"/>
    </row>
    <row r="106" spans="1:60">
      <c r="A106" s="23" t="s">
        <v>22</v>
      </c>
      <c r="B106" s="23" t="s">
        <v>25</v>
      </c>
      <c r="C106" s="27">
        <v>43560.385416666664</v>
      </c>
      <c r="D106" s="23">
        <v>54.65</v>
      </c>
      <c r="E106" s="27">
        <v>43560.458333333336</v>
      </c>
      <c r="F106" s="23">
        <v>53.95</v>
      </c>
      <c r="G106" s="31">
        <v>-1.2800000000000001E-2</v>
      </c>
      <c r="H106" s="23">
        <v>-641.05999999999995</v>
      </c>
      <c r="I106" s="31">
        <v>-1.2800000000000001E-2</v>
      </c>
      <c r="J106" s="23">
        <v>915.79700000000003</v>
      </c>
      <c r="K106" s="23">
        <v>50048.31</v>
      </c>
      <c r="L106" s="23">
        <v>8789.34</v>
      </c>
      <c r="M106" s="23">
        <v>8</v>
      </c>
      <c r="N106" s="23">
        <v>-80.13</v>
      </c>
      <c r="O106" s="31">
        <v>-1.2800000000000001E-2</v>
      </c>
      <c r="P106" s="31">
        <v>1.8E-3</v>
      </c>
      <c r="Q106" s="23" t="s">
        <v>24</v>
      </c>
      <c r="R106" s="23">
        <v>0</v>
      </c>
      <c r="S106" s="23">
        <v>53.61</v>
      </c>
      <c r="U106" s="47">
        <f>VLOOKUP(AU106,[1]expiry_dates!$B$2:$C$2894,2,FALSE)</f>
        <v>43580</v>
      </c>
      <c r="V106" s="23" t="s">
        <v>129</v>
      </c>
      <c r="W106" s="23" t="s">
        <v>23</v>
      </c>
      <c r="X106" s="49">
        <v>43560.385416666664</v>
      </c>
      <c r="Y106" s="23">
        <v>1.1000000000000001</v>
      </c>
      <c r="Z106" s="23">
        <v>43560.458333333336</v>
      </c>
      <c r="AA106" s="23">
        <v>1.4</v>
      </c>
      <c r="AB106" s="23">
        <v>0.2727</v>
      </c>
      <c r="AC106" s="23">
        <v>-14153.34</v>
      </c>
      <c r="AD106" s="23">
        <v>-0.2727</v>
      </c>
      <c r="AE106" s="23">
        <v>47177.79</v>
      </c>
      <c r="AF106" s="23">
        <v>51895.57</v>
      </c>
      <c r="AG106" s="23">
        <v>360633.29</v>
      </c>
      <c r="AH106" s="23">
        <v>8</v>
      </c>
      <c r="AI106" s="23">
        <v>-1769.17</v>
      </c>
      <c r="AJ106" s="23">
        <v>-0.2727</v>
      </c>
      <c r="AK106" s="23">
        <v>0</v>
      </c>
      <c r="AL106" s="23" t="s">
        <v>24</v>
      </c>
      <c r="AM106" s="23">
        <v>54.65</v>
      </c>
      <c r="AN106" s="23">
        <v>30098.95</v>
      </c>
      <c r="AO106" s="23">
        <v>53.61</v>
      </c>
      <c r="AP106" s="23">
        <v>0</v>
      </c>
      <c r="AR106" s="46"/>
      <c r="AS106" s="44"/>
      <c r="AT106" s="45"/>
      <c r="AU106" s="2">
        <v>43560</v>
      </c>
      <c r="AV106" s="52">
        <v>0.38541666666666669</v>
      </c>
      <c r="AW106" s="2" t="s">
        <v>212</v>
      </c>
      <c r="AY106" s="3"/>
      <c r="BA106" s="3"/>
      <c r="BG106" s="3"/>
      <c r="BH106" s="3"/>
    </row>
    <row r="107" spans="1:60">
      <c r="A107" s="23" t="s">
        <v>22</v>
      </c>
      <c r="B107" s="23" t="s">
        <v>23</v>
      </c>
      <c r="C107" s="27">
        <v>43560.458333333336</v>
      </c>
      <c r="D107" s="23">
        <v>53.95</v>
      </c>
      <c r="E107" s="27">
        <v>43560.625</v>
      </c>
      <c r="F107" s="23">
        <v>54.15</v>
      </c>
      <c r="G107" s="31">
        <v>3.7000000000000002E-3</v>
      </c>
      <c r="H107" s="23">
        <v>-185.52</v>
      </c>
      <c r="I107" s="31">
        <v>-3.7000000000000002E-3</v>
      </c>
      <c r="J107" s="23">
        <v>927.60709999999995</v>
      </c>
      <c r="K107" s="23">
        <v>50044.41</v>
      </c>
      <c r="L107" s="23">
        <v>8603.82</v>
      </c>
      <c r="M107" s="23">
        <v>17</v>
      </c>
      <c r="N107" s="23">
        <v>-10.91</v>
      </c>
      <c r="O107" s="31">
        <v>-3.7000000000000002E-3</v>
      </c>
      <c r="P107" s="31">
        <v>4.5999999999999999E-3</v>
      </c>
      <c r="Q107" s="23" t="s">
        <v>24</v>
      </c>
      <c r="R107" s="23">
        <v>0</v>
      </c>
      <c r="S107" s="23">
        <v>54.75</v>
      </c>
      <c r="U107" s="47">
        <f>VLOOKUP(AU107,[1]expiry_dates!$B$2:$C$2894,2,FALSE)</f>
        <v>43580</v>
      </c>
      <c r="V107" s="23" t="s">
        <v>128</v>
      </c>
      <c r="W107" s="23" t="s">
        <v>23</v>
      </c>
      <c r="X107" s="49">
        <v>43560.458333333336</v>
      </c>
      <c r="Y107" s="23">
        <v>1.95</v>
      </c>
      <c r="Z107" s="23">
        <v>43560.625</v>
      </c>
      <c r="AA107" s="23">
        <v>1.95</v>
      </c>
      <c r="AB107" s="23">
        <v>0</v>
      </c>
      <c r="AC107" s="23">
        <v>0</v>
      </c>
      <c r="AD107" s="23">
        <v>0</v>
      </c>
      <c r="AE107" s="23">
        <v>26571.77</v>
      </c>
      <c r="AF107" s="23">
        <v>51814.96</v>
      </c>
      <c r="AG107" s="23">
        <v>360633.29</v>
      </c>
      <c r="AH107" s="23">
        <v>17</v>
      </c>
      <c r="AI107" s="23">
        <v>0</v>
      </c>
      <c r="AJ107" s="23">
        <v>-0.15379999999999999</v>
      </c>
      <c r="AK107" s="23">
        <v>5.1299999999999998E-2</v>
      </c>
      <c r="AL107" s="23" t="s">
        <v>24</v>
      </c>
      <c r="AM107" s="23">
        <v>53.95</v>
      </c>
      <c r="AN107" s="23">
        <v>29940.3</v>
      </c>
      <c r="AO107" s="23">
        <v>54.75</v>
      </c>
      <c r="AP107" s="23">
        <v>0</v>
      </c>
      <c r="AR107" s="46"/>
      <c r="AS107" s="44"/>
      <c r="AT107" s="45"/>
      <c r="AU107" s="2">
        <v>43560</v>
      </c>
      <c r="AV107" s="52">
        <v>0.45833333333333331</v>
      </c>
      <c r="AW107" s="2" t="s">
        <v>212</v>
      </c>
      <c r="AY107" s="3"/>
      <c r="BA107" s="3"/>
      <c r="BG107" s="3"/>
      <c r="BH107" s="3"/>
    </row>
    <row r="108" spans="1:60">
      <c r="A108" s="23" t="s">
        <v>22</v>
      </c>
      <c r="B108" s="23" t="s">
        <v>25</v>
      </c>
      <c r="C108" s="27">
        <v>43560.625</v>
      </c>
      <c r="D108" s="23">
        <v>54.15</v>
      </c>
      <c r="E108" s="27">
        <v>43563.489583333336</v>
      </c>
      <c r="F108" s="23">
        <v>54.55</v>
      </c>
      <c r="G108" s="31">
        <v>7.4000000000000003E-3</v>
      </c>
      <c r="H108" s="23">
        <v>369.67</v>
      </c>
      <c r="I108" s="31">
        <v>7.4000000000000003E-3</v>
      </c>
      <c r="J108" s="23">
        <v>924.17690000000005</v>
      </c>
      <c r="K108" s="23">
        <v>50044.18</v>
      </c>
      <c r="L108" s="23">
        <v>8973.49</v>
      </c>
      <c r="M108" s="23">
        <v>17</v>
      </c>
      <c r="N108" s="23">
        <v>21.75</v>
      </c>
      <c r="O108" s="31">
        <v>-4.5999999999999999E-3</v>
      </c>
      <c r="P108" s="31">
        <v>2.2200000000000001E-2</v>
      </c>
      <c r="Q108" s="23" t="s">
        <v>24</v>
      </c>
      <c r="R108" s="23">
        <v>0</v>
      </c>
      <c r="S108" s="23">
        <v>53.71</v>
      </c>
      <c r="U108" s="47">
        <f>VLOOKUP(AU108,[1]expiry_dates!$B$2:$C$2894,2,FALSE)</f>
        <v>43580</v>
      </c>
      <c r="V108" s="23" t="s">
        <v>133</v>
      </c>
      <c r="W108" s="23" t="s">
        <v>23</v>
      </c>
      <c r="X108" s="49">
        <v>43560.625</v>
      </c>
      <c r="Y108" s="23">
        <v>1.7</v>
      </c>
      <c r="Z108" s="23">
        <v>43563.489583333336</v>
      </c>
      <c r="AA108" s="23">
        <v>1.55</v>
      </c>
      <c r="AB108" s="23">
        <v>-8.8200000000000001E-2</v>
      </c>
      <c r="AC108" s="23">
        <v>4570.87</v>
      </c>
      <c r="AD108" s="23">
        <v>8.8200000000000001E-2</v>
      </c>
      <c r="AE108" s="23">
        <v>30472.45</v>
      </c>
      <c r="AF108" s="23">
        <v>51803.16</v>
      </c>
      <c r="AG108" s="23">
        <v>365204.16</v>
      </c>
      <c r="AH108" s="23">
        <v>17</v>
      </c>
      <c r="AI108" s="23">
        <v>268.87</v>
      </c>
      <c r="AJ108" s="23">
        <v>-2.9399999999999999E-2</v>
      </c>
      <c r="AK108" s="23">
        <v>0.17649999999999999</v>
      </c>
      <c r="AL108" s="23" t="s">
        <v>24</v>
      </c>
      <c r="AM108" s="23">
        <v>54.15</v>
      </c>
      <c r="AN108" s="23">
        <v>30049.9</v>
      </c>
      <c r="AO108" s="23">
        <v>53.71</v>
      </c>
      <c r="AP108" s="23">
        <v>0</v>
      </c>
      <c r="AR108" s="46"/>
      <c r="AS108" s="44"/>
      <c r="AT108" s="45"/>
      <c r="AU108" s="2">
        <v>43560</v>
      </c>
      <c r="AV108" s="52">
        <v>0.125</v>
      </c>
      <c r="AW108" s="2" t="s">
        <v>213</v>
      </c>
      <c r="AY108" s="3"/>
      <c r="BA108" s="3"/>
      <c r="BG108" s="3"/>
      <c r="BH108" s="3"/>
    </row>
    <row r="109" spans="1:60">
      <c r="A109" s="23" t="s">
        <v>22</v>
      </c>
      <c r="B109" s="23" t="s">
        <v>23</v>
      </c>
      <c r="C109" s="27">
        <v>43563.489583333336</v>
      </c>
      <c r="D109" s="23">
        <v>54.55</v>
      </c>
      <c r="E109" s="27">
        <v>43564.53125</v>
      </c>
      <c r="F109" s="23">
        <v>54.150010000000002</v>
      </c>
      <c r="G109" s="31">
        <v>-7.3000000000000001E-3</v>
      </c>
      <c r="H109" s="23">
        <v>366.97</v>
      </c>
      <c r="I109" s="31">
        <v>7.3000000000000001E-3</v>
      </c>
      <c r="J109" s="23">
        <v>917.4171</v>
      </c>
      <c r="K109" s="23">
        <v>50045.1</v>
      </c>
      <c r="L109" s="23">
        <v>9340.4599999999991</v>
      </c>
      <c r="M109" s="23">
        <v>34</v>
      </c>
      <c r="N109" s="23">
        <v>10.79</v>
      </c>
      <c r="O109" s="31">
        <v>-3.7000000000000002E-3</v>
      </c>
      <c r="P109" s="31">
        <v>1.6500000000000001E-2</v>
      </c>
      <c r="Q109" s="23" t="s">
        <v>24</v>
      </c>
      <c r="R109" s="23">
        <v>0</v>
      </c>
      <c r="S109" s="23">
        <v>55.33</v>
      </c>
      <c r="U109" s="47">
        <f>VLOOKUP(AU109,[1]expiry_dates!$B$2:$C$2894,2,FALSE)</f>
        <v>43580</v>
      </c>
      <c r="V109" s="23" t="s">
        <v>131</v>
      </c>
      <c r="W109" s="23" t="s">
        <v>23</v>
      </c>
      <c r="X109" s="49">
        <v>43563.489583333336</v>
      </c>
      <c r="Y109" s="23">
        <v>1.85</v>
      </c>
      <c r="Z109" s="23">
        <v>43564.53125</v>
      </c>
      <c r="AA109" s="23">
        <v>1.55</v>
      </c>
      <c r="AB109" s="23">
        <v>-0.16220000000000001</v>
      </c>
      <c r="AC109" s="23">
        <v>8404.2199999999993</v>
      </c>
      <c r="AD109" s="23">
        <v>0.16220000000000001</v>
      </c>
      <c r="AE109" s="23">
        <v>28014.06</v>
      </c>
      <c r="AF109" s="23">
        <v>51826.02</v>
      </c>
      <c r="AG109" s="23">
        <v>373608.38</v>
      </c>
      <c r="AH109" s="23">
        <v>34</v>
      </c>
      <c r="AI109" s="23">
        <v>247.18</v>
      </c>
      <c r="AJ109" s="23">
        <v>-2.7E-2</v>
      </c>
      <c r="AK109" s="23">
        <v>0.27029999999999998</v>
      </c>
      <c r="AL109" s="23" t="s">
        <v>24</v>
      </c>
      <c r="AM109" s="23">
        <v>54.55</v>
      </c>
      <c r="AN109" s="23">
        <v>30089.95</v>
      </c>
      <c r="AO109" s="23">
        <v>55.33</v>
      </c>
      <c r="AP109" s="23">
        <v>0</v>
      </c>
      <c r="AR109" s="46"/>
      <c r="AS109" s="44"/>
      <c r="AT109" s="45"/>
      <c r="AU109" s="2">
        <v>43563</v>
      </c>
      <c r="AV109" s="52">
        <v>0.48958333333333331</v>
      </c>
      <c r="AW109" s="2" t="s">
        <v>212</v>
      </c>
      <c r="AY109" s="3"/>
      <c r="BA109" s="3"/>
      <c r="BG109" s="3"/>
      <c r="BH109" s="3"/>
    </row>
    <row r="110" spans="1:60">
      <c r="A110" s="23" t="s">
        <v>22</v>
      </c>
      <c r="B110" s="23" t="s">
        <v>25</v>
      </c>
      <c r="C110" s="27">
        <v>43564.53125</v>
      </c>
      <c r="D110" s="23">
        <v>54.15</v>
      </c>
      <c r="E110" s="27">
        <v>43565.447916666664</v>
      </c>
      <c r="F110" s="23">
        <v>54.45</v>
      </c>
      <c r="G110" s="31">
        <v>5.4999999999999997E-3</v>
      </c>
      <c r="H110" s="23">
        <v>277.27</v>
      </c>
      <c r="I110" s="31">
        <v>5.4999999999999997E-3</v>
      </c>
      <c r="J110" s="23">
        <v>924.24459999999999</v>
      </c>
      <c r="K110" s="23">
        <v>50047.85</v>
      </c>
      <c r="L110" s="23">
        <v>9617.73</v>
      </c>
      <c r="M110" s="23">
        <v>22</v>
      </c>
      <c r="N110" s="23">
        <v>12.6</v>
      </c>
      <c r="O110" s="31">
        <v>-5.4999999999999997E-3</v>
      </c>
      <c r="P110" s="31">
        <v>1.66E-2</v>
      </c>
      <c r="Q110" s="23" t="s">
        <v>24</v>
      </c>
      <c r="R110" s="23">
        <v>0</v>
      </c>
      <c r="S110" s="23">
        <v>53.67</v>
      </c>
      <c r="U110" s="47">
        <f>VLOOKUP(AU110,[1]expiry_dates!$B$2:$C$2894,2,FALSE)</f>
        <v>43580</v>
      </c>
      <c r="V110" s="23" t="s">
        <v>126</v>
      </c>
      <c r="W110" s="23" t="s">
        <v>23</v>
      </c>
      <c r="X110" s="49">
        <v>43564.53125</v>
      </c>
      <c r="Y110" s="23">
        <v>0.8</v>
      </c>
      <c r="Z110" s="23">
        <v>43565.447916666664</v>
      </c>
      <c r="AA110" s="23">
        <v>0.65</v>
      </c>
      <c r="AB110" s="23">
        <v>-0.1875</v>
      </c>
      <c r="AC110" s="23">
        <v>9729.2000000000007</v>
      </c>
      <c r="AD110" s="23">
        <v>0.1875</v>
      </c>
      <c r="AE110" s="23">
        <v>64861.32</v>
      </c>
      <c r="AF110" s="23">
        <v>51889.05</v>
      </c>
      <c r="AG110" s="23">
        <v>383337.58</v>
      </c>
      <c r="AH110" s="23">
        <v>22</v>
      </c>
      <c r="AI110" s="23">
        <v>442.24</v>
      </c>
      <c r="AJ110" s="23">
        <v>-0.125</v>
      </c>
      <c r="AK110" s="23">
        <v>0.25</v>
      </c>
      <c r="AL110" s="23" t="s">
        <v>24</v>
      </c>
      <c r="AM110" s="23">
        <v>54.15</v>
      </c>
      <c r="AN110" s="23">
        <v>29854.95</v>
      </c>
      <c r="AO110" s="23">
        <v>53.67</v>
      </c>
      <c r="AP110" s="23">
        <v>0</v>
      </c>
      <c r="AR110" s="46"/>
      <c r="AS110" s="44"/>
      <c r="AT110" s="45"/>
      <c r="AU110" s="2">
        <v>43564</v>
      </c>
      <c r="AV110" s="52">
        <v>0.53125</v>
      </c>
      <c r="AW110" s="2" t="s">
        <v>213</v>
      </c>
      <c r="AY110" s="3"/>
      <c r="BA110" s="3"/>
      <c r="BG110" s="3"/>
      <c r="BH110" s="3"/>
    </row>
    <row r="111" spans="1:60">
      <c r="A111" s="23" t="s">
        <v>22</v>
      </c>
      <c r="B111" s="23" t="s">
        <v>23</v>
      </c>
      <c r="C111" s="27">
        <v>43565.447916666664</v>
      </c>
      <c r="D111" s="23">
        <v>54.45</v>
      </c>
      <c r="E111" s="27">
        <v>43565.541666666664</v>
      </c>
      <c r="F111" s="23">
        <v>54.75</v>
      </c>
      <c r="G111" s="31">
        <v>5.4999999999999997E-3</v>
      </c>
      <c r="H111" s="23">
        <v>-275.75</v>
      </c>
      <c r="I111" s="31">
        <v>-5.4999999999999997E-3</v>
      </c>
      <c r="J111" s="23">
        <v>919.16110000000003</v>
      </c>
      <c r="K111" s="23">
        <v>50048.32</v>
      </c>
      <c r="L111" s="23">
        <v>9341.98</v>
      </c>
      <c r="M111" s="23">
        <v>10</v>
      </c>
      <c r="N111" s="23">
        <v>-27.57</v>
      </c>
      <c r="O111" s="31">
        <v>-6.4000000000000003E-3</v>
      </c>
      <c r="P111" s="31">
        <v>3.7000000000000002E-3</v>
      </c>
      <c r="Q111" s="23" t="s">
        <v>24</v>
      </c>
      <c r="R111" s="23">
        <v>0</v>
      </c>
      <c r="S111" s="23">
        <v>55.02</v>
      </c>
      <c r="U111" s="47">
        <f>VLOOKUP(AU111,[1]expiry_dates!$B$2:$C$2894,2,FALSE)</f>
        <v>43580</v>
      </c>
      <c r="V111" s="23" t="s">
        <v>128</v>
      </c>
      <c r="W111" s="23" t="s">
        <v>23</v>
      </c>
      <c r="X111" s="49">
        <v>43565.447916666664</v>
      </c>
      <c r="Y111" s="23">
        <v>2.0499999999999998</v>
      </c>
      <c r="Z111" s="23">
        <v>43565.541666666664</v>
      </c>
      <c r="AA111" s="23">
        <v>2.25</v>
      </c>
      <c r="AB111" s="23">
        <v>9.7600000000000006E-2</v>
      </c>
      <c r="AC111" s="23">
        <v>-5065.04</v>
      </c>
      <c r="AD111" s="23">
        <v>-9.7600000000000006E-2</v>
      </c>
      <c r="AE111" s="23">
        <v>25325.21</v>
      </c>
      <c r="AF111" s="23">
        <v>51916.69</v>
      </c>
      <c r="AG111" s="23">
        <v>378272.53</v>
      </c>
      <c r="AH111" s="23">
        <v>10</v>
      </c>
      <c r="AI111" s="23">
        <v>-506.5</v>
      </c>
      <c r="AJ111" s="23">
        <v>-0.2195</v>
      </c>
      <c r="AK111" s="23">
        <v>0</v>
      </c>
      <c r="AL111" s="23" t="s">
        <v>24</v>
      </c>
      <c r="AM111" s="23">
        <v>54.45</v>
      </c>
      <c r="AN111" s="23">
        <v>30056</v>
      </c>
      <c r="AO111" s="23">
        <v>55.02</v>
      </c>
      <c r="AP111" s="23">
        <v>0</v>
      </c>
      <c r="AR111" s="46"/>
      <c r="AS111" s="44"/>
      <c r="AT111" s="45"/>
      <c r="AU111" s="2">
        <v>43565</v>
      </c>
      <c r="AV111" s="52">
        <v>0.44791666666666669</v>
      </c>
      <c r="AW111" s="2" t="s">
        <v>212</v>
      </c>
      <c r="AY111" s="3"/>
      <c r="BA111" s="3"/>
      <c r="BG111" s="3"/>
      <c r="BH111" s="3"/>
    </row>
    <row r="112" spans="1:60">
      <c r="A112" s="23" t="s">
        <v>22</v>
      </c>
      <c r="B112" s="23" t="s">
        <v>25</v>
      </c>
      <c r="C112" s="27">
        <v>43565.541666666664</v>
      </c>
      <c r="D112" s="23">
        <v>54.75</v>
      </c>
      <c r="E112" s="27">
        <v>43565.59375</v>
      </c>
      <c r="F112" s="23">
        <v>54.35</v>
      </c>
      <c r="G112" s="31">
        <v>-7.3000000000000001E-3</v>
      </c>
      <c r="H112" s="23">
        <v>-365.64</v>
      </c>
      <c r="I112" s="31">
        <v>-7.3000000000000001E-3</v>
      </c>
      <c r="J112" s="23">
        <v>914.10360000000003</v>
      </c>
      <c r="K112" s="23">
        <v>50047.17</v>
      </c>
      <c r="L112" s="23">
        <v>8976.34</v>
      </c>
      <c r="M112" s="23">
        <v>6</v>
      </c>
      <c r="N112" s="23">
        <v>-60.94</v>
      </c>
      <c r="O112" s="31">
        <v>-7.3000000000000001E-3</v>
      </c>
      <c r="P112" s="31">
        <v>8.9999999999999998E-4</v>
      </c>
      <c r="Q112" s="23" t="s">
        <v>24</v>
      </c>
      <c r="R112" s="23">
        <v>0</v>
      </c>
      <c r="S112" s="23">
        <v>54.25</v>
      </c>
      <c r="U112" s="47">
        <f>VLOOKUP(AU112,[1]expiry_dates!$B$2:$C$2894,2,FALSE)</f>
        <v>43580</v>
      </c>
      <c r="V112" s="23" t="s">
        <v>126</v>
      </c>
      <c r="W112" s="23" t="s">
        <v>23</v>
      </c>
      <c r="X112" s="49">
        <v>43565.552083333336</v>
      </c>
      <c r="Y112" s="23">
        <v>0.6</v>
      </c>
      <c r="Z112" s="23">
        <v>43565.59375</v>
      </c>
      <c r="AA112" s="23">
        <v>0.7</v>
      </c>
      <c r="AB112" s="23">
        <v>0.16669999999999999</v>
      </c>
      <c r="AC112" s="23">
        <v>-8648.56</v>
      </c>
      <c r="AD112" s="23">
        <v>-0.16669999999999999</v>
      </c>
      <c r="AE112" s="23">
        <v>86485.6</v>
      </c>
      <c r="AF112" s="23">
        <v>51891.360000000001</v>
      </c>
      <c r="AG112" s="23">
        <v>369623.97</v>
      </c>
      <c r="AH112" s="23">
        <v>5</v>
      </c>
      <c r="AI112" s="23">
        <v>-1729.71</v>
      </c>
      <c r="AJ112" s="23">
        <v>-0.16669999999999999</v>
      </c>
      <c r="AK112" s="23">
        <v>0</v>
      </c>
      <c r="AL112" s="23" t="s">
        <v>24</v>
      </c>
      <c r="AM112" s="23">
        <v>54.65</v>
      </c>
      <c r="AN112" s="23">
        <v>29972.6</v>
      </c>
      <c r="AO112" s="23">
        <v>54.28</v>
      </c>
      <c r="AP112" s="23">
        <v>0</v>
      </c>
      <c r="AR112" s="46"/>
      <c r="AS112" s="44"/>
      <c r="AT112" s="45"/>
      <c r="AU112" s="2">
        <v>43565</v>
      </c>
      <c r="AV112" s="52">
        <v>5.2083333333333336E-2</v>
      </c>
      <c r="AW112" s="2" t="s">
        <v>213</v>
      </c>
      <c r="AY112" s="3"/>
      <c r="BA112" s="3"/>
      <c r="BG112" s="3"/>
      <c r="BH112" s="3"/>
    </row>
    <row r="113" spans="1:60">
      <c r="A113" s="23" t="s">
        <v>22</v>
      </c>
      <c r="B113" s="23" t="s">
        <v>23</v>
      </c>
      <c r="C113" s="27">
        <v>43565.59375</v>
      </c>
      <c r="D113" s="23">
        <v>54.35</v>
      </c>
      <c r="E113" s="27">
        <v>43565.635416666664</v>
      </c>
      <c r="F113" s="23">
        <v>54.7</v>
      </c>
      <c r="G113" s="31">
        <v>6.4000000000000003E-3</v>
      </c>
      <c r="H113" s="23">
        <v>-322.27999999999997</v>
      </c>
      <c r="I113" s="31">
        <v>-6.4000000000000003E-3</v>
      </c>
      <c r="J113" s="23">
        <v>920.79740000000004</v>
      </c>
      <c r="K113" s="23">
        <v>50045.34</v>
      </c>
      <c r="L113" s="23">
        <v>8654.06</v>
      </c>
      <c r="M113" s="23">
        <v>5</v>
      </c>
      <c r="N113" s="23">
        <v>-64.459999999999994</v>
      </c>
      <c r="O113" s="31">
        <v>-6.4000000000000003E-3</v>
      </c>
      <c r="P113" s="31">
        <v>4.5999999999999999E-3</v>
      </c>
      <c r="Q113" s="23" t="s">
        <v>24</v>
      </c>
      <c r="R113" s="23">
        <v>0</v>
      </c>
      <c r="S113" s="23">
        <v>54.78</v>
      </c>
      <c r="U113" s="47">
        <f>VLOOKUP(AU113,[1]expiry_dates!$B$2:$C$2894,2,FALSE)</f>
        <v>43580</v>
      </c>
      <c r="V113" s="23" t="s">
        <v>128</v>
      </c>
      <c r="W113" s="23" t="s">
        <v>23</v>
      </c>
      <c r="X113" s="49">
        <v>43565.59375</v>
      </c>
      <c r="Y113" s="23">
        <v>2</v>
      </c>
      <c r="Z113" s="23">
        <v>43565.635416666664</v>
      </c>
      <c r="AA113" s="23">
        <v>2</v>
      </c>
      <c r="AB113" s="23">
        <v>0</v>
      </c>
      <c r="AC113" s="23">
        <v>0</v>
      </c>
      <c r="AD113" s="23">
        <v>0</v>
      </c>
      <c r="AE113" s="23">
        <v>25934.87</v>
      </c>
      <c r="AF113" s="23">
        <v>51869.74</v>
      </c>
      <c r="AG113" s="23">
        <v>369623.97</v>
      </c>
      <c r="AH113" s="23">
        <v>5</v>
      </c>
      <c r="AI113" s="23">
        <v>0</v>
      </c>
      <c r="AJ113" s="23">
        <v>-2.5000000000000001E-2</v>
      </c>
      <c r="AK113" s="23">
        <v>2.5000000000000001E-2</v>
      </c>
      <c r="AL113" s="23" t="s">
        <v>24</v>
      </c>
      <c r="AM113" s="23">
        <v>54.35</v>
      </c>
      <c r="AN113" s="23">
        <v>29813.599999999999</v>
      </c>
      <c r="AO113" s="23">
        <v>54.78</v>
      </c>
      <c r="AP113" s="23">
        <v>0</v>
      </c>
      <c r="AR113" s="46"/>
      <c r="AS113" s="44"/>
      <c r="AT113" s="45"/>
      <c r="AU113" s="2">
        <v>43565</v>
      </c>
      <c r="AV113" s="52">
        <v>9.375E-2</v>
      </c>
      <c r="AW113" s="2" t="s">
        <v>213</v>
      </c>
      <c r="AY113" s="3"/>
      <c r="BA113" s="3"/>
      <c r="BG113" s="3"/>
      <c r="BH113" s="3"/>
    </row>
    <row r="114" spans="1:60">
      <c r="A114" s="23" t="s">
        <v>22</v>
      </c>
      <c r="B114" s="23" t="s">
        <v>25</v>
      </c>
      <c r="C114" s="27">
        <v>43565.635416666664</v>
      </c>
      <c r="D114" s="23">
        <v>54.7</v>
      </c>
      <c r="E114" s="27">
        <v>43566.416666666664</v>
      </c>
      <c r="F114" s="23">
        <v>54.3</v>
      </c>
      <c r="G114" s="31">
        <v>-7.3000000000000001E-3</v>
      </c>
      <c r="H114" s="23">
        <v>-365.95</v>
      </c>
      <c r="I114" s="31">
        <v>-7.3000000000000001E-3</v>
      </c>
      <c r="J114" s="23">
        <v>914.88040000000001</v>
      </c>
      <c r="K114" s="23">
        <v>50043.96</v>
      </c>
      <c r="L114" s="23">
        <v>8288.11</v>
      </c>
      <c r="M114" s="23">
        <v>9</v>
      </c>
      <c r="N114" s="23">
        <v>-40.659999999999997</v>
      </c>
      <c r="O114" s="31">
        <v>-7.3000000000000001E-3</v>
      </c>
      <c r="P114" s="31">
        <v>2.7000000000000001E-3</v>
      </c>
      <c r="Q114" s="23" t="s">
        <v>24</v>
      </c>
      <c r="R114" s="23">
        <v>0</v>
      </c>
      <c r="S114" s="23">
        <v>54.11</v>
      </c>
      <c r="U114" s="47">
        <f>VLOOKUP(AU114,[1]expiry_dates!$B$2:$C$2894,2,FALSE)</f>
        <v>43580</v>
      </c>
      <c r="V114" s="23" t="s">
        <v>124</v>
      </c>
      <c r="W114" s="23" t="s">
        <v>23</v>
      </c>
      <c r="X114" s="49">
        <v>43565.635416666664</v>
      </c>
      <c r="Y114" s="23">
        <v>0.3</v>
      </c>
      <c r="Z114" s="23">
        <v>43566.416666666664</v>
      </c>
      <c r="AA114" s="23">
        <v>0.25</v>
      </c>
      <c r="AB114" s="23">
        <v>-0.16669999999999999</v>
      </c>
      <c r="AC114" s="23">
        <v>8641.35</v>
      </c>
      <c r="AD114" s="23">
        <v>0.16669999999999999</v>
      </c>
      <c r="AE114" s="23">
        <v>172827.1</v>
      </c>
      <c r="AF114" s="23">
        <v>51848.12</v>
      </c>
      <c r="AG114" s="23">
        <v>378265.33</v>
      </c>
      <c r="AH114" s="23">
        <v>9</v>
      </c>
      <c r="AI114" s="23">
        <v>960.15</v>
      </c>
      <c r="AJ114" s="23">
        <v>0</v>
      </c>
      <c r="AK114" s="23">
        <v>0.33329999999999999</v>
      </c>
      <c r="AL114" s="23" t="s">
        <v>24</v>
      </c>
      <c r="AM114" s="23">
        <v>54.7</v>
      </c>
      <c r="AN114" s="23">
        <v>29788.85</v>
      </c>
      <c r="AO114" s="23">
        <v>54.11</v>
      </c>
      <c r="AP114" s="23">
        <v>0</v>
      </c>
      <c r="AR114" s="46"/>
      <c r="AS114" s="44"/>
      <c r="AT114" s="45"/>
      <c r="AU114" s="2">
        <v>43565</v>
      </c>
      <c r="AV114" s="52">
        <v>0.13541666666666666</v>
      </c>
      <c r="AW114" s="2" t="s">
        <v>213</v>
      </c>
      <c r="AY114" s="3"/>
      <c r="BA114" s="3"/>
      <c r="BG114" s="3"/>
      <c r="BH114" s="3"/>
    </row>
    <row r="115" spans="1:60">
      <c r="A115" s="23" t="s">
        <v>22</v>
      </c>
      <c r="B115" s="23" t="s">
        <v>23</v>
      </c>
      <c r="C115" s="27">
        <v>43566.416666666664</v>
      </c>
      <c r="D115" s="23">
        <v>54.3</v>
      </c>
      <c r="E115" s="27">
        <v>43566.552083333336</v>
      </c>
      <c r="F115" s="23">
        <v>54.1</v>
      </c>
      <c r="G115" s="31">
        <v>-3.7000000000000002E-3</v>
      </c>
      <c r="H115" s="23">
        <v>184.32</v>
      </c>
      <c r="I115" s="31">
        <v>3.7000000000000002E-3</v>
      </c>
      <c r="J115" s="23">
        <v>921.59879999999998</v>
      </c>
      <c r="K115" s="23">
        <v>50042.81</v>
      </c>
      <c r="L115" s="23">
        <v>8472.43</v>
      </c>
      <c r="M115" s="23">
        <v>14</v>
      </c>
      <c r="N115" s="23">
        <v>13.17</v>
      </c>
      <c r="O115" s="31">
        <v>-6.4000000000000003E-3</v>
      </c>
      <c r="P115" s="31">
        <v>9.1999999999999998E-3</v>
      </c>
      <c r="Q115" s="23" t="s">
        <v>24</v>
      </c>
      <c r="R115" s="23">
        <v>0</v>
      </c>
      <c r="S115" s="23">
        <v>54.84</v>
      </c>
      <c r="U115" s="47">
        <f>VLOOKUP(AU115,[1]expiry_dates!$B$2:$C$2894,2,FALSE)</f>
        <v>43580</v>
      </c>
      <c r="V115" s="23" t="s">
        <v>128</v>
      </c>
      <c r="W115" s="23" t="s">
        <v>23</v>
      </c>
      <c r="X115" s="49">
        <v>43566.416666666664</v>
      </c>
      <c r="Y115" s="23">
        <v>1.85</v>
      </c>
      <c r="Z115" s="23">
        <v>43566.552083333336</v>
      </c>
      <c r="AA115" s="23">
        <v>1.6</v>
      </c>
      <c r="AB115" s="23">
        <v>-0.1351</v>
      </c>
      <c r="AC115" s="23">
        <v>7018.18</v>
      </c>
      <c r="AD115" s="23">
        <v>0.1351</v>
      </c>
      <c r="AE115" s="23">
        <v>28072.720000000001</v>
      </c>
      <c r="AF115" s="23">
        <v>51934.54</v>
      </c>
      <c r="AG115" s="23">
        <v>385283.51</v>
      </c>
      <c r="AH115" s="23">
        <v>14</v>
      </c>
      <c r="AI115" s="23">
        <v>501.3</v>
      </c>
      <c r="AJ115" s="23">
        <v>-0.1351</v>
      </c>
      <c r="AK115" s="23">
        <v>0.1351</v>
      </c>
      <c r="AL115" s="23" t="s">
        <v>24</v>
      </c>
      <c r="AM115" s="23">
        <v>54.3</v>
      </c>
      <c r="AN115" s="23">
        <v>29711.55</v>
      </c>
      <c r="AO115" s="23">
        <v>54.84</v>
      </c>
      <c r="AP115" s="23">
        <v>0</v>
      </c>
      <c r="AR115" s="46"/>
      <c r="AS115" s="44"/>
      <c r="AT115" s="45"/>
      <c r="AU115" s="2">
        <v>43566</v>
      </c>
      <c r="AV115" s="52">
        <v>0.41666666666666669</v>
      </c>
      <c r="AW115" s="2" t="s">
        <v>212</v>
      </c>
      <c r="AY115" s="3"/>
      <c r="BA115" s="3"/>
      <c r="BG115" s="3"/>
      <c r="BH115" s="3"/>
    </row>
    <row r="116" spans="1:60">
      <c r="A116" s="23" t="s">
        <v>22</v>
      </c>
      <c r="B116" s="23" t="s">
        <v>25</v>
      </c>
      <c r="C116" s="27">
        <v>43566.552083333336</v>
      </c>
      <c r="D116" s="23">
        <v>54.1</v>
      </c>
      <c r="E116" s="27">
        <v>43567.458333333336</v>
      </c>
      <c r="F116" s="23">
        <v>54.400010000000002</v>
      </c>
      <c r="G116" s="31">
        <v>5.4999999999999997E-3</v>
      </c>
      <c r="H116" s="23">
        <v>277.5</v>
      </c>
      <c r="I116" s="31">
        <v>5.4999999999999997E-3</v>
      </c>
      <c r="J116" s="23">
        <v>924.98900000000003</v>
      </c>
      <c r="K116" s="23">
        <v>50041.9</v>
      </c>
      <c r="L116" s="23">
        <v>8749.93</v>
      </c>
      <c r="M116" s="23">
        <v>21</v>
      </c>
      <c r="N116" s="23">
        <v>13.21</v>
      </c>
      <c r="O116" s="31">
        <v>-3.7000000000000002E-3</v>
      </c>
      <c r="P116" s="31">
        <v>1.3899999999999999E-2</v>
      </c>
      <c r="Q116" s="23" t="s">
        <v>24</v>
      </c>
      <c r="R116" s="23">
        <v>0</v>
      </c>
      <c r="S116" s="23">
        <v>53.81</v>
      </c>
      <c r="U116" s="47">
        <f>VLOOKUP(AU116,[1]expiry_dates!$B$2:$C$2894,2,FALSE)</f>
        <v>43580</v>
      </c>
      <c r="V116" s="23" t="s">
        <v>130</v>
      </c>
      <c r="W116" s="23" t="s">
        <v>23</v>
      </c>
      <c r="X116" s="49">
        <v>43566.552083333336</v>
      </c>
      <c r="Y116" s="23">
        <v>2.0499999999999998</v>
      </c>
      <c r="Z116" s="23">
        <v>43567.458333333336</v>
      </c>
      <c r="AA116" s="23">
        <v>1.55</v>
      </c>
      <c r="AB116" s="23">
        <v>-0.24390000000000001</v>
      </c>
      <c r="AC116" s="23">
        <v>12661.56</v>
      </c>
      <c r="AD116" s="23">
        <v>0.24390000000000001</v>
      </c>
      <c r="AE116" s="23">
        <v>25323.11</v>
      </c>
      <c r="AF116" s="23">
        <v>51912.38</v>
      </c>
      <c r="AG116" s="23">
        <v>397945.06</v>
      </c>
      <c r="AH116" s="23">
        <v>21</v>
      </c>
      <c r="AI116" s="23">
        <v>602.92999999999995</v>
      </c>
      <c r="AJ116" s="23">
        <v>-2.4400000000000002E-2</v>
      </c>
      <c r="AK116" s="23">
        <v>0.24390000000000001</v>
      </c>
      <c r="AL116" s="23" t="s">
        <v>24</v>
      </c>
      <c r="AM116" s="23">
        <v>54.1</v>
      </c>
      <c r="AN116" s="23">
        <v>29684</v>
      </c>
      <c r="AO116" s="23">
        <v>53.81</v>
      </c>
      <c r="AP116" s="23">
        <v>0</v>
      </c>
      <c r="AR116" s="46"/>
      <c r="AS116" s="44"/>
      <c r="AT116" s="45"/>
      <c r="AU116" s="2">
        <v>43566</v>
      </c>
      <c r="AV116" s="52">
        <v>5.2083333333333336E-2</v>
      </c>
      <c r="AW116" s="2" t="s">
        <v>213</v>
      </c>
      <c r="AY116" s="3"/>
      <c r="BA116" s="3"/>
      <c r="BG116" s="3"/>
      <c r="BH116" s="3"/>
    </row>
    <row r="117" spans="1:60">
      <c r="A117" s="23" t="s">
        <v>22</v>
      </c>
      <c r="B117" s="23" t="s">
        <v>23</v>
      </c>
      <c r="C117" s="27">
        <v>43567.458333333336</v>
      </c>
      <c r="D117" s="23">
        <v>54.4</v>
      </c>
      <c r="E117" s="27">
        <v>43567.604166666664</v>
      </c>
      <c r="F117" s="23">
        <v>54.3</v>
      </c>
      <c r="G117" s="31">
        <v>-1.8E-3</v>
      </c>
      <c r="H117" s="23">
        <v>91.99</v>
      </c>
      <c r="I117" s="31">
        <v>1.8E-3</v>
      </c>
      <c r="J117" s="23">
        <v>919.93039999999996</v>
      </c>
      <c r="K117" s="23">
        <v>50044.21</v>
      </c>
      <c r="L117" s="23">
        <v>8841.92</v>
      </c>
      <c r="M117" s="23">
        <v>15</v>
      </c>
      <c r="N117" s="23">
        <v>6.13</v>
      </c>
      <c r="O117" s="31">
        <v>-3.7000000000000002E-3</v>
      </c>
      <c r="P117" s="31">
        <v>9.1999999999999998E-3</v>
      </c>
      <c r="Q117" s="23" t="s">
        <v>24</v>
      </c>
      <c r="R117" s="23">
        <v>0</v>
      </c>
      <c r="S117" s="23">
        <v>54.84</v>
      </c>
      <c r="U117" s="47">
        <f>VLOOKUP(AU117,[1]expiry_dates!$B$2:$C$2894,2,FALSE)</f>
        <v>43580</v>
      </c>
      <c r="V117" s="23" t="s">
        <v>132</v>
      </c>
      <c r="W117" s="23" t="s">
        <v>23</v>
      </c>
      <c r="X117" s="49">
        <v>43567.458333333336</v>
      </c>
      <c r="Y117" s="23">
        <v>0.95</v>
      </c>
      <c r="Z117" s="23">
        <v>43567.604166666664</v>
      </c>
      <c r="AA117" s="23">
        <v>0.80000009999999999</v>
      </c>
      <c r="AB117" s="23">
        <v>-0.15790000000000001</v>
      </c>
      <c r="AC117" s="23">
        <v>8208.9</v>
      </c>
      <c r="AD117" s="23">
        <v>0.15790000000000001</v>
      </c>
      <c r="AE117" s="23">
        <v>54726.03</v>
      </c>
      <c r="AF117" s="23">
        <v>51989.73</v>
      </c>
      <c r="AG117" s="23">
        <v>406153.97</v>
      </c>
      <c r="AH117" s="23">
        <v>15</v>
      </c>
      <c r="AI117" s="23">
        <v>547.26</v>
      </c>
      <c r="AJ117" s="23">
        <v>-5.2600000000000001E-2</v>
      </c>
      <c r="AK117" s="23">
        <v>0.21049999999999999</v>
      </c>
      <c r="AL117" s="23" t="s">
        <v>24</v>
      </c>
      <c r="AM117" s="23">
        <v>54.4</v>
      </c>
      <c r="AN117" s="23">
        <v>29790.75</v>
      </c>
      <c r="AO117" s="23">
        <v>54.84</v>
      </c>
      <c r="AP117" s="23">
        <v>0</v>
      </c>
      <c r="AR117" s="46"/>
      <c r="AS117" s="44"/>
      <c r="AT117" s="45"/>
      <c r="AU117" s="2">
        <v>43567</v>
      </c>
      <c r="AV117" s="52">
        <v>0.45833333333333331</v>
      </c>
      <c r="AW117" s="2" t="s">
        <v>212</v>
      </c>
      <c r="AY117" s="3"/>
      <c r="BA117" s="3"/>
      <c r="BG117" s="3"/>
      <c r="BH117" s="3"/>
    </row>
    <row r="118" spans="1:60">
      <c r="A118" s="23" t="s">
        <v>22</v>
      </c>
      <c r="B118" s="23" t="s">
        <v>25</v>
      </c>
      <c r="C118" s="27">
        <v>43567.604166666664</v>
      </c>
      <c r="D118" s="23">
        <v>54.3</v>
      </c>
      <c r="E118" s="27">
        <v>43570.395833333336</v>
      </c>
      <c r="F118" s="23">
        <v>54.15</v>
      </c>
      <c r="G118" s="31">
        <v>-2.8E-3</v>
      </c>
      <c r="H118" s="23">
        <v>-138.24</v>
      </c>
      <c r="I118" s="31">
        <v>-2.8E-3</v>
      </c>
      <c r="J118" s="23">
        <v>921.62450000000001</v>
      </c>
      <c r="K118" s="23">
        <v>50044.21</v>
      </c>
      <c r="L118" s="23">
        <v>8703.68</v>
      </c>
      <c r="M118" s="23">
        <v>10</v>
      </c>
      <c r="N118" s="23">
        <v>-13.82</v>
      </c>
      <c r="O118" s="31">
        <v>-4.5999999999999999E-3</v>
      </c>
      <c r="P118" s="31">
        <v>2.8E-3</v>
      </c>
      <c r="Q118" s="23" t="s">
        <v>24</v>
      </c>
      <c r="R118" s="23">
        <v>0</v>
      </c>
      <c r="S118" s="23">
        <v>53.91</v>
      </c>
      <c r="U118" s="47">
        <f>VLOOKUP(AU118,[1]expiry_dates!$B$2:$C$2894,2,FALSE)</f>
        <v>43580</v>
      </c>
      <c r="V118" s="23" t="s">
        <v>124</v>
      </c>
      <c r="W118" s="23" t="s">
        <v>23</v>
      </c>
      <c r="X118" s="49">
        <v>43567.604166666664</v>
      </c>
      <c r="Y118" s="23">
        <v>0.2</v>
      </c>
      <c r="Z118" s="23">
        <v>43570.395833333336</v>
      </c>
      <c r="AA118" s="23">
        <v>0.2</v>
      </c>
      <c r="AB118" s="23">
        <v>0</v>
      </c>
      <c r="AC118" s="23">
        <v>0</v>
      </c>
      <c r="AD118" s="23">
        <v>0</v>
      </c>
      <c r="AE118" s="23">
        <v>260153.8</v>
      </c>
      <c r="AF118" s="23">
        <v>52030.77</v>
      </c>
      <c r="AG118" s="23">
        <v>406153.97</v>
      </c>
      <c r="AH118" s="23">
        <v>10</v>
      </c>
      <c r="AI118" s="23">
        <v>0</v>
      </c>
      <c r="AJ118" s="23">
        <v>0</v>
      </c>
      <c r="AK118" s="23">
        <v>0</v>
      </c>
      <c r="AL118" s="23" t="s">
        <v>24</v>
      </c>
      <c r="AM118" s="23">
        <v>54.3</v>
      </c>
      <c r="AN118" s="23">
        <v>29974.5</v>
      </c>
      <c r="AO118" s="23">
        <v>53.91</v>
      </c>
      <c r="AP118" s="23">
        <v>0</v>
      </c>
      <c r="AR118" s="46"/>
      <c r="AS118" s="44"/>
      <c r="AT118" s="45"/>
      <c r="AU118" s="2">
        <v>43567</v>
      </c>
      <c r="AV118" s="52">
        <v>0.10416666666666667</v>
      </c>
      <c r="AW118" s="2" t="s">
        <v>213</v>
      </c>
      <c r="AY118" s="3"/>
      <c r="BA118" s="3"/>
      <c r="BG118" s="3"/>
      <c r="BH118" s="3"/>
    </row>
    <row r="119" spans="1:60">
      <c r="A119" s="23" t="s">
        <v>22</v>
      </c>
      <c r="B119" s="23" t="s">
        <v>23</v>
      </c>
      <c r="C119" s="27">
        <v>43570.395833333336</v>
      </c>
      <c r="D119" s="23">
        <v>54.15</v>
      </c>
      <c r="E119" s="27">
        <v>43570.416666666664</v>
      </c>
      <c r="F119" s="23">
        <v>54.4</v>
      </c>
      <c r="G119" s="31">
        <v>4.5999999999999999E-3</v>
      </c>
      <c r="H119" s="23">
        <v>-231.04</v>
      </c>
      <c r="I119" s="31">
        <v>-4.5999999999999999E-3</v>
      </c>
      <c r="J119" s="23">
        <v>924.17319999999995</v>
      </c>
      <c r="K119" s="23">
        <v>50043.98</v>
      </c>
      <c r="L119" s="23">
        <v>8472.6299999999992</v>
      </c>
      <c r="M119" s="23">
        <v>3</v>
      </c>
      <c r="N119" s="23">
        <v>-77.010000000000005</v>
      </c>
      <c r="O119" s="31">
        <v>-4.5999999999999999E-3</v>
      </c>
      <c r="P119" s="31">
        <v>2.8E-3</v>
      </c>
      <c r="Q119" s="23" t="s">
        <v>24</v>
      </c>
      <c r="R119" s="23">
        <v>0</v>
      </c>
      <c r="S119" s="23">
        <v>54.43</v>
      </c>
      <c r="U119" s="47">
        <f>VLOOKUP(AU119,[1]expiry_dates!$B$2:$C$2894,2,FALSE)</f>
        <v>43580</v>
      </c>
      <c r="V119" s="23" t="s">
        <v>131</v>
      </c>
      <c r="W119" s="23" t="s">
        <v>23</v>
      </c>
      <c r="X119" s="49">
        <v>43570.395833333336</v>
      </c>
      <c r="Y119" s="23">
        <v>1.05</v>
      </c>
      <c r="Z119" s="23">
        <v>43570.416666666664</v>
      </c>
      <c r="AA119" s="23">
        <v>1.1000000000000001</v>
      </c>
      <c r="AB119" s="23">
        <v>4.7600000000000003E-2</v>
      </c>
      <c r="AC119" s="23">
        <v>-2477.66</v>
      </c>
      <c r="AD119" s="23">
        <v>-4.7600000000000003E-2</v>
      </c>
      <c r="AE119" s="23">
        <v>49553.120000000003</v>
      </c>
      <c r="AF119" s="23">
        <v>52030.77</v>
      </c>
      <c r="AG119" s="23">
        <v>403676.31</v>
      </c>
      <c r="AH119" s="23">
        <v>3</v>
      </c>
      <c r="AI119" s="23">
        <v>-825.89</v>
      </c>
      <c r="AJ119" s="23">
        <v>-9.5200000000000007E-2</v>
      </c>
      <c r="AK119" s="23">
        <v>4.7600000000000003E-2</v>
      </c>
      <c r="AL119" s="23" t="s">
        <v>24</v>
      </c>
      <c r="AM119" s="23">
        <v>54.15</v>
      </c>
      <c r="AN119" s="23">
        <v>30055.85</v>
      </c>
      <c r="AO119" s="23">
        <v>54.43</v>
      </c>
      <c r="AP119" s="23">
        <v>0</v>
      </c>
      <c r="AR119" s="46"/>
      <c r="AS119" s="44"/>
      <c r="AT119" s="45"/>
      <c r="AU119" s="2">
        <v>43570</v>
      </c>
      <c r="AV119" s="52">
        <v>0.39583333333333331</v>
      </c>
      <c r="AW119" s="2" t="s">
        <v>212</v>
      </c>
      <c r="AY119" s="3"/>
      <c r="BA119" s="3"/>
      <c r="BG119" s="3"/>
      <c r="BH119" s="3"/>
    </row>
    <row r="120" spans="1:60">
      <c r="A120" s="23" t="s">
        <v>22</v>
      </c>
      <c r="B120" s="23" t="s">
        <v>25</v>
      </c>
      <c r="C120" s="27">
        <v>43570.416666666664</v>
      </c>
      <c r="D120" s="23">
        <v>54.4</v>
      </c>
      <c r="E120" s="27">
        <v>43570.53125</v>
      </c>
      <c r="F120" s="23">
        <v>54.15</v>
      </c>
      <c r="G120" s="31">
        <v>-4.5999999999999999E-3</v>
      </c>
      <c r="H120" s="23">
        <v>-229.98</v>
      </c>
      <c r="I120" s="31">
        <v>-4.5999999999999999E-3</v>
      </c>
      <c r="J120" s="23">
        <v>919.90480000000002</v>
      </c>
      <c r="K120" s="23">
        <v>50042.82</v>
      </c>
      <c r="L120" s="23">
        <v>8242.66</v>
      </c>
      <c r="M120" s="23">
        <v>12</v>
      </c>
      <c r="N120" s="23">
        <v>-19.16</v>
      </c>
      <c r="O120" s="31">
        <v>-4.5999999999999999E-3</v>
      </c>
      <c r="P120" s="31">
        <v>1.8E-3</v>
      </c>
      <c r="Q120" s="23" t="s">
        <v>24</v>
      </c>
      <c r="R120" s="23">
        <v>0</v>
      </c>
      <c r="S120" s="23">
        <v>54.01</v>
      </c>
      <c r="U120" s="47">
        <f>VLOOKUP(AU120,[1]expiry_dates!$B$2:$C$2894,2,FALSE)</f>
        <v>43580</v>
      </c>
      <c r="V120" s="23" t="s">
        <v>129</v>
      </c>
      <c r="W120" s="23" t="s">
        <v>23</v>
      </c>
      <c r="X120" s="49">
        <v>43570.416666666664</v>
      </c>
      <c r="Y120" s="23">
        <v>0.7</v>
      </c>
      <c r="Z120" s="23">
        <v>43570.53125</v>
      </c>
      <c r="AA120" s="23">
        <v>0.75</v>
      </c>
      <c r="AB120" s="23">
        <v>7.1400000000000005E-2</v>
      </c>
      <c r="AC120" s="23">
        <v>-3716.48</v>
      </c>
      <c r="AD120" s="23">
        <v>-7.1400000000000005E-2</v>
      </c>
      <c r="AE120" s="23">
        <v>74329.67</v>
      </c>
      <c r="AF120" s="23">
        <v>52030.77</v>
      </c>
      <c r="AG120" s="23">
        <v>399959.83</v>
      </c>
      <c r="AH120" s="23">
        <v>12</v>
      </c>
      <c r="AI120" s="23">
        <v>-309.70999999999998</v>
      </c>
      <c r="AJ120" s="23">
        <v>-7.1400000000000005E-2</v>
      </c>
      <c r="AK120" s="23">
        <v>0</v>
      </c>
      <c r="AL120" s="23" t="s">
        <v>24</v>
      </c>
      <c r="AM120" s="23">
        <v>54.4</v>
      </c>
      <c r="AN120" s="23">
        <v>30107.15</v>
      </c>
      <c r="AO120" s="23">
        <v>54.01</v>
      </c>
      <c r="AP120" s="23">
        <v>0</v>
      </c>
      <c r="AR120" s="46"/>
      <c r="AS120" s="44"/>
      <c r="AT120" s="45"/>
      <c r="AU120" s="2">
        <v>43570</v>
      </c>
      <c r="AV120" s="52">
        <v>0.41666666666666669</v>
      </c>
      <c r="AW120" s="2" t="s">
        <v>212</v>
      </c>
      <c r="AY120" s="3"/>
      <c r="BA120" s="3"/>
      <c r="BG120" s="3"/>
      <c r="BH120" s="3"/>
    </row>
    <row r="121" spans="1:60">
      <c r="A121" s="23" t="s">
        <v>22</v>
      </c>
      <c r="B121" s="23" t="s">
        <v>23</v>
      </c>
      <c r="C121" s="27">
        <v>43570.53125</v>
      </c>
      <c r="D121" s="23">
        <v>54.15</v>
      </c>
      <c r="E121" s="27">
        <v>43571.5625</v>
      </c>
      <c r="F121" s="23">
        <v>53.8</v>
      </c>
      <c r="G121" s="31">
        <v>-6.4999999999999997E-3</v>
      </c>
      <c r="H121" s="23">
        <v>323.45</v>
      </c>
      <c r="I121" s="31">
        <v>6.4999999999999997E-3</v>
      </c>
      <c r="J121" s="23">
        <v>924.13480000000004</v>
      </c>
      <c r="K121" s="23">
        <v>50041.9</v>
      </c>
      <c r="L121" s="23">
        <v>8566.1</v>
      </c>
      <c r="M121" s="23">
        <v>33</v>
      </c>
      <c r="N121" s="23">
        <v>9.8000000000000007</v>
      </c>
      <c r="O121" s="31">
        <v>-3.7000000000000002E-3</v>
      </c>
      <c r="P121" s="31">
        <v>1.3899999999999999E-2</v>
      </c>
      <c r="Q121" s="23" t="s">
        <v>24</v>
      </c>
      <c r="R121" s="23">
        <v>0</v>
      </c>
      <c r="S121" s="23">
        <v>54.5</v>
      </c>
      <c r="U121" s="47">
        <f>VLOOKUP(AU121,[1]expiry_dates!$B$2:$C$2894,2,FALSE)</f>
        <v>43580</v>
      </c>
      <c r="V121" s="23" t="s">
        <v>131</v>
      </c>
      <c r="W121" s="23" t="s">
        <v>23</v>
      </c>
      <c r="X121" s="49">
        <v>43570.53125</v>
      </c>
      <c r="Y121" s="23">
        <v>1.05</v>
      </c>
      <c r="Z121" s="23">
        <v>43571.5625</v>
      </c>
      <c r="AA121" s="23">
        <v>0.85</v>
      </c>
      <c r="AB121" s="23">
        <v>-0.1905</v>
      </c>
      <c r="AC121" s="23">
        <v>9904.7199999999993</v>
      </c>
      <c r="AD121" s="23">
        <v>0.1905</v>
      </c>
      <c r="AE121" s="23">
        <v>49523.62</v>
      </c>
      <c r="AF121" s="23">
        <v>51999.8</v>
      </c>
      <c r="AG121" s="23">
        <v>409864.55</v>
      </c>
      <c r="AH121" s="23">
        <v>33</v>
      </c>
      <c r="AI121" s="23">
        <v>300.14</v>
      </c>
      <c r="AJ121" s="23">
        <v>0</v>
      </c>
      <c r="AK121" s="23">
        <v>0.42859999999999998</v>
      </c>
      <c r="AL121" s="23" t="s">
        <v>24</v>
      </c>
      <c r="AM121" s="23">
        <v>54.15</v>
      </c>
      <c r="AN121" s="23">
        <v>30130.799999999999</v>
      </c>
      <c r="AO121" s="23">
        <v>54.5</v>
      </c>
      <c r="AP121" s="23">
        <v>0</v>
      </c>
      <c r="AR121" s="46"/>
      <c r="AS121" s="44"/>
      <c r="AT121" s="45"/>
      <c r="AU121" s="2">
        <v>43570</v>
      </c>
      <c r="AV121" s="52">
        <v>0.53125</v>
      </c>
      <c r="AW121" s="2" t="s">
        <v>213</v>
      </c>
      <c r="AY121" s="3"/>
      <c r="BA121" s="3"/>
      <c r="BG121" s="3"/>
      <c r="BH121" s="3"/>
    </row>
    <row r="122" spans="1:60">
      <c r="A122" s="23" t="s">
        <v>22</v>
      </c>
      <c r="B122" s="23" t="s">
        <v>25</v>
      </c>
      <c r="C122" s="27">
        <v>43571.5625</v>
      </c>
      <c r="D122" s="23">
        <v>53.8</v>
      </c>
      <c r="E122" s="27">
        <v>43571.625</v>
      </c>
      <c r="F122" s="23">
        <v>53.6</v>
      </c>
      <c r="G122" s="31">
        <v>-3.7000000000000002E-3</v>
      </c>
      <c r="H122" s="23">
        <v>-186.04</v>
      </c>
      <c r="I122" s="31">
        <v>-3.7000000000000002E-3</v>
      </c>
      <c r="J122" s="23">
        <v>930.17700000000002</v>
      </c>
      <c r="K122" s="23">
        <v>50043.519999999997</v>
      </c>
      <c r="L122" s="23">
        <v>8380.07</v>
      </c>
      <c r="M122" s="23">
        <v>7</v>
      </c>
      <c r="N122" s="23">
        <v>-26.58</v>
      </c>
      <c r="O122" s="31">
        <v>-4.5999999999999999E-3</v>
      </c>
      <c r="P122" s="31">
        <v>1.9E-3</v>
      </c>
      <c r="Q122" s="23" t="s">
        <v>24</v>
      </c>
      <c r="R122" s="23">
        <v>0</v>
      </c>
      <c r="S122" s="23">
        <v>53.41</v>
      </c>
      <c r="U122" s="47">
        <f>VLOOKUP(AU122,[1]expiry_dates!$B$2:$C$2894,2,FALSE)</f>
        <v>43580</v>
      </c>
      <c r="V122" s="23" t="s">
        <v>129</v>
      </c>
      <c r="W122" s="23" t="s">
        <v>23</v>
      </c>
      <c r="X122" s="49">
        <v>43571.5625</v>
      </c>
      <c r="Y122" s="23">
        <v>0.75</v>
      </c>
      <c r="Z122" s="23">
        <v>43571.625</v>
      </c>
      <c r="AA122" s="23">
        <v>0.75</v>
      </c>
      <c r="AB122" s="23">
        <v>0</v>
      </c>
      <c r="AC122" s="23">
        <v>0</v>
      </c>
      <c r="AD122" s="23">
        <v>0</v>
      </c>
      <c r="AE122" s="23">
        <v>69448.62</v>
      </c>
      <c r="AF122" s="23">
        <v>52086.46</v>
      </c>
      <c r="AG122" s="23">
        <v>409864.55</v>
      </c>
      <c r="AH122" s="23">
        <v>7</v>
      </c>
      <c r="AI122" s="23">
        <v>0</v>
      </c>
      <c r="AJ122" s="23">
        <v>-6.6699999999999995E-2</v>
      </c>
      <c r="AK122" s="23">
        <v>6.6699999999999995E-2</v>
      </c>
      <c r="AL122" s="23" t="s">
        <v>24</v>
      </c>
      <c r="AM122" s="23">
        <v>53.8</v>
      </c>
      <c r="AN122" s="23">
        <v>30499.25</v>
      </c>
      <c r="AO122" s="23">
        <v>53.41</v>
      </c>
      <c r="AP122" s="23">
        <v>0</v>
      </c>
      <c r="AR122" s="46"/>
      <c r="AS122" s="44"/>
      <c r="AT122" s="45"/>
      <c r="AU122" s="2">
        <v>43571</v>
      </c>
      <c r="AV122" s="52">
        <v>6.25E-2</v>
      </c>
      <c r="AW122" s="2" t="s">
        <v>213</v>
      </c>
      <c r="AY122" s="3"/>
      <c r="BA122" s="3"/>
      <c r="BG122" s="3"/>
      <c r="BH122" s="3"/>
    </row>
    <row r="123" spans="1:60">
      <c r="A123" s="23" t="s">
        <v>22</v>
      </c>
      <c r="B123" s="23" t="s">
        <v>23</v>
      </c>
      <c r="C123" s="27">
        <v>43571.625</v>
      </c>
      <c r="D123" s="23">
        <v>53.6</v>
      </c>
      <c r="E123" s="27">
        <v>43573.385416666664</v>
      </c>
      <c r="F123" s="23">
        <v>53.9</v>
      </c>
      <c r="G123" s="31">
        <v>5.5999999999999999E-3</v>
      </c>
      <c r="H123" s="23">
        <v>-280.08999999999997</v>
      </c>
      <c r="I123" s="31">
        <v>-5.5999999999999999E-3</v>
      </c>
      <c r="J123" s="23">
        <v>933.62189999999998</v>
      </c>
      <c r="K123" s="23">
        <v>50042.13</v>
      </c>
      <c r="L123" s="23">
        <v>8099.98</v>
      </c>
      <c r="M123" s="23">
        <v>7</v>
      </c>
      <c r="N123" s="23">
        <v>-40.01</v>
      </c>
      <c r="O123" s="31">
        <v>-5.5999999999999999E-3</v>
      </c>
      <c r="P123" s="31">
        <v>1.9E-3</v>
      </c>
      <c r="Q123" s="23" t="s">
        <v>24</v>
      </c>
      <c r="R123" s="23">
        <v>0</v>
      </c>
      <c r="S123" s="23">
        <v>53.9</v>
      </c>
      <c r="U123" s="47">
        <f>VLOOKUP(AU123,[1]expiry_dates!$B$2:$C$2894,2,FALSE)</f>
        <v>43580</v>
      </c>
      <c r="V123" s="23" t="s">
        <v>128</v>
      </c>
      <c r="W123" s="23" t="s">
        <v>23</v>
      </c>
      <c r="X123" s="49">
        <v>43571.625</v>
      </c>
      <c r="Y123" s="23">
        <v>0.95</v>
      </c>
      <c r="Z123" s="23">
        <v>43573.385416666664</v>
      </c>
      <c r="AA123" s="23">
        <v>1.1000000000000001</v>
      </c>
      <c r="AB123" s="23">
        <v>0.15790000000000001</v>
      </c>
      <c r="AC123" s="23">
        <v>-8218.31</v>
      </c>
      <c r="AD123" s="23">
        <v>-0.15790000000000001</v>
      </c>
      <c r="AE123" s="23">
        <v>54788.76</v>
      </c>
      <c r="AF123" s="23">
        <v>52049.32</v>
      </c>
      <c r="AG123" s="23">
        <v>401646.24</v>
      </c>
      <c r="AH123" s="23">
        <v>7</v>
      </c>
      <c r="AI123" s="23">
        <v>-1174.04</v>
      </c>
      <c r="AJ123" s="23">
        <v>-0.47370000000000001</v>
      </c>
      <c r="AK123" s="23">
        <v>0</v>
      </c>
      <c r="AL123" s="23" t="s">
        <v>24</v>
      </c>
      <c r="AM123" s="23">
        <v>53.6</v>
      </c>
      <c r="AN123" s="23">
        <v>30506.65</v>
      </c>
      <c r="AO123" s="23">
        <v>53.9</v>
      </c>
      <c r="AP123" s="23">
        <v>0</v>
      </c>
      <c r="AR123" s="46"/>
      <c r="AS123" s="44"/>
      <c r="AT123" s="45"/>
      <c r="AU123" s="2">
        <v>43571</v>
      </c>
      <c r="AV123" s="52">
        <v>0.125</v>
      </c>
      <c r="AW123" s="2" t="s">
        <v>213</v>
      </c>
      <c r="AY123" s="3"/>
      <c r="BA123" s="3"/>
      <c r="BG123" s="3"/>
      <c r="BH123" s="3"/>
    </row>
    <row r="124" spans="1:60">
      <c r="A124" s="23" t="s">
        <v>22</v>
      </c>
      <c r="B124" s="23" t="s">
        <v>25</v>
      </c>
      <c r="C124" s="27">
        <v>43573.385416666664</v>
      </c>
      <c r="D124" s="23">
        <v>53.9</v>
      </c>
      <c r="E124" s="27">
        <v>43573.395833333336</v>
      </c>
      <c r="F124" s="23">
        <v>53.55</v>
      </c>
      <c r="G124" s="31">
        <v>-6.4999999999999997E-3</v>
      </c>
      <c r="H124" s="23">
        <v>-324.94</v>
      </c>
      <c r="I124" s="31">
        <v>-6.4999999999999997E-3</v>
      </c>
      <c r="J124" s="23">
        <v>928.39509999999996</v>
      </c>
      <c r="K124" s="23">
        <v>50040.5</v>
      </c>
      <c r="L124" s="23">
        <v>7775.04</v>
      </c>
      <c r="M124" s="23">
        <v>2</v>
      </c>
      <c r="N124" s="23">
        <v>-162.47</v>
      </c>
      <c r="O124" s="31">
        <v>-6.4999999999999997E-3</v>
      </c>
      <c r="P124" s="31">
        <v>1.9E-3</v>
      </c>
      <c r="Q124" s="23" t="s">
        <v>24</v>
      </c>
      <c r="R124" s="23">
        <v>0</v>
      </c>
      <c r="S124" s="23">
        <v>53.53</v>
      </c>
      <c r="U124" s="47">
        <f>VLOOKUP(AU124,[1]expiry_dates!$B$2:$C$2894,2,FALSE)</f>
        <v>43580</v>
      </c>
      <c r="V124" s="23" t="s">
        <v>129</v>
      </c>
      <c r="W124" s="23" t="s">
        <v>23</v>
      </c>
      <c r="X124" s="49">
        <v>43573.385416666664</v>
      </c>
      <c r="Y124" s="23">
        <v>0.8</v>
      </c>
      <c r="Z124" s="23">
        <v>43573.395833333336</v>
      </c>
      <c r="AA124" s="23">
        <v>0.75000009999999995</v>
      </c>
      <c r="AB124" s="23">
        <v>-6.25E-2</v>
      </c>
      <c r="AC124" s="23">
        <v>3250.51</v>
      </c>
      <c r="AD124" s="23">
        <v>6.25E-2</v>
      </c>
      <c r="AE124" s="23">
        <v>65010.29</v>
      </c>
      <c r="AF124" s="23">
        <v>52008.23</v>
      </c>
      <c r="AG124" s="23">
        <v>404896.75</v>
      </c>
      <c r="AH124" s="23">
        <v>2</v>
      </c>
      <c r="AI124" s="23">
        <v>1625.26</v>
      </c>
      <c r="AJ124" s="23">
        <v>0</v>
      </c>
      <c r="AK124" s="23">
        <v>0.1875</v>
      </c>
      <c r="AL124" s="23" t="s">
        <v>24</v>
      </c>
      <c r="AM124" s="23">
        <v>53.9</v>
      </c>
      <c r="AN124" s="23">
        <v>30579.1</v>
      </c>
      <c r="AO124" s="23">
        <v>53.53</v>
      </c>
      <c r="AP124" s="23">
        <v>0</v>
      </c>
      <c r="AR124" s="46"/>
      <c r="AS124" s="44"/>
      <c r="AT124" s="45"/>
      <c r="AU124" s="2">
        <v>43573</v>
      </c>
      <c r="AV124" s="52">
        <v>0.38541666666666669</v>
      </c>
      <c r="AW124" s="2" t="s">
        <v>212</v>
      </c>
      <c r="AY124" s="3"/>
      <c r="BA124" s="3"/>
      <c r="BG124" s="3"/>
      <c r="BH124" s="3"/>
    </row>
    <row r="125" spans="1:60">
      <c r="A125" s="23" t="s">
        <v>22</v>
      </c>
      <c r="B125" s="23" t="s">
        <v>23</v>
      </c>
      <c r="C125" s="27">
        <v>43573.395833333336</v>
      </c>
      <c r="D125" s="23">
        <v>53.55</v>
      </c>
      <c r="E125" s="27">
        <v>43578.479166666664</v>
      </c>
      <c r="F125" s="23">
        <v>51.9</v>
      </c>
      <c r="G125" s="31">
        <v>-3.0800000000000001E-2</v>
      </c>
      <c r="H125" s="23">
        <v>1541.86</v>
      </c>
      <c r="I125" s="31">
        <v>3.0800000000000001E-2</v>
      </c>
      <c r="J125" s="23">
        <v>934.46310000000005</v>
      </c>
      <c r="K125" s="23">
        <v>50040.5</v>
      </c>
      <c r="L125" s="23">
        <v>9316.91</v>
      </c>
      <c r="M125" s="23">
        <v>67</v>
      </c>
      <c r="N125" s="23">
        <v>23.01</v>
      </c>
      <c r="O125" s="31">
        <v>-8.3999999999999995E-3</v>
      </c>
      <c r="P125" s="31">
        <v>3.73E-2</v>
      </c>
      <c r="Q125" s="23" t="s">
        <v>24</v>
      </c>
      <c r="R125" s="23">
        <v>0</v>
      </c>
      <c r="S125" s="23">
        <v>54</v>
      </c>
      <c r="U125" s="47">
        <f>VLOOKUP(AU125,[1]expiry_dates!$B$2:$C$2894,2,FALSE)</f>
        <v>43580</v>
      </c>
      <c r="V125" s="23" t="s">
        <v>128</v>
      </c>
      <c r="W125" s="23" t="s">
        <v>23</v>
      </c>
      <c r="X125" s="49">
        <v>43573.395833333336</v>
      </c>
      <c r="Y125" s="23">
        <v>0.9</v>
      </c>
      <c r="Z125" s="23">
        <v>43578.479166666664</v>
      </c>
      <c r="AA125" s="23">
        <v>0.1</v>
      </c>
      <c r="AB125" s="23">
        <v>-0.88890000000000002</v>
      </c>
      <c r="AC125" s="23">
        <v>46229.54</v>
      </c>
      <c r="AD125" s="23">
        <v>0.88890000000000002</v>
      </c>
      <c r="AE125" s="23">
        <v>57786.93</v>
      </c>
      <c r="AF125" s="23">
        <v>52008.23</v>
      </c>
      <c r="AG125" s="23">
        <v>451126.29</v>
      </c>
      <c r="AH125" s="23">
        <v>67</v>
      </c>
      <c r="AI125" s="23">
        <v>689.99</v>
      </c>
      <c r="AJ125" s="23">
        <v>-0.27779999999999999</v>
      </c>
      <c r="AK125" s="23">
        <v>0.94440000000000002</v>
      </c>
      <c r="AL125" s="23" t="s">
        <v>24</v>
      </c>
      <c r="AM125" s="23">
        <v>53.55</v>
      </c>
      <c r="AN125" s="23">
        <v>30453.55</v>
      </c>
      <c r="AO125" s="23">
        <v>54</v>
      </c>
      <c r="AP125" s="23">
        <v>0</v>
      </c>
      <c r="AR125" s="46"/>
      <c r="AS125" s="44"/>
      <c r="AT125" s="45"/>
      <c r="AU125" s="2">
        <v>43573</v>
      </c>
      <c r="AV125" s="52">
        <v>0.39583333333333331</v>
      </c>
      <c r="AW125" s="2" t="s">
        <v>212</v>
      </c>
      <c r="AY125" s="3"/>
      <c r="BA125" s="3"/>
      <c r="BG125" s="3"/>
      <c r="BH125" s="3"/>
    </row>
    <row r="126" spans="1:60">
      <c r="A126" s="23" t="s">
        <v>22</v>
      </c>
      <c r="B126" s="23" t="s">
        <v>25</v>
      </c>
      <c r="C126" s="27">
        <v>43578.479166666664</v>
      </c>
      <c r="D126" s="23">
        <v>51.9</v>
      </c>
      <c r="E126" s="27">
        <v>43578.604166666664</v>
      </c>
      <c r="F126" s="23">
        <v>51.75</v>
      </c>
      <c r="G126" s="31">
        <v>-2.8999999999999998E-3</v>
      </c>
      <c r="H126" s="23">
        <v>-144.63999999999999</v>
      </c>
      <c r="I126" s="31">
        <v>-2.8999999999999998E-3</v>
      </c>
      <c r="J126" s="23">
        <v>964.29769999999996</v>
      </c>
      <c r="K126" s="23">
        <v>50047.05</v>
      </c>
      <c r="L126" s="23">
        <v>9172.26</v>
      </c>
      <c r="M126" s="23">
        <v>13</v>
      </c>
      <c r="N126" s="23">
        <v>-11.13</v>
      </c>
      <c r="O126" s="31">
        <v>-2.8999999999999998E-3</v>
      </c>
      <c r="P126" s="31">
        <v>4.7999999999999996E-3</v>
      </c>
      <c r="Q126" s="23" t="s">
        <v>24</v>
      </c>
      <c r="R126" s="23">
        <v>0</v>
      </c>
      <c r="S126" s="23">
        <v>51.56</v>
      </c>
      <c r="U126" s="47">
        <f>VLOOKUP(AU126,[1]expiry_dates!$B$2:$C$2894,2,FALSE)</f>
        <v>43580</v>
      </c>
      <c r="V126" s="23" t="s">
        <v>126</v>
      </c>
      <c r="W126" s="23" t="s">
        <v>23</v>
      </c>
      <c r="X126" s="49">
        <v>43578.479166666664</v>
      </c>
      <c r="Y126" s="23">
        <v>0.6</v>
      </c>
      <c r="Z126" s="23">
        <v>43578.604166666664</v>
      </c>
      <c r="AA126" s="23">
        <v>0.6</v>
      </c>
      <c r="AB126" s="23">
        <v>0</v>
      </c>
      <c r="AC126" s="23">
        <v>0</v>
      </c>
      <c r="AD126" s="23">
        <v>0</v>
      </c>
      <c r="AE126" s="23">
        <v>87116.800000000003</v>
      </c>
      <c r="AF126" s="23">
        <v>52270.080000000002</v>
      </c>
      <c r="AG126" s="23">
        <v>451126.29</v>
      </c>
      <c r="AH126" s="23">
        <v>13</v>
      </c>
      <c r="AI126" s="23">
        <v>0</v>
      </c>
      <c r="AJ126" s="23">
        <v>-0.16669999999999999</v>
      </c>
      <c r="AK126" s="23">
        <v>0.16669999999999999</v>
      </c>
      <c r="AL126" s="23" t="s">
        <v>24</v>
      </c>
      <c r="AM126" s="23">
        <v>51.9</v>
      </c>
      <c r="AN126" s="23">
        <v>29818.25</v>
      </c>
      <c r="AO126" s="23">
        <v>51.56</v>
      </c>
      <c r="AP126" s="23">
        <v>0</v>
      </c>
      <c r="AR126" s="46"/>
      <c r="AS126" s="44"/>
      <c r="AT126" s="45"/>
      <c r="AU126" s="2">
        <v>43578</v>
      </c>
      <c r="AV126" s="52">
        <v>0.47916666666666669</v>
      </c>
      <c r="AW126" s="2" t="s">
        <v>212</v>
      </c>
      <c r="AY126" s="3"/>
      <c r="BA126" s="3"/>
      <c r="BG126" s="3"/>
      <c r="BH126" s="3"/>
    </row>
    <row r="127" spans="1:60">
      <c r="A127" s="23" t="s">
        <v>22</v>
      </c>
      <c r="B127" s="23" t="s">
        <v>23</v>
      </c>
      <c r="C127" s="27">
        <v>43578.604166666664</v>
      </c>
      <c r="D127" s="23">
        <v>51.75</v>
      </c>
      <c r="E127" s="27">
        <v>43579.520833333336</v>
      </c>
      <c r="F127" s="23">
        <v>51.6</v>
      </c>
      <c r="G127" s="31">
        <v>-2.8999999999999998E-3</v>
      </c>
      <c r="H127" s="23">
        <v>145.06</v>
      </c>
      <c r="I127" s="31">
        <v>2.8999999999999998E-3</v>
      </c>
      <c r="J127" s="23">
        <v>967.08370000000002</v>
      </c>
      <c r="K127" s="23">
        <v>50046.58</v>
      </c>
      <c r="L127" s="23">
        <v>9317.33</v>
      </c>
      <c r="M127" s="23">
        <v>22</v>
      </c>
      <c r="N127" s="23">
        <v>6.59</v>
      </c>
      <c r="O127" s="31">
        <v>-4.7999999999999996E-3</v>
      </c>
      <c r="P127" s="31">
        <v>7.7000000000000002E-3</v>
      </c>
      <c r="Q127" s="23" t="s">
        <v>24</v>
      </c>
      <c r="R127" s="23">
        <v>0</v>
      </c>
      <c r="S127" s="23">
        <v>52.14</v>
      </c>
      <c r="U127" s="47">
        <f>VLOOKUP(AU127,[1]expiry_dates!$B$2:$C$2894,2,FALSE)</f>
        <v>43580</v>
      </c>
      <c r="V127" s="23" t="s">
        <v>125</v>
      </c>
      <c r="W127" s="23" t="s">
        <v>23</v>
      </c>
      <c r="X127" s="49">
        <v>43578.604166666664</v>
      </c>
      <c r="Y127" s="23">
        <v>0.4</v>
      </c>
      <c r="Z127" s="23">
        <v>43579.520833333336</v>
      </c>
      <c r="AA127" s="23">
        <v>0.2</v>
      </c>
      <c r="AB127" s="23">
        <v>-0.5</v>
      </c>
      <c r="AC127" s="23">
        <v>26149.599999999999</v>
      </c>
      <c r="AD127" s="23">
        <v>0.5</v>
      </c>
      <c r="AE127" s="23">
        <v>130748</v>
      </c>
      <c r="AF127" s="23">
        <v>52299.19</v>
      </c>
      <c r="AG127" s="23">
        <v>477275.89</v>
      </c>
      <c r="AH127" s="23">
        <v>22</v>
      </c>
      <c r="AI127" s="23">
        <v>1188.6199999999999</v>
      </c>
      <c r="AJ127" s="23">
        <v>-0.125</v>
      </c>
      <c r="AK127" s="23">
        <v>0.5</v>
      </c>
      <c r="AL127" s="23" t="s">
        <v>24</v>
      </c>
      <c r="AM127" s="23">
        <v>51.75</v>
      </c>
      <c r="AN127" s="23">
        <v>29553.7</v>
      </c>
      <c r="AO127" s="23">
        <v>52.14</v>
      </c>
      <c r="AP127" s="23">
        <v>0</v>
      </c>
      <c r="AR127" s="46"/>
      <c r="AS127" s="44"/>
      <c r="AT127" s="45"/>
      <c r="AU127" s="2">
        <v>43578</v>
      </c>
      <c r="AV127" s="52">
        <v>0.10416666666666667</v>
      </c>
      <c r="AW127" s="2" t="s">
        <v>213</v>
      </c>
      <c r="AY127" s="3"/>
      <c r="BA127" s="3"/>
      <c r="BG127" s="3"/>
      <c r="BH127" s="3"/>
    </row>
    <row r="128" spans="1:60">
      <c r="A128" s="23" t="s">
        <v>22</v>
      </c>
      <c r="B128" s="23" t="s">
        <v>25</v>
      </c>
      <c r="C128" s="27">
        <v>43579.520833333336</v>
      </c>
      <c r="D128" s="23">
        <v>51.6</v>
      </c>
      <c r="E128" s="27">
        <v>43579.552083333336</v>
      </c>
      <c r="F128" s="23">
        <v>51.45</v>
      </c>
      <c r="G128" s="31">
        <v>-2.8999999999999998E-3</v>
      </c>
      <c r="H128" s="23">
        <v>-145.49</v>
      </c>
      <c r="I128" s="31">
        <v>-2.8999999999999998E-3</v>
      </c>
      <c r="J128" s="23">
        <v>969.90449999999998</v>
      </c>
      <c r="K128" s="23">
        <v>50047.07</v>
      </c>
      <c r="L128" s="23">
        <v>9171.84</v>
      </c>
      <c r="M128" s="23">
        <v>4</v>
      </c>
      <c r="N128" s="23">
        <v>-36.369999999999997</v>
      </c>
      <c r="O128" s="31">
        <v>-2.8999999999999998E-3</v>
      </c>
      <c r="P128" s="31">
        <v>1E-3</v>
      </c>
      <c r="Q128" s="23" t="s">
        <v>24</v>
      </c>
      <c r="R128" s="23">
        <v>0</v>
      </c>
      <c r="S128" s="23">
        <v>51.36</v>
      </c>
      <c r="U128" s="47">
        <f>VLOOKUP(AU128,[1]expiry_dates!$B$2:$C$2894,2,FALSE)</f>
        <v>43580</v>
      </c>
      <c r="V128" s="23" t="s">
        <v>120</v>
      </c>
      <c r="W128" s="23" t="s">
        <v>23</v>
      </c>
      <c r="X128" s="49">
        <v>43579.520833333336</v>
      </c>
      <c r="Y128" s="23">
        <v>0.25</v>
      </c>
      <c r="Z128" s="23">
        <v>43579.552083333336</v>
      </c>
      <c r="AA128" s="23">
        <v>0.25</v>
      </c>
      <c r="AB128" s="23">
        <v>0</v>
      </c>
      <c r="AC128" s="23">
        <v>0</v>
      </c>
      <c r="AD128" s="23">
        <v>0</v>
      </c>
      <c r="AE128" s="23">
        <v>209545.5</v>
      </c>
      <c r="AF128" s="23">
        <v>52386.38</v>
      </c>
      <c r="AG128" s="23">
        <v>477275.89</v>
      </c>
      <c r="AH128" s="23">
        <v>4</v>
      </c>
      <c r="AI128" s="23">
        <v>0</v>
      </c>
      <c r="AJ128" s="23">
        <v>0</v>
      </c>
      <c r="AK128" s="23">
        <v>0</v>
      </c>
      <c r="AL128" s="23" t="s">
        <v>24</v>
      </c>
      <c r="AM128" s="23">
        <v>51.6</v>
      </c>
      <c r="AN128" s="23">
        <v>29560.9</v>
      </c>
      <c r="AO128" s="23">
        <v>51.36</v>
      </c>
      <c r="AP128" s="23">
        <v>0</v>
      </c>
      <c r="AR128" s="46"/>
      <c r="AS128" s="44"/>
      <c r="AT128" s="45"/>
      <c r="AU128" s="2">
        <v>43579</v>
      </c>
      <c r="AV128" s="52">
        <v>0.52083333333333337</v>
      </c>
      <c r="AW128" s="2" t="s">
        <v>213</v>
      </c>
      <c r="AY128" s="3"/>
      <c r="BA128" s="3"/>
      <c r="BG128" s="3"/>
      <c r="BH128" s="3"/>
    </row>
    <row r="129" spans="1:60">
      <c r="A129" s="23" t="s">
        <v>22</v>
      </c>
      <c r="B129" s="23" t="s">
        <v>23</v>
      </c>
      <c r="C129" s="27">
        <v>43579.552083333336</v>
      </c>
      <c r="D129" s="23">
        <v>51.45</v>
      </c>
      <c r="E129" s="27">
        <v>43579.583333333336</v>
      </c>
      <c r="F129" s="23">
        <v>51.7</v>
      </c>
      <c r="G129" s="31">
        <v>4.8999999999999998E-3</v>
      </c>
      <c r="H129" s="23">
        <v>-243.18</v>
      </c>
      <c r="I129" s="31">
        <v>-4.8999999999999998E-3</v>
      </c>
      <c r="J129" s="23">
        <v>972.7133</v>
      </c>
      <c r="K129" s="23">
        <v>50046.1</v>
      </c>
      <c r="L129" s="23">
        <v>8928.66</v>
      </c>
      <c r="M129" s="23">
        <v>4</v>
      </c>
      <c r="N129" s="23">
        <v>-60.79</v>
      </c>
      <c r="O129" s="31">
        <v>-4.8999999999999998E-3</v>
      </c>
      <c r="P129" s="31">
        <v>1.9E-3</v>
      </c>
      <c r="Q129" s="23" t="s">
        <v>24</v>
      </c>
      <c r="R129" s="23">
        <v>0</v>
      </c>
      <c r="S129" s="23">
        <v>51.64</v>
      </c>
      <c r="U129" s="47">
        <f>VLOOKUP(AU129,[1]expiry_dates!$B$2:$C$2894,2,FALSE)</f>
        <v>43580</v>
      </c>
      <c r="V129" s="23" t="s">
        <v>125</v>
      </c>
      <c r="W129" s="23" t="s">
        <v>23</v>
      </c>
      <c r="X129" s="49">
        <v>43579.552083333336</v>
      </c>
      <c r="Y129" s="23">
        <v>0.2</v>
      </c>
      <c r="Z129" s="23">
        <v>43579.583333333336</v>
      </c>
      <c r="AA129" s="23">
        <v>0.25</v>
      </c>
      <c r="AB129" s="23">
        <v>0.25</v>
      </c>
      <c r="AC129" s="23">
        <v>-13096.59</v>
      </c>
      <c r="AD129" s="23">
        <v>-0.25</v>
      </c>
      <c r="AE129" s="23">
        <v>261931.9</v>
      </c>
      <c r="AF129" s="23">
        <v>52386.38</v>
      </c>
      <c r="AG129" s="23">
        <v>464179.29</v>
      </c>
      <c r="AH129" s="23">
        <v>4</v>
      </c>
      <c r="AI129" s="23">
        <v>-3274.15</v>
      </c>
      <c r="AJ129" s="23">
        <v>-0.25</v>
      </c>
      <c r="AK129" s="23">
        <v>0</v>
      </c>
      <c r="AL129" s="23" t="s">
        <v>24</v>
      </c>
      <c r="AM129" s="23">
        <v>51.45</v>
      </c>
      <c r="AN129" s="23">
        <v>29477.9</v>
      </c>
      <c r="AO129" s="23">
        <v>51.64</v>
      </c>
      <c r="AP129" s="23">
        <v>0</v>
      </c>
      <c r="AR129" s="46"/>
      <c r="AS129" s="44"/>
      <c r="AT129" s="45"/>
      <c r="AU129" s="2">
        <v>43579</v>
      </c>
      <c r="AV129" s="52">
        <v>5.2083333333333336E-2</v>
      </c>
      <c r="AW129" s="2" t="s">
        <v>213</v>
      </c>
      <c r="AY129" s="3"/>
      <c r="BA129" s="3"/>
      <c r="BG129" s="3"/>
      <c r="BH129" s="3"/>
    </row>
    <row r="130" spans="1:60">
      <c r="A130" s="23" t="s">
        <v>22</v>
      </c>
      <c r="B130" s="23" t="s">
        <v>25</v>
      </c>
      <c r="C130" s="27">
        <v>43579.583333333336</v>
      </c>
      <c r="D130" s="23">
        <v>51.7</v>
      </c>
      <c r="E130" s="27">
        <v>43580.625</v>
      </c>
      <c r="F130" s="23">
        <v>52.85</v>
      </c>
      <c r="G130" s="31">
        <v>2.2200000000000001E-2</v>
      </c>
      <c r="H130" s="23">
        <v>1113.2</v>
      </c>
      <c r="I130" s="31">
        <v>2.2200000000000001E-2</v>
      </c>
      <c r="J130" s="23">
        <v>968.00030000000004</v>
      </c>
      <c r="K130" s="23">
        <v>50045.62</v>
      </c>
      <c r="L130" s="23">
        <v>10041.86</v>
      </c>
      <c r="M130" s="23">
        <v>34</v>
      </c>
      <c r="N130" s="23">
        <v>32.74</v>
      </c>
      <c r="O130" s="31">
        <v>-3.8999999999999998E-3</v>
      </c>
      <c r="P130" s="31">
        <v>3.5799999999999998E-2</v>
      </c>
      <c r="Q130" s="23" t="s">
        <v>24</v>
      </c>
      <c r="R130" s="23">
        <v>0</v>
      </c>
      <c r="S130" s="23">
        <v>51.37</v>
      </c>
      <c r="U130" s="47">
        <f>VLOOKUP(AU130,[1]expiry_dates!$B$2:$C$2894,2,FALSE)</f>
        <v>43580</v>
      </c>
      <c r="V130" s="23" t="s">
        <v>120</v>
      </c>
      <c r="W130" s="23" t="s">
        <v>23</v>
      </c>
      <c r="X130" s="49">
        <v>43579.583333333336</v>
      </c>
      <c r="Y130" s="23">
        <v>0.45</v>
      </c>
      <c r="Z130" s="23">
        <v>43580.625</v>
      </c>
      <c r="AA130" s="23">
        <v>0.05</v>
      </c>
      <c r="AB130" s="23">
        <v>-0.88890000000000002</v>
      </c>
      <c r="AC130" s="23">
        <v>46507.47</v>
      </c>
      <c r="AD130" s="23">
        <v>0.88890000000000002</v>
      </c>
      <c r="AE130" s="23">
        <v>116268.7</v>
      </c>
      <c r="AF130" s="23">
        <v>52320.9</v>
      </c>
      <c r="AG130" s="23">
        <v>510686.76</v>
      </c>
      <c r="AH130" s="23">
        <v>34</v>
      </c>
      <c r="AI130" s="23">
        <v>1367.87</v>
      </c>
      <c r="AJ130" s="23">
        <v>0</v>
      </c>
      <c r="AK130" s="23">
        <v>0.88890000000000002</v>
      </c>
      <c r="AL130" s="23" t="s">
        <v>24</v>
      </c>
      <c r="AM130" s="23">
        <v>51.7</v>
      </c>
      <c r="AN130" s="23">
        <v>29674.400000000001</v>
      </c>
      <c r="AO130" s="23">
        <v>51.37</v>
      </c>
      <c r="AP130" s="23">
        <v>0</v>
      </c>
      <c r="AR130" s="46"/>
      <c r="AS130" s="44"/>
      <c r="AT130" s="45"/>
      <c r="AU130" s="2">
        <v>43579</v>
      </c>
      <c r="AV130" s="52">
        <v>8.3333333333333329E-2</v>
      </c>
      <c r="AW130" s="2" t="s">
        <v>213</v>
      </c>
      <c r="AY130" s="3"/>
      <c r="BA130" s="3"/>
      <c r="BG130" s="3"/>
      <c r="BH130" s="3"/>
    </row>
    <row r="131" spans="1:60">
      <c r="A131" s="23" t="s">
        <v>22</v>
      </c>
      <c r="B131" s="23" t="s">
        <v>23</v>
      </c>
      <c r="C131" s="27">
        <v>43580.625</v>
      </c>
      <c r="D131" s="23">
        <v>52.85</v>
      </c>
      <c r="E131" s="27">
        <v>43580.6875</v>
      </c>
      <c r="F131" s="23">
        <v>52.75</v>
      </c>
      <c r="G131" s="31">
        <v>-1.9E-3</v>
      </c>
      <c r="H131" s="23">
        <v>94.7</v>
      </c>
      <c r="I131" s="31">
        <v>1.9E-3</v>
      </c>
      <c r="J131" s="23">
        <v>947.0376</v>
      </c>
      <c r="K131" s="23">
        <v>50050.94</v>
      </c>
      <c r="L131" s="23">
        <v>10136.57</v>
      </c>
      <c r="M131" s="23">
        <v>5</v>
      </c>
      <c r="N131" s="23">
        <v>18.940000000000001</v>
      </c>
      <c r="O131" s="31">
        <v>-8.5000000000000006E-3</v>
      </c>
      <c r="P131" s="31">
        <v>7.6E-3</v>
      </c>
      <c r="Q131" s="23" t="s">
        <v>24</v>
      </c>
      <c r="R131" s="23">
        <v>0</v>
      </c>
      <c r="S131" s="23">
        <v>53.51</v>
      </c>
      <c r="U131" s="47">
        <f>VLOOKUP(AU131,[1]expiry_dates!$B$2:$C$2894,2,FALSE)</f>
        <v>43580</v>
      </c>
      <c r="V131" s="23" t="s">
        <v>127</v>
      </c>
      <c r="W131" s="23" t="s">
        <v>23</v>
      </c>
      <c r="X131" s="49">
        <v>43580.625</v>
      </c>
      <c r="Y131" s="23">
        <v>0.15</v>
      </c>
      <c r="Z131" s="23">
        <v>43580.6875</v>
      </c>
      <c r="AA131" s="23">
        <v>0.15</v>
      </c>
      <c r="AB131" s="23">
        <v>0</v>
      </c>
      <c r="AC131" s="23">
        <v>0</v>
      </c>
      <c r="AD131" s="23">
        <v>0</v>
      </c>
      <c r="AE131" s="23">
        <v>350356.2</v>
      </c>
      <c r="AF131" s="23">
        <v>52553.43</v>
      </c>
      <c r="AG131" s="23">
        <v>510686.76</v>
      </c>
      <c r="AH131" s="23">
        <v>5</v>
      </c>
      <c r="AI131" s="23">
        <v>0</v>
      </c>
      <c r="AJ131" s="23">
        <v>-2</v>
      </c>
      <c r="AK131" s="23">
        <v>0.66669999999999996</v>
      </c>
      <c r="AL131" s="23" t="s">
        <v>24</v>
      </c>
      <c r="AM131" s="23">
        <v>52.85</v>
      </c>
      <c r="AN131" s="23">
        <v>29558.65</v>
      </c>
      <c r="AO131" s="23">
        <v>53.51</v>
      </c>
      <c r="AP131" s="23">
        <v>0</v>
      </c>
      <c r="AR131" s="46"/>
      <c r="AS131" s="44"/>
      <c r="AT131" s="45"/>
      <c r="AU131" s="2">
        <v>43580</v>
      </c>
      <c r="AV131" s="52">
        <v>0.125</v>
      </c>
      <c r="AW131" s="2" t="s">
        <v>213</v>
      </c>
      <c r="AY131" s="3"/>
      <c r="BA131" s="3"/>
      <c r="BG131" s="3"/>
      <c r="BH131" s="3"/>
    </row>
    <row r="132" spans="1:60">
      <c r="A132" s="23" t="s">
        <v>22</v>
      </c>
      <c r="B132" s="23" t="s">
        <v>25</v>
      </c>
      <c r="C132" s="27">
        <v>43581.385416666664</v>
      </c>
      <c r="D132" s="23">
        <v>52.95</v>
      </c>
      <c r="E132" s="27">
        <v>43581.40625</v>
      </c>
      <c r="F132" s="23">
        <v>52.6</v>
      </c>
      <c r="G132" s="31">
        <v>-6.6E-3</v>
      </c>
      <c r="H132" s="23">
        <v>-330.84</v>
      </c>
      <c r="I132" s="31">
        <v>-6.6E-3</v>
      </c>
      <c r="J132" s="23">
        <v>945.24429999999995</v>
      </c>
      <c r="K132" s="23">
        <v>50050.68</v>
      </c>
      <c r="L132" s="23">
        <v>9805.73</v>
      </c>
      <c r="M132" s="23">
        <v>3</v>
      </c>
      <c r="N132" s="23">
        <v>-110.28</v>
      </c>
      <c r="O132" s="31">
        <v>-6.6E-3</v>
      </c>
      <c r="P132" s="31">
        <v>8.5000000000000006E-3</v>
      </c>
      <c r="Q132" s="23" t="s">
        <v>24</v>
      </c>
      <c r="R132" s="23">
        <v>0</v>
      </c>
      <c r="S132" s="23">
        <v>52.49</v>
      </c>
      <c r="U132" s="47">
        <f>VLOOKUP(AU132,[1]expiry_dates!$B$2:$C$2894,2,FALSE)</f>
        <v>43615</v>
      </c>
      <c r="V132" s="23" t="s">
        <v>126</v>
      </c>
      <c r="W132" s="23" t="s">
        <v>23</v>
      </c>
      <c r="X132" s="49">
        <v>43581.385416666664</v>
      </c>
      <c r="Y132" s="23">
        <v>1.8</v>
      </c>
      <c r="Z132" s="23">
        <v>43581.40625</v>
      </c>
      <c r="AA132" s="23">
        <v>2</v>
      </c>
      <c r="AB132" s="23">
        <v>0.1111</v>
      </c>
      <c r="AC132" s="23">
        <v>-5839.27</v>
      </c>
      <c r="AD132" s="23">
        <v>-0.1111</v>
      </c>
      <c r="AE132" s="23">
        <v>29196.35</v>
      </c>
      <c r="AF132" s="23">
        <v>52553.43</v>
      </c>
      <c r="AG132" s="23">
        <v>504847.49</v>
      </c>
      <c r="AH132" s="23">
        <v>3</v>
      </c>
      <c r="AI132" s="23">
        <v>-1946.42</v>
      </c>
      <c r="AJ132" s="23">
        <v>-0.1111</v>
      </c>
      <c r="AK132" s="23">
        <v>2.7799999999999998E-2</v>
      </c>
      <c r="AL132" s="23" t="s">
        <v>24</v>
      </c>
      <c r="AM132" s="23">
        <v>52.95</v>
      </c>
      <c r="AN132" s="23">
        <v>29627.75</v>
      </c>
      <c r="AO132" s="23">
        <v>52.49</v>
      </c>
      <c r="AP132" s="23">
        <v>0</v>
      </c>
      <c r="AR132" s="46"/>
      <c r="AS132" s="44"/>
      <c r="AT132" s="45"/>
      <c r="AU132" s="2">
        <v>43581</v>
      </c>
      <c r="AV132" s="52">
        <v>0.38541666666666669</v>
      </c>
      <c r="AW132" s="2" t="s">
        <v>212</v>
      </c>
      <c r="AY132" s="3"/>
      <c r="BA132" s="3"/>
      <c r="BG132" s="3"/>
      <c r="BH132" s="3"/>
    </row>
    <row r="133" spans="1:60">
      <c r="A133" s="23" t="s">
        <v>22</v>
      </c>
      <c r="B133" s="23" t="s">
        <v>23</v>
      </c>
      <c r="C133" s="27">
        <v>43581.40625</v>
      </c>
      <c r="D133" s="23">
        <v>52.6</v>
      </c>
      <c r="E133" s="27">
        <v>43587.395833333336</v>
      </c>
      <c r="F133" s="23">
        <v>49.95</v>
      </c>
      <c r="G133" s="31">
        <v>-5.04E-2</v>
      </c>
      <c r="H133" s="23">
        <v>2521.5100000000002</v>
      </c>
      <c r="I133" s="31">
        <v>5.04E-2</v>
      </c>
      <c r="J133" s="23">
        <v>951.51149999999996</v>
      </c>
      <c r="K133" s="23">
        <v>50049.5</v>
      </c>
      <c r="L133" s="23">
        <v>12327.24</v>
      </c>
      <c r="M133" s="23">
        <v>58</v>
      </c>
      <c r="N133" s="23">
        <v>43.47</v>
      </c>
      <c r="O133" s="31">
        <v>-2.8999999999999998E-3</v>
      </c>
      <c r="P133" s="31">
        <v>6.6500000000000004E-2</v>
      </c>
      <c r="Q133" s="23" t="s">
        <v>24</v>
      </c>
      <c r="R133" s="23">
        <v>0</v>
      </c>
      <c r="S133" s="23">
        <v>53.38</v>
      </c>
      <c r="U133" s="47">
        <f>VLOOKUP(AU133,[1]expiry_dates!$B$2:$C$2894,2,FALSE)</f>
        <v>43615</v>
      </c>
      <c r="V133" s="23" t="s">
        <v>127</v>
      </c>
      <c r="W133" s="23" t="s">
        <v>23</v>
      </c>
      <c r="X133" s="49">
        <v>43581.40625</v>
      </c>
      <c r="Y133" s="23">
        <v>1.75</v>
      </c>
      <c r="Z133" s="23">
        <v>43587.395833333336</v>
      </c>
      <c r="AA133" s="23">
        <v>0.95</v>
      </c>
      <c r="AB133" s="23">
        <v>-0.45710000000000001</v>
      </c>
      <c r="AC133" s="23">
        <v>24011.08</v>
      </c>
      <c r="AD133" s="23">
        <v>0.45710000000000001</v>
      </c>
      <c r="AE133" s="23">
        <v>30013.85</v>
      </c>
      <c r="AF133" s="23">
        <v>52524.24</v>
      </c>
      <c r="AG133" s="23">
        <v>528858.56999999995</v>
      </c>
      <c r="AH133" s="23">
        <v>58</v>
      </c>
      <c r="AI133" s="23">
        <v>413.98</v>
      </c>
      <c r="AJ133" s="23">
        <v>-0.1143</v>
      </c>
      <c r="AK133" s="23">
        <v>0.57140000000000002</v>
      </c>
      <c r="AL133" s="23" t="s">
        <v>24</v>
      </c>
      <c r="AM133" s="23">
        <v>52.6</v>
      </c>
      <c r="AN133" s="23">
        <v>29652.3</v>
      </c>
      <c r="AO133" s="23">
        <v>53.38</v>
      </c>
      <c r="AP133" s="23">
        <v>0</v>
      </c>
      <c r="AR133" s="46"/>
      <c r="AS133" s="44"/>
      <c r="AT133" s="45"/>
      <c r="AU133" s="2">
        <v>43581</v>
      </c>
      <c r="AV133" s="52">
        <v>0.40625</v>
      </c>
      <c r="AW133" s="2" t="s">
        <v>212</v>
      </c>
      <c r="AY133" s="3"/>
      <c r="BA133" s="3"/>
      <c r="BG133" s="3"/>
      <c r="BH133" s="3"/>
    </row>
    <row r="134" spans="1:60">
      <c r="A134" s="23" t="s">
        <v>22</v>
      </c>
      <c r="B134" s="23" t="s">
        <v>25</v>
      </c>
      <c r="C134" s="27">
        <v>43587.395833333336</v>
      </c>
      <c r="D134" s="23">
        <v>49.95</v>
      </c>
      <c r="E134" s="27">
        <v>43587.614583333336</v>
      </c>
      <c r="F134" s="23">
        <v>50.3</v>
      </c>
      <c r="G134" s="31">
        <v>7.0000000000000001E-3</v>
      </c>
      <c r="H134" s="23">
        <v>350.8</v>
      </c>
      <c r="I134" s="31">
        <v>7.0000000000000001E-3</v>
      </c>
      <c r="J134" s="23">
        <v>1002.273</v>
      </c>
      <c r="K134" s="23">
        <v>50063.54</v>
      </c>
      <c r="L134" s="23">
        <v>12678.03</v>
      </c>
      <c r="M134" s="23">
        <v>22</v>
      </c>
      <c r="N134" s="23">
        <v>15.95</v>
      </c>
      <c r="O134" s="31">
        <v>-0.01</v>
      </c>
      <c r="P134" s="31">
        <v>1.7000000000000001E-2</v>
      </c>
      <c r="Q134" s="23" t="s">
        <v>24</v>
      </c>
      <c r="R134" s="23">
        <v>0</v>
      </c>
      <c r="S134" s="23">
        <v>49.12</v>
      </c>
      <c r="U134" s="47">
        <f>VLOOKUP(AU134,[1]expiry_dates!$B$2:$C$2894,2,FALSE)</f>
        <v>43615</v>
      </c>
      <c r="V134" s="23" t="s">
        <v>124</v>
      </c>
      <c r="W134" s="23" t="s">
        <v>23</v>
      </c>
      <c r="X134" s="49">
        <v>43587.395833333336</v>
      </c>
      <c r="Y134" s="23">
        <v>2.15</v>
      </c>
      <c r="Z134" s="23">
        <v>43587.614583333336</v>
      </c>
      <c r="AA134" s="23">
        <v>1.9</v>
      </c>
      <c r="AB134" s="23">
        <v>-0.1163</v>
      </c>
      <c r="AC134" s="23">
        <v>6123.17</v>
      </c>
      <c r="AD134" s="23">
        <v>0.1163</v>
      </c>
      <c r="AE134" s="23">
        <v>24492.7</v>
      </c>
      <c r="AF134" s="23">
        <v>52659.3</v>
      </c>
      <c r="AG134" s="23">
        <v>534981.74</v>
      </c>
      <c r="AH134" s="23">
        <v>22</v>
      </c>
      <c r="AI134" s="23">
        <v>278.33</v>
      </c>
      <c r="AJ134" s="23">
        <v>-0.13950000000000001</v>
      </c>
      <c r="AK134" s="23">
        <v>0.186</v>
      </c>
      <c r="AL134" s="23" t="s">
        <v>24</v>
      </c>
      <c r="AM134" s="23">
        <v>49.95</v>
      </c>
      <c r="AN134" s="23">
        <v>29829.45</v>
      </c>
      <c r="AO134" s="23">
        <v>49.12</v>
      </c>
      <c r="AP134" s="23">
        <v>0</v>
      </c>
      <c r="AR134" s="46"/>
      <c r="AS134" s="44"/>
      <c r="AT134" s="45"/>
      <c r="AU134" s="2">
        <v>43587</v>
      </c>
      <c r="AV134" s="52">
        <v>0.39583333333333331</v>
      </c>
      <c r="AW134" s="2" t="s">
        <v>212</v>
      </c>
      <c r="AY134" s="3"/>
      <c r="BA134" s="3"/>
      <c r="BG134" s="3"/>
      <c r="BH134" s="3"/>
    </row>
    <row r="135" spans="1:60">
      <c r="A135" s="23" t="s">
        <v>22</v>
      </c>
      <c r="B135" s="23" t="s">
        <v>23</v>
      </c>
      <c r="C135" s="27">
        <v>43587.614583333336</v>
      </c>
      <c r="D135" s="23">
        <v>50.3</v>
      </c>
      <c r="E135" s="27">
        <v>43587.635416666664</v>
      </c>
      <c r="F135" s="23">
        <v>50.5</v>
      </c>
      <c r="G135" s="31">
        <v>4.0000000000000001E-3</v>
      </c>
      <c r="H135" s="23">
        <v>-199.06</v>
      </c>
      <c r="I135" s="31">
        <v>-4.0000000000000001E-3</v>
      </c>
      <c r="J135" s="23">
        <v>995.31600000000003</v>
      </c>
      <c r="K135" s="23">
        <v>50064.39</v>
      </c>
      <c r="L135" s="23">
        <v>12478.97</v>
      </c>
      <c r="M135" s="23">
        <v>3</v>
      </c>
      <c r="N135" s="23">
        <v>-66.349999999999994</v>
      </c>
      <c r="O135" s="31">
        <v>-4.0000000000000001E-3</v>
      </c>
      <c r="P135" s="31">
        <v>3.0000000000000001E-3</v>
      </c>
      <c r="Q135" s="23" t="s">
        <v>24</v>
      </c>
      <c r="R135" s="23">
        <v>0</v>
      </c>
      <c r="S135" s="23">
        <v>50.8</v>
      </c>
      <c r="U135" s="47">
        <f>VLOOKUP(AU135,[1]expiry_dates!$B$2:$C$2894,2,FALSE)</f>
        <v>43615</v>
      </c>
      <c r="V135" s="23" t="s">
        <v>125</v>
      </c>
      <c r="W135" s="23" t="s">
        <v>23</v>
      </c>
      <c r="X135" s="49">
        <v>43587.614583333336</v>
      </c>
      <c r="Y135" s="23">
        <v>1.4</v>
      </c>
      <c r="Z135" s="23">
        <v>43587.635416666664</v>
      </c>
      <c r="AA135" s="23">
        <v>1.6</v>
      </c>
      <c r="AB135" s="23">
        <v>0.1429</v>
      </c>
      <c r="AC135" s="23">
        <v>-7524.99</v>
      </c>
      <c r="AD135" s="23">
        <v>-0.1429</v>
      </c>
      <c r="AE135" s="23">
        <v>37624.93</v>
      </c>
      <c r="AF135" s="23">
        <v>52674.91</v>
      </c>
      <c r="AG135" s="23">
        <v>527456.76</v>
      </c>
      <c r="AH135" s="23">
        <v>3</v>
      </c>
      <c r="AI135" s="23">
        <v>-2508.33</v>
      </c>
      <c r="AJ135" s="23">
        <v>-0.1429</v>
      </c>
      <c r="AK135" s="23">
        <v>0</v>
      </c>
      <c r="AL135" s="23" t="s">
        <v>24</v>
      </c>
      <c r="AM135" s="23">
        <v>50.3</v>
      </c>
      <c r="AN135" s="23">
        <v>29676</v>
      </c>
      <c r="AO135" s="23">
        <v>50.8</v>
      </c>
      <c r="AP135" s="23">
        <v>0</v>
      </c>
      <c r="AR135" s="46"/>
      <c r="AS135" s="44"/>
      <c r="AT135" s="45"/>
      <c r="AU135" s="2">
        <v>43587</v>
      </c>
      <c r="AV135" s="52">
        <v>0.11458333333333333</v>
      </c>
      <c r="AW135" s="2" t="s">
        <v>213</v>
      </c>
      <c r="AY135" s="3"/>
      <c r="BA135" s="3"/>
      <c r="BG135" s="3"/>
      <c r="BH135" s="3"/>
    </row>
    <row r="136" spans="1:60">
      <c r="A136" s="23" t="s">
        <v>22</v>
      </c>
      <c r="B136" s="23" t="s">
        <v>25</v>
      </c>
      <c r="C136" s="27">
        <v>43587.635416666664</v>
      </c>
      <c r="D136" s="23">
        <v>50.5</v>
      </c>
      <c r="E136" s="27">
        <v>43588.5625</v>
      </c>
      <c r="F136" s="23">
        <v>50.7</v>
      </c>
      <c r="G136" s="31">
        <v>4.0000000000000001E-3</v>
      </c>
      <c r="H136" s="23">
        <v>198.27</v>
      </c>
      <c r="I136" s="31">
        <v>4.0000000000000001E-3</v>
      </c>
      <c r="J136" s="23">
        <v>991.35419999999999</v>
      </c>
      <c r="K136" s="23">
        <v>50063.39</v>
      </c>
      <c r="L136" s="23">
        <v>12677.24</v>
      </c>
      <c r="M136" s="23">
        <v>23</v>
      </c>
      <c r="N136" s="23">
        <v>8.6199999999999992</v>
      </c>
      <c r="O136" s="31">
        <v>-4.0000000000000001E-3</v>
      </c>
      <c r="P136" s="31">
        <v>1.3899999999999999E-2</v>
      </c>
      <c r="Q136" s="23" t="s">
        <v>24</v>
      </c>
      <c r="R136" s="23">
        <v>0</v>
      </c>
      <c r="S136" s="23">
        <v>50.15</v>
      </c>
      <c r="U136" s="47">
        <f>VLOOKUP(AU136,[1]expiry_dates!$B$2:$C$2894,2,FALSE)</f>
        <v>43615</v>
      </c>
      <c r="V136" s="23" t="s">
        <v>105</v>
      </c>
      <c r="W136" s="23" t="s">
        <v>23</v>
      </c>
      <c r="X136" s="49">
        <v>43587.635416666664</v>
      </c>
      <c r="Y136" s="23">
        <v>0.85</v>
      </c>
      <c r="Z136" s="23">
        <v>43588.5625</v>
      </c>
      <c r="AA136" s="23">
        <v>0.75</v>
      </c>
      <c r="AB136" s="23">
        <v>-0.1176</v>
      </c>
      <c r="AC136" s="23">
        <v>6197.05</v>
      </c>
      <c r="AD136" s="23">
        <v>0.1176</v>
      </c>
      <c r="AE136" s="23">
        <v>61970.48</v>
      </c>
      <c r="AF136" s="23">
        <v>52674.91</v>
      </c>
      <c r="AG136" s="23">
        <v>533653.80000000005</v>
      </c>
      <c r="AH136" s="23">
        <v>23</v>
      </c>
      <c r="AI136" s="23">
        <v>269.44</v>
      </c>
      <c r="AJ136" s="23">
        <v>0</v>
      </c>
      <c r="AK136" s="23">
        <v>0.17649999999999999</v>
      </c>
      <c r="AL136" s="23" t="s">
        <v>24</v>
      </c>
      <c r="AM136" s="23">
        <v>50.5</v>
      </c>
      <c r="AN136" s="23">
        <v>29689.9</v>
      </c>
      <c r="AO136" s="23">
        <v>50.15</v>
      </c>
      <c r="AP136" s="23">
        <v>0</v>
      </c>
      <c r="AR136" s="46"/>
      <c r="AS136" s="44"/>
      <c r="AT136" s="45"/>
      <c r="AU136" s="2">
        <v>43587</v>
      </c>
      <c r="AV136" s="52">
        <v>0.13541666666666666</v>
      </c>
      <c r="AW136" s="2" t="s">
        <v>213</v>
      </c>
      <c r="AY136" s="3"/>
      <c r="BA136" s="3"/>
      <c r="BG136" s="3"/>
      <c r="BH136" s="3"/>
    </row>
    <row r="137" spans="1:60">
      <c r="A137" s="23" t="s">
        <v>22</v>
      </c>
      <c r="B137" s="23" t="s">
        <v>23</v>
      </c>
      <c r="C137" s="27">
        <v>43588.5625</v>
      </c>
      <c r="D137" s="23">
        <v>50.7</v>
      </c>
      <c r="E137" s="27">
        <v>43588.59375</v>
      </c>
      <c r="F137" s="23">
        <v>50.9</v>
      </c>
      <c r="G137" s="31">
        <v>3.8999999999999998E-3</v>
      </c>
      <c r="H137" s="23">
        <v>-197.49</v>
      </c>
      <c r="I137" s="31">
        <v>-3.8999999999999998E-3</v>
      </c>
      <c r="J137" s="23">
        <v>987.45320000000004</v>
      </c>
      <c r="K137" s="23">
        <v>50063.88</v>
      </c>
      <c r="L137" s="23">
        <v>12479.75</v>
      </c>
      <c r="M137" s="23">
        <v>4</v>
      </c>
      <c r="N137" s="23">
        <v>-49.37</v>
      </c>
      <c r="O137" s="31">
        <v>-3.8999999999999998E-3</v>
      </c>
      <c r="P137" s="31">
        <v>3.0000000000000001E-3</v>
      </c>
      <c r="Q137" s="23" t="s">
        <v>24</v>
      </c>
      <c r="R137" s="23">
        <v>0</v>
      </c>
      <c r="S137" s="23">
        <v>51.18</v>
      </c>
      <c r="U137" s="47">
        <f>VLOOKUP(AU137,[1]expiry_dates!$B$2:$C$2894,2,FALSE)</f>
        <v>43615</v>
      </c>
      <c r="V137" s="23" t="s">
        <v>119</v>
      </c>
      <c r="W137" s="23" t="s">
        <v>23</v>
      </c>
      <c r="X137" s="49">
        <v>43588.5625</v>
      </c>
      <c r="Y137" s="23">
        <v>2.25</v>
      </c>
      <c r="Z137" s="23">
        <v>43588.59375</v>
      </c>
      <c r="AA137" s="23">
        <v>2.35</v>
      </c>
      <c r="AB137" s="23">
        <v>4.4400000000000002E-2</v>
      </c>
      <c r="AC137" s="23">
        <v>-2340.81</v>
      </c>
      <c r="AD137" s="23">
        <v>-4.4400000000000002E-2</v>
      </c>
      <c r="AE137" s="23">
        <v>23408.12</v>
      </c>
      <c r="AF137" s="23">
        <v>52668.27</v>
      </c>
      <c r="AG137" s="23">
        <v>531312.99</v>
      </c>
      <c r="AH137" s="23">
        <v>4</v>
      </c>
      <c r="AI137" s="23">
        <v>-585.20000000000005</v>
      </c>
      <c r="AJ137" s="23">
        <v>-4.4400000000000002E-2</v>
      </c>
      <c r="AK137" s="23">
        <v>0</v>
      </c>
      <c r="AL137" s="23" t="s">
        <v>24</v>
      </c>
      <c r="AM137" s="23">
        <v>50.7</v>
      </c>
      <c r="AN137" s="23">
        <v>30002.9</v>
      </c>
      <c r="AO137" s="23">
        <v>51.18</v>
      </c>
      <c r="AP137" s="23">
        <v>0</v>
      </c>
      <c r="AR137" s="46"/>
      <c r="AS137" s="44"/>
      <c r="AT137" s="45"/>
      <c r="AU137" s="2">
        <v>43588</v>
      </c>
      <c r="AV137" s="52">
        <v>6.25E-2</v>
      </c>
      <c r="AW137" s="2" t="s">
        <v>213</v>
      </c>
      <c r="AY137" s="3"/>
      <c r="BA137" s="3"/>
      <c r="BG137" s="3"/>
      <c r="BH137" s="3"/>
    </row>
    <row r="138" spans="1:60">
      <c r="A138" s="23" t="s">
        <v>22</v>
      </c>
      <c r="B138" s="23" t="s">
        <v>25</v>
      </c>
      <c r="C138" s="27">
        <v>43588.59375</v>
      </c>
      <c r="D138" s="23">
        <v>50.9</v>
      </c>
      <c r="E138" s="27">
        <v>43588.614583333336</v>
      </c>
      <c r="F138" s="23">
        <v>50.75</v>
      </c>
      <c r="G138" s="31">
        <v>-2.8999999999999998E-3</v>
      </c>
      <c r="H138" s="23">
        <v>-147.53</v>
      </c>
      <c r="I138" s="31">
        <v>-2.8999999999999998E-3</v>
      </c>
      <c r="J138" s="23">
        <v>983.54899999999998</v>
      </c>
      <c r="K138" s="23">
        <v>50062.64</v>
      </c>
      <c r="L138" s="23">
        <v>12332.22</v>
      </c>
      <c r="M138" s="23">
        <v>3</v>
      </c>
      <c r="N138" s="23">
        <v>-49.18</v>
      </c>
      <c r="O138" s="31">
        <v>-3.8999999999999998E-3</v>
      </c>
      <c r="P138" s="31">
        <v>3.8999999999999998E-3</v>
      </c>
      <c r="Q138" s="23" t="s">
        <v>24</v>
      </c>
      <c r="R138" s="23">
        <v>0</v>
      </c>
      <c r="S138" s="23">
        <v>50.57</v>
      </c>
      <c r="U138" s="47">
        <f>VLOOKUP(AU138,[1]expiry_dates!$B$2:$C$2894,2,FALSE)</f>
        <v>43615</v>
      </c>
      <c r="V138" s="23" t="s">
        <v>124</v>
      </c>
      <c r="W138" s="23" t="s">
        <v>23</v>
      </c>
      <c r="X138" s="49">
        <v>43588.59375</v>
      </c>
      <c r="Y138" s="23">
        <v>1.75</v>
      </c>
      <c r="Z138" s="23">
        <v>43588.614583333336</v>
      </c>
      <c r="AA138" s="23">
        <v>1.9</v>
      </c>
      <c r="AB138" s="23">
        <v>8.5699999999999998E-2</v>
      </c>
      <c r="AC138" s="23">
        <v>-4514.42</v>
      </c>
      <c r="AD138" s="23">
        <v>-8.5699999999999998E-2</v>
      </c>
      <c r="AE138" s="23">
        <v>30096.15</v>
      </c>
      <c r="AF138" s="23">
        <v>52668.27</v>
      </c>
      <c r="AG138" s="23">
        <v>526798.56999999995</v>
      </c>
      <c r="AH138" s="23">
        <v>3</v>
      </c>
      <c r="AI138" s="23">
        <v>-1504.81</v>
      </c>
      <c r="AJ138" s="23">
        <v>-8.5699999999999998E-2</v>
      </c>
      <c r="AK138" s="23">
        <v>0</v>
      </c>
      <c r="AL138" s="23" t="s">
        <v>24</v>
      </c>
      <c r="AM138" s="23">
        <v>50.9</v>
      </c>
      <c r="AN138" s="23">
        <v>30022.400000000001</v>
      </c>
      <c r="AO138" s="23">
        <v>50.57</v>
      </c>
      <c r="AP138" s="23">
        <v>0</v>
      </c>
      <c r="AR138" s="46"/>
      <c r="AS138" s="44"/>
      <c r="AT138" s="45"/>
      <c r="AU138" s="2">
        <v>43588</v>
      </c>
      <c r="AV138" s="52">
        <v>9.375E-2</v>
      </c>
      <c r="AW138" s="2" t="s">
        <v>213</v>
      </c>
      <c r="AY138" s="3"/>
      <c r="BA138" s="3"/>
      <c r="BG138" s="3"/>
      <c r="BH138" s="3"/>
    </row>
    <row r="139" spans="1:60">
      <c r="A139" s="23" t="s">
        <v>22</v>
      </c>
      <c r="B139" s="23" t="s">
        <v>23</v>
      </c>
      <c r="C139" s="27">
        <v>43588.614583333336</v>
      </c>
      <c r="D139" s="23">
        <v>50.75</v>
      </c>
      <c r="E139" s="27">
        <v>43591.46875</v>
      </c>
      <c r="F139" s="23">
        <v>50.5</v>
      </c>
      <c r="G139" s="31">
        <v>-4.8999999999999998E-3</v>
      </c>
      <c r="H139" s="23">
        <v>246.61</v>
      </c>
      <c r="I139" s="31">
        <v>4.8999999999999998E-3</v>
      </c>
      <c r="J139" s="23">
        <v>986.4366</v>
      </c>
      <c r="K139" s="23">
        <v>50061.66</v>
      </c>
      <c r="L139" s="23">
        <v>12578.82</v>
      </c>
      <c r="M139" s="23">
        <v>16</v>
      </c>
      <c r="N139" s="23">
        <v>15.41</v>
      </c>
      <c r="O139" s="31">
        <v>-1E-3</v>
      </c>
      <c r="P139" s="31">
        <v>1.77E-2</v>
      </c>
      <c r="Q139" s="23" t="s">
        <v>24</v>
      </c>
      <c r="R139" s="23">
        <v>0</v>
      </c>
      <c r="S139" s="23">
        <v>51.08</v>
      </c>
      <c r="U139" s="47">
        <f>VLOOKUP(AU139,[1]expiry_dates!$B$2:$C$2894,2,FALSE)</f>
        <v>43615</v>
      </c>
      <c r="V139" s="23" t="s">
        <v>121</v>
      </c>
      <c r="W139" s="23" t="s">
        <v>23</v>
      </c>
      <c r="X139" s="49">
        <v>43588.614583333336</v>
      </c>
      <c r="Y139" s="23">
        <v>2.6</v>
      </c>
      <c r="Z139" s="23">
        <v>43591.46875</v>
      </c>
      <c r="AA139" s="23">
        <v>2.6</v>
      </c>
      <c r="AB139" s="23">
        <v>0</v>
      </c>
      <c r="AC139" s="23">
        <v>0</v>
      </c>
      <c r="AD139" s="23">
        <v>0</v>
      </c>
      <c r="AE139" s="23">
        <v>20252.53</v>
      </c>
      <c r="AF139" s="23">
        <v>52656.56</v>
      </c>
      <c r="AG139" s="23">
        <v>526798.56999999995</v>
      </c>
      <c r="AH139" s="23">
        <v>16</v>
      </c>
      <c r="AI139" s="23">
        <v>0</v>
      </c>
      <c r="AJ139" s="23">
        <v>-5.7700000000000001E-2</v>
      </c>
      <c r="AK139" s="23">
        <v>5.7700000000000001E-2</v>
      </c>
      <c r="AL139" s="23" t="s">
        <v>24</v>
      </c>
      <c r="AM139" s="23">
        <v>50.75</v>
      </c>
      <c r="AN139" s="23">
        <v>30024.400000000001</v>
      </c>
      <c r="AO139" s="23">
        <v>51.08</v>
      </c>
      <c r="AP139" s="23">
        <v>0</v>
      </c>
      <c r="AR139" s="46"/>
      <c r="AS139" s="44"/>
      <c r="AT139" s="45"/>
      <c r="AU139" s="2">
        <v>43588</v>
      </c>
      <c r="AV139" s="52">
        <v>0.11458333333333333</v>
      </c>
      <c r="AW139" s="2" t="s">
        <v>213</v>
      </c>
      <c r="AY139" s="3"/>
      <c r="BA139" s="3"/>
      <c r="BG139" s="3"/>
      <c r="BH139" s="3"/>
    </row>
    <row r="140" spans="1:60">
      <c r="A140" s="23" t="s">
        <v>22</v>
      </c>
      <c r="B140" s="23" t="s">
        <v>25</v>
      </c>
      <c r="C140" s="27">
        <v>43591.46875</v>
      </c>
      <c r="D140" s="23">
        <v>50.5</v>
      </c>
      <c r="E140" s="27">
        <v>43591.541666666664</v>
      </c>
      <c r="F140" s="23">
        <v>49.95</v>
      </c>
      <c r="G140" s="31">
        <v>-1.09E-2</v>
      </c>
      <c r="H140" s="23">
        <v>-545.24</v>
      </c>
      <c r="I140" s="31">
        <v>-1.09E-2</v>
      </c>
      <c r="J140" s="23">
        <v>991.34929999999997</v>
      </c>
      <c r="K140" s="23">
        <v>50063.14</v>
      </c>
      <c r="L140" s="23">
        <v>12033.58</v>
      </c>
      <c r="M140" s="23">
        <v>8</v>
      </c>
      <c r="N140" s="23">
        <v>-68.16</v>
      </c>
      <c r="O140" s="31">
        <v>-1.09E-2</v>
      </c>
      <c r="P140" s="31">
        <v>0</v>
      </c>
      <c r="Q140" s="23" t="s">
        <v>24</v>
      </c>
      <c r="R140" s="23">
        <v>0</v>
      </c>
      <c r="S140" s="23">
        <v>49.85</v>
      </c>
      <c r="U140" s="47">
        <f>VLOOKUP(AU140,[1]expiry_dates!$B$2:$C$2894,2,FALSE)</f>
        <v>43615</v>
      </c>
      <c r="V140" s="23" t="s">
        <v>122</v>
      </c>
      <c r="W140" s="23" t="s">
        <v>23</v>
      </c>
      <c r="X140" s="49">
        <v>43591.46875</v>
      </c>
      <c r="Y140" s="23">
        <v>1.65</v>
      </c>
      <c r="Z140" s="23">
        <v>43591.541666666664</v>
      </c>
      <c r="AA140" s="23">
        <v>1.7</v>
      </c>
      <c r="AB140" s="23">
        <v>3.0300000000000001E-2</v>
      </c>
      <c r="AC140" s="23">
        <v>-1594.97</v>
      </c>
      <c r="AD140" s="23">
        <v>-3.0300000000000001E-2</v>
      </c>
      <c r="AE140" s="23">
        <v>31899.39</v>
      </c>
      <c r="AF140" s="23">
        <v>52633.99</v>
      </c>
      <c r="AG140" s="23">
        <v>525203.6</v>
      </c>
      <c r="AH140" s="23">
        <v>8</v>
      </c>
      <c r="AI140" s="23">
        <v>-199.37</v>
      </c>
      <c r="AJ140" s="23">
        <v>-3.0300000000000001E-2</v>
      </c>
      <c r="AK140" s="23">
        <v>0</v>
      </c>
      <c r="AL140" s="23" t="s">
        <v>24</v>
      </c>
      <c r="AM140" s="23">
        <v>50.5</v>
      </c>
      <c r="AN140" s="23">
        <v>29656.45</v>
      </c>
      <c r="AO140" s="23">
        <v>49.85</v>
      </c>
      <c r="AP140" s="23">
        <v>0</v>
      </c>
      <c r="AR140" s="46"/>
      <c r="AS140" s="44"/>
      <c r="AT140" s="45"/>
      <c r="AU140" s="2">
        <v>43591</v>
      </c>
      <c r="AV140" s="52">
        <v>0.46875</v>
      </c>
      <c r="AW140" s="2" t="s">
        <v>212</v>
      </c>
      <c r="AY140" s="3"/>
      <c r="BA140" s="3"/>
      <c r="BG140" s="3"/>
      <c r="BH140" s="3"/>
    </row>
    <row r="141" spans="1:60">
      <c r="A141" s="23" t="s">
        <v>22</v>
      </c>
      <c r="B141" s="23" t="s">
        <v>23</v>
      </c>
      <c r="C141" s="27">
        <v>43591.541666666664</v>
      </c>
      <c r="D141" s="23">
        <v>49.95</v>
      </c>
      <c r="E141" s="27">
        <v>43591.614583333336</v>
      </c>
      <c r="F141" s="23">
        <v>50.2</v>
      </c>
      <c r="G141" s="31">
        <v>5.0000000000000001E-3</v>
      </c>
      <c r="H141" s="23">
        <v>-250.56</v>
      </c>
      <c r="I141" s="31">
        <v>-5.0000000000000001E-3</v>
      </c>
      <c r="J141" s="23">
        <v>1002.24</v>
      </c>
      <c r="K141" s="23">
        <v>50061.9</v>
      </c>
      <c r="L141" s="23">
        <v>11783.02</v>
      </c>
      <c r="M141" s="23">
        <v>8</v>
      </c>
      <c r="N141" s="23">
        <v>-31.32</v>
      </c>
      <c r="O141" s="31">
        <v>-8.0000000000000002E-3</v>
      </c>
      <c r="P141" s="31">
        <v>1E-3</v>
      </c>
      <c r="Q141" s="23" t="s">
        <v>24</v>
      </c>
      <c r="R141" s="23">
        <v>0</v>
      </c>
      <c r="S141" s="23">
        <v>50.49</v>
      </c>
      <c r="U141" s="47">
        <f>VLOOKUP(AU141,[1]expiry_dates!$B$2:$C$2894,2,FALSE)</f>
        <v>43615</v>
      </c>
      <c r="V141" s="23" t="s">
        <v>121</v>
      </c>
      <c r="W141" s="23" t="s">
        <v>23</v>
      </c>
      <c r="X141" s="49">
        <v>43591.541666666664</v>
      </c>
      <c r="Y141" s="23">
        <v>2.5</v>
      </c>
      <c r="Z141" s="23">
        <v>43591.614583333336</v>
      </c>
      <c r="AA141" s="23">
        <v>2.6</v>
      </c>
      <c r="AB141" s="23">
        <v>0.04</v>
      </c>
      <c r="AC141" s="23">
        <v>-2105.04</v>
      </c>
      <c r="AD141" s="23">
        <v>-0.04</v>
      </c>
      <c r="AE141" s="23">
        <v>21050.41</v>
      </c>
      <c r="AF141" s="23">
        <v>52626.02</v>
      </c>
      <c r="AG141" s="23">
        <v>523098.56</v>
      </c>
      <c r="AH141" s="23">
        <v>8</v>
      </c>
      <c r="AI141" s="23">
        <v>-263.13</v>
      </c>
      <c r="AJ141" s="23">
        <v>-0.06</v>
      </c>
      <c r="AK141" s="23">
        <v>0</v>
      </c>
      <c r="AL141" s="23" t="s">
        <v>24</v>
      </c>
      <c r="AM141" s="23">
        <v>49.95</v>
      </c>
      <c r="AN141" s="23">
        <v>29658.15</v>
      </c>
      <c r="AO141" s="23">
        <v>50.49</v>
      </c>
      <c r="AP141" s="23">
        <v>0</v>
      </c>
      <c r="AR141" s="46"/>
      <c r="AS141" s="44"/>
      <c r="AT141" s="45"/>
      <c r="AU141" s="2">
        <v>43591</v>
      </c>
      <c r="AV141" s="52">
        <v>4.1666666666666664E-2</v>
      </c>
      <c r="AW141" s="2" t="s">
        <v>213</v>
      </c>
      <c r="AY141" s="3"/>
      <c r="BA141" s="3"/>
      <c r="BG141" s="3"/>
      <c r="BH141" s="3"/>
    </row>
    <row r="142" spans="1:60">
      <c r="A142" s="23" t="s">
        <v>22</v>
      </c>
      <c r="B142" s="23" t="s">
        <v>25</v>
      </c>
      <c r="C142" s="27">
        <v>43591.614583333336</v>
      </c>
      <c r="D142" s="23">
        <v>50.2</v>
      </c>
      <c r="E142" s="27">
        <v>43592.4375</v>
      </c>
      <c r="F142" s="23">
        <v>50.35</v>
      </c>
      <c r="G142" s="31">
        <v>3.0000000000000001E-3</v>
      </c>
      <c r="H142" s="23">
        <v>149.58000000000001</v>
      </c>
      <c r="I142" s="31">
        <v>3.0000000000000001E-3</v>
      </c>
      <c r="J142" s="23">
        <v>997.20450000000005</v>
      </c>
      <c r="K142" s="23">
        <v>50059.67</v>
      </c>
      <c r="L142" s="23">
        <v>11932.6</v>
      </c>
      <c r="M142" s="23">
        <v>13</v>
      </c>
      <c r="N142" s="23">
        <v>11.51</v>
      </c>
      <c r="O142" s="31">
        <v>-4.0000000000000001E-3</v>
      </c>
      <c r="P142" s="31">
        <v>0.01</v>
      </c>
      <c r="Q142" s="23" t="s">
        <v>24</v>
      </c>
      <c r="R142" s="23">
        <v>0</v>
      </c>
      <c r="S142" s="23">
        <v>49.9</v>
      </c>
      <c r="U142" s="47">
        <f>VLOOKUP(AU142,[1]expiry_dates!$B$2:$C$2894,2,FALSE)</f>
        <v>43615</v>
      </c>
      <c r="V142" s="23" t="s">
        <v>124</v>
      </c>
      <c r="W142" s="23" t="s">
        <v>23</v>
      </c>
      <c r="X142" s="49">
        <v>43591.614583333336</v>
      </c>
      <c r="Y142" s="23">
        <v>2.15</v>
      </c>
      <c r="Z142" s="23">
        <v>43592.4375</v>
      </c>
      <c r="AA142" s="23">
        <v>2.1</v>
      </c>
      <c r="AB142" s="23">
        <v>-2.3300000000000001E-2</v>
      </c>
      <c r="AC142" s="23">
        <v>1223.8599999999999</v>
      </c>
      <c r="AD142" s="23">
        <v>2.3300000000000001E-2</v>
      </c>
      <c r="AE142" s="23">
        <v>24477.22</v>
      </c>
      <c r="AF142" s="23">
        <v>52626.02</v>
      </c>
      <c r="AG142" s="23">
        <v>524322.42000000004</v>
      </c>
      <c r="AH142" s="23">
        <v>13</v>
      </c>
      <c r="AI142" s="23">
        <v>94.14</v>
      </c>
      <c r="AJ142" s="23">
        <v>-9.2999999999999999E-2</v>
      </c>
      <c r="AK142" s="23">
        <v>9.2999999999999999E-2</v>
      </c>
      <c r="AL142" s="23" t="s">
        <v>24</v>
      </c>
      <c r="AM142" s="23">
        <v>50.2</v>
      </c>
      <c r="AN142" s="23">
        <v>29627.25</v>
      </c>
      <c r="AO142" s="23">
        <v>49.9</v>
      </c>
      <c r="AP142" s="23">
        <v>0</v>
      </c>
      <c r="AR142" s="46"/>
      <c r="AS142" s="44"/>
      <c r="AT142" s="45"/>
      <c r="AU142" s="2">
        <v>43591</v>
      </c>
      <c r="AV142" s="52">
        <v>0.11458333333333333</v>
      </c>
      <c r="AW142" s="2" t="s">
        <v>213</v>
      </c>
      <c r="AY142" s="3"/>
      <c r="BA142" s="3"/>
      <c r="BG142" s="3"/>
      <c r="BH142" s="3"/>
    </row>
    <row r="143" spans="1:60">
      <c r="A143" s="23" t="s">
        <v>22</v>
      </c>
      <c r="B143" s="23" t="s">
        <v>23</v>
      </c>
      <c r="C143" s="27">
        <v>43592.4375</v>
      </c>
      <c r="D143" s="23">
        <v>50.35</v>
      </c>
      <c r="E143" s="27">
        <v>43593.447916666664</v>
      </c>
      <c r="F143" s="23">
        <v>49.35</v>
      </c>
      <c r="G143" s="31">
        <v>-1.9900000000000001E-2</v>
      </c>
      <c r="H143" s="23">
        <v>994.22</v>
      </c>
      <c r="I143" s="31">
        <v>1.9900000000000001E-2</v>
      </c>
      <c r="J143" s="23">
        <v>994.22379999999998</v>
      </c>
      <c r="K143" s="23">
        <v>50059.16</v>
      </c>
      <c r="L143" s="23">
        <v>12926.83</v>
      </c>
      <c r="M143" s="23">
        <v>31</v>
      </c>
      <c r="N143" s="23">
        <v>32.07</v>
      </c>
      <c r="O143" s="31">
        <v>-1E-3</v>
      </c>
      <c r="P143" s="31">
        <v>4.4699999999999997E-2</v>
      </c>
      <c r="Q143" s="23" t="s">
        <v>24</v>
      </c>
      <c r="R143" s="23">
        <v>0</v>
      </c>
      <c r="S143" s="23">
        <v>50.69</v>
      </c>
      <c r="U143" s="47">
        <f>VLOOKUP(AU143,[1]expiry_dates!$B$2:$C$2894,2,FALSE)</f>
        <v>43615</v>
      </c>
      <c r="V143" s="23" t="s">
        <v>121</v>
      </c>
      <c r="W143" s="23" t="s">
        <v>23</v>
      </c>
      <c r="X143" s="49">
        <v>43592.4375</v>
      </c>
      <c r="Y143" s="23">
        <v>2.5</v>
      </c>
      <c r="Z143" s="23">
        <v>43593.447916666664</v>
      </c>
      <c r="AA143" s="23">
        <v>2.1</v>
      </c>
      <c r="AB143" s="23">
        <v>-0.16</v>
      </c>
      <c r="AC143" s="23">
        <v>8419.4599999999991</v>
      </c>
      <c r="AD143" s="23">
        <v>0.16</v>
      </c>
      <c r="AE143" s="23">
        <v>21048.639999999999</v>
      </c>
      <c r="AF143" s="23">
        <v>52621.61</v>
      </c>
      <c r="AG143" s="23">
        <v>532741.88</v>
      </c>
      <c r="AH143" s="23">
        <v>31</v>
      </c>
      <c r="AI143" s="23">
        <v>271.60000000000002</v>
      </c>
      <c r="AJ143" s="23">
        <v>-0.04</v>
      </c>
      <c r="AK143" s="23">
        <v>0.32</v>
      </c>
      <c r="AL143" s="23" t="s">
        <v>24</v>
      </c>
      <c r="AM143" s="23">
        <v>50.35</v>
      </c>
      <c r="AN143" s="23">
        <v>29720.45</v>
      </c>
      <c r="AO143" s="23">
        <v>50.69</v>
      </c>
      <c r="AP143" s="23">
        <v>0</v>
      </c>
      <c r="AR143" s="46"/>
      <c r="AS143" s="44"/>
      <c r="AT143" s="45"/>
      <c r="AU143" s="2">
        <v>43592</v>
      </c>
      <c r="AV143" s="52">
        <v>0.4375</v>
      </c>
      <c r="AW143" s="2" t="s">
        <v>212</v>
      </c>
      <c r="AY143" s="3"/>
      <c r="BA143" s="3"/>
      <c r="BG143" s="3"/>
      <c r="BH143" s="3"/>
    </row>
    <row r="144" spans="1:60">
      <c r="A144" s="23" t="s">
        <v>22</v>
      </c>
      <c r="B144" s="23" t="s">
        <v>25</v>
      </c>
      <c r="C144" s="27">
        <v>43593.447916666664</v>
      </c>
      <c r="D144" s="23">
        <v>49.35</v>
      </c>
      <c r="E144" s="27">
        <v>43593.635416666664</v>
      </c>
      <c r="F144" s="23">
        <v>49.4</v>
      </c>
      <c r="G144" s="31">
        <v>1E-3</v>
      </c>
      <c r="H144" s="23">
        <v>50.73</v>
      </c>
      <c r="I144" s="31">
        <v>1E-3</v>
      </c>
      <c r="J144" s="23">
        <v>1014.506</v>
      </c>
      <c r="K144" s="23">
        <v>50065.88</v>
      </c>
      <c r="L144" s="23">
        <v>12977.55</v>
      </c>
      <c r="M144" s="23">
        <v>19</v>
      </c>
      <c r="N144" s="23">
        <v>2.67</v>
      </c>
      <c r="O144" s="31">
        <v>-1.52E-2</v>
      </c>
      <c r="P144" s="31">
        <v>1.11E-2</v>
      </c>
      <c r="Q144" s="23" t="s">
        <v>24</v>
      </c>
      <c r="R144" s="23">
        <v>0</v>
      </c>
      <c r="S144" s="23">
        <v>48.15</v>
      </c>
      <c r="U144" s="47">
        <f>VLOOKUP(AU144,[1]expiry_dates!$B$2:$C$2894,2,FALSE)</f>
        <v>43615</v>
      </c>
      <c r="V144" s="23" t="s">
        <v>108</v>
      </c>
      <c r="W144" s="23" t="s">
        <v>23</v>
      </c>
      <c r="X144" s="49">
        <v>43593.447916666664</v>
      </c>
      <c r="Y144" s="23">
        <v>1.55</v>
      </c>
      <c r="Z144" s="23">
        <v>43593.635416666664</v>
      </c>
      <c r="AA144" s="23">
        <v>1.65</v>
      </c>
      <c r="AB144" s="23">
        <v>6.4500000000000002E-2</v>
      </c>
      <c r="AC144" s="23">
        <v>-3398.68</v>
      </c>
      <c r="AD144" s="23">
        <v>-6.4500000000000002E-2</v>
      </c>
      <c r="AE144" s="23">
        <v>33986.769999999997</v>
      </c>
      <c r="AF144" s="23">
        <v>52679.5</v>
      </c>
      <c r="AG144" s="23">
        <v>529343.19999999995</v>
      </c>
      <c r="AH144" s="23">
        <v>19</v>
      </c>
      <c r="AI144" s="23">
        <v>-178.88</v>
      </c>
      <c r="AJ144" s="23">
        <v>-0.19350000000000001</v>
      </c>
      <c r="AK144" s="23">
        <v>3.2300000000000002E-2</v>
      </c>
      <c r="AL144" s="23" t="s">
        <v>24</v>
      </c>
      <c r="AM144" s="23">
        <v>49.35</v>
      </c>
      <c r="AN144" s="23">
        <v>29132.65</v>
      </c>
      <c r="AO144" s="23">
        <v>48.15</v>
      </c>
      <c r="AP144" s="23">
        <v>0</v>
      </c>
      <c r="AR144" s="46"/>
      <c r="AS144" s="44"/>
      <c r="AT144" s="45"/>
      <c r="AU144" s="2">
        <v>43593</v>
      </c>
      <c r="AV144" s="52">
        <v>0.44791666666666669</v>
      </c>
      <c r="AW144" s="2" t="s">
        <v>212</v>
      </c>
      <c r="AY144" s="3"/>
      <c r="BA144" s="3"/>
      <c r="BG144" s="3"/>
      <c r="BH144" s="3"/>
    </row>
    <row r="145" spans="1:60">
      <c r="A145" s="23" t="s">
        <v>22</v>
      </c>
      <c r="B145" s="23" t="s">
        <v>23</v>
      </c>
      <c r="C145" s="27">
        <v>43593.635416666664</v>
      </c>
      <c r="D145" s="23">
        <v>49.4</v>
      </c>
      <c r="E145" s="27">
        <v>43594.635416666664</v>
      </c>
      <c r="F145" s="23">
        <v>48.65</v>
      </c>
      <c r="G145" s="31">
        <v>-1.52E-2</v>
      </c>
      <c r="H145" s="23">
        <v>760.09</v>
      </c>
      <c r="I145" s="31">
        <v>1.52E-2</v>
      </c>
      <c r="J145" s="23">
        <v>1013.454</v>
      </c>
      <c r="K145" s="23">
        <v>50064.63</v>
      </c>
      <c r="L145" s="23">
        <v>13737.64</v>
      </c>
      <c r="M145" s="23">
        <v>30</v>
      </c>
      <c r="N145" s="23">
        <v>25.34</v>
      </c>
      <c r="O145" s="31">
        <v>-6.1000000000000004E-3</v>
      </c>
      <c r="P145" s="31">
        <v>2.63E-2</v>
      </c>
      <c r="Q145" s="23" t="s">
        <v>24</v>
      </c>
      <c r="R145" s="23">
        <v>0</v>
      </c>
      <c r="S145" s="23">
        <v>49.87</v>
      </c>
      <c r="U145" s="47">
        <f>VLOOKUP(AU145,[1]expiry_dates!$B$2:$C$2894,2,FALSE)</f>
        <v>43615</v>
      </c>
      <c r="V145" s="23" t="s">
        <v>123</v>
      </c>
      <c r="W145" s="23" t="s">
        <v>23</v>
      </c>
      <c r="X145" s="49">
        <v>43593.635416666664</v>
      </c>
      <c r="Y145" s="23">
        <v>2.4500000000000002</v>
      </c>
      <c r="Z145" s="23">
        <v>43594.635416666664</v>
      </c>
      <c r="AA145" s="23">
        <v>1.8</v>
      </c>
      <c r="AB145" s="23">
        <v>-0.26529999999999998</v>
      </c>
      <c r="AC145" s="23">
        <v>13974.26</v>
      </c>
      <c r="AD145" s="23">
        <v>0.26529999999999998</v>
      </c>
      <c r="AE145" s="23">
        <v>21498.86</v>
      </c>
      <c r="AF145" s="23">
        <v>52672.21</v>
      </c>
      <c r="AG145" s="23">
        <v>543317.46</v>
      </c>
      <c r="AH145" s="23">
        <v>30</v>
      </c>
      <c r="AI145" s="23">
        <v>465.81</v>
      </c>
      <c r="AJ145" s="23">
        <v>-2.0400000000000001E-2</v>
      </c>
      <c r="AK145" s="23">
        <v>0.26529999999999998</v>
      </c>
      <c r="AL145" s="23" t="s">
        <v>24</v>
      </c>
      <c r="AM145" s="23">
        <v>49.4</v>
      </c>
      <c r="AN145" s="23">
        <v>29011.4</v>
      </c>
      <c r="AO145" s="23">
        <v>49.87</v>
      </c>
      <c r="AP145" s="23">
        <v>0</v>
      </c>
      <c r="AR145" s="46"/>
      <c r="AS145" s="44"/>
      <c r="AT145" s="45"/>
      <c r="AU145" s="2">
        <v>43593</v>
      </c>
      <c r="AV145" s="52">
        <v>0.13541666666666666</v>
      </c>
      <c r="AW145" s="2" t="s">
        <v>213</v>
      </c>
      <c r="AY145" s="3"/>
      <c r="BA145" s="3"/>
      <c r="BG145" s="3"/>
      <c r="BH145" s="3"/>
    </row>
    <row r="146" spans="1:60">
      <c r="A146" s="23" t="s">
        <v>22</v>
      </c>
      <c r="B146" s="23" t="s">
        <v>25</v>
      </c>
      <c r="C146" s="27">
        <v>43594.635416666664</v>
      </c>
      <c r="D146" s="23">
        <v>48.65</v>
      </c>
      <c r="E146" s="27">
        <v>43595.5625</v>
      </c>
      <c r="F146" s="23">
        <v>48.95</v>
      </c>
      <c r="G146" s="31">
        <v>6.1999999999999998E-3</v>
      </c>
      <c r="H146" s="23">
        <v>308.75</v>
      </c>
      <c r="I146" s="31">
        <v>6.1999999999999998E-3</v>
      </c>
      <c r="J146" s="23">
        <v>1029.172</v>
      </c>
      <c r="K146" s="23">
        <v>50069.2</v>
      </c>
      <c r="L146" s="23">
        <v>14046.39</v>
      </c>
      <c r="M146" s="23">
        <v>23</v>
      </c>
      <c r="N146" s="23">
        <v>13.42</v>
      </c>
      <c r="O146" s="31">
        <v>-4.1000000000000003E-3</v>
      </c>
      <c r="P146" s="31">
        <v>1.23E-2</v>
      </c>
      <c r="Q146" s="23" t="s">
        <v>24</v>
      </c>
      <c r="R146" s="23">
        <v>0</v>
      </c>
      <c r="S146" s="23">
        <v>48.11</v>
      </c>
      <c r="U146" s="47">
        <f>VLOOKUP(AU146,[1]expiry_dates!$B$2:$C$2894,2,FALSE)</f>
        <v>43615</v>
      </c>
      <c r="V146" s="23" t="s">
        <v>122</v>
      </c>
      <c r="W146" s="23" t="s">
        <v>23</v>
      </c>
      <c r="X146" s="49">
        <v>43594.635416666664</v>
      </c>
      <c r="Y146" s="23">
        <v>1.75</v>
      </c>
      <c r="Z146" s="23">
        <v>43595.5625</v>
      </c>
      <c r="AA146" s="23">
        <v>2.1</v>
      </c>
      <c r="AB146" s="23">
        <v>0.2</v>
      </c>
      <c r="AC146" s="23">
        <v>-10539.02</v>
      </c>
      <c r="AD146" s="23">
        <v>-0.2</v>
      </c>
      <c r="AE146" s="23">
        <v>30111.48</v>
      </c>
      <c r="AF146" s="23">
        <v>52695.09</v>
      </c>
      <c r="AG146" s="23">
        <v>532778.43999999994</v>
      </c>
      <c r="AH146" s="23">
        <v>23</v>
      </c>
      <c r="AI146" s="23">
        <v>-458.22</v>
      </c>
      <c r="AJ146" s="23">
        <v>-0.31430000000000002</v>
      </c>
      <c r="AK146" s="23">
        <v>0</v>
      </c>
      <c r="AL146" s="23" t="s">
        <v>24</v>
      </c>
      <c r="AM146" s="23">
        <v>48.65</v>
      </c>
      <c r="AN146" s="23">
        <v>28871.3</v>
      </c>
      <c r="AO146" s="23">
        <v>48.11</v>
      </c>
      <c r="AP146" s="23">
        <v>0</v>
      </c>
      <c r="AR146" s="46"/>
      <c r="AS146" s="44"/>
      <c r="AT146" s="45"/>
      <c r="AU146" s="2">
        <v>43594</v>
      </c>
      <c r="AV146" s="52">
        <v>0.13541666666666666</v>
      </c>
      <c r="AW146" s="2" t="s">
        <v>213</v>
      </c>
      <c r="AY146" s="3"/>
      <c r="BA146" s="3"/>
      <c r="BG146" s="3"/>
      <c r="BH146" s="3"/>
    </row>
    <row r="147" spans="1:60">
      <c r="A147" s="23" t="s">
        <v>22</v>
      </c>
      <c r="B147" s="23" t="s">
        <v>23</v>
      </c>
      <c r="C147" s="27">
        <v>43595.5625</v>
      </c>
      <c r="D147" s="23">
        <v>48.95</v>
      </c>
      <c r="E147" s="27">
        <v>43595.625</v>
      </c>
      <c r="F147" s="23">
        <v>49.1</v>
      </c>
      <c r="G147" s="31">
        <v>3.0999999999999999E-3</v>
      </c>
      <c r="H147" s="23">
        <v>-153.43</v>
      </c>
      <c r="I147" s="31">
        <v>-3.0999999999999999E-3</v>
      </c>
      <c r="J147" s="23">
        <v>1022.88</v>
      </c>
      <c r="K147" s="23">
        <v>50069.97</v>
      </c>
      <c r="L147" s="23">
        <v>13892.96</v>
      </c>
      <c r="M147" s="23">
        <v>7</v>
      </c>
      <c r="N147" s="23">
        <v>-21.92</v>
      </c>
      <c r="O147" s="31">
        <v>-3.0999999999999999E-3</v>
      </c>
      <c r="P147" s="31">
        <v>4.1000000000000003E-3</v>
      </c>
      <c r="Q147" s="23" t="s">
        <v>24</v>
      </c>
      <c r="R147" s="23">
        <v>0</v>
      </c>
      <c r="S147" s="23">
        <v>49.23</v>
      </c>
      <c r="U147" s="47">
        <f>VLOOKUP(AU147,[1]expiry_dates!$B$2:$C$2894,2,FALSE)</f>
        <v>43615</v>
      </c>
      <c r="V147" s="23" t="s">
        <v>123</v>
      </c>
      <c r="W147" s="23" t="s">
        <v>23</v>
      </c>
      <c r="X147" s="49">
        <v>43595.5625</v>
      </c>
      <c r="Y147" s="23">
        <v>2.25</v>
      </c>
      <c r="Z147" s="23">
        <v>43595.625</v>
      </c>
      <c r="AA147" s="23">
        <v>2.25</v>
      </c>
      <c r="AB147" s="23">
        <v>0</v>
      </c>
      <c r="AC147" s="23">
        <v>0</v>
      </c>
      <c r="AD147" s="23">
        <v>0</v>
      </c>
      <c r="AE147" s="23">
        <v>23409.52</v>
      </c>
      <c r="AF147" s="23">
        <v>52671.42</v>
      </c>
      <c r="AG147" s="23">
        <v>532778.43999999994</v>
      </c>
      <c r="AH147" s="23">
        <v>7</v>
      </c>
      <c r="AI147" s="23">
        <v>0</v>
      </c>
      <c r="AJ147" s="23">
        <v>-4.4400000000000002E-2</v>
      </c>
      <c r="AK147" s="23">
        <v>2.2200000000000001E-2</v>
      </c>
      <c r="AL147" s="23" t="s">
        <v>24</v>
      </c>
      <c r="AM147" s="23">
        <v>48.95</v>
      </c>
      <c r="AN147" s="23">
        <v>29052.65</v>
      </c>
      <c r="AO147" s="23">
        <v>49.23</v>
      </c>
      <c r="AP147" s="23">
        <v>0</v>
      </c>
      <c r="AR147" s="46"/>
      <c r="AS147" s="44"/>
      <c r="AT147" s="45"/>
      <c r="AU147" s="2">
        <v>43595</v>
      </c>
      <c r="AV147" s="52">
        <v>6.25E-2</v>
      </c>
      <c r="AW147" s="2" t="s">
        <v>213</v>
      </c>
      <c r="AY147" s="3"/>
      <c r="BA147" s="3"/>
      <c r="BG147" s="3"/>
      <c r="BH147" s="3"/>
    </row>
    <row r="148" spans="1:60">
      <c r="A148" s="23" t="s">
        <v>22</v>
      </c>
      <c r="B148" s="23" t="s">
        <v>25</v>
      </c>
      <c r="C148" s="27">
        <v>43595.625</v>
      </c>
      <c r="D148" s="23">
        <v>49.1</v>
      </c>
      <c r="E148" s="27">
        <v>43598.385416666664</v>
      </c>
      <c r="F148" s="23">
        <v>45.75</v>
      </c>
      <c r="G148" s="31">
        <v>-6.8199999999999997E-2</v>
      </c>
      <c r="H148" s="23">
        <v>-3416.2</v>
      </c>
      <c r="I148" s="31">
        <v>-6.8199999999999997E-2</v>
      </c>
      <c r="J148" s="23">
        <v>1019.76</v>
      </c>
      <c r="K148" s="23">
        <v>50070.23</v>
      </c>
      <c r="L148" s="23">
        <v>10476.77</v>
      </c>
      <c r="M148" s="23">
        <v>7</v>
      </c>
      <c r="N148" s="23">
        <v>-488.03</v>
      </c>
      <c r="O148" s="31">
        <v>-6.8199999999999997E-2</v>
      </c>
      <c r="P148" s="31">
        <v>1.43E-2</v>
      </c>
      <c r="Q148" s="23" t="s">
        <v>24</v>
      </c>
      <c r="R148" s="23">
        <v>0</v>
      </c>
      <c r="S148" s="23">
        <v>48.75</v>
      </c>
      <c r="U148" s="47">
        <f>VLOOKUP(AU148,[1]expiry_dates!$B$2:$C$2894,2,FALSE)</f>
        <v>43615</v>
      </c>
      <c r="V148" s="23" t="s">
        <v>108</v>
      </c>
      <c r="W148" s="23" t="s">
        <v>23</v>
      </c>
      <c r="X148" s="49">
        <v>43595.625</v>
      </c>
      <c r="Y148" s="23">
        <v>1.65</v>
      </c>
      <c r="Z148" s="23">
        <v>43598.385416666664</v>
      </c>
      <c r="AA148" s="23">
        <v>3.1</v>
      </c>
      <c r="AB148" s="23">
        <v>0.87880000000000003</v>
      </c>
      <c r="AC148" s="23">
        <v>-46280.39</v>
      </c>
      <c r="AD148" s="23">
        <v>-0.87880000000000003</v>
      </c>
      <c r="AE148" s="23">
        <v>31917.51</v>
      </c>
      <c r="AF148" s="23">
        <v>52663.89</v>
      </c>
      <c r="AG148" s="23">
        <v>486498.05</v>
      </c>
      <c r="AH148" s="23">
        <v>7</v>
      </c>
      <c r="AI148" s="23">
        <v>-6611.48</v>
      </c>
      <c r="AJ148" s="23">
        <v>-1.0909</v>
      </c>
      <c r="AK148" s="23">
        <v>9.0899999999999995E-2</v>
      </c>
      <c r="AL148" s="23" t="s">
        <v>24</v>
      </c>
      <c r="AM148" s="23">
        <v>49.1</v>
      </c>
      <c r="AN148" s="23">
        <v>29061.3</v>
      </c>
      <c r="AO148" s="23">
        <v>48.75</v>
      </c>
      <c r="AP148" s="23">
        <v>0</v>
      </c>
      <c r="AR148" s="46"/>
      <c r="AS148" s="44"/>
      <c r="AT148" s="45"/>
      <c r="AU148" s="2">
        <v>43595</v>
      </c>
      <c r="AV148" s="52">
        <v>0.125</v>
      </c>
      <c r="AW148" s="2" t="s">
        <v>213</v>
      </c>
      <c r="AY148" s="3"/>
      <c r="BA148" s="3"/>
      <c r="BG148" s="3"/>
      <c r="BH148" s="3"/>
    </row>
    <row r="149" spans="1:60">
      <c r="A149" s="23" t="s">
        <v>22</v>
      </c>
      <c r="B149" s="23" t="s">
        <v>23</v>
      </c>
      <c r="C149" s="27">
        <v>43598.385416666664</v>
      </c>
      <c r="D149" s="23">
        <v>45.75</v>
      </c>
      <c r="E149" s="27">
        <v>43599.5</v>
      </c>
      <c r="F149" s="23">
        <v>42.55</v>
      </c>
      <c r="G149" s="31">
        <v>-6.9900000000000004E-2</v>
      </c>
      <c r="H149" s="23">
        <v>3501.06</v>
      </c>
      <c r="I149" s="31">
        <v>6.9900000000000004E-2</v>
      </c>
      <c r="J149" s="23">
        <v>1094.08</v>
      </c>
      <c r="K149" s="23">
        <v>50054.17</v>
      </c>
      <c r="L149" s="23">
        <v>13977.82</v>
      </c>
      <c r="M149" s="23">
        <v>41</v>
      </c>
      <c r="N149" s="23">
        <v>85.39</v>
      </c>
      <c r="O149" s="31">
        <v>-2.6200000000000001E-2</v>
      </c>
      <c r="P149" s="31">
        <v>0.1137</v>
      </c>
      <c r="Q149" s="23" t="s">
        <v>24</v>
      </c>
      <c r="R149" s="23">
        <v>0</v>
      </c>
      <c r="S149" s="23">
        <v>49.55</v>
      </c>
      <c r="U149" s="47">
        <f>VLOOKUP(AU149,[1]expiry_dates!$B$2:$C$2894,2,FALSE)</f>
        <v>43615</v>
      </c>
      <c r="V149" s="23" t="s">
        <v>110</v>
      </c>
      <c r="W149" s="23" t="s">
        <v>23</v>
      </c>
      <c r="X149" s="49">
        <v>43598.385416666664</v>
      </c>
      <c r="Y149" s="23">
        <v>2</v>
      </c>
      <c r="Z149" s="23">
        <v>43599.5</v>
      </c>
      <c r="AA149" s="23">
        <v>0.7</v>
      </c>
      <c r="AB149" s="23">
        <v>-0.65</v>
      </c>
      <c r="AC149" s="23">
        <v>34221.160000000003</v>
      </c>
      <c r="AD149" s="23">
        <v>0.65</v>
      </c>
      <c r="AE149" s="23">
        <v>26323.97</v>
      </c>
      <c r="AF149" s="23">
        <v>52647.93</v>
      </c>
      <c r="AG149" s="23">
        <v>520719.21</v>
      </c>
      <c r="AH149" s="23">
        <v>41</v>
      </c>
      <c r="AI149" s="23">
        <v>834.66</v>
      </c>
      <c r="AJ149" s="23">
        <v>-0.15</v>
      </c>
      <c r="AK149" s="23">
        <v>0.75</v>
      </c>
      <c r="AL149" s="23" t="s">
        <v>24</v>
      </c>
      <c r="AM149" s="23">
        <v>45.75</v>
      </c>
      <c r="AN149" s="23">
        <v>28950.1</v>
      </c>
      <c r="AO149" s="23">
        <v>49.55</v>
      </c>
      <c r="AP149" s="23">
        <v>0</v>
      </c>
      <c r="AR149" s="46"/>
      <c r="AS149" s="44"/>
      <c r="AT149" s="45"/>
      <c r="AU149" s="2">
        <v>43598</v>
      </c>
      <c r="AV149" s="52">
        <v>0.38541666666666669</v>
      </c>
      <c r="AW149" s="2" t="s">
        <v>212</v>
      </c>
      <c r="AY149" s="3"/>
      <c r="BA149" s="3"/>
      <c r="BG149" s="3"/>
      <c r="BH149" s="3"/>
    </row>
    <row r="150" spans="1:60">
      <c r="A150" s="23" t="s">
        <v>22</v>
      </c>
      <c r="B150" s="23" t="s">
        <v>25</v>
      </c>
      <c r="C150" s="27">
        <v>43599.5</v>
      </c>
      <c r="D150" s="23">
        <v>42.55</v>
      </c>
      <c r="E150" s="27">
        <v>43599.625</v>
      </c>
      <c r="F150" s="23">
        <v>41.85</v>
      </c>
      <c r="G150" s="31">
        <v>-1.6500000000000001E-2</v>
      </c>
      <c r="H150" s="23">
        <v>-823.71</v>
      </c>
      <c r="I150" s="31">
        <v>-1.6500000000000001E-2</v>
      </c>
      <c r="J150" s="23">
        <v>1176.731</v>
      </c>
      <c r="K150" s="23">
        <v>50069.89</v>
      </c>
      <c r="L150" s="23">
        <v>13154.11</v>
      </c>
      <c r="M150" s="23">
        <v>13</v>
      </c>
      <c r="N150" s="23">
        <v>-63.36</v>
      </c>
      <c r="O150" s="31">
        <v>-2.12E-2</v>
      </c>
      <c r="P150" s="31">
        <v>1.06E-2</v>
      </c>
      <c r="Q150" s="23" t="s">
        <v>24</v>
      </c>
      <c r="R150" s="23">
        <v>0</v>
      </c>
      <c r="S150" s="23">
        <v>40.549999999999997</v>
      </c>
      <c r="U150" s="47">
        <f>VLOOKUP(AU150,[1]expiry_dates!$B$2:$C$2894,2,FALSE)</f>
        <v>43615</v>
      </c>
      <c r="V150" s="23" t="s">
        <v>134</v>
      </c>
      <c r="W150" s="23" t="s">
        <v>23</v>
      </c>
      <c r="X150" s="49">
        <v>43599.5</v>
      </c>
      <c r="Y150" s="23">
        <v>1.25</v>
      </c>
      <c r="Z150" s="23">
        <v>43599.625</v>
      </c>
      <c r="AA150" s="23">
        <v>1.55</v>
      </c>
      <c r="AB150" s="23">
        <v>0.24</v>
      </c>
      <c r="AC150" s="23">
        <v>-12624.86</v>
      </c>
      <c r="AD150" s="23">
        <v>-0.24</v>
      </c>
      <c r="AE150" s="23">
        <v>42082.879999999997</v>
      </c>
      <c r="AF150" s="23">
        <v>52603.59</v>
      </c>
      <c r="AG150" s="23">
        <v>508094.34</v>
      </c>
      <c r="AH150" s="23">
        <v>13</v>
      </c>
      <c r="AI150" s="23">
        <v>-971.14</v>
      </c>
      <c r="AJ150" s="23">
        <v>-0.44</v>
      </c>
      <c r="AK150" s="23">
        <v>0.12</v>
      </c>
      <c r="AL150" s="23" t="s">
        <v>24</v>
      </c>
      <c r="AM150" s="23">
        <v>42.55</v>
      </c>
      <c r="AN150" s="23">
        <v>28655.5</v>
      </c>
      <c r="AO150" s="23">
        <v>40.549999999999997</v>
      </c>
      <c r="AP150" s="23">
        <v>0</v>
      </c>
      <c r="AR150" s="46"/>
      <c r="AS150" s="44"/>
      <c r="AT150" s="45"/>
      <c r="AU150" s="2">
        <v>43599</v>
      </c>
      <c r="AV150" s="52">
        <v>0.5</v>
      </c>
      <c r="AW150" s="2" t="s">
        <v>213</v>
      </c>
      <c r="AY150" s="3"/>
      <c r="BA150" s="3"/>
      <c r="BG150" s="3"/>
      <c r="BH150" s="3"/>
    </row>
    <row r="151" spans="1:60">
      <c r="A151" s="23" t="s">
        <v>22</v>
      </c>
      <c r="B151" s="23" t="s">
        <v>23</v>
      </c>
      <c r="C151" s="27">
        <v>43599.625</v>
      </c>
      <c r="D151" s="23">
        <v>41.85</v>
      </c>
      <c r="E151" s="27">
        <v>43600.479166666664</v>
      </c>
      <c r="F151" s="23">
        <v>42</v>
      </c>
      <c r="G151" s="31">
        <v>3.5999999999999999E-3</v>
      </c>
      <c r="H151" s="23">
        <v>-179.45</v>
      </c>
      <c r="I151" s="31">
        <v>-3.5999999999999999E-3</v>
      </c>
      <c r="J151" s="23">
        <v>1196.3219999999999</v>
      </c>
      <c r="K151" s="23">
        <v>50066.07</v>
      </c>
      <c r="L151" s="23">
        <v>12974.66</v>
      </c>
      <c r="M151" s="23">
        <v>16</v>
      </c>
      <c r="N151" s="23">
        <v>-11.22</v>
      </c>
      <c r="O151" s="31">
        <v>-1.0800000000000001E-2</v>
      </c>
      <c r="P151" s="31">
        <v>1.3100000000000001E-2</v>
      </c>
      <c r="Q151" s="23" t="s">
        <v>24</v>
      </c>
      <c r="R151" s="23">
        <v>0</v>
      </c>
      <c r="S151" s="23">
        <v>42.93</v>
      </c>
      <c r="U151" s="47">
        <f>VLOOKUP(AU151,[1]expiry_dates!$B$2:$C$2894,2,FALSE)</f>
        <v>43615</v>
      </c>
      <c r="V151" s="23" t="s">
        <v>116</v>
      </c>
      <c r="W151" s="23" t="s">
        <v>23</v>
      </c>
      <c r="X151" s="49">
        <v>43599.625</v>
      </c>
      <c r="Y151" s="23">
        <v>1.95</v>
      </c>
      <c r="Z151" s="23">
        <v>43600.479166666664</v>
      </c>
      <c r="AA151" s="23">
        <v>1.95</v>
      </c>
      <c r="AB151" s="23">
        <v>0</v>
      </c>
      <c r="AC151" s="23">
        <v>0</v>
      </c>
      <c r="AD151" s="23">
        <v>0</v>
      </c>
      <c r="AE151" s="23">
        <v>26992.39</v>
      </c>
      <c r="AF151" s="23">
        <v>52635.16</v>
      </c>
      <c r="AG151" s="23">
        <v>508094.34</v>
      </c>
      <c r="AH151" s="23">
        <v>16</v>
      </c>
      <c r="AI151" s="23">
        <v>0</v>
      </c>
      <c r="AJ151" s="23">
        <v>-0.15379999999999999</v>
      </c>
      <c r="AK151" s="23">
        <v>5.1299999999999998E-2</v>
      </c>
      <c r="AL151" s="23" t="s">
        <v>24</v>
      </c>
      <c r="AM151" s="23">
        <v>41.85</v>
      </c>
      <c r="AN151" s="23">
        <v>28867.3</v>
      </c>
      <c r="AO151" s="23">
        <v>42.93</v>
      </c>
      <c r="AP151" s="23">
        <v>0</v>
      </c>
      <c r="AR151" s="46"/>
      <c r="AS151" s="44"/>
      <c r="AT151" s="45"/>
      <c r="AU151" s="2">
        <v>43599</v>
      </c>
      <c r="AV151" s="52">
        <v>0.125</v>
      </c>
      <c r="AW151" s="2" t="s">
        <v>213</v>
      </c>
      <c r="AY151" s="3"/>
      <c r="BA151" s="3"/>
      <c r="BG151" s="3"/>
      <c r="BH151" s="3"/>
    </row>
    <row r="152" spans="1:60">
      <c r="A152" s="23" t="s">
        <v>22</v>
      </c>
      <c r="B152" s="23" t="s">
        <v>25</v>
      </c>
      <c r="C152" s="27">
        <v>43600.479166666664</v>
      </c>
      <c r="D152" s="23">
        <v>42</v>
      </c>
      <c r="E152" s="27">
        <v>43600.53125</v>
      </c>
      <c r="F152" s="23">
        <v>41.55</v>
      </c>
      <c r="G152" s="31">
        <v>-1.0699999999999999E-2</v>
      </c>
      <c r="H152" s="23">
        <v>-536.41</v>
      </c>
      <c r="I152" s="31">
        <v>-1.0699999999999999E-2</v>
      </c>
      <c r="J152" s="23">
        <v>1192.0139999999999</v>
      </c>
      <c r="K152" s="23">
        <v>50064.57</v>
      </c>
      <c r="L152" s="23">
        <v>12438.26</v>
      </c>
      <c r="M152" s="23">
        <v>6</v>
      </c>
      <c r="N152" s="23">
        <v>-89.4</v>
      </c>
      <c r="O152" s="31">
        <v>-1.0699999999999999E-2</v>
      </c>
      <c r="P152" s="31">
        <v>2.3999999999999998E-3</v>
      </c>
      <c r="Q152" s="23" t="s">
        <v>24</v>
      </c>
      <c r="R152" s="23">
        <v>0</v>
      </c>
      <c r="S152" s="23">
        <v>41.33</v>
      </c>
      <c r="U152" s="47">
        <f>VLOOKUP(AU152,[1]expiry_dates!$B$2:$C$2894,2,FALSE)</f>
        <v>43615</v>
      </c>
      <c r="V152" s="23" t="s">
        <v>134</v>
      </c>
      <c r="W152" s="23" t="s">
        <v>23</v>
      </c>
      <c r="X152" s="49">
        <v>43600.479166666664</v>
      </c>
      <c r="Y152" s="23">
        <v>1.45</v>
      </c>
      <c r="Z152" s="23">
        <v>43600.53125</v>
      </c>
      <c r="AA152" s="23">
        <v>1.75</v>
      </c>
      <c r="AB152" s="23">
        <v>0.2069</v>
      </c>
      <c r="AC152" s="23">
        <v>-10870.44</v>
      </c>
      <c r="AD152" s="23">
        <v>-0.2069</v>
      </c>
      <c r="AE152" s="23">
        <v>36234.81</v>
      </c>
      <c r="AF152" s="23">
        <v>52540.47</v>
      </c>
      <c r="AG152" s="23">
        <v>497223.9</v>
      </c>
      <c r="AH152" s="23">
        <v>6</v>
      </c>
      <c r="AI152" s="23">
        <v>-1811.74</v>
      </c>
      <c r="AJ152" s="23">
        <v>-0.2069</v>
      </c>
      <c r="AK152" s="23">
        <v>0</v>
      </c>
      <c r="AL152" s="23" t="s">
        <v>24</v>
      </c>
      <c r="AM152" s="23">
        <v>42</v>
      </c>
      <c r="AN152" s="23">
        <v>28935.15</v>
      </c>
      <c r="AO152" s="23">
        <v>41.33</v>
      </c>
      <c r="AP152" s="23">
        <v>0</v>
      </c>
      <c r="AR152" s="46"/>
      <c r="AS152" s="44"/>
      <c r="AT152" s="45"/>
      <c r="AU152" s="2">
        <v>43600</v>
      </c>
      <c r="AV152" s="52">
        <v>0.47916666666666669</v>
      </c>
      <c r="AW152" s="2" t="s">
        <v>212</v>
      </c>
      <c r="AY152" s="3"/>
      <c r="BA152" s="3"/>
      <c r="BG152" s="3"/>
      <c r="BH152" s="3"/>
    </row>
    <row r="153" spans="1:60">
      <c r="A153" s="23" t="s">
        <v>22</v>
      </c>
      <c r="B153" s="23" t="s">
        <v>23</v>
      </c>
      <c r="C153" s="27">
        <v>43600.53125</v>
      </c>
      <c r="D153" s="23">
        <v>41.55</v>
      </c>
      <c r="E153" s="27">
        <v>43601.510416666664</v>
      </c>
      <c r="F153" s="23">
        <v>40.6</v>
      </c>
      <c r="G153" s="31">
        <v>-2.29E-2</v>
      </c>
      <c r="H153" s="23">
        <v>1144.6500000000001</v>
      </c>
      <c r="I153" s="31">
        <v>2.29E-2</v>
      </c>
      <c r="J153" s="23">
        <v>1204.895</v>
      </c>
      <c r="K153" s="23">
        <v>50063.38</v>
      </c>
      <c r="L153" s="23">
        <v>13582.91</v>
      </c>
      <c r="M153" s="23">
        <v>28</v>
      </c>
      <c r="N153" s="23">
        <v>40.880000000000003</v>
      </c>
      <c r="O153" s="31">
        <v>-4.7999999999999996E-3</v>
      </c>
      <c r="P153" s="31">
        <v>3.73E-2</v>
      </c>
      <c r="Q153" s="23" t="s">
        <v>24</v>
      </c>
      <c r="R153" s="23">
        <v>0</v>
      </c>
      <c r="S153" s="23">
        <v>42.1</v>
      </c>
      <c r="U153" s="47">
        <f>VLOOKUP(AU153,[1]expiry_dates!$B$2:$C$2894,2,FALSE)</f>
        <v>43615</v>
      </c>
      <c r="V153" s="23" t="s">
        <v>116</v>
      </c>
      <c r="W153" s="23" t="s">
        <v>23</v>
      </c>
      <c r="X153" s="49">
        <v>43600.53125</v>
      </c>
      <c r="Y153" s="23">
        <v>1.8</v>
      </c>
      <c r="Z153" s="23">
        <v>43601.510416666664</v>
      </c>
      <c r="AA153" s="23">
        <v>1.4</v>
      </c>
      <c r="AB153" s="23">
        <v>-0.22220000000000001</v>
      </c>
      <c r="AC153" s="23">
        <v>11667.61</v>
      </c>
      <c r="AD153" s="23">
        <v>0.22220000000000001</v>
      </c>
      <c r="AE153" s="23">
        <v>29169.02</v>
      </c>
      <c r="AF153" s="23">
        <v>52504.24</v>
      </c>
      <c r="AG153" s="23">
        <v>508891.51</v>
      </c>
      <c r="AH153" s="23">
        <v>28</v>
      </c>
      <c r="AI153" s="23">
        <v>416.7</v>
      </c>
      <c r="AJ153" s="23">
        <v>-2.7799999999999998E-2</v>
      </c>
      <c r="AK153" s="23">
        <v>0.33329999999999999</v>
      </c>
      <c r="AL153" s="23" t="s">
        <v>24</v>
      </c>
      <c r="AM153" s="23">
        <v>41.55</v>
      </c>
      <c r="AN153" s="23">
        <v>28888.3</v>
      </c>
      <c r="AO153" s="23">
        <v>42.1</v>
      </c>
      <c r="AP153" s="23">
        <v>0</v>
      </c>
      <c r="AR153" s="46"/>
      <c r="AS153" s="44"/>
      <c r="AT153" s="45"/>
      <c r="AU153" s="2">
        <v>43600</v>
      </c>
      <c r="AV153" s="52">
        <v>0.53125</v>
      </c>
      <c r="AW153" s="2" t="s">
        <v>213</v>
      </c>
      <c r="AY153" s="3"/>
      <c r="BA153" s="3"/>
      <c r="BG153" s="3"/>
      <c r="BH153" s="3"/>
    </row>
    <row r="154" spans="1:60">
      <c r="A154" s="23" t="s">
        <v>22</v>
      </c>
      <c r="B154" s="23" t="s">
        <v>25</v>
      </c>
      <c r="C154" s="27">
        <v>43601.510416666664</v>
      </c>
      <c r="D154" s="23">
        <v>40.6</v>
      </c>
      <c r="E154" s="27">
        <v>43601.5625</v>
      </c>
      <c r="F154" s="23">
        <v>40.4</v>
      </c>
      <c r="G154" s="31">
        <v>-4.8999999999999998E-3</v>
      </c>
      <c r="H154" s="23">
        <v>-246.64</v>
      </c>
      <c r="I154" s="31">
        <v>-4.8999999999999998E-3</v>
      </c>
      <c r="J154" s="23">
        <v>1233.193</v>
      </c>
      <c r="K154" s="23">
        <v>50067.61</v>
      </c>
      <c r="L154" s="23">
        <v>13336.27</v>
      </c>
      <c r="M154" s="23">
        <v>6</v>
      </c>
      <c r="N154" s="23">
        <v>-41.11</v>
      </c>
      <c r="O154" s="31">
        <v>-4.8999999999999998E-3</v>
      </c>
      <c r="P154" s="31">
        <v>4.8999999999999998E-3</v>
      </c>
      <c r="Q154" s="23" t="s">
        <v>24</v>
      </c>
      <c r="R154" s="23">
        <v>0</v>
      </c>
      <c r="S154" s="23">
        <v>40.03</v>
      </c>
      <c r="U154" s="47">
        <f>VLOOKUP(AU154,[1]expiry_dates!$B$2:$C$2894,2,FALSE)</f>
        <v>43615</v>
      </c>
      <c r="V154" s="23" t="s">
        <v>135</v>
      </c>
      <c r="W154" s="23" t="s">
        <v>23</v>
      </c>
      <c r="X154" s="49">
        <v>43601.510416666664</v>
      </c>
      <c r="Y154" s="23">
        <v>0.8</v>
      </c>
      <c r="Z154" s="23">
        <v>43601.5625</v>
      </c>
      <c r="AA154" s="23">
        <v>0.95</v>
      </c>
      <c r="AB154" s="23">
        <v>0.1875</v>
      </c>
      <c r="AC154" s="23">
        <v>-9853.4500000000007</v>
      </c>
      <c r="AD154" s="23">
        <v>-0.1875</v>
      </c>
      <c r="AE154" s="23">
        <v>65689.69</v>
      </c>
      <c r="AF154" s="23">
        <v>52551.75</v>
      </c>
      <c r="AG154" s="23">
        <v>499038.06</v>
      </c>
      <c r="AH154" s="23">
        <v>6</v>
      </c>
      <c r="AI154" s="23">
        <v>-1642.24</v>
      </c>
      <c r="AJ154" s="23">
        <v>-0.375</v>
      </c>
      <c r="AK154" s="23">
        <v>0</v>
      </c>
      <c r="AL154" s="23" t="s">
        <v>24</v>
      </c>
      <c r="AM154" s="23">
        <v>40.6</v>
      </c>
      <c r="AN154" s="23">
        <v>28603.05</v>
      </c>
      <c r="AO154" s="23">
        <v>40.03</v>
      </c>
      <c r="AP154" s="23">
        <v>0</v>
      </c>
      <c r="AR154" s="46"/>
      <c r="AS154" s="44"/>
      <c r="AT154" s="45"/>
      <c r="AU154" s="2">
        <v>43601</v>
      </c>
      <c r="AV154" s="52">
        <v>0.51041666666666663</v>
      </c>
      <c r="AW154" s="2" t="s">
        <v>213</v>
      </c>
      <c r="AY154" s="3"/>
      <c r="BA154" s="3"/>
      <c r="BG154" s="3"/>
      <c r="BH154" s="3"/>
    </row>
    <row r="155" spans="1:60">
      <c r="A155" s="23" t="s">
        <v>22</v>
      </c>
      <c r="B155" s="23" t="s">
        <v>23</v>
      </c>
      <c r="C155" s="27">
        <v>43601.5625</v>
      </c>
      <c r="D155" s="23">
        <v>40.4</v>
      </c>
      <c r="E155" s="27">
        <v>43601.583333333336</v>
      </c>
      <c r="F155" s="23">
        <v>40.6</v>
      </c>
      <c r="G155" s="31">
        <v>5.0000000000000001E-3</v>
      </c>
      <c r="H155" s="23">
        <v>-247.86</v>
      </c>
      <c r="I155" s="31">
        <v>-5.0000000000000001E-3</v>
      </c>
      <c r="J155" s="23">
        <v>1239.297</v>
      </c>
      <c r="K155" s="23">
        <v>50067.61</v>
      </c>
      <c r="L155" s="23">
        <v>13088.41</v>
      </c>
      <c r="M155" s="23">
        <v>3</v>
      </c>
      <c r="N155" s="23">
        <v>-82.62</v>
      </c>
      <c r="O155" s="31">
        <v>-7.4000000000000003E-3</v>
      </c>
      <c r="P155" s="31">
        <v>5.0000000000000001E-3</v>
      </c>
      <c r="Q155" s="23" t="s">
        <v>24</v>
      </c>
      <c r="R155" s="23">
        <v>0</v>
      </c>
      <c r="S155" s="23">
        <v>40.79</v>
      </c>
      <c r="U155" s="47">
        <f>VLOOKUP(AU155,[1]expiry_dates!$B$2:$C$2894,2,FALSE)</f>
        <v>43615</v>
      </c>
      <c r="V155" s="23" t="s">
        <v>136</v>
      </c>
      <c r="W155" s="23" t="s">
        <v>23</v>
      </c>
      <c r="X155" s="49">
        <v>43601.5625</v>
      </c>
      <c r="Y155" s="23">
        <v>1.7</v>
      </c>
      <c r="Z155" s="23">
        <v>43601.583333333336</v>
      </c>
      <c r="AA155" s="23">
        <v>1.8</v>
      </c>
      <c r="AB155" s="23">
        <v>5.8799999999999998E-2</v>
      </c>
      <c r="AC155" s="23">
        <v>-3087.95</v>
      </c>
      <c r="AD155" s="23">
        <v>-5.8799999999999998E-2</v>
      </c>
      <c r="AE155" s="23">
        <v>30879.52</v>
      </c>
      <c r="AF155" s="23">
        <v>52495.19</v>
      </c>
      <c r="AG155" s="23">
        <v>495950.1</v>
      </c>
      <c r="AH155" s="23">
        <v>3</v>
      </c>
      <c r="AI155" s="23">
        <v>-1029.32</v>
      </c>
      <c r="AJ155" s="23">
        <v>-5.8799999999999998E-2</v>
      </c>
      <c r="AK155" s="23">
        <v>0</v>
      </c>
      <c r="AL155" s="23" t="s">
        <v>24</v>
      </c>
      <c r="AM155" s="23">
        <v>40.4</v>
      </c>
      <c r="AN155" s="23">
        <v>28572.65</v>
      </c>
      <c r="AO155" s="23">
        <v>40.79</v>
      </c>
      <c r="AP155" s="23">
        <v>0</v>
      </c>
      <c r="AR155" s="46"/>
      <c r="AS155" s="44"/>
      <c r="AT155" s="45"/>
      <c r="AU155" s="2">
        <v>43601</v>
      </c>
      <c r="AV155" s="52">
        <v>6.25E-2</v>
      </c>
      <c r="AW155" s="2" t="s">
        <v>213</v>
      </c>
      <c r="AY155" s="3"/>
      <c r="BA155" s="3"/>
      <c r="BG155" s="3"/>
      <c r="BH155" s="3"/>
    </row>
    <row r="156" spans="1:60">
      <c r="A156" s="23" t="s">
        <v>22</v>
      </c>
      <c r="B156" s="23" t="s">
        <v>25</v>
      </c>
      <c r="C156" s="27">
        <v>43601.583333333336</v>
      </c>
      <c r="D156" s="23">
        <v>40.6</v>
      </c>
      <c r="E156" s="27">
        <v>43602.447916666664</v>
      </c>
      <c r="F156" s="23">
        <v>40.950000000000003</v>
      </c>
      <c r="G156" s="31">
        <v>8.6E-3</v>
      </c>
      <c r="H156" s="23">
        <v>431.6</v>
      </c>
      <c r="I156" s="31">
        <v>8.6E-3</v>
      </c>
      <c r="J156" s="23">
        <v>1233.1389999999999</v>
      </c>
      <c r="K156" s="23">
        <v>50065.440000000002</v>
      </c>
      <c r="L156" s="23">
        <v>13520.01</v>
      </c>
      <c r="M156" s="23">
        <v>17</v>
      </c>
      <c r="N156" s="23">
        <v>25.39</v>
      </c>
      <c r="O156" s="31">
        <v>-4.8999999999999998E-3</v>
      </c>
      <c r="P156" s="31">
        <v>2.5899999999999999E-2</v>
      </c>
      <c r="Q156" s="23" t="s">
        <v>24</v>
      </c>
      <c r="R156" s="23">
        <v>0</v>
      </c>
      <c r="S156" s="23">
        <v>40.200000000000003</v>
      </c>
      <c r="U156" s="47">
        <f>VLOOKUP(AU156,[1]expiry_dates!$B$2:$C$2894,2,FALSE)</f>
        <v>43615</v>
      </c>
      <c r="V156" s="23" t="s">
        <v>113</v>
      </c>
      <c r="W156" s="23" t="s">
        <v>23</v>
      </c>
      <c r="X156" s="49">
        <v>43601.583333333336</v>
      </c>
      <c r="Y156" s="23">
        <v>1.5</v>
      </c>
      <c r="Z156" s="23">
        <v>43602.447916666664</v>
      </c>
      <c r="AA156" s="23">
        <v>1.4</v>
      </c>
      <c r="AB156" s="23">
        <v>-6.6699999999999995E-2</v>
      </c>
      <c r="AC156" s="23">
        <v>3499.68</v>
      </c>
      <c r="AD156" s="23">
        <v>6.6699999999999995E-2</v>
      </c>
      <c r="AE156" s="23">
        <v>34996.79</v>
      </c>
      <c r="AF156" s="23">
        <v>52495.19</v>
      </c>
      <c r="AG156" s="23">
        <v>499449.78</v>
      </c>
      <c r="AH156" s="23">
        <v>17</v>
      </c>
      <c r="AI156" s="23">
        <v>205.86</v>
      </c>
      <c r="AJ156" s="23">
        <v>-6.6699999999999995E-2</v>
      </c>
      <c r="AK156" s="23">
        <v>0.16669999999999999</v>
      </c>
      <c r="AL156" s="23" t="s">
        <v>24</v>
      </c>
      <c r="AM156" s="23">
        <v>40.6</v>
      </c>
      <c r="AN156" s="23">
        <v>28745.65</v>
      </c>
      <c r="AO156" s="23">
        <v>40.200000000000003</v>
      </c>
      <c r="AP156" s="23">
        <v>0</v>
      </c>
      <c r="AR156" s="46"/>
      <c r="AS156" s="44"/>
      <c r="AT156" s="45"/>
      <c r="AU156" s="2">
        <v>43601</v>
      </c>
      <c r="AV156" s="52">
        <v>8.3333333333333329E-2</v>
      </c>
      <c r="AW156" s="2" t="s">
        <v>213</v>
      </c>
      <c r="AY156" s="3"/>
      <c r="BA156" s="3"/>
      <c r="BG156" s="3"/>
      <c r="BH156" s="3"/>
    </row>
    <row r="157" spans="1:60">
      <c r="A157" s="23" t="s">
        <v>22</v>
      </c>
      <c r="B157" s="23" t="s">
        <v>23</v>
      </c>
      <c r="C157" s="27">
        <v>43602.447916666664</v>
      </c>
      <c r="D157" s="23">
        <v>40.950000000000003</v>
      </c>
      <c r="E157" s="27">
        <v>43602.53125</v>
      </c>
      <c r="F157" s="23">
        <v>41.3</v>
      </c>
      <c r="G157" s="31">
        <v>8.5000000000000006E-3</v>
      </c>
      <c r="H157" s="23">
        <v>-427.94</v>
      </c>
      <c r="I157" s="31">
        <v>-8.5000000000000006E-3</v>
      </c>
      <c r="J157" s="23">
        <v>1222.675</v>
      </c>
      <c r="K157" s="23">
        <v>50068.52</v>
      </c>
      <c r="L157" s="23">
        <v>13092.07</v>
      </c>
      <c r="M157" s="23">
        <v>9</v>
      </c>
      <c r="N157" s="23">
        <v>-47.55</v>
      </c>
      <c r="O157" s="31">
        <v>-8.5000000000000006E-3</v>
      </c>
      <c r="P157" s="31">
        <v>4.8999999999999998E-3</v>
      </c>
      <c r="Q157" s="23" t="s">
        <v>24</v>
      </c>
      <c r="R157" s="23">
        <v>0</v>
      </c>
      <c r="S157" s="23">
        <v>41.63</v>
      </c>
      <c r="U157" s="47">
        <f>VLOOKUP(AU157,[1]expiry_dates!$B$2:$C$2894,2,FALSE)</f>
        <v>43615</v>
      </c>
      <c r="V157" s="23" t="s">
        <v>116</v>
      </c>
      <c r="W157" s="23" t="s">
        <v>23</v>
      </c>
      <c r="X157" s="49">
        <v>43602.447916666664</v>
      </c>
      <c r="Y157" s="23">
        <v>1.4</v>
      </c>
      <c r="Z157" s="23">
        <v>43602.53125</v>
      </c>
      <c r="AA157" s="23">
        <v>1.4</v>
      </c>
      <c r="AB157" s="23">
        <v>0</v>
      </c>
      <c r="AC157" s="23">
        <v>0</v>
      </c>
      <c r="AD157" s="23">
        <v>0</v>
      </c>
      <c r="AE157" s="23">
        <v>37498.04</v>
      </c>
      <c r="AF157" s="23">
        <v>52497.25</v>
      </c>
      <c r="AG157" s="23">
        <v>499449.78</v>
      </c>
      <c r="AH157" s="23">
        <v>9</v>
      </c>
      <c r="AI157" s="23">
        <v>0</v>
      </c>
      <c r="AJ157" s="23">
        <v>-0.1071</v>
      </c>
      <c r="AK157" s="23">
        <v>0</v>
      </c>
      <c r="AL157" s="23" t="s">
        <v>24</v>
      </c>
      <c r="AM157" s="23">
        <v>40.950000000000003</v>
      </c>
      <c r="AN157" s="23">
        <v>28931.75</v>
      </c>
      <c r="AO157" s="23">
        <v>41.63</v>
      </c>
      <c r="AP157" s="23">
        <v>0</v>
      </c>
      <c r="AR157" s="46"/>
      <c r="AS157" s="44"/>
      <c r="AT157" s="45"/>
      <c r="AU157" s="2">
        <v>43602</v>
      </c>
      <c r="AV157" s="52">
        <v>0.44791666666666669</v>
      </c>
      <c r="AW157" s="2" t="s">
        <v>212</v>
      </c>
      <c r="AY157" s="3"/>
      <c r="BA157" s="3"/>
      <c r="BG157" s="3"/>
      <c r="BH157" s="3"/>
    </row>
    <row r="158" spans="1:60">
      <c r="A158" s="23" t="s">
        <v>22</v>
      </c>
      <c r="B158" s="23" t="s">
        <v>25</v>
      </c>
      <c r="C158" s="27">
        <v>43602.53125</v>
      </c>
      <c r="D158" s="23">
        <v>41.3</v>
      </c>
      <c r="E158" s="27">
        <v>43605.625</v>
      </c>
      <c r="F158" s="23">
        <v>43</v>
      </c>
      <c r="G158" s="31">
        <v>4.1200000000000001E-2</v>
      </c>
      <c r="H158" s="23">
        <v>2060.8200000000002</v>
      </c>
      <c r="I158" s="31">
        <v>4.1200000000000001E-2</v>
      </c>
      <c r="J158" s="23">
        <v>1212.2460000000001</v>
      </c>
      <c r="K158" s="23">
        <v>50065.77</v>
      </c>
      <c r="L158" s="23">
        <v>15152.89</v>
      </c>
      <c r="M158" s="23">
        <v>39</v>
      </c>
      <c r="N158" s="23">
        <v>52.84</v>
      </c>
      <c r="O158" s="31">
        <v>-6.1000000000000004E-3</v>
      </c>
      <c r="P158" s="31">
        <v>5.33E-2</v>
      </c>
      <c r="Q158" s="23" t="s">
        <v>24</v>
      </c>
      <c r="R158" s="23">
        <v>0</v>
      </c>
      <c r="S158" s="23">
        <v>40.75</v>
      </c>
      <c r="U158" s="47">
        <f>VLOOKUP(AU158,[1]expiry_dates!$B$2:$C$2894,2,FALSE)</f>
        <v>43615</v>
      </c>
      <c r="V158" s="23" t="s">
        <v>137</v>
      </c>
      <c r="W158" s="23" t="s">
        <v>23</v>
      </c>
      <c r="X158" s="49">
        <v>43602.53125</v>
      </c>
      <c r="Y158" s="23">
        <v>1.05</v>
      </c>
      <c r="Z158" s="23">
        <v>43605.625</v>
      </c>
      <c r="AA158" s="23">
        <v>0.6</v>
      </c>
      <c r="AB158" s="23">
        <v>-0.42859999999999998</v>
      </c>
      <c r="AC158" s="23">
        <v>22498.82</v>
      </c>
      <c r="AD158" s="23">
        <v>0.42859999999999998</v>
      </c>
      <c r="AE158" s="23">
        <v>49997.38</v>
      </c>
      <c r="AF158" s="23">
        <v>52497.25</v>
      </c>
      <c r="AG158" s="23">
        <v>521948.61</v>
      </c>
      <c r="AH158" s="23">
        <v>39</v>
      </c>
      <c r="AI158" s="23">
        <v>576.89</v>
      </c>
      <c r="AJ158" s="23">
        <v>-0.1429</v>
      </c>
      <c r="AK158" s="23">
        <v>0.8095</v>
      </c>
      <c r="AL158" s="23" t="s">
        <v>24</v>
      </c>
      <c r="AM158" s="23">
        <v>41.3</v>
      </c>
      <c r="AN158" s="23">
        <v>29190.75</v>
      </c>
      <c r="AO158" s="23">
        <v>40.75</v>
      </c>
      <c r="AP158" s="23">
        <v>0</v>
      </c>
      <c r="AR158" s="46"/>
      <c r="AS158" s="44"/>
      <c r="AT158" s="45"/>
      <c r="AU158" s="2">
        <v>43602</v>
      </c>
      <c r="AV158" s="52">
        <v>0.53125</v>
      </c>
      <c r="AW158" s="2" t="s">
        <v>213</v>
      </c>
      <c r="AY158" s="3"/>
      <c r="BA158" s="3"/>
      <c r="BG158" s="3"/>
      <c r="BH158" s="3"/>
    </row>
    <row r="159" spans="1:60">
      <c r="A159" s="23" t="s">
        <v>22</v>
      </c>
      <c r="B159" s="23" t="s">
        <v>23</v>
      </c>
      <c r="C159" s="27">
        <v>43605.625</v>
      </c>
      <c r="D159" s="23">
        <v>43</v>
      </c>
      <c r="E159" s="27">
        <v>43606.385416666664</v>
      </c>
      <c r="F159" s="23">
        <v>43.4</v>
      </c>
      <c r="G159" s="31">
        <v>9.2999999999999992E-3</v>
      </c>
      <c r="H159" s="23">
        <v>-465.84</v>
      </c>
      <c r="I159" s="31">
        <v>-9.2999999999999992E-3</v>
      </c>
      <c r="J159" s="23">
        <v>1164.595</v>
      </c>
      <c r="K159" s="23">
        <v>50077.58</v>
      </c>
      <c r="L159" s="23">
        <v>14687.05</v>
      </c>
      <c r="M159" s="23">
        <v>7</v>
      </c>
      <c r="N159" s="23">
        <v>-66.55</v>
      </c>
      <c r="O159" s="31">
        <v>-9.2999999999999992E-3</v>
      </c>
      <c r="P159" s="31">
        <v>1.1999999999999999E-3</v>
      </c>
      <c r="Q159" s="23" t="s">
        <v>24</v>
      </c>
      <c r="R159" s="23">
        <v>0</v>
      </c>
      <c r="S159" s="23">
        <v>43.48</v>
      </c>
      <c r="U159" s="47">
        <f>VLOOKUP(AU159,[1]expiry_dates!$B$2:$C$2894,2,FALSE)</f>
        <v>43615</v>
      </c>
      <c r="V159" s="23" t="s">
        <v>114</v>
      </c>
      <c r="W159" s="23" t="s">
        <v>23</v>
      </c>
      <c r="X159" s="49">
        <v>43605.625</v>
      </c>
      <c r="Y159" s="23">
        <v>1.8</v>
      </c>
      <c r="Z159" s="23">
        <v>43606.385416666664</v>
      </c>
      <c r="AA159" s="23">
        <v>2</v>
      </c>
      <c r="AB159" s="23">
        <v>0.1111</v>
      </c>
      <c r="AC159" s="23">
        <v>-5845.53</v>
      </c>
      <c r="AD159" s="23">
        <v>-0.1111</v>
      </c>
      <c r="AE159" s="23">
        <v>29227.64</v>
      </c>
      <c r="AF159" s="23">
        <v>52609.75</v>
      </c>
      <c r="AG159" s="23">
        <v>516103.08</v>
      </c>
      <c r="AH159" s="23">
        <v>7</v>
      </c>
      <c r="AI159" s="23">
        <v>-835.08</v>
      </c>
      <c r="AJ159" s="23">
        <v>-0.1111</v>
      </c>
      <c r="AK159" s="23">
        <v>0</v>
      </c>
      <c r="AL159" s="23" t="s">
        <v>24</v>
      </c>
      <c r="AM159" s="23">
        <v>43</v>
      </c>
      <c r="AN159" s="23">
        <v>30759.65</v>
      </c>
      <c r="AO159" s="23">
        <v>43.48</v>
      </c>
      <c r="AP159" s="23">
        <v>0</v>
      </c>
      <c r="AR159" s="46"/>
      <c r="AS159" s="44"/>
      <c r="AT159" s="45"/>
      <c r="AU159" s="2">
        <v>43605</v>
      </c>
      <c r="AV159" s="52">
        <v>0.125</v>
      </c>
      <c r="AW159" s="2" t="s">
        <v>213</v>
      </c>
      <c r="AY159" s="3"/>
      <c r="BA159" s="3"/>
      <c r="BG159" s="3"/>
      <c r="BH159" s="3"/>
    </row>
    <row r="160" spans="1:60">
      <c r="A160" s="23" t="s">
        <v>22</v>
      </c>
      <c r="B160" s="23" t="s">
        <v>25</v>
      </c>
      <c r="C160" s="27">
        <v>43606.385416666664</v>
      </c>
      <c r="D160" s="23">
        <v>43.4</v>
      </c>
      <c r="E160" s="27">
        <v>43606.395833333336</v>
      </c>
      <c r="F160" s="23">
        <v>43.15</v>
      </c>
      <c r="G160" s="31">
        <v>-5.7999999999999996E-3</v>
      </c>
      <c r="H160" s="23">
        <v>-288.44</v>
      </c>
      <c r="I160" s="31">
        <v>-5.7999999999999996E-3</v>
      </c>
      <c r="J160" s="23">
        <v>1153.7660000000001</v>
      </c>
      <c r="K160" s="23">
        <v>50073.43</v>
      </c>
      <c r="L160" s="23">
        <v>14398.61</v>
      </c>
      <c r="M160" s="23">
        <v>2</v>
      </c>
      <c r="N160" s="23">
        <v>-144.22</v>
      </c>
      <c r="O160" s="31">
        <v>-9.1999999999999998E-3</v>
      </c>
      <c r="P160" s="31">
        <v>9.1999999999999998E-3</v>
      </c>
      <c r="Q160" s="23" t="s">
        <v>24</v>
      </c>
      <c r="R160" s="23">
        <v>0</v>
      </c>
      <c r="S160" s="23">
        <v>42.99</v>
      </c>
      <c r="U160" s="47">
        <f>VLOOKUP(AU160,[1]expiry_dates!$B$2:$C$2894,2,FALSE)</f>
        <v>43615</v>
      </c>
      <c r="V160" s="23" t="s">
        <v>118</v>
      </c>
      <c r="W160" s="23" t="s">
        <v>23</v>
      </c>
      <c r="X160" s="49">
        <v>43606.385416666664</v>
      </c>
      <c r="Y160" s="23">
        <v>1.5</v>
      </c>
      <c r="Z160" s="23">
        <v>43606.395833333336</v>
      </c>
      <c r="AA160" s="23">
        <v>1.5</v>
      </c>
      <c r="AB160" s="23">
        <v>0</v>
      </c>
      <c r="AC160" s="23">
        <v>0</v>
      </c>
      <c r="AD160" s="23">
        <v>0</v>
      </c>
      <c r="AE160" s="23">
        <v>35053.68</v>
      </c>
      <c r="AF160" s="23">
        <v>52580.52</v>
      </c>
      <c r="AG160" s="23">
        <v>516103.08</v>
      </c>
      <c r="AH160" s="23">
        <v>2</v>
      </c>
      <c r="AI160" s="23">
        <v>0</v>
      </c>
      <c r="AJ160" s="23">
        <v>0</v>
      </c>
      <c r="AK160" s="23">
        <v>3.3300000000000003E-2</v>
      </c>
      <c r="AL160" s="23" t="s">
        <v>24</v>
      </c>
      <c r="AM160" s="23">
        <v>43.4</v>
      </c>
      <c r="AN160" s="23">
        <v>30753.7</v>
      </c>
      <c r="AO160" s="23">
        <v>42.99</v>
      </c>
      <c r="AP160" s="23">
        <v>0</v>
      </c>
      <c r="AR160" s="46"/>
      <c r="AS160" s="44"/>
      <c r="AT160" s="45"/>
      <c r="AU160" s="2">
        <v>43606</v>
      </c>
      <c r="AV160" s="52">
        <v>0.38541666666666669</v>
      </c>
      <c r="AW160" s="2" t="s">
        <v>212</v>
      </c>
      <c r="AY160" s="3"/>
      <c r="BA160" s="3"/>
      <c r="BG160" s="3"/>
      <c r="BH160" s="3"/>
    </row>
    <row r="161" spans="1:60">
      <c r="A161" s="23" t="s">
        <v>22</v>
      </c>
      <c r="B161" s="23" t="s">
        <v>23</v>
      </c>
      <c r="C161" s="27">
        <v>43606.395833333336</v>
      </c>
      <c r="D161" s="23">
        <v>43.15</v>
      </c>
      <c r="E161" s="27">
        <v>43606.510416666664</v>
      </c>
      <c r="F161" s="23">
        <v>43.35</v>
      </c>
      <c r="G161" s="31">
        <v>4.5999999999999999E-3</v>
      </c>
      <c r="H161" s="23">
        <v>-232.09</v>
      </c>
      <c r="I161" s="31">
        <v>-4.5999999999999999E-3</v>
      </c>
      <c r="J161" s="23">
        <v>1160.45</v>
      </c>
      <c r="K161" s="23">
        <v>50073.43</v>
      </c>
      <c r="L161" s="23">
        <v>14166.52</v>
      </c>
      <c r="M161" s="23">
        <v>12</v>
      </c>
      <c r="N161" s="23">
        <v>-19.34</v>
      </c>
      <c r="O161" s="31">
        <v>-9.2999999999999992E-3</v>
      </c>
      <c r="P161" s="31">
        <v>4.5999999999999999E-3</v>
      </c>
      <c r="Q161" s="23" t="s">
        <v>24</v>
      </c>
      <c r="R161" s="23">
        <v>0</v>
      </c>
      <c r="S161" s="23">
        <v>43.78</v>
      </c>
      <c r="U161" s="47">
        <f>VLOOKUP(AU161,[1]expiry_dates!$B$2:$C$2894,2,FALSE)</f>
        <v>43615</v>
      </c>
      <c r="V161" s="23" t="s">
        <v>114</v>
      </c>
      <c r="W161" s="23" t="s">
        <v>23</v>
      </c>
      <c r="X161" s="49">
        <v>43606.395833333336</v>
      </c>
      <c r="Y161" s="23">
        <v>1.8</v>
      </c>
      <c r="Z161" s="23">
        <v>43606.510416666664</v>
      </c>
      <c r="AA161" s="23">
        <v>1.85</v>
      </c>
      <c r="AB161" s="23">
        <v>2.7799999999999998E-2</v>
      </c>
      <c r="AC161" s="23">
        <v>-1460.57</v>
      </c>
      <c r="AD161" s="23">
        <v>-2.7799999999999998E-2</v>
      </c>
      <c r="AE161" s="23">
        <v>29211.4</v>
      </c>
      <c r="AF161" s="23">
        <v>52580.52</v>
      </c>
      <c r="AG161" s="23">
        <v>514642.51</v>
      </c>
      <c r="AH161" s="23">
        <v>12</v>
      </c>
      <c r="AI161" s="23">
        <v>-121.71</v>
      </c>
      <c r="AJ161" s="23">
        <v>-0.1111</v>
      </c>
      <c r="AK161" s="23">
        <v>5.5599999999999997E-2</v>
      </c>
      <c r="AL161" s="23" t="s">
        <v>24</v>
      </c>
      <c r="AM161" s="23">
        <v>43.15</v>
      </c>
      <c r="AN161" s="23">
        <v>30733.8</v>
      </c>
      <c r="AO161" s="23">
        <v>43.78</v>
      </c>
      <c r="AP161" s="23">
        <v>0</v>
      </c>
      <c r="AR161" s="46"/>
      <c r="AS161" s="44"/>
      <c r="AT161" s="45"/>
      <c r="AU161" s="2">
        <v>43606</v>
      </c>
      <c r="AV161" s="52">
        <v>0.39583333333333331</v>
      </c>
      <c r="AW161" s="2" t="s">
        <v>212</v>
      </c>
      <c r="AY161" s="3"/>
      <c r="BA161" s="3"/>
      <c r="BG161" s="3"/>
      <c r="BH161" s="3"/>
    </row>
    <row r="162" spans="1:60">
      <c r="A162" s="23" t="s">
        <v>22</v>
      </c>
      <c r="B162" s="23" t="s">
        <v>25</v>
      </c>
      <c r="C162" s="27">
        <v>43606.510416666664</v>
      </c>
      <c r="D162" s="23">
        <v>43.35</v>
      </c>
      <c r="E162" s="27">
        <v>43606.53125</v>
      </c>
      <c r="F162" s="23">
        <v>43</v>
      </c>
      <c r="G162" s="31">
        <v>-8.0999999999999996E-3</v>
      </c>
      <c r="H162" s="23">
        <v>-404.26</v>
      </c>
      <c r="I162" s="31">
        <v>-8.0999999999999996E-3</v>
      </c>
      <c r="J162" s="23">
        <v>1155.03</v>
      </c>
      <c r="K162" s="23">
        <v>50070.54</v>
      </c>
      <c r="L162" s="23">
        <v>13762.26</v>
      </c>
      <c r="M162" s="23">
        <v>3</v>
      </c>
      <c r="N162" s="23">
        <v>-134.75</v>
      </c>
      <c r="O162" s="31">
        <v>-8.0999999999999996E-3</v>
      </c>
      <c r="P162" s="31">
        <v>2.3E-3</v>
      </c>
      <c r="Q162" s="23" t="s">
        <v>24</v>
      </c>
      <c r="R162" s="23">
        <v>0</v>
      </c>
      <c r="S162" s="23">
        <v>42.97</v>
      </c>
      <c r="U162" s="47">
        <f>VLOOKUP(AU162,[1]expiry_dates!$B$2:$C$2894,2,FALSE)</f>
        <v>43615</v>
      </c>
      <c r="V162" s="23" t="s">
        <v>135</v>
      </c>
      <c r="W162" s="23" t="s">
        <v>23</v>
      </c>
      <c r="X162" s="49">
        <v>43606.510416666664</v>
      </c>
      <c r="Y162" s="23">
        <v>0.25</v>
      </c>
      <c r="Z162" s="23">
        <v>43606.53125</v>
      </c>
      <c r="AA162" s="23">
        <v>0.25</v>
      </c>
      <c r="AB162" s="23">
        <v>0</v>
      </c>
      <c r="AC162" s="23">
        <v>0</v>
      </c>
      <c r="AD162" s="23">
        <v>0</v>
      </c>
      <c r="AE162" s="23">
        <v>210292.8</v>
      </c>
      <c r="AF162" s="23">
        <v>52573.21</v>
      </c>
      <c r="AG162" s="23">
        <v>514642.51</v>
      </c>
      <c r="AH162" s="23">
        <v>3</v>
      </c>
      <c r="AI162" s="23">
        <v>0</v>
      </c>
      <c r="AJ162" s="23">
        <v>0</v>
      </c>
      <c r="AK162" s="23">
        <v>0</v>
      </c>
      <c r="AL162" s="23" t="s">
        <v>24</v>
      </c>
      <c r="AM162" s="23">
        <v>43.35</v>
      </c>
      <c r="AN162" s="23">
        <v>30709.05</v>
      </c>
      <c r="AO162" s="23">
        <v>42.97</v>
      </c>
      <c r="AP162" s="23">
        <v>0</v>
      </c>
      <c r="AR162" s="46"/>
      <c r="AS162" s="44"/>
      <c r="AT162" s="45"/>
      <c r="AU162" s="2">
        <v>43606</v>
      </c>
      <c r="AV162" s="52">
        <v>0.51041666666666663</v>
      </c>
      <c r="AW162" s="2" t="s">
        <v>213</v>
      </c>
      <c r="AY162" s="3"/>
      <c r="BA162" s="3"/>
      <c r="BG162" s="3"/>
      <c r="BH162" s="3"/>
    </row>
    <row r="163" spans="1:60">
      <c r="A163" s="23" t="s">
        <v>22</v>
      </c>
      <c r="B163" s="23" t="s">
        <v>23</v>
      </c>
      <c r="C163" s="27">
        <v>43606.53125</v>
      </c>
      <c r="D163" s="23">
        <v>43</v>
      </c>
      <c r="E163" s="27">
        <v>43606.572916666664</v>
      </c>
      <c r="F163" s="23">
        <v>43.3</v>
      </c>
      <c r="G163" s="31">
        <v>7.0000000000000001E-3</v>
      </c>
      <c r="H163" s="23">
        <v>-349.32</v>
      </c>
      <c r="I163" s="31">
        <v>-7.0000000000000001E-3</v>
      </c>
      <c r="J163" s="23">
        <v>1164.4110000000001</v>
      </c>
      <c r="K163" s="23">
        <v>50069.68</v>
      </c>
      <c r="L163" s="23">
        <v>13412.94</v>
      </c>
      <c r="M163" s="23">
        <v>5</v>
      </c>
      <c r="N163" s="23">
        <v>-69.86</v>
      </c>
      <c r="O163" s="31">
        <v>-7.0000000000000001E-3</v>
      </c>
      <c r="P163" s="31">
        <v>3.5000000000000001E-3</v>
      </c>
      <c r="Q163" s="23" t="s">
        <v>24</v>
      </c>
      <c r="R163" s="23">
        <v>0</v>
      </c>
      <c r="S163" s="23">
        <v>43.45</v>
      </c>
      <c r="U163" s="47">
        <f>VLOOKUP(AU163,[1]expiry_dates!$B$2:$C$2894,2,FALSE)</f>
        <v>43615</v>
      </c>
      <c r="V163" s="23" t="s">
        <v>114</v>
      </c>
      <c r="W163" s="23" t="s">
        <v>23</v>
      </c>
      <c r="X163" s="49">
        <v>43606.53125</v>
      </c>
      <c r="Y163" s="23">
        <v>1.7</v>
      </c>
      <c r="Z163" s="23">
        <v>43606.572916666664</v>
      </c>
      <c r="AA163" s="23">
        <v>1.75</v>
      </c>
      <c r="AB163" s="23">
        <v>2.9399999999999999E-2</v>
      </c>
      <c r="AC163" s="23">
        <v>-1546.27</v>
      </c>
      <c r="AD163" s="23">
        <v>-2.9399999999999999E-2</v>
      </c>
      <c r="AE163" s="23">
        <v>30925.42</v>
      </c>
      <c r="AF163" s="23">
        <v>52573.21</v>
      </c>
      <c r="AG163" s="23">
        <v>513096.24</v>
      </c>
      <c r="AH163" s="23">
        <v>5</v>
      </c>
      <c r="AI163" s="23">
        <v>-309.25</v>
      </c>
      <c r="AJ163" s="23">
        <v>-2.9399999999999999E-2</v>
      </c>
      <c r="AK163" s="23">
        <v>8.8200000000000001E-2</v>
      </c>
      <c r="AL163" s="23" t="s">
        <v>24</v>
      </c>
      <c r="AM163" s="23">
        <v>43</v>
      </c>
      <c r="AN163" s="23">
        <v>30570.95</v>
      </c>
      <c r="AO163" s="23">
        <v>43.45</v>
      </c>
      <c r="AP163" s="23">
        <v>0</v>
      </c>
      <c r="AR163" s="46"/>
      <c r="AS163" s="44"/>
      <c r="AT163" s="45"/>
      <c r="AU163" s="2">
        <v>43606</v>
      </c>
      <c r="AV163" s="52">
        <v>0.53125</v>
      </c>
      <c r="AW163" s="2" t="s">
        <v>213</v>
      </c>
      <c r="AY163" s="3"/>
      <c r="BA163" s="3"/>
      <c r="BG163" s="3"/>
      <c r="BH163" s="3"/>
    </row>
    <row r="164" spans="1:60">
      <c r="A164" s="23" t="s">
        <v>22</v>
      </c>
      <c r="B164" s="23" t="s">
        <v>25</v>
      </c>
      <c r="C164" s="27">
        <v>43606.572916666664</v>
      </c>
      <c r="D164" s="23">
        <v>43.3</v>
      </c>
      <c r="E164" s="27">
        <v>43607.385416666664</v>
      </c>
      <c r="F164" s="23">
        <v>41.95</v>
      </c>
      <c r="G164" s="31">
        <v>-3.1199999999999999E-2</v>
      </c>
      <c r="H164" s="23">
        <v>-1561.02</v>
      </c>
      <c r="I164" s="31">
        <v>-3.1199999999999999E-2</v>
      </c>
      <c r="J164" s="23">
        <v>1156.31</v>
      </c>
      <c r="K164" s="23">
        <v>50068.23</v>
      </c>
      <c r="L164" s="23">
        <v>11851.92</v>
      </c>
      <c r="M164" s="23">
        <v>12</v>
      </c>
      <c r="N164" s="23">
        <v>-130.08000000000001</v>
      </c>
      <c r="O164" s="31">
        <v>-3.8100000000000002E-2</v>
      </c>
      <c r="P164" s="31">
        <v>6.8999999999999999E-3</v>
      </c>
      <c r="Q164" s="23" t="s">
        <v>24</v>
      </c>
      <c r="R164" s="23">
        <v>0</v>
      </c>
      <c r="S164" s="23">
        <v>42.87</v>
      </c>
      <c r="U164" s="47">
        <f>VLOOKUP(AU164,[1]expiry_dates!$B$2:$C$2894,2,FALSE)</f>
        <v>43615</v>
      </c>
      <c r="V164" s="23" t="s">
        <v>118</v>
      </c>
      <c r="W164" s="23" t="s">
        <v>23</v>
      </c>
      <c r="X164" s="49">
        <v>43606.572916666664</v>
      </c>
      <c r="Y164" s="23">
        <v>1.6</v>
      </c>
      <c r="Z164" s="23">
        <v>43607.385416666664</v>
      </c>
      <c r="AA164" s="23">
        <v>2.4500000000000002</v>
      </c>
      <c r="AB164" s="23">
        <v>0.53129999999999999</v>
      </c>
      <c r="AC164" s="23">
        <v>-27937.73</v>
      </c>
      <c r="AD164" s="23">
        <v>-0.53120000000000001</v>
      </c>
      <c r="AE164" s="23">
        <v>32867.919999999998</v>
      </c>
      <c r="AF164" s="23">
        <v>52588.68</v>
      </c>
      <c r="AG164" s="23">
        <v>485158.5</v>
      </c>
      <c r="AH164" s="23">
        <v>12</v>
      </c>
      <c r="AI164" s="23">
        <v>-2328.14</v>
      </c>
      <c r="AJ164" s="23">
        <v>-0.53129999999999999</v>
      </c>
      <c r="AK164" s="23">
        <v>9.3700000000000006E-2</v>
      </c>
      <c r="AL164" s="23" t="s">
        <v>24</v>
      </c>
      <c r="AM164" s="23">
        <v>43.3</v>
      </c>
      <c r="AN164" s="23">
        <v>30510.65</v>
      </c>
      <c r="AO164" s="23">
        <v>42.87</v>
      </c>
      <c r="AP164" s="23">
        <v>0</v>
      </c>
      <c r="AR164" s="46"/>
      <c r="AS164" s="44"/>
      <c r="AT164" s="45"/>
      <c r="AU164" s="2">
        <v>43606</v>
      </c>
      <c r="AV164" s="52">
        <v>7.2916666666666671E-2</v>
      </c>
      <c r="AW164" s="2" t="s">
        <v>213</v>
      </c>
      <c r="AY164" s="3"/>
      <c r="BA164" s="3"/>
      <c r="BG164" s="3"/>
      <c r="BH164" s="3"/>
    </row>
    <row r="165" spans="1:60">
      <c r="A165" s="23" t="s">
        <v>22</v>
      </c>
      <c r="B165" s="23" t="s">
        <v>23</v>
      </c>
      <c r="C165" s="27">
        <v>43607.385416666664</v>
      </c>
      <c r="D165" s="23">
        <v>41.95</v>
      </c>
      <c r="E165" s="27">
        <v>43607.510416666664</v>
      </c>
      <c r="F165" s="23">
        <v>42.35</v>
      </c>
      <c r="G165" s="31">
        <v>9.4999999999999998E-3</v>
      </c>
      <c r="H165" s="23">
        <v>-477.33</v>
      </c>
      <c r="I165" s="31">
        <v>-9.4999999999999998E-3</v>
      </c>
      <c r="J165" s="23">
        <v>1193.3219999999999</v>
      </c>
      <c r="K165" s="23">
        <v>50059.839999999997</v>
      </c>
      <c r="L165" s="23">
        <v>11374.59</v>
      </c>
      <c r="M165" s="23">
        <v>13</v>
      </c>
      <c r="N165" s="23">
        <v>-36.72</v>
      </c>
      <c r="O165" s="31">
        <v>-1.1900000000000001E-2</v>
      </c>
      <c r="P165" s="31">
        <v>9.4999999999999998E-3</v>
      </c>
      <c r="Q165" s="23" t="s">
        <v>24</v>
      </c>
      <c r="R165" s="23">
        <v>0</v>
      </c>
      <c r="S165" s="23">
        <v>43.49</v>
      </c>
      <c r="U165" s="47">
        <f>VLOOKUP(AU165,[1]expiry_dates!$B$2:$C$2894,2,FALSE)</f>
        <v>43615</v>
      </c>
      <c r="V165" s="23" t="s">
        <v>116</v>
      </c>
      <c r="W165" s="23" t="s">
        <v>23</v>
      </c>
      <c r="X165" s="49">
        <v>43607.385416666664</v>
      </c>
      <c r="Y165" s="23">
        <v>1.7</v>
      </c>
      <c r="Z165" s="23">
        <v>43607.510416666664</v>
      </c>
      <c r="AA165" s="23">
        <v>1.85</v>
      </c>
      <c r="AB165" s="23">
        <v>8.8200000000000001E-2</v>
      </c>
      <c r="AC165" s="23">
        <v>-4640.3100000000004</v>
      </c>
      <c r="AD165" s="23">
        <v>-8.8200000000000001E-2</v>
      </c>
      <c r="AE165" s="23">
        <v>30935.37</v>
      </c>
      <c r="AF165" s="23">
        <v>52590.13</v>
      </c>
      <c r="AG165" s="23">
        <v>480518.2</v>
      </c>
      <c r="AH165" s="23">
        <v>13</v>
      </c>
      <c r="AI165" s="23">
        <v>-356.95</v>
      </c>
      <c r="AJ165" s="23">
        <v>-8.8200000000000001E-2</v>
      </c>
      <c r="AK165" s="23">
        <v>0.1176</v>
      </c>
      <c r="AL165" s="23" t="s">
        <v>24</v>
      </c>
      <c r="AM165" s="23">
        <v>41.95</v>
      </c>
      <c r="AN165" s="23">
        <v>30428.400000000001</v>
      </c>
      <c r="AO165" s="23">
        <v>43.49</v>
      </c>
      <c r="AP165" s="23">
        <v>0</v>
      </c>
      <c r="AR165" s="46"/>
      <c r="AS165" s="44"/>
      <c r="AT165" s="45"/>
      <c r="AU165" s="2">
        <v>43607</v>
      </c>
      <c r="AV165" s="52">
        <v>0.38541666666666669</v>
      </c>
      <c r="AW165" s="2" t="s">
        <v>212</v>
      </c>
      <c r="AY165" s="3"/>
      <c r="BA165" s="3"/>
      <c r="BG165" s="3"/>
      <c r="BH165" s="3"/>
    </row>
    <row r="166" spans="1:60">
      <c r="A166" s="23" t="s">
        <v>22</v>
      </c>
      <c r="B166" s="23" t="s">
        <v>25</v>
      </c>
      <c r="C166" s="27">
        <v>43607.510416666664</v>
      </c>
      <c r="D166" s="23">
        <v>42.35</v>
      </c>
      <c r="E166" s="27">
        <v>43608.46875</v>
      </c>
      <c r="F166" s="23">
        <v>42.9</v>
      </c>
      <c r="G166" s="31">
        <v>1.2999999999999999E-2</v>
      </c>
      <c r="H166" s="23">
        <v>650.1</v>
      </c>
      <c r="I166" s="31">
        <v>1.2999999999999999E-2</v>
      </c>
      <c r="J166" s="23">
        <v>1182.002</v>
      </c>
      <c r="K166" s="23">
        <v>50057.77</v>
      </c>
      <c r="L166" s="23">
        <v>12024.69</v>
      </c>
      <c r="M166" s="23">
        <v>26</v>
      </c>
      <c r="N166" s="23">
        <v>25</v>
      </c>
      <c r="O166" s="31">
        <v>-3.5000000000000001E-3</v>
      </c>
      <c r="P166" s="31">
        <v>4.9599999999999998E-2</v>
      </c>
      <c r="Q166" s="23" t="s">
        <v>24</v>
      </c>
      <c r="R166" s="23">
        <v>0</v>
      </c>
      <c r="S166" s="23">
        <v>41.6</v>
      </c>
      <c r="U166" s="47">
        <f>VLOOKUP(AU166,[1]expiry_dates!$B$2:$C$2894,2,FALSE)</f>
        <v>43615</v>
      </c>
      <c r="V166" s="23" t="s">
        <v>138</v>
      </c>
      <c r="W166" s="23" t="s">
        <v>23</v>
      </c>
      <c r="X166" s="49">
        <v>43607.510416666664</v>
      </c>
      <c r="Y166" s="23">
        <v>0.1</v>
      </c>
      <c r="Z166" s="23">
        <v>43608.46875</v>
      </c>
      <c r="AA166" s="23">
        <v>0.1</v>
      </c>
      <c r="AB166" s="23">
        <v>0</v>
      </c>
      <c r="AC166" s="23">
        <v>0</v>
      </c>
      <c r="AD166" s="23">
        <v>0</v>
      </c>
      <c r="AE166" s="23">
        <v>524257.9</v>
      </c>
      <c r="AF166" s="23">
        <v>52425.79</v>
      </c>
      <c r="AG166" s="23">
        <v>480518.2</v>
      </c>
      <c r="AH166" s="23">
        <v>26</v>
      </c>
      <c r="AI166" s="23">
        <v>0</v>
      </c>
      <c r="AJ166" s="23">
        <v>0</v>
      </c>
      <c r="AK166" s="23">
        <v>0</v>
      </c>
      <c r="AL166" s="23" t="s">
        <v>24</v>
      </c>
      <c r="AM166" s="23">
        <v>42.35</v>
      </c>
      <c r="AN166" s="23">
        <v>30404.55</v>
      </c>
      <c r="AO166" s="23">
        <v>41.6</v>
      </c>
      <c r="AP166" s="23">
        <v>0</v>
      </c>
      <c r="AR166" s="46"/>
      <c r="AS166" s="44"/>
      <c r="AT166" s="45"/>
      <c r="AU166" s="2">
        <v>43607</v>
      </c>
      <c r="AV166" s="52">
        <v>0.51041666666666663</v>
      </c>
      <c r="AW166" s="2" t="s">
        <v>213</v>
      </c>
      <c r="AY166" s="3"/>
      <c r="BA166" s="3"/>
      <c r="BG166" s="3"/>
      <c r="BH166" s="3"/>
    </row>
    <row r="167" spans="1:60">
      <c r="A167" s="23" t="s">
        <v>22</v>
      </c>
      <c r="B167" s="23" t="s">
        <v>23</v>
      </c>
      <c r="C167" s="27">
        <v>43608.46875</v>
      </c>
      <c r="D167" s="23">
        <v>42.9</v>
      </c>
      <c r="E167" s="27">
        <v>43609.40625</v>
      </c>
      <c r="F167" s="23">
        <v>42.95</v>
      </c>
      <c r="G167" s="31">
        <v>1.1999999999999999E-3</v>
      </c>
      <c r="H167" s="23">
        <v>-58.35</v>
      </c>
      <c r="I167" s="31">
        <v>-1.1999999999999999E-3</v>
      </c>
      <c r="J167" s="23">
        <v>1166.944</v>
      </c>
      <c r="K167" s="23">
        <v>50061.9</v>
      </c>
      <c r="L167" s="23">
        <v>11966.34</v>
      </c>
      <c r="M167" s="23">
        <v>24</v>
      </c>
      <c r="N167" s="23">
        <v>-2.4300000000000002</v>
      </c>
      <c r="O167" s="31">
        <v>-7.0000000000000001E-3</v>
      </c>
      <c r="P167" s="31">
        <v>2.6800000000000001E-2</v>
      </c>
      <c r="Q167" s="23" t="s">
        <v>24</v>
      </c>
      <c r="R167" s="23">
        <v>0</v>
      </c>
      <c r="S167" s="23">
        <v>44.37</v>
      </c>
      <c r="U167" s="47">
        <f>VLOOKUP(AU167,[1]expiry_dates!$B$2:$C$2894,2,FALSE)</f>
        <v>43615</v>
      </c>
      <c r="V167" s="23" t="s">
        <v>114</v>
      </c>
      <c r="W167" s="23" t="s">
        <v>23</v>
      </c>
      <c r="X167" s="49">
        <v>43608.46875</v>
      </c>
      <c r="Y167" s="23">
        <v>1.1499999999999999</v>
      </c>
      <c r="Z167" s="23">
        <v>43609.40625</v>
      </c>
      <c r="AA167" s="23">
        <v>0.85</v>
      </c>
      <c r="AB167" s="23">
        <v>-0.26090000000000002</v>
      </c>
      <c r="AC167" s="23">
        <v>13670.24</v>
      </c>
      <c r="AD167" s="23">
        <v>0.26090000000000002</v>
      </c>
      <c r="AE167" s="23">
        <v>45567.47</v>
      </c>
      <c r="AF167" s="23">
        <v>52402.59</v>
      </c>
      <c r="AG167" s="23">
        <v>494188.44</v>
      </c>
      <c r="AH167" s="23">
        <v>24</v>
      </c>
      <c r="AI167" s="23">
        <v>569.59</v>
      </c>
      <c r="AJ167" s="23">
        <v>-0.13039999999999999</v>
      </c>
      <c r="AK167" s="23">
        <v>0.6522</v>
      </c>
      <c r="AL167" s="23" t="s">
        <v>24</v>
      </c>
      <c r="AM167" s="23">
        <v>42.9</v>
      </c>
      <c r="AN167" s="23">
        <v>31149.1</v>
      </c>
      <c r="AO167" s="23">
        <v>44.37</v>
      </c>
      <c r="AP167" s="23">
        <v>0</v>
      </c>
      <c r="AR167" s="46"/>
      <c r="AS167" s="44"/>
      <c r="AT167" s="45"/>
      <c r="AU167" s="2">
        <v>43608</v>
      </c>
      <c r="AV167" s="52">
        <v>0.46875</v>
      </c>
      <c r="AW167" s="2" t="s">
        <v>212</v>
      </c>
      <c r="AY167" s="3"/>
      <c r="BA167" s="3"/>
      <c r="BG167" s="3"/>
      <c r="BH167" s="3"/>
    </row>
    <row r="168" spans="1:60">
      <c r="A168" s="23" t="s">
        <v>22</v>
      </c>
      <c r="B168" s="23" t="s">
        <v>25</v>
      </c>
      <c r="C168" s="27">
        <v>43609.40625</v>
      </c>
      <c r="D168" s="23">
        <v>42.95</v>
      </c>
      <c r="E168" s="27">
        <v>43613.479166666664</v>
      </c>
      <c r="F168" s="23">
        <v>45.8</v>
      </c>
      <c r="G168" s="31">
        <v>6.6400000000000001E-2</v>
      </c>
      <c r="H168" s="23">
        <v>3321.92</v>
      </c>
      <c r="I168" s="31">
        <v>6.6400000000000001E-2</v>
      </c>
      <c r="J168" s="23">
        <v>1165.585</v>
      </c>
      <c r="K168" s="23">
        <v>50061.88</v>
      </c>
      <c r="L168" s="23">
        <v>15288.26</v>
      </c>
      <c r="M168" s="23">
        <v>66</v>
      </c>
      <c r="N168" s="23">
        <v>50.33</v>
      </c>
      <c r="O168" s="31">
        <v>-9.2999999999999992E-3</v>
      </c>
      <c r="P168" s="31">
        <v>7.8E-2</v>
      </c>
      <c r="Q168" s="23" t="s">
        <v>24</v>
      </c>
      <c r="R168" s="23">
        <v>0</v>
      </c>
      <c r="S168" s="23">
        <v>41.79</v>
      </c>
      <c r="U168" s="47">
        <f>VLOOKUP(AU168,[1]expiry_dates!$B$2:$C$2894,2,FALSE)</f>
        <v>43615</v>
      </c>
      <c r="V168" s="23" t="s">
        <v>115</v>
      </c>
      <c r="W168" s="23" t="s">
        <v>23</v>
      </c>
      <c r="X168" s="49">
        <v>43609.40625</v>
      </c>
      <c r="Y168" s="23">
        <v>0.5</v>
      </c>
      <c r="Z168" s="23">
        <v>43613.479166666664</v>
      </c>
      <c r="AA168" s="23">
        <v>0.05</v>
      </c>
      <c r="AB168" s="23">
        <v>-0.9</v>
      </c>
      <c r="AC168" s="23">
        <v>47254.61</v>
      </c>
      <c r="AD168" s="23">
        <v>0.9</v>
      </c>
      <c r="AE168" s="23">
        <v>105010.2</v>
      </c>
      <c r="AF168" s="23">
        <v>52505.120000000003</v>
      </c>
      <c r="AG168" s="23">
        <v>541443.05000000005</v>
      </c>
      <c r="AH168" s="23">
        <v>66</v>
      </c>
      <c r="AI168" s="23">
        <v>715.98</v>
      </c>
      <c r="AJ168" s="23">
        <v>-0.2</v>
      </c>
      <c r="AK168" s="23">
        <v>0.9</v>
      </c>
      <c r="AL168" s="23" t="s">
        <v>24</v>
      </c>
      <c r="AM168" s="23">
        <v>42.95</v>
      </c>
      <c r="AN168" s="23">
        <v>30646.55</v>
      </c>
      <c r="AO168" s="23">
        <v>41.79</v>
      </c>
      <c r="AP168" s="23">
        <v>0</v>
      </c>
      <c r="AR168" s="46"/>
      <c r="AS168" s="44"/>
      <c r="AT168" s="45"/>
      <c r="AU168" s="2">
        <v>43609</v>
      </c>
      <c r="AV168" s="52">
        <v>0.40625</v>
      </c>
      <c r="AW168" s="2" t="s">
        <v>212</v>
      </c>
      <c r="AY168" s="3"/>
      <c r="BA168" s="3"/>
      <c r="BG168" s="3"/>
      <c r="BH168" s="3"/>
    </row>
    <row r="169" spans="1:60">
      <c r="A169" s="23" t="s">
        <v>22</v>
      </c>
      <c r="B169" s="23" t="s">
        <v>23</v>
      </c>
      <c r="C169" s="27">
        <v>43613.479166666664</v>
      </c>
      <c r="D169" s="23">
        <v>45.8</v>
      </c>
      <c r="E169" s="27">
        <v>43614.447916666664</v>
      </c>
      <c r="F169" s="23">
        <v>45.55</v>
      </c>
      <c r="G169" s="31">
        <v>-5.4999999999999997E-3</v>
      </c>
      <c r="H169" s="23">
        <v>273.35000000000002</v>
      </c>
      <c r="I169" s="31">
        <v>5.4999999999999997E-3</v>
      </c>
      <c r="J169" s="23">
        <v>1093.385</v>
      </c>
      <c r="K169" s="23">
        <v>50077.02</v>
      </c>
      <c r="L169" s="23">
        <v>15561.61</v>
      </c>
      <c r="M169" s="23">
        <v>27</v>
      </c>
      <c r="N169" s="23">
        <v>10.119999999999999</v>
      </c>
      <c r="O169" s="31">
        <v>-3.3E-3</v>
      </c>
      <c r="P169" s="31">
        <v>1.7500000000000002E-2</v>
      </c>
      <c r="Q169" s="23" t="s">
        <v>24</v>
      </c>
      <c r="R169" s="23">
        <v>0</v>
      </c>
      <c r="S169" s="23">
        <v>46.3</v>
      </c>
      <c r="U169" s="47">
        <f>VLOOKUP(AU169,[1]expiry_dates!$B$2:$C$2894,2,FALSE)</f>
        <v>43615</v>
      </c>
      <c r="V169" s="23" t="s">
        <v>116</v>
      </c>
      <c r="W169" s="23" t="s">
        <v>23</v>
      </c>
      <c r="X169" s="49">
        <v>43613.479166666664</v>
      </c>
      <c r="Y169" s="23">
        <v>3.85</v>
      </c>
      <c r="Z169" s="23">
        <v>43614.447916666664</v>
      </c>
      <c r="AA169" s="23">
        <v>3.25</v>
      </c>
      <c r="AB169" s="23">
        <v>-0.15579999999999999</v>
      </c>
      <c r="AC169" s="23">
        <v>8214.11</v>
      </c>
      <c r="AD169" s="23">
        <v>0.15579999999999999</v>
      </c>
      <c r="AE169" s="23">
        <v>13690.19</v>
      </c>
      <c r="AF169" s="23">
        <v>52707.22</v>
      </c>
      <c r="AG169" s="23">
        <v>549657.16</v>
      </c>
      <c r="AH169" s="23">
        <v>27</v>
      </c>
      <c r="AI169" s="23">
        <v>304.23</v>
      </c>
      <c r="AJ169" s="23">
        <v>0</v>
      </c>
      <c r="AK169" s="23">
        <v>0.16880000000000001</v>
      </c>
      <c r="AL169" s="23" t="s">
        <v>24</v>
      </c>
      <c r="AM169" s="23">
        <v>45.8</v>
      </c>
      <c r="AN169" s="23">
        <v>31483.9</v>
      </c>
      <c r="AO169" s="23">
        <v>46.3</v>
      </c>
      <c r="AP169" s="23">
        <v>0</v>
      </c>
      <c r="AR169" s="46"/>
      <c r="AS169" s="44"/>
      <c r="AT169" s="45"/>
      <c r="AU169" s="2">
        <v>43613</v>
      </c>
      <c r="AV169" s="52">
        <v>0.47916666666666669</v>
      </c>
      <c r="AW169" s="2" t="s">
        <v>212</v>
      </c>
      <c r="AY169" s="3"/>
      <c r="BA169" s="3"/>
      <c r="BG169" s="3"/>
      <c r="BH169" s="3"/>
    </row>
    <row r="170" spans="1:60">
      <c r="A170" s="23" t="s">
        <v>22</v>
      </c>
      <c r="B170" s="23" t="s">
        <v>25</v>
      </c>
      <c r="C170" s="27">
        <v>43614.447916666664</v>
      </c>
      <c r="D170" s="23">
        <v>45.55</v>
      </c>
      <c r="E170" s="27">
        <v>43614.552083333336</v>
      </c>
      <c r="F170" s="23">
        <v>45.6</v>
      </c>
      <c r="G170" s="31">
        <v>1.1000000000000001E-3</v>
      </c>
      <c r="H170" s="23">
        <v>54.97</v>
      </c>
      <c r="I170" s="31">
        <v>1.1000000000000001E-3</v>
      </c>
      <c r="J170" s="23">
        <v>1099.4390000000001</v>
      </c>
      <c r="K170" s="23">
        <v>50079.45</v>
      </c>
      <c r="L170" s="23">
        <v>15616.58</v>
      </c>
      <c r="M170" s="23">
        <v>11</v>
      </c>
      <c r="N170" s="23">
        <v>5</v>
      </c>
      <c r="O170" s="31">
        <v>-6.6E-3</v>
      </c>
      <c r="P170" s="31">
        <v>9.9000000000000008E-3</v>
      </c>
      <c r="Q170" s="23" t="s">
        <v>24</v>
      </c>
      <c r="R170" s="23">
        <v>0</v>
      </c>
      <c r="S170" s="23">
        <v>45.01</v>
      </c>
      <c r="U170" s="47">
        <f>VLOOKUP(AU170,[1]expiry_dates!$B$2:$C$2894,2,FALSE)</f>
        <v>43615</v>
      </c>
      <c r="V170" s="23" t="s">
        <v>105</v>
      </c>
      <c r="W170" s="23" t="s">
        <v>23</v>
      </c>
      <c r="X170" s="49">
        <v>43614.447916666664</v>
      </c>
      <c r="Y170" s="23">
        <v>1.6</v>
      </c>
      <c r="Z170" s="23">
        <v>43614.552083333336</v>
      </c>
      <c r="AA170" s="23">
        <v>1.6</v>
      </c>
      <c r="AB170" s="23">
        <v>0</v>
      </c>
      <c r="AC170" s="23">
        <v>0</v>
      </c>
      <c r="AD170" s="23">
        <v>0</v>
      </c>
      <c r="AE170" s="23">
        <v>32969.82</v>
      </c>
      <c r="AF170" s="23">
        <v>52751.71</v>
      </c>
      <c r="AG170" s="23">
        <v>549657.16</v>
      </c>
      <c r="AH170" s="23">
        <v>11</v>
      </c>
      <c r="AI170" s="23">
        <v>0</v>
      </c>
      <c r="AJ170" s="23">
        <v>-6.25E-2</v>
      </c>
      <c r="AK170" s="23">
        <v>0</v>
      </c>
      <c r="AL170" s="23" t="s">
        <v>24</v>
      </c>
      <c r="AM170" s="23">
        <v>45.55</v>
      </c>
      <c r="AN170" s="23">
        <v>31409.25</v>
      </c>
      <c r="AO170" s="23">
        <v>45.01</v>
      </c>
      <c r="AP170" s="23">
        <v>0</v>
      </c>
      <c r="AR170" s="46"/>
      <c r="AS170" s="44"/>
      <c r="AT170" s="45"/>
      <c r="AU170" s="2">
        <v>43614</v>
      </c>
      <c r="AV170" s="52">
        <v>0.44791666666666669</v>
      </c>
      <c r="AW170" s="2" t="s">
        <v>212</v>
      </c>
      <c r="AY170" s="3"/>
      <c r="BA170" s="3"/>
      <c r="BG170" s="3"/>
      <c r="BH170" s="3"/>
    </row>
    <row r="171" spans="1:60">
      <c r="A171" s="23" t="s">
        <v>22</v>
      </c>
      <c r="B171" s="23" t="s">
        <v>23</v>
      </c>
      <c r="C171" s="27">
        <v>43614.552083333336</v>
      </c>
      <c r="D171" s="23">
        <v>45.6</v>
      </c>
      <c r="E171" s="27">
        <v>43614.59375</v>
      </c>
      <c r="F171" s="23">
        <v>45.7</v>
      </c>
      <c r="G171" s="31">
        <v>2.2000000000000001E-3</v>
      </c>
      <c r="H171" s="23">
        <v>-109.82</v>
      </c>
      <c r="I171" s="31">
        <v>-2.2000000000000001E-3</v>
      </c>
      <c r="J171" s="23">
        <v>1098.192</v>
      </c>
      <c r="K171" s="23">
        <v>50077.53</v>
      </c>
      <c r="L171" s="23">
        <v>15506.76</v>
      </c>
      <c r="M171" s="23">
        <v>5</v>
      </c>
      <c r="N171" s="23">
        <v>-21.96</v>
      </c>
      <c r="O171" s="31">
        <v>-3.3E-3</v>
      </c>
      <c r="P171" s="31">
        <v>5.4999999999999997E-3</v>
      </c>
      <c r="Q171" s="23" t="s">
        <v>24</v>
      </c>
      <c r="R171" s="23">
        <v>0</v>
      </c>
      <c r="S171" s="23">
        <v>45.99</v>
      </c>
      <c r="U171" s="47">
        <f>VLOOKUP(AU171,[1]expiry_dates!$B$2:$C$2894,2,FALSE)</f>
        <v>43615</v>
      </c>
      <c r="V171" s="23" t="s">
        <v>112</v>
      </c>
      <c r="W171" s="23" t="s">
        <v>23</v>
      </c>
      <c r="X171" s="49">
        <v>43614.552083333336</v>
      </c>
      <c r="Y171" s="23">
        <v>0.55000000000000004</v>
      </c>
      <c r="Z171" s="23">
        <v>43614.59375</v>
      </c>
      <c r="AA171" s="23">
        <v>0.8</v>
      </c>
      <c r="AB171" s="23">
        <v>0.45450000000000002</v>
      </c>
      <c r="AC171" s="23">
        <v>-23976.49</v>
      </c>
      <c r="AD171" s="23">
        <v>-0.45450000000000002</v>
      </c>
      <c r="AE171" s="23">
        <v>95905.97</v>
      </c>
      <c r="AF171" s="23">
        <v>52748.29</v>
      </c>
      <c r="AG171" s="23">
        <v>525680.67000000004</v>
      </c>
      <c r="AH171" s="23">
        <v>5</v>
      </c>
      <c r="AI171" s="23">
        <v>-4795.3</v>
      </c>
      <c r="AJ171" s="23">
        <v>-0.45450000000000002</v>
      </c>
      <c r="AK171" s="23">
        <v>9.0899999999999995E-2</v>
      </c>
      <c r="AL171" s="23" t="s">
        <v>24</v>
      </c>
      <c r="AM171" s="23">
        <v>45.6</v>
      </c>
      <c r="AN171" s="23">
        <v>31386.85</v>
      </c>
      <c r="AO171" s="23">
        <v>45.99</v>
      </c>
      <c r="AP171" s="23">
        <v>0</v>
      </c>
      <c r="AR171" s="46"/>
      <c r="AS171" s="44"/>
      <c r="AT171" s="45"/>
      <c r="AU171" s="2">
        <v>43614</v>
      </c>
      <c r="AV171" s="52">
        <v>5.2083333333333336E-2</v>
      </c>
      <c r="AW171" s="2" t="s">
        <v>213</v>
      </c>
      <c r="AY171" s="3"/>
      <c r="BA171" s="3"/>
      <c r="BG171" s="3"/>
      <c r="BH171" s="3"/>
    </row>
    <row r="172" spans="1:60">
      <c r="A172" s="23" t="s">
        <v>22</v>
      </c>
      <c r="B172" s="23" t="s">
        <v>25</v>
      </c>
      <c r="C172" s="27">
        <v>43614.59375</v>
      </c>
      <c r="D172" s="23">
        <v>45.7</v>
      </c>
      <c r="E172" s="27">
        <v>43615.458333333336</v>
      </c>
      <c r="F172" s="23">
        <v>45.95</v>
      </c>
      <c r="G172" s="31">
        <v>5.4999999999999997E-3</v>
      </c>
      <c r="H172" s="23">
        <v>273.95</v>
      </c>
      <c r="I172" s="31">
        <v>5.4999999999999997E-3</v>
      </c>
      <c r="J172" s="23">
        <v>1095.788</v>
      </c>
      <c r="K172" s="23">
        <v>50077.53</v>
      </c>
      <c r="L172" s="23">
        <v>15780.71</v>
      </c>
      <c r="M172" s="23">
        <v>17</v>
      </c>
      <c r="N172" s="23">
        <v>16.11</v>
      </c>
      <c r="O172" s="31">
        <v>-4.4000000000000003E-3</v>
      </c>
      <c r="P172" s="31">
        <v>1.4200000000000001E-2</v>
      </c>
      <c r="Q172" s="23" t="s">
        <v>24</v>
      </c>
      <c r="R172" s="23">
        <v>0</v>
      </c>
      <c r="S172" s="23">
        <v>45.37</v>
      </c>
      <c r="U172" s="47">
        <f>VLOOKUP(AU172,[1]expiry_dates!$B$2:$C$2894,2,FALSE)</f>
        <v>43615</v>
      </c>
      <c r="V172" s="23" t="s">
        <v>113</v>
      </c>
      <c r="W172" s="23" t="s">
        <v>23</v>
      </c>
      <c r="X172" s="49">
        <v>43614.59375</v>
      </c>
      <c r="Y172" s="23">
        <v>0.05</v>
      </c>
      <c r="Z172" s="23">
        <v>43615.458333333336</v>
      </c>
      <c r="AA172" s="23">
        <v>0.05</v>
      </c>
      <c r="AB172" s="23">
        <v>0</v>
      </c>
      <c r="AC172" s="23">
        <v>0</v>
      </c>
      <c r="AD172" s="23">
        <v>0</v>
      </c>
      <c r="AE172" s="23">
        <v>1055445</v>
      </c>
      <c r="AF172" s="23">
        <v>52772.26</v>
      </c>
      <c r="AG172" s="23">
        <v>525680.67000000004</v>
      </c>
      <c r="AH172" s="23">
        <v>17</v>
      </c>
      <c r="AI172" s="23">
        <v>0</v>
      </c>
      <c r="AJ172" s="23">
        <v>0</v>
      </c>
      <c r="AK172" s="23">
        <v>0</v>
      </c>
      <c r="AL172" s="23" t="s">
        <v>24</v>
      </c>
      <c r="AM172" s="23">
        <v>45.7</v>
      </c>
      <c r="AN172" s="23">
        <v>31368.9</v>
      </c>
      <c r="AO172" s="23">
        <v>45.37</v>
      </c>
      <c r="AP172" s="23">
        <v>0</v>
      </c>
      <c r="AR172" s="46"/>
      <c r="AS172" s="44"/>
      <c r="AT172" s="45"/>
      <c r="AU172" s="2">
        <v>43614</v>
      </c>
      <c r="AV172" s="52">
        <v>9.375E-2</v>
      </c>
      <c r="AW172" s="2" t="s">
        <v>213</v>
      </c>
      <c r="AY172" s="3"/>
      <c r="BA172" s="3"/>
      <c r="BG172" s="3"/>
      <c r="BH172" s="3"/>
    </row>
    <row r="173" spans="1:60">
      <c r="A173" s="23" t="s">
        <v>22</v>
      </c>
      <c r="B173" s="23" t="s">
        <v>23</v>
      </c>
      <c r="C173" s="27">
        <v>43615.458333333336</v>
      </c>
      <c r="D173" s="23">
        <v>45.95</v>
      </c>
      <c r="E173" s="27">
        <v>43615.635416666664</v>
      </c>
      <c r="F173" s="23">
        <v>45.75</v>
      </c>
      <c r="G173" s="31">
        <v>-4.4000000000000003E-3</v>
      </c>
      <c r="H173" s="23">
        <v>217.97</v>
      </c>
      <c r="I173" s="31">
        <v>4.4000000000000003E-3</v>
      </c>
      <c r="J173" s="23">
        <v>1089.856</v>
      </c>
      <c r="K173" s="23">
        <v>50078.91</v>
      </c>
      <c r="L173" s="23">
        <v>15998.68</v>
      </c>
      <c r="M173" s="23">
        <v>18</v>
      </c>
      <c r="N173" s="23">
        <v>12.11</v>
      </c>
      <c r="O173" s="31">
        <v>-1.1000000000000001E-3</v>
      </c>
      <c r="P173" s="31">
        <v>9.7999999999999997E-3</v>
      </c>
      <c r="Q173" s="23" t="s">
        <v>24</v>
      </c>
      <c r="R173" s="23">
        <v>0</v>
      </c>
      <c r="S173" s="23">
        <v>46.34</v>
      </c>
      <c r="U173" s="47">
        <f>VLOOKUP(AU173,[1]expiry_dates!$B$2:$C$2894,2,FALSE)</f>
        <v>43615</v>
      </c>
      <c r="V173" s="23" t="s">
        <v>110</v>
      </c>
      <c r="W173" s="23" t="s">
        <v>23</v>
      </c>
      <c r="X173" s="49">
        <v>43615.458333333336</v>
      </c>
      <c r="Y173" s="23">
        <v>0.3</v>
      </c>
      <c r="Z173" s="23">
        <v>43615.635416666664</v>
      </c>
      <c r="AA173" s="23">
        <v>0.05</v>
      </c>
      <c r="AB173" s="23">
        <v>-0.83330000000000004</v>
      </c>
      <c r="AC173" s="23">
        <v>43857</v>
      </c>
      <c r="AD173" s="23">
        <v>0.83330000000000004</v>
      </c>
      <c r="AE173" s="23">
        <v>175428</v>
      </c>
      <c r="AF173" s="23">
        <v>52628.4</v>
      </c>
      <c r="AG173" s="23">
        <v>569537.67000000004</v>
      </c>
      <c r="AH173" s="23">
        <v>18</v>
      </c>
      <c r="AI173" s="23">
        <v>2436.5</v>
      </c>
      <c r="AJ173" s="23">
        <v>0</v>
      </c>
      <c r="AK173" s="23">
        <v>0.83330000000000004</v>
      </c>
      <c r="AL173" s="23" t="s">
        <v>24</v>
      </c>
      <c r="AM173" s="23">
        <v>45.95</v>
      </c>
      <c r="AN173" s="23">
        <v>31443.85</v>
      </c>
      <c r="AO173" s="23">
        <v>46.34</v>
      </c>
      <c r="AP173" s="23">
        <v>0</v>
      </c>
      <c r="AR173" s="46"/>
      <c r="AS173" s="44"/>
      <c r="AT173" s="45"/>
      <c r="AU173" s="2">
        <v>43615</v>
      </c>
      <c r="AV173" s="52">
        <v>0.45833333333333331</v>
      </c>
      <c r="AW173" s="2" t="s">
        <v>212</v>
      </c>
      <c r="AY173" s="3"/>
      <c r="BA173" s="3"/>
      <c r="BG173" s="3"/>
      <c r="BH173" s="3"/>
    </row>
    <row r="174" spans="1:60">
      <c r="A174" s="23" t="s">
        <v>22</v>
      </c>
      <c r="B174" s="23" t="s">
        <v>25</v>
      </c>
      <c r="C174" s="27">
        <v>43615.635416666664</v>
      </c>
      <c r="D174" s="23">
        <v>45.75</v>
      </c>
      <c r="E174" s="27">
        <v>43615.6875</v>
      </c>
      <c r="F174" s="23">
        <v>45.75</v>
      </c>
      <c r="G174" s="31">
        <v>0</v>
      </c>
      <c r="H174" s="23">
        <v>0</v>
      </c>
      <c r="I174" s="31">
        <v>0</v>
      </c>
      <c r="J174" s="23">
        <v>1094.6510000000001</v>
      </c>
      <c r="K174" s="23">
        <v>50080.27</v>
      </c>
      <c r="L174" s="23">
        <v>15998.68</v>
      </c>
      <c r="M174" s="23">
        <v>4</v>
      </c>
      <c r="N174" s="23">
        <v>0</v>
      </c>
      <c r="O174" s="31">
        <v>-1.1000000000000001E-3</v>
      </c>
      <c r="P174" s="31">
        <v>3.3E-3</v>
      </c>
      <c r="Q174" s="23" t="s">
        <v>24</v>
      </c>
      <c r="R174" s="23">
        <v>0</v>
      </c>
      <c r="S174" s="23">
        <v>45.52</v>
      </c>
      <c r="U174" s="47">
        <f>VLOOKUP(AU174,[1]expiry_dates!$B$2:$C$2894,2,FALSE)</f>
        <v>43615</v>
      </c>
      <c r="V174" s="23" t="s">
        <v>111</v>
      </c>
      <c r="W174" s="23" t="s">
        <v>23</v>
      </c>
      <c r="X174" s="49">
        <v>43615.635416666664</v>
      </c>
      <c r="Y174" s="23">
        <v>0.05</v>
      </c>
      <c r="Z174" s="23">
        <v>43615.6875</v>
      </c>
      <c r="AA174" s="23">
        <v>0.05</v>
      </c>
      <c r="AB174" s="23">
        <v>0</v>
      </c>
      <c r="AC174" s="23">
        <v>0</v>
      </c>
      <c r="AD174" s="23">
        <v>0</v>
      </c>
      <c r="AE174" s="23">
        <v>1056954</v>
      </c>
      <c r="AF174" s="23">
        <v>52847.69</v>
      </c>
      <c r="AG174" s="23">
        <v>569537.67000000004</v>
      </c>
      <c r="AH174" s="23">
        <v>4</v>
      </c>
      <c r="AI174" s="23">
        <v>0</v>
      </c>
      <c r="AJ174" s="23">
        <v>0</v>
      </c>
      <c r="AK174" s="23">
        <v>0</v>
      </c>
      <c r="AL174" s="23" t="s">
        <v>24</v>
      </c>
      <c r="AM174" s="23">
        <v>45.75</v>
      </c>
      <c r="AN174" s="23">
        <v>31563</v>
      </c>
      <c r="AO174" s="23">
        <v>45.52</v>
      </c>
      <c r="AP174" s="23">
        <v>0</v>
      </c>
      <c r="AR174" s="46"/>
      <c r="AS174" s="44"/>
      <c r="AT174" s="45"/>
      <c r="AU174" s="2">
        <v>43615</v>
      </c>
      <c r="AV174" s="52">
        <v>0.13541666666666666</v>
      </c>
      <c r="AW174" s="2" t="s">
        <v>213</v>
      </c>
      <c r="AY174" s="3"/>
      <c r="BA174" s="3"/>
      <c r="BG174" s="3"/>
      <c r="BH174" s="3"/>
    </row>
    <row r="175" spans="1:60">
      <c r="A175" s="23" t="s">
        <v>22</v>
      </c>
      <c r="B175" s="23" t="s">
        <v>23</v>
      </c>
      <c r="C175" s="27">
        <v>43616.385416666664</v>
      </c>
      <c r="D175" s="23">
        <v>45.75</v>
      </c>
      <c r="E175" s="27">
        <v>43616.583333333336</v>
      </c>
      <c r="F175" s="23">
        <v>45.05</v>
      </c>
      <c r="G175" s="31">
        <v>-1.5299999999999999E-2</v>
      </c>
      <c r="H175" s="23">
        <v>766.25</v>
      </c>
      <c r="I175" s="31">
        <v>1.5299999999999999E-2</v>
      </c>
      <c r="J175" s="23">
        <v>1094.645</v>
      </c>
      <c r="K175" s="23">
        <v>50079.99</v>
      </c>
      <c r="L175" s="23">
        <v>16764.93</v>
      </c>
      <c r="M175" s="23">
        <v>20</v>
      </c>
      <c r="N175" s="23">
        <v>38.31</v>
      </c>
      <c r="O175" s="31">
        <v>-4.4000000000000003E-3</v>
      </c>
      <c r="P175" s="31">
        <v>3.1699999999999999E-2</v>
      </c>
      <c r="Q175" s="23" t="s">
        <v>24</v>
      </c>
      <c r="R175" s="23">
        <v>0</v>
      </c>
      <c r="S175" s="23">
        <v>45.99</v>
      </c>
      <c r="U175" s="47">
        <f>VLOOKUP(AU175,[1]expiry_dates!$B$2:$C$2894,2,FALSE)</f>
        <v>43643</v>
      </c>
      <c r="V175" s="23" t="s">
        <v>112</v>
      </c>
      <c r="W175" s="23" t="s">
        <v>23</v>
      </c>
      <c r="X175" s="49">
        <v>43616.385416666664</v>
      </c>
      <c r="Y175" s="23">
        <v>2.2000000000000002</v>
      </c>
      <c r="Z175" s="23">
        <v>43616.583333333336</v>
      </c>
      <c r="AA175" s="23">
        <v>1.75</v>
      </c>
      <c r="AB175" s="23">
        <v>-0.20449999999999999</v>
      </c>
      <c r="AC175" s="23">
        <v>10809.75</v>
      </c>
      <c r="AD175" s="23">
        <v>0.20449999999999999</v>
      </c>
      <c r="AE175" s="23">
        <v>24021.68</v>
      </c>
      <c r="AF175" s="23">
        <v>52847.69</v>
      </c>
      <c r="AG175" s="23">
        <v>580347.42000000004</v>
      </c>
      <c r="AH175" s="23">
        <v>20</v>
      </c>
      <c r="AI175" s="23">
        <v>540.49</v>
      </c>
      <c r="AJ175" s="23">
        <v>-2.2700000000000001E-2</v>
      </c>
      <c r="AK175" s="23">
        <v>0.31819999999999998</v>
      </c>
      <c r="AL175" s="23" t="s">
        <v>24</v>
      </c>
      <c r="AM175" s="23">
        <v>45.75</v>
      </c>
      <c r="AN175" s="23">
        <v>31761.8</v>
      </c>
      <c r="AO175" s="23">
        <v>45.99</v>
      </c>
      <c r="AP175" s="23">
        <v>0</v>
      </c>
      <c r="AR175" s="46"/>
      <c r="AS175" s="44"/>
      <c r="AT175" s="45"/>
      <c r="AU175" s="2">
        <v>43616</v>
      </c>
      <c r="AV175" s="52">
        <v>0.38541666666666669</v>
      </c>
      <c r="AW175" s="2" t="s">
        <v>212</v>
      </c>
      <c r="AY175" s="3"/>
      <c r="BA175" s="3"/>
      <c r="BG175" s="3"/>
      <c r="BH175" s="3"/>
    </row>
    <row r="176" spans="1:60">
      <c r="A176" s="23" t="s">
        <v>22</v>
      </c>
      <c r="B176" s="23" t="s">
        <v>25</v>
      </c>
      <c r="C176" s="27">
        <v>43616.583333333336</v>
      </c>
      <c r="D176" s="23">
        <v>45.05</v>
      </c>
      <c r="E176" s="27">
        <v>43619.385416666664</v>
      </c>
      <c r="F176" s="23">
        <v>44.55</v>
      </c>
      <c r="G176" s="31">
        <v>-1.11E-2</v>
      </c>
      <c r="H176" s="23">
        <v>-555.88</v>
      </c>
      <c r="I176" s="31">
        <v>-1.11E-2</v>
      </c>
      <c r="J176" s="23">
        <v>1111.751</v>
      </c>
      <c r="K176" s="23">
        <v>50084.37</v>
      </c>
      <c r="L176" s="23">
        <v>16209.05</v>
      </c>
      <c r="M176" s="23">
        <v>11</v>
      </c>
      <c r="N176" s="23">
        <v>-50.53</v>
      </c>
      <c r="O176" s="31">
        <v>-1.11E-2</v>
      </c>
      <c r="P176" s="31">
        <v>1.2200000000000001E-2</v>
      </c>
      <c r="Q176" s="23" t="s">
        <v>24</v>
      </c>
      <c r="R176" s="23">
        <v>0</v>
      </c>
      <c r="S176" s="23">
        <v>44.3</v>
      </c>
      <c r="U176" s="47">
        <f>VLOOKUP(AU176,[1]expiry_dates!$B$2:$C$2894,2,FALSE)</f>
        <v>43643</v>
      </c>
      <c r="V176" s="23" t="s">
        <v>118</v>
      </c>
      <c r="W176" s="23" t="s">
        <v>23</v>
      </c>
      <c r="X176" s="49">
        <v>43616.583333333336</v>
      </c>
      <c r="Y176" s="23">
        <v>0.9</v>
      </c>
      <c r="Z176" s="23">
        <v>43619.385416666664</v>
      </c>
      <c r="AA176" s="23">
        <v>0.95</v>
      </c>
      <c r="AB176" s="23">
        <v>5.5599999999999997E-2</v>
      </c>
      <c r="AC176" s="23">
        <v>-2938.99</v>
      </c>
      <c r="AD176" s="23">
        <v>-5.5599999999999997E-2</v>
      </c>
      <c r="AE176" s="23">
        <v>58779.71</v>
      </c>
      <c r="AF176" s="23">
        <v>52901.74</v>
      </c>
      <c r="AG176" s="23">
        <v>577408.43000000005</v>
      </c>
      <c r="AH176" s="23">
        <v>11</v>
      </c>
      <c r="AI176" s="23">
        <v>-267.18</v>
      </c>
      <c r="AJ176" s="23">
        <v>-5.5599999999999997E-2</v>
      </c>
      <c r="AK176" s="23">
        <v>5.5599999999999997E-2</v>
      </c>
      <c r="AL176" s="23" t="s">
        <v>24</v>
      </c>
      <c r="AM176" s="23">
        <v>45.05</v>
      </c>
      <c r="AN176" s="23">
        <v>31328.35</v>
      </c>
      <c r="AO176" s="23">
        <v>44.3</v>
      </c>
      <c r="AP176" s="23">
        <v>0</v>
      </c>
      <c r="AR176" s="46"/>
      <c r="AS176" s="44"/>
      <c r="AT176" s="45"/>
      <c r="AU176" s="2">
        <v>43616</v>
      </c>
      <c r="AV176" s="52">
        <v>8.3333333333333329E-2</v>
      </c>
      <c r="AW176" s="2" t="s">
        <v>213</v>
      </c>
      <c r="AY176" s="3"/>
      <c r="BA176" s="3"/>
      <c r="BG176" s="3"/>
      <c r="BH176" s="3"/>
    </row>
    <row r="177" spans="1:60">
      <c r="A177" s="23" t="s">
        <v>22</v>
      </c>
      <c r="B177" s="23" t="s">
        <v>23</v>
      </c>
      <c r="C177" s="27">
        <v>43619.385416666664</v>
      </c>
      <c r="D177" s="23">
        <v>44.55</v>
      </c>
      <c r="E177" s="27">
        <v>43619.458333333336</v>
      </c>
      <c r="F177" s="23">
        <v>45.1</v>
      </c>
      <c r="G177" s="31">
        <v>1.23E-2</v>
      </c>
      <c r="H177" s="23">
        <v>-618.33000000000004</v>
      </c>
      <c r="I177" s="31">
        <v>-1.23E-2</v>
      </c>
      <c r="J177" s="23">
        <v>1124.241</v>
      </c>
      <c r="K177" s="23">
        <v>50084.93</v>
      </c>
      <c r="L177" s="23">
        <v>15590.72</v>
      </c>
      <c r="M177" s="23">
        <v>8</v>
      </c>
      <c r="N177" s="23">
        <v>-77.290000000000006</v>
      </c>
      <c r="O177" s="31">
        <v>-2.0199999999999999E-2</v>
      </c>
      <c r="P177" s="31">
        <v>7.9000000000000008E-3</v>
      </c>
      <c r="Q177" s="23" t="s">
        <v>24</v>
      </c>
      <c r="R177" s="23">
        <v>0</v>
      </c>
      <c r="S177" s="23">
        <v>45.54</v>
      </c>
      <c r="U177" s="47">
        <f>VLOOKUP(AU177,[1]expiry_dates!$B$2:$C$2894,2,FALSE)</f>
        <v>43643</v>
      </c>
      <c r="V177" s="23" t="s">
        <v>114</v>
      </c>
      <c r="W177" s="23" t="s">
        <v>23</v>
      </c>
      <c r="X177" s="49">
        <v>43619.385416666664</v>
      </c>
      <c r="Y177" s="23">
        <v>2.7</v>
      </c>
      <c r="Z177" s="23">
        <v>43619.458333333336</v>
      </c>
      <c r="AA177" s="23">
        <v>2.7</v>
      </c>
      <c r="AB177" s="23">
        <v>0</v>
      </c>
      <c r="AC177" s="23">
        <v>0</v>
      </c>
      <c r="AD177" s="23">
        <v>0</v>
      </c>
      <c r="AE177" s="23">
        <v>19598.68</v>
      </c>
      <c r="AF177" s="23">
        <v>52916.43</v>
      </c>
      <c r="AG177" s="23">
        <v>577408.43000000005</v>
      </c>
      <c r="AH177" s="23">
        <v>8</v>
      </c>
      <c r="AI177" s="23">
        <v>0</v>
      </c>
      <c r="AJ177" s="23">
        <v>0</v>
      </c>
      <c r="AK177" s="23">
        <v>0</v>
      </c>
      <c r="AL177" s="23" t="s">
        <v>24</v>
      </c>
      <c r="AM177" s="23">
        <v>44.55</v>
      </c>
      <c r="AN177" s="23">
        <v>31458.400000000001</v>
      </c>
      <c r="AO177" s="23">
        <v>45.54</v>
      </c>
      <c r="AP177" s="23">
        <v>0</v>
      </c>
      <c r="AR177" s="46"/>
      <c r="AS177" s="44"/>
      <c r="AT177" s="45"/>
      <c r="AU177" s="2">
        <v>43619</v>
      </c>
      <c r="AV177" s="52">
        <v>0.38541666666666669</v>
      </c>
      <c r="AW177" s="2" t="s">
        <v>212</v>
      </c>
      <c r="AY177" s="3"/>
      <c r="BA177" s="3"/>
      <c r="BG177" s="3"/>
      <c r="BH177" s="3"/>
    </row>
    <row r="178" spans="1:60">
      <c r="A178" s="23" t="s">
        <v>22</v>
      </c>
      <c r="B178" s="23" t="s">
        <v>25</v>
      </c>
      <c r="C178" s="27">
        <v>43619.458333333336</v>
      </c>
      <c r="D178" s="23">
        <v>45.1</v>
      </c>
      <c r="E178" s="27">
        <v>43620.510416666664</v>
      </c>
      <c r="F178" s="23">
        <v>45.65</v>
      </c>
      <c r="G178" s="31">
        <v>1.2200000000000001E-2</v>
      </c>
      <c r="H178" s="23">
        <v>610.72</v>
      </c>
      <c r="I178" s="31">
        <v>1.2200000000000001E-2</v>
      </c>
      <c r="J178" s="23">
        <v>1110.395</v>
      </c>
      <c r="K178" s="23">
        <v>50078.8</v>
      </c>
      <c r="L178" s="23">
        <v>16201.44</v>
      </c>
      <c r="M178" s="23">
        <v>35</v>
      </c>
      <c r="N178" s="23">
        <v>17.45</v>
      </c>
      <c r="O178" s="31">
        <v>-8.8999999999999999E-3</v>
      </c>
      <c r="P178" s="31">
        <v>2.7699999999999999E-2</v>
      </c>
      <c r="Q178" s="23" t="s">
        <v>24</v>
      </c>
      <c r="R178" s="23">
        <v>0</v>
      </c>
      <c r="S178" s="23">
        <v>44.2</v>
      </c>
      <c r="U178" s="47">
        <f>VLOOKUP(AU178,[1]expiry_dates!$B$2:$C$2894,2,FALSE)</f>
        <v>43643</v>
      </c>
      <c r="V178" s="23" t="s">
        <v>111</v>
      </c>
      <c r="W178" s="23" t="s">
        <v>23</v>
      </c>
      <c r="X178" s="49">
        <v>43619.458333333336</v>
      </c>
      <c r="Y178" s="23">
        <v>1.2</v>
      </c>
      <c r="Z178" s="23">
        <v>43620.510416666664</v>
      </c>
      <c r="AA178" s="23">
        <v>0.8</v>
      </c>
      <c r="AB178" s="23">
        <v>-0.33329999999999999</v>
      </c>
      <c r="AC178" s="23">
        <v>17629.009999999998</v>
      </c>
      <c r="AD178" s="23">
        <v>0.33329999999999999</v>
      </c>
      <c r="AE178" s="23">
        <v>44072.54</v>
      </c>
      <c r="AF178" s="23">
        <v>52887.040000000001</v>
      </c>
      <c r="AG178" s="23">
        <v>595037.44999999995</v>
      </c>
      <c r="AH178" s="23">
        <v>35</v>
      </c>
      <c r="AI178" s="23">
        <v>503.69</v>
      </c>
      <c r="AJ178" s="23">
        <v>0</v>
      </c>
      <c r="AK178" s="23">
        <v>0.375</v>
      </c>
      <c r="AL178" s="23" t="s">
        <v>24</v>
      </c>
      <c r="AM178" s="23">
        <v>45.1</v>
      </c>
      <c r="AN178" s="23">
        <v>31447.45</v>
      </c>
      <c r="AO178" s="23">
        <v>44.2</v>
      </c>
      <c r="AP178" s="23">
        <v>0</v>
      </c>
      <c r="AR178" s="46"/>
      <c r="AS178" s="44"/>
      <c r="AT178" s="45"/>
      <c r="AU178" s="2">
        <v>43619</v>
      </c>
      <c r="AV178" s="52">
        <v>0.45833333333333331</v>
      </c>
      <c r="AW178" s="2" t="s">
        <v>212</v>
      </c>
      <c r="AY178" s="3"/>
      <c r="BA178" s="3"/>
      <c r="BG178" s="3"/>
      <c r="BH178" s="3"/>
    </row>
    <row r="179" spans="1:60">
      <c r="A179" s="23" t="s">
        <v>22</v>
      </c>
      <c r="B179" s="23" t="s">
        <v>23</v>
      </c>
      <c r="C179" s="27">
        <v>43620.510416666664</v>
      </c>
      <c r="D179" s="23">
        <v>45.65</v>
      </c>
      <c r="E179" s="27">
        <v>43623.59375</v>
      </c>
      <c r="F179" s="23">
        <v>42.6</v>
      </c>
      <c r="G179" s="31">
        <v>-6.6799999999999998E-2</v>
      </c>
      <c r="H179" s="23">
        <v>3346.07</v>
      </c>
      <c r="I179" s="31">
        <v>6.6799999999999998E-2</v>
      </c>
      <c r="J179" s="23">
        <v>1097.0709999999999</v>
      </c>
      <c r="K179" s="23">
        <v>50081.29</v>
      </c>
      <c r="L179" s="23">
        <v>19547.5</v>
      </c>
      <c r="M179" s="23">
        <v>67</v>
      </c>
      <c r="N179" s="23">
        <v>49.94</v>
      </c>
      <c r="O179" s="31">
        <v>-4.4000000000000003E-3</v>
      </c>
      <c r="P179" s="31">
        <v>8.2100000000000006E-2</v>
      </c>
      <c r="Q179" s="23" t="s">
        <v>24</v>
      </c>
      <c r="R179" s="23">
        <v>0</v>
      </c>
      <c r="S179" s="23">
        <v>46.32</v>
      </c>
      <c r="U179" s="47">
        <f>VLOOKUP(AU179,[1]expiry_dates!$B$2:$C$2894,2,FALSE)</f>
        <v>43643</v>
      </c>
      <c r="V179" s="23" t="s">
        <v>110</v>
      </c>
      <c r="W179" s="23" t="s">
        <v>23</v>
      </c>
      <c r="X179" s="49">
        <v>43620.510416666664</v>
      </c>
      <c r="Y179" s="23">
        <v>1.45</v>
      </c>
      <c r="Z179" s="23">
        <v>43623.59375</v>
      </c>
      <c r="AA179" s="23">
        <v>0.4</v>
      </c>
      <c r="AB179" s="23">
        <v>-0.72409999999999997</v>
      </c>
      <c r="AC179" s="23">
        <v>38361.339999999997</v>
      </c>
      <c r="AD179" s="23">
        <v>0.72409999999999997</v>
      </c>
      <c r="AE179" s="23">
        <v>36534.61</v>
      </c>
      <c r="AF179" s="23">
        <v>52975.18</v>
      </c>
      <c r="AG179" s="23">
        <v>633398.79</v>
      </c>
      <c r="AH179" s="23">
        <v>67</v>
      </c>
      <c r="AI179" s="23">
        <v>572.55999999999995</v>
      </c>
      <c r="AJ179" s="23">
        <v>-0.1724</v>
      </c>
      <c r="AK179" s="23">
        <v>0.75860000000000005</v>
      </c>
      <c r="AL179" s="23" t="s">
        <v>24</v>
      </c>
      <c r="AM179" s="23">
        <v>45.65</v>
      </c>
      <c r="AN179" s="23">
        <v>31597.200000000001</v>
      </c>
      <c r="AO179" s="23">
        <v>46.32</v>
      </c>
      <c r="AP179" s="23">
        <v>0</v>
      </c>
      <c r="AR179" s="46"/>
      <c r="AS179" s="44"/>
      <c r="AT179" s="45"/>
      <c r="AU179" s="2">
        <v>43620</v>
      </c>
      <c r="AV179" s="52">
        <v>0.51041666666666663</v>
      </c>
      <c r="AW179" s="2" t="s">
        <v>213</v>
      </c>
      <c r="AY179" s="3"/>
      <c r="BA179" s="3"/>
      <c r="BG179" s="3"/>
      <c r="BH179" s="3"/>
    </row>
    <row r="180" spans="1:60">
      <c r="A180" s="23" t="s">
        <v>22</v>
      </c>
      <c r="B180" s="23" t="s">
        <v>25</v>
      </c>
      <c r="C180" s="27">
        <v>43623.59375</v>
      </c>
      <c r="D180" s="23">
        <v>42.6</v>
      </c>
      <c r="E180" s="27">
        <v>43626.427083333336</v>
      </c>
      <c r="F180" s="23">
        <v>42.65</v>
      </c>
      <c r="G180" s="31">
        <v>1.1999999999999999E-3</v>
      </c>
      <c r="H180" s="23">
        <v>58.8</v>
      </c>
      <c r="I180" s="31">
        <v>1.1999999999999999E-3</v>
      </c>
      <c r="J180" s="23">
        <v>1176.0550000000001</v>
      </c>
      <c r="K180" s="23">
        <v>50099.93</v>
      </c>
      <c r="L180" s="23">
        <v>19606.310000000001</v>
      </c>
      <c r="M180" s="23">
        <v>14</v>
      </c>
      <c r="N180" s="23">
        <v>4.2</v>
      </c>
      <c r="O180" s="31">
        <v>-1.06E-2</v>
      </c>
      <c r="P180" s="31">
        <v>1.8800000000000001E-2</v>
      </c>
      <c r="Q180" s="23" t="s">
        <v>24</v>
      </c>
      <c r="R180" s="23">
        <v>0</v>
      </c>
      <c r="S180" s="23">
        <v>41.92</v>
      </c>
      <c r="U180" s="47">
        <f>VLOOKUP(AU180,[1]expiry_dates!$B$2:$C$2894,2,FALSE)</f>
        <v>43643</v>
      </c>
      <c r="V180" s="23" t="s">
        <v>118</v>
      </c>
      <c r="W180" s="23" t="s">
        <v>23</v>
      </c>
      <c r="X180" s="49">
        <v>43623.59375</v>
      </c>
      <c r="Y180" s="23">
        <v>1.75</v>
      </c>
      <c r="Z180" s="23">
        <v>43626.427083333336</v>
      </c>
      <c r="AA180" s="23">
        <v>1.4</v>
      </c>
      <c r="AB180" s="23">
        <v>-0.2</v>
      </c>
      <c r="AC180" s="23">
        <v>10633.4</v>
      </c>
      <c r="AD180" s="23">
        <v>0.2</v>
      </c>
      <c r="AE180" s="23">
        <v>30381.14</v>
      </c>
      <c r="AF180" s="23">
        <v>53166.99</v>
      </c>
      <c r="AG180" s="23">
        <v>644032.18999999994</v>
      </c>
      <c r="AH180" s="23">
        <v>14</v>
      </c>
      <c r="AI180" s="23">
        <v>759.53</v>
      </c>
      <c r="AJ180" s="23">
        <v>0</v>
      </c>
      <c r="AK180" s="23">
        <v>0.2</v>
      </c>
      <c r="AL180" s="23" t="s">
        <v>24</v>
      </c>
      <c r="AM180" s="23">
        <v>42.6</v>
      </c>
      <c r="AN180" s="23">
        <v>31047.200000000001</v>
      </c>
      <c r="AO180" s="23">
        <v>41.92</v>
      </c>
      <c r="AP180" s="23">
        <v>0</v>
      </c>
      <c r="AR180" s="46"/>
      <c r="AS180" s="44"/>
      <c r="AT180" s="45"/>
      <c r="AU180" s="2">
        <v>43623</v>
      </c>
      <c r="AV180" s="52">
        <v>9.375E-2</v>
      </c>
      <c r="AW180" s="2" t="s">
        <v>213</v>
      </c>
      <c r="AY180" s="3"/>
      <c r="BA180" s="3"/>
      <c r="BG180" s="3"/>
      <c r="BH180" s="3"/>
    </row>
    <row r="181" spans="1:60">
      <c r="A181" s="23" t="s">
        <v>22</v>
      </c>
      <c r="B181" s="23" t="s">
        <v>23</v>
      </c>
      <c r="C181" s="27">
        <v>43626.427083333336</v>
      </c>
      <c r="D181" s="23">
        <v>42.65</v>
      </c>
      <c r="E181" s="27">
        <v>43626.635416666664</v>
      </c>
      <c r="F181" s="23">
        <v>42.25</v>
      </c>
      <c r="G181" s="31">
        <v>-9.4000000000000004E-3</v>
      </c>
      <c r="H181" s="23">
        <v>469.87</v>
      </c>
      <c r="I181" s="31">
        <v>9.4000000000000004E-3</v>
      </c>
      <c r="J181" s="23">
        <v>1174.673</v>
      </c>
      <c r="K181" s="23">
        <v>50099.79</v>
      </c>
      <c r="L181" s="23">
        <v>20076.18</v>
      </c>
      <c r="M181" s="23">
        <v>21</v>
      </c>
      <c r="N181" s="23">
        <v>22.37</v>
      </c>
      <c r="O181" s="31">
        <v>-8.2000000000000007E-3</v>
      </c>
      <c r="P181" s="31">
        <v>1.52E-2</v>
      </c>
      <c r="Q181" s="23" t="s">
        <v>24</v>
      </c>
      <c r="R181" s="23">
        <v>0</v>
      </c>
      <c r="S181" s="23">
        <v>43.38</v>
      </c>
      <c r="U181" s="47">
        <f>VLOOKUP(AU181,[1]expiry_dates!$B$2:$C$2894,2,FALSE)</f>
        <v>43643</v>
      </c>
      <c r="V181" s="23" t="s">
        <v>114</v>
      </c>
      <c r="W181" s="23" t="s">
        <v>23</v>
      </c>
      <c r="X181" s="49">
        <v>43626.427083333336</v>
      </c>
      <c r="Y181" s="23">
        <v>1.1000000000000001</v>
      </c>
      <c r="Z181" s="23">
        <v>43626.635416666664</v>
      </c>
      <c r="AA181" s="23">
        <v>1.1000000000000001</v>
      </c>
      <c r="AB181" s="23">
        <v>0</v>
      </c>
      <c r="AC181" s="23">
        <v>0</v>
      </c>
      <c r="AD181" s="23">
        <v>0</v>
      </c>
      <c r="AE181" s="23">
        <v>48381.96</v>
      </c>
      <c r="AF181" s="23">
        <v>53220.160000000003</v>
      </c>
      <c r="AG181" s="23">
        <v>644032.18999999994</v>
      </c>
      <c r="AH181" s="23">
        <v>21</v>
      </c>
      <c r="AI181" s="23">
        <v>0</v>
      </c>
      <c r="AJ181" s="23">
        <v>-0.18179999999999999</v>
      </c>
      <c r="AK181" s="23">
        <v>0.13639999999999999</v>
      </c>
      <c r="AL181" s="23" t="s">
        <v>24</v>
      </c>
      <c r="AM181" s="23">
        <v>42.65</v>
      </c>
      <c r="AN181" s="23">
        <v>31135.75</v>
      </c>
      <c r="AO181" s="23">
        <v>43.38</v>
      </c>
      <c r="AP181" s="23">
        <v>0</v>
      </c>
      <c r="AR181" s="46"/>
      <c r="AS181" s="44"/>
      <c r="AT181" s="45"/>
      <c r="AU181" s="2">
        <v>43626</v>
      </c>
      <c r="AV181" s="52">
        <v>0.42708333333333331</v>
      </c>
      <c r="AW181" s="2" t="s">
        <v>212</v>
      </c>
      <c r="AY181" s="3"/>
      <c r="BA181" s="3"/>
      <c r="BG181" s="3"/>
      <c r="BH181" s="3"/>
    </row>
    <row r="182" spans="1:60">
      <c r="A182" s="23" t="s">
        <v>22</v>
      </c>
      <c r="B182" s="23" t="s">
        <v>25</v>
      </c>
      <c r="C182" s="27">
        <v>43626.635416666664</v>
      </c>
      <c r="D182" s="23">
        <v>42.25</v>
      </c>
      <c r="E182" s="27">
        <v>43627.385416666664</v>
      </c>
      <c r="F182" s="23">
        <v>42.2</v>
      </c>
      <c r="G182" s="31">
        <v>-1.1999999999999999E-3</v>
      </c>
      <c r="H182" s="23">
        <v>-59.29</v>
      </c>
      <c r="I182" s="31">
        <v>-1.1999999999999999E-3</v>
      </c>
      <c r="J182" s="23">
        <v>1185.8150000000001</v>
      </c>
      <c r="K182" s="23">
        <v>50100.68</v>
      </c>
      <c r="L182" s="23">
        <v>20016.88</v>
      </c>
      <c r="M182" s="23">
        <v>6</v>
      </c>
      <c r="N182" s="23">
        <v>-9.8800000000000008</v>
      </c>
      <c r="O182" s="31">
        <v>-3.5999999999999999E-3</v>
      </c>
      <c r="P182" s="31">
        <v>5.8999999999999999E-3</v>
      </c>
      <c r="Q182" s="23" t="s">
        <v>24</v>
      </c>
      <c r="R182" s="23">
        <v>0</v>
      </c>
      <c r="S182" s="23">
        <v>42.02</v>
      </c>
      <c r="U182" s="47">
        <f>VLOOKUP(AU182,[1]expiry_dates!$B$2:$C$2894,2,FALSE)</f>
        <v>43643</v>
      </c>
      <c r="V182" s="23" t="s">
        <v>115</v>
      </c>
      <c r="W182" s="23" t="s">
        <v>23</v>
      </c>
      <c r="X182" s="49">
        <v>43626.635416666664</v>
      </c>
      <c r="Y182" s="23">
        <v>1.1499999999999999</v>
      </c>
      <c r="Z182" s="23">
        <v>43627.385416666664</v>
      </c>
      <c r="AA182" s="23">
        <v>1.1499999999999999</v>
      </c>
      <c r="AB182" s="23">
        <v>0</v>
      </c>
      <c r="AC182" s="23">
        <v>0</v>
      </c>
      <c r="AD182" s="23">
        <v>0</v>
      </c>
      <c r="AE182" s="23">
        <v>46299.44</v>
      </c>
      <c r="AF182" s="23">
        <v>53244.35</v>
      </c>
      <c r="AG182" s="23">
        <v>644032.18999999994</v>
      </c>
      <c r="AH182" s="23">
        <v>6</v>
      </c>
      <c r="AI182" s="23">
        <v>0</v>
      </c>
      <c r="AJ182" s="23">
        <v>0</v>
      </c>
      <c r="AK182" s="23">
        <v>0</v>
      </c>
      <c r="AL182" s="23" t="s">
        <v>24</v>
      </c>
      <c r="AM182" s="23">
        <v>42.25</v>
      </c>
      <c r="AN182" s="23">
        <v>31062.45</v>
      </c>
      <c r="AO182" s="23">
        <v>42.02</v>
      </c>
      <c r="AP182" s="23">
        <v>0</v>
      </c>
      <c r="AR182" s="46"/>
      <c r="AS182" s="44"/>
      <c r="AT182" s="45"/>
      <c r="AU182" s="2">
        <v>43626</v>
      </c>
      <c r="AV182" s="52">
        <v>0.13541666666666666</v>
      </c>
      <c r="AW182" s="2" t="s">
        <v>213</v>
      </c>
      <c r="AY182" s="3"/>
      <c r="BA182" s="3"/>
      <c r="BG182" s="3"/>
      <c r="BH182" s="3"/>
    </row>
    <row r="183" spans="1:60">
      <c r="A183" s="23" t="s">
        <v>22</v>
      </c>
      <c r="B183" s="23" t="s">
        <v>23</v>
      </c>
      <c r="C183" s="27">
        <v>43627.385416666664</v>
      </c>
      <c r="D183" s="23">
        <v>42.2</v>
      </c>
      <c r="E183" s="27">
        <v>43627.427083333336</v>
      </c>
      <c r="F183" s="23">
        <v>42.35</v>
      </c>
      <c r="G183" s="31">
        <v>3.5999999999999999E-3</v>
      </c>
      <c r="H183" s="23">
        <v>-178.08</v>
      </c>
      <c r="I183" s="31">
        <v>-3.5999999999999999E-3</v>
      </c>
      <c r="J183" s="23">
        <v>1187.2059999999999</v>
      </c>
      <c r="K183" s="23">
        <v>50100.09</v>
      </c>
      <c r="L183" s="23">
        <v>19838.8</v>
      </c>
      <c r="M183" s="23">
        <v>5</v>
      </c>
      <c r="N183" s="23">
        <v>-35.619999999999997</v>
      </c>
      <c r="O183" s="31">
        <v>-7.1000000000000004E-3</v>
      </c>
      <c r="P183" s="31">
        <v>1.66E-2</v>
      </c>
      <c r="Q183" s="23" t="s">
        <v>24</v>
      </c>
      <c r="R183" s="23">
        <v>0</v>
      </c>
      <c r="S183" s="23">
        <v>42.5</v>
      </c>
      <c r="U183" s="47">
        <f>VLOOKUP(AU183,[1]expiry_dates!$B$2:$C$2894,2,FALSE)</f>
        <v>43643</v>
      </c>
      <c r="V183" s="23" t="s">
        <v>116</v>
      </c>
      <c r="W183" s="23" t="s">
        <v>23</v>
      </c>
      <c r="X183" s="49">
        <v>43627.385416666664</v>
      </c>
      <c r="Y183" s="23">
        <v>1.35</v>
      </c>
      <c r="Z183" s="23">
        <v>43627.427083333336</v>
      </c>
      <c r="AA183" s="23">
        <v>1.35</v>
      </c>
      <c r="AB183" s="23">
        <v>0</v>
      </c>
      <c r="AC183" s="23">
        <v>0</v>
      </c>
      <c r="AD183" s="23">
        <v>0</v>
      </c>
      <c r="AE183" s="23">
        <v>39422.339999999997</v>
      </c>
      <c r="AF183" s="23">
        <v>53220.160000000003</v>
      </c>
      <c r="AG183" s="23">
        <v>644032.18999999994</v>
      </c>
      <c r="AH183" s="23">
        <v>5</v>
      </c>
      <c r="AI183" s="23">
        <v>0</v>
      </c>
      <c r="AJ183" s="23">
        <v>-3.6999999999999998E-2</v>
      </c>
      <c r="AK183" s="23">
        <v>0.22220000000000001</v>
      </c>
      <c r="AL183" s="23" t="s">
        <v>24</v>
      </c>
      <c r="AM183" s="23">
        <v>42.2</v>
      </c>
      <c r="AN183" s="23">
        <v>31065.4</v>
      </c>
      <c r="AO183" s="23">
        <v>42.5</v>
      </c>
      <c r="AP183" s="23">
        <v>0</v>
      </c>
      <c r="AR183" s="46"/>
      <c r="AS183" s="44"/>
      <c r="AT183" s="45"/>
      <c r="AU183" s="2">
        <v>43627</v>
      </c>
      <c r="AV183" s="52">
        <v>0.38541666666666669</v>
      </c>
      <c r="AW183" s="2" t="s">
        <v>212</v>
      </c>
      <c r="AY183" s="3"/>
      <c r="BA183" s="3"/>
      <c r="BG183" s="3"/>
      <c r="BH183" s="3"/>
    </row>
    <row r="184" spans="1:60">
      <c r="A184" s="23" t="s">
        <v>22</v>
      </c>
      <c r="B184" s="23" t="s">
        <v>25</v>
      </c>
      <c r="C184" s="27">
        <v>43627.427083333336</v>
      </c>
      <c r="D184" s="23">
        <v>42.35</v>
      </c>
      <c r="E184" s="27">
        <v>43627.635416666664</v>
      </c>
      <c r="F184" s="23">
        <v>42.45</v>
      </c>
      <c r="G184" s="31">
        <v>2.3999999999999998E-3</v>
      </c>
      <c r="H184" s="23">
        <v>118.3</v>
      </c>
      <c r="I184" s="31">
        <v>2.3999999999999998E-3</v>
      </c>
      <c r="J184" s="23">
        <v>1183.0150000000001</v>
      </c>
      <c r="K184" s="23">
        <v>50100.68</v>
      </c>
      <c r="L184" s="23">
        <v>19957.11</v>
      </c>
      <c r="M184" s="23">
        <v>21</v>
      </c>
      <c r="N184" s="23">
        <v>5.63</v>
      </c>
      <c r="O184" s="31">
        <v>-7.1000000000000004E-3</v>
      </c>
      <c r="P184" s="31">
        <v>1.2999999999999999E-2</v>
      </c>
      <c r="Q184" s="23" t="s">
        <v>24</v>
      </c>
      <c r="R184" s="23">
        <v>0</v>
      </c>
      <c r="S184" s="23">
        <v>41.5</v>
      </c>
      <c r="U184" s="47">
        <f>VLOOKUP(AU184,[1]expiry_dates!$B$2:$C$2894,2,FALSE)</f>
        <v>43643</v>
      </c>
      <c r="V184" s="23" t="s">
        <v>115</v>
      </c>
      <c r="W184" s="23" t="s">
        <v>23</v>
      </c>
      <c r="X184" s="49">
        <v>43627.427083333336</v>
      </c>
      <c r="Y184" s="23">
        <v>1.05</v>
      </c>
      <c r="Z184" s="23">
        <v>43627.635416666664</v>
      </c>
      <c r="AA184" s="23">
        <v>0.95</v>
      </c>
      <c r="AB184" s="23">
        <v>-9.5200000000000007E-2</v>
      </c>
      <c r="AC184" s="23">
        <v>5069.53</v>
      </c>
      <c r="AD184" s="23">
        <v>9.5200000000000007E-2</v>
      </c>
      <c r="AE184" s="23">
        <v>50695.26</v>
      </c>
      <c r="AF184" s="23">
        <v>53230.02</v>
      </c>
      <c r="AG184" s="23">
        <v>649101.71</v>
      </c>
      <c r="AH184" s="23">
        <v>21</v>
      </c>
      <c r="AI184" s="23">
        <v>241.41</v>
      </c>
      <c r="AJ184" s="23">
        <v>-0.23810000000000001</v>
      </c>
      <c r="AK184" s="23">
        <v>0.1429</v>
      </c>
      <c r="AL184" s="23" t="s">
        <v>24</v>
      </c>
      <c r="AM184" s="23">
        <v>42.35</v>
      </c>
      <c r="AN184" s="23">
        <v>31127.4</v>
      </c>
      <c r="AO184" s="23">
        <v>41.5</v>
      </c>
      <c r="AP184" s="23">
        <v>0</v>
      </c>
      <c r="AR184" s="46"/>
      <c r="AS184" s="44"/>
      <c r="AT184" s="45"/>
      <c r="AU184" s="2">
        <v>43627</v>
      </c>
      <c r="AV184" s="52">
        <v>0.42708333333333331</v>
      </c>
      <c r="AW184" s="2" t="s">
        <v>212</v>
      </c>
      <c r="AY184" s="3"/>
      <c r="BA184" s="3"/>
      <c r="BG184" s="3"/>
      <c r="BH184" s="3"/>
    </row>
    <row r="185" spans="1:60">
      <c r="A185" s="23" t="s">
        <v>22</v>
      </c>
      <c r="B185" s="23" t="s">
        <v>23</v>
      </c>
      <c r="C185" s="27">
        <v>43627.635416666664</v>
      </c>
      <c r="D185" s="23">
        <v>42.45</v>
      </c>
      <c r="E185" s="27">
        <v>43628.5</v>
      </c>
      <c r="F185" s="23">
        <v>42.5</v>
      </c>
      <c r="G185" s="31">
        <v>1.1999999999999999E-3</v>
      </c>
      <c r="H185" s="23">
        <v>-59.01</v>
      </c>
      <c r="I185" s="31">
        <v>-1.1999999999999999E-3</v>
      </c>
      <c r="J185" s="23">
        <v>1180.2349999999999</v>
      </c>
      <c r="K185" s="23">
        <v>50100.97</v>
      </c>
      <c r="L185" s="23">
        <v>19898.09</v>
      </c>
      <c r="M185" s="23">
        <v>17</v>
      </c>
      <c r="N185" s="23">
        <v>-3.47</v>
      </c>
      <c r="O185" s="31">
        <v>-4.7000000000000002E-3</v>
      </c>
      <c r="P185" s="31">
        <v>1.06E-2</v>
      </c>
      <c r="Q185" s="23" t="s">
        <v>24</v>
      </c>
      <c r="R185" s="23">
        <v>0</v>
      </c>
      <c r="S185" s="23">
        <v>42.89</v>
      </c>
      <c r="U185" s="47">
        <f>VLOOKUP(AU185,[1]expiry_dates!$B$2:$C$2894,2,FALSE)</f>
        <v>43643</v>
      </c>
      <c r="V185" s="23" t="s">
        <v>114</v>
      </c>
      <c r="W185" s="23" t="s">
        <v>23</v>
      </c>
      <c r="X185" s="49">
        <v>43627.635416666664</v>
      </c>
      <c r="Y185" s="23">
        <v>1.05</v>
      </c>
      <c r="Z185" s="23">
        <v>43628.5</v>
      </c>
      <c r="AA185" s="23">
        <v>1.05</v>
      </c>
      <c r="AB185" s="23">
        <v>0</v>
      </c>
      <c r="AC185" s="23">
        <v>0</v>
      </c>
      <c r="AD185" s="23">
        <v>0</v>
      </c>
      <c r="AE185" s="23">
        <v>50722.080000000002</v>
      </c>
      <c r="AF185" s="23">
        <v>53258.18</v>
      </c>
      <c r="AG185" s="23">
        <v>649101.71</v>
      </c>
      <c r="AH185" s="23">
        <v>17</v>
      </c>
      <c r="AI185" s="23">
        <v>0</v>
      </c>
      <c r="AJ185" s="23">
        <v>0</v>
      </c>
      <c r="AK185" s="23">
        <v>0.1905</v>
      </c>
      <c r="AL185" s="23" t="s">
        <v>24</v>
      </c>
      <c r="AM185" s="23">
        <v>42.45</v>
      </c>
      <c r="AN185" s="23">
        <v>31266.7</v>
      </c>
      <c r="AO185" s="23">
        <v>42.89</v>
      </c>
      <c r="AP185" s="23">
        <v>0</v>
      </c>
      <c r="AR185" s="46"/>
      <c r="AS185" s="44"/>
      <c r="AT185" s="45"/>
      <c r="AU185" s="2">
        <v>43627</v>
      </c>
      <c r="AV185" s="52">
        <v>0.13541666666666666</v>
      </c>
      <c r="AW185" s="2" t="s">
        <v>213</v>
      </c>
      <c r="AY185" s="3"/>
      <c r="BA185" s="3"/>
      <c r="BG185" s="3"/>
      <c r="BH185" s="3"/>
    </row>
    <row r="186" spans="1:60">
      <c r="A186" s="23" t="s">
        <v>22</v>
      </c>
      <c r="B186" s="23" t="s">
        <v>25</v>
      </c>
      <c r="C186" s="27">
        <v>43628.5</v>
      </c>
      <c r="D186" s="23">
        <v>42.5</v>
      </c>
      <c r="E186" s="27">
        <v>43629.385416666664</v>
      </c>
      <c r="F186" s="23">
        <v>42.35</v>
      </c>
      <c r="G186" s="31">
        <v>-3.5000000000000001E-3</v>
      </c>
      <c r="H186" s="23">
        <v>-176.82</v>
      </c>
      <c r="I186" s="31">
        <v>-3.5000000000000001E-3</v>
      </c>
      <c r="J186" s="23">
        <v>1178.825</v>
      </c>
      <c r="K186" s="23">
        <v>50100.08</v>
      </c>
      <c r="L186" s="23">
        <v>19721.27</v>
      </c>
      <c r="M186" s="23">
        <v>19</v>
      </c>
      <c r="N186" s="23">
        <v>-9.31</v>
      </c>
      <c r="O186" s="31">
        <v>-3.5000000000000001E-3</v>
      </c>
      <c r="P186" s="31">
        <v>8.2000000000000007E-3</v>
      </c>
      <c r="Q186" s="23" t="s">
        <v>24</v>
      </c>
      <c r="R186" s="23">
        <v>0</v>
      </c>
      <c r="S186" s="23">
        <v>42.02</v>
      </c>
      <c r="U186" s="47">
        <f>VLOOKUP(AU186,[1]expiry_dates!$B$2:$C$2894,2,FALSE)</f>
        <v>43643</v>
      </c>
      <c r="V186" s="23" t="s">
        <v>113</v>
      </c>
      <c r="W186" s="23" t="s">
        <v>23</v>
      </c>
      <c r="X186" s="49">
        <v>43628.5</v>
      </c>
      <c r="Y186" s="23">
        <v>0.35</v>
      </c>
      <c r="Z186" s="23">
        <v>43629.385416666664</v>
      </c>
      <c r="AA186" s="23">
        <v>0.35</v>
      </c>
      <c r="AB186" s="23">
        <v>0</v>
      </c>
      <c r="AC186" s="23">
        <v>0</v>
      </c>
      <c r="AD186" s="23">
        <v>0</v>
      </c>
      <c r="AE186" s="23">
        <v>152202.5</v>
      </c>
      <c r="AF186" s="23">
        <v>53270.87</v>
      </c>
      <c r="AG186" s="23">
        <v>649101.71</v>
      </c>
      <c r="AH186" s="23">
        <v>19</v>
      </c>
      <c r="AI186" s="23">
        <v>0</v>
      </c>
      <c r="AJ186" s="23">
        <v>0</v>
      </c>
      <c r="AK186" s="23">
        <v>0.1429</v>
      </c>
      <c r="AL186" s="23" t="s">
        <v>24</v>
      </c>
      <c r="AM186" s="23">
        <v>42.5</v>
      </c>
      <c r="AN186" s="23">
        <v>30979.4</v>
      </c>
      <c r="AO186" s="23">
        <v>42.02</v>
      </c>
      <c r="AP186" s="23">
        <v>0</v>
      </c>
      <c r="AR186" s="46"/>
      <c r="AS186" s="44"/>
      <c r="AT186" s="45"/>
      <c r="AU186" s="2">
        <v>43628</v>
      </c>
      <c r="AV186" s="52">
        <v>0.5</v>
      </c>
      <c r="AW186" s="2" t="s">
        <v>213</v>
      </c>
      <c r="AY186" s="3"/>
      <c r="BA186" s="3"/>
      <c r="BG186" s="3"/>
      <c r="BH186" s="3"/>
    </row>
    <row r="187" spans="1:60">
      <c r="A187" s="23" t="s">
        <v>22</v>
      </c>
      <c r="B187" s="23" t="s">
        <v>23</v>
      </c>
      <c r="C187" s="27">
        <v>43629.385416666664</v>
      </c>
      <c r="D187" s="23">
        <v>42.35</v>
      </c>
      <c r="E187" s="27">
        <v>43629.552083333336</v>
      </c>
      <c r="F187" s="23">
        <v>41.8</v>
      </c>
      <c r="G187" s="31">
        <v>-1.2999999999999999E-2</v>
      </c>
      <c r="H187" s="23">
        <v>650.63</v>
      </c>
      <c r="I187" s="31">
        <v>1.2999999999999999E-2</v>
      </c>
      <c r="J187" s="23">
        <v>1182.9659999999999</v>
      </c>
      <c r="K187" s="23">
        <v>50098.61</v>
      </c>
      <c r="L187" s="23">
        <v>20371.900000000001</v>
      </c>
      <c r="M187" s="23">
        <v>17</v>
      </c>
      <c r="N187" s="23">
        <v>38.270000000000003</v>
      </c>
      <c r="O187" s="31">
        <v>-5.8999999999999999E-3</v>
      </c>
      <c r="P187" s="31">
        <v>3.1899999999999998E-2</v>
      </c>
      <c r="Q187" s="23" t="s">
        <v>24</v>
      </c>
      <c r="R187" s="23">
        <v>0</v>
      </c>
      <c r="S187" s="23">
        <v>42.81</v>
      </c>
      <c r="U187" s="47">
        <f>VLOOKUP(AU187,[1]expiry_dates!$B$2:$C$2894,2,FALSE)</f>
        <v>43643</v>
      </c>
      <c r="V187" s="23" t="s">
        <v>114</v>
      </c>
      <c r="W187" s="23" t="s">
        <v>23</v>
      </c>
      <c r="X187" s="49">
        <v>43629.385416666664</v>
      </c>
      <c r="Y187" s="23">
        <v>0.95</v>
      </c>
      <c r="Z187" s="23">
        <v>43629.552083333336</v>
      </c>
      <c r="AA187" s="23">
        <v>0.65</v>
      </c>
      <c r="AB187" s="23">
        <v>-0.31580000000000003</v>
      </c>
      <c r="AC187" s="23">
        <v>16826.39</v>
      </c>
      <c r="AD187" s="23">
        <v>0.31580000000000003</v>
      </c>
      <c r="AE187" s="23">
        <v>56087.96</v>
      </c>
      <c r="AF187" s="23">
        <v>53283.56</v>
      </c>
      <c r="AG187" s="23">
        <v>665928.1</v>
      </c>
      <c r="AH187" s="23">
        <v>17</v>
      </c>
      <c r="AI187" s="23">
        <v>989.79</v>
      </c>
      <c r="AJ187" s="23">
        <v>0</v>
      </c>
      <c r="AK187" s="23">
        <v>0.52629999999999999</v>
      </c>
      <c r="AL187" s="23" t="s">
        <v>24</v>
      </c>
      <c r="AM187" s="23">
        <v>42.35</v>
      </c>
      <c r="AN187" s="23">
        <v>30904.55</v>
      </c>
      <c r="AO187" s="23">
        <v>42.81</v>
      </c>
      <c r="AP187" s="23">
        <v>0</v>
      </c>
      <c r="AR187" s="46"/>
      <c r="AS187" s="44"/>
      <c r="AT187" s="45"/>
      <c r="AU187" s="2">
        <v>43629</v>
      </c>
      <c r="AV187" s="52">
        <v>0.38541666666666669</v>
      </c>
      <c r="AW187" s="2" t="s">
        <v>212</v>
      </c>
      <c r="AY187" s="3"/>
      <c r="BA187" s="3"/>
      <c r="BG187" s="3"/>
      <c r="BH187" s="3"/>
    </row>
    <row r="188" spans="1:60">
      <c r="A188" s="23" t="s">
        <v>22</v>
      </c>
      <c r="B188" s="23" t="s">
        <v>25</v>
      </c>
      <c r="C188" s="27">
        <v>43629.552083333336</v>
      </c>
      <c r="D188" s="23">
        <v>41.8</v>
      </c>
      <c r="E188" s="27">
        <v>43630.583333333336</v>
      </c>
      <c r="F188" s="23">
        <v>42.3</v>
      </c>
      <c r="G188" s="31">
        <v>1.2E-2</v>
      </c>
      <c r="H188" s="23">
        <v>599.30999999999995</v>
      </c>
      <c r="I188" s="31">
        <v>1.2E-2</v>
      </c>
      <c r="J188" s="23">
        <v>1198.616</v>
      </c>
      <c r="K188" s="23">
        <v>50102.16</v>
      </c>
      <c r="L188" s="23">
        <v>20971.21</v>
      </c>
      <c r="M188" s="23">
        <v>33</v>
      </c>
      <c r="N188" s="23">
        <v>18.16</v>
      </c>
      <c r="O188" s="31">
        <v>-2.3999999999999998E-3</v>
      </c>
      <c r="P188" s="31">
        <v>2.0299999999999999E-2</v>
      </c>
      <c r="Q188" s="23" t="s">
        <v>24</v>
      </c>
      <c r="R188" s="23">
        <v>0</v>
      </c>
      <c r="S188" s="23">
        <v>41.03</v>
      </c>
      <c r="U188" s="47">
        <f>VLOOKUP(AU188,[1]expiry_dates!$B$2:$C$2894,2,FALSE)</f>
        <v>43643</v>
      </c>
      <c r="V188" s="23" t="s">
        <v>107</v>
      </c>
      <c r="W188" s="23" t="s">
        <v>23</v>
      </c>
      <c r="X188" s="49">
        <v>43629.552083333336</v>
      </c>
      <c r="Y188" s="23">
        <v>4.3499999999999996</v>
      </c>
      <c r="Z188" s="23">
        <v>43630.583333333336</v>
      </c>
      <c r="AA188" s="23">
        <v>3.6</v>
      </c>
      <c r="AB188" s="23">
        <v>-0.1724</v>
      </c>
      <c r="AC188" s="23">
        <v>9194.77</v>
      </c>
      <c r="AD188" s="23">
        <v>0.1724</v>
      </c>
      <c r="AE188" s="23">
        <v>12259.69</v>
      </c>
      <c r="AF188" s="23">
        <v>53329.64</v>
      </c>
      <c r="AG188" s="23">
        <v>675122.86</v>
      </c>
      <c r="AH188" s="23">
        <v>33</v>
      </c>
      <c r="AI188" s="23">
        <v>278.63</v>
      </c>
      <c r="AJ188" s="23">
        <v>-8.0500000000000002E-2</v>
      </c>
      <c r="AK188" s="23">
        <v>0.1724</v>
      </c>
      <c r="AL188" s="23" t="s">
        <v>24</v>
      </c>
      <c r="AM188" s="23">
        <v>41.8</v>
      </c>
      <c r="AN188" s="23">
        <v>30765.200000000001</v>
      </c>
      <c r="AO188" s="23">
        <v>41.03</v>
      </c>
      <c r="AP188" s="23">
        <v>0</v>
      </c>
      <c r="AR188" s="46"/>
      <c r="AS188" s="44"/>
      <c r="AT188" s="45"/>
      <c r="AU188" s="2">
        <v>43629</v>
      </c>
      <c r="AV188" s="52">
        <v>5.2083333333333336E-2</v>
      </c>
      <c r="AW188" s="2" t="s">
        <v>213</v>
      </c>
      <c r="AY188" s="3"/>
      <c r="BA188" s="3"/>
      <c r="BG188" s="3"/>
      <c r="BH188" s="3"/>
    </row>
    <row r="189" spans="1:60">
      <c r="A189" s="23" t="s">
        <v>22</v>
      </c>
      <c r="B189" s="23" t="s">
        <v>23</v>
      </c>
      <c r="C189" s="27">
        <v>43630.583333333336</v>
      </c>
      <c r="D189" s="23">
        <v>42.3</v>
      </c>
      <c r="E189" s="27">
        <v>43633.59375</v>
      </c>
      <c r="F189" s="23">
        <v>41.5</v>
      </c>
      <c r="G189" s="31">
        <v>-1.89E-2</v>
      </c>
      <c r="H189" s="23">
        <v>947.62</v>
      </c>
      <c r="I189" s="31">
        <v>1.89E-2</v>
      </c>
      <c r="J189" s="23">
        <v>1184.519</v>
      </c>
      <c r="K189" s="23">
        <v>50105.16</v>
      </c>
      <c r="L189" s="23">
        <v>21918.82</v>
      </c>
      <c r="M189" s="23">
        <v>31</v>
      </c>
      <c r="N189" s="23">
        <v>30.57</v>
      </c>
      <c r="O189" s="31">
        <v>-2.3999999999999998E-3</v>
      </c>
      <c r="P189" s="31">
        <v>2.9600000000000001E-2</v>
      </c>
      <c r="Q189" s="23" t="s">
        <v>24</v>
      </c>
      <c r="R189" s="23">
        <v>0</v>
      </c>
      <c r="S189" s="23">
        <v>42.65</v>
      </c>
      <c r="U189" s="47">
        <f>VLOOKUP(AU189,[1]expiry_dates!$B$2:$C$2894,2,FALSE)</f>
        <v>43643</v>
      </c>
      <c r="V189" s="23" t="s">
        <v>117</v>
      </c>
      <c r="W189" s="23" t="s">
        <v>23</v>
      </c>
      <c r="X189" s="49">
        <v>43630.583333333336</v>
      </c>
      <c r="Y189" s="23">
        <v>0.45</v>
      </c>
      <c r="Z189" s="23">
        <v>43633.59375</v>
      </c>
      <c r="AA189" s="23">
        <v>0.2</v>
      </c>
      <c r="AB189" s="23">
        <v>-0.55559999999999998</v>
      </c>
      <c r="AC189" s="23">
        <v>29653.119999999999</v>
      </c>
      <c r="AD189" s="23">
        <v>0.55559999999999998</v>
      </c>
      <c r="AE189" s="23">
        <v>118612.5</v>
      </c>
      <c r="AF189" s="23">
        <v>53375.61</v>
      </c>
      <c r="AG189" s="23">
        <v>704775.98</v>
      </c>
      <c r="AH189" s="23">
        <v>31</v>
      </c>
      <c r="AI189" s="23">
        <v>956.55</v>
      </c>
      <c r="AJ189" s="23">
        <v>0</v>
      </c>
      <c r="AK189" s="23">
        <v>0.55559999999999998</v>
      </c>
      <c r="AL189" s="23" t="s">
        <v>24</v>
      </c>
      <c r="AM189" s="23">
        <v>42.3</v>
      </c>
      <c r="AN189" s="23">
        <v>30766.45</v>
      </c>
      <c r="AO189" s="23">
        <v>42.65</v>
      </c>
      <c r="AP189" s="23">
        <v>0</v>
      </c>
      <c r="AR189" s="46"/>
      <c r="AS189" s="44"/>
      <c r="AT189" s="45"/>
      <c r="AU189" s="2">
        <v>43630</v>
      </c>
      <c r="AV189" s="52">
        <v>8.3333333333333329E-2</v>
      </c>
      <c r="AW189" s="2" t="s">
        <v>213</v>
      </c>
      <c r="AY189" s="3"/>
      <c r="BA189" s="3"/>
      <c r="BG189" s="3"/>
      <c r="BH189" s="3"/>
    </row>
    <row r="190" spans="1:60">
      <c r="A190" s="23" t="s">
        <v>22</v>
      </c>
      <c r="B190" s="23" t="s">
        <v>25</v>
      </c>
      <c r="C190" s="27">
        <v>43633.59375</v>
      </c>
      <c r="D190" s="23">
        <v>41.5</v>
      </c>
      <c r="E190" s="27">
        <v>43633.635416666664</v>
      </c>
      <c r="F190" s="23">
        <v>41.25</v>
      </c>
      <c r="G190" s="31">
        <v>-6.0000000000000001E-3</v>
      </c>
      <c r="H190" s="23">
        <v>-301.87</v>
      </c>
      <c r="I190" s="31">
        <v>-6.0000000000000001E-3</v>
      </c>
      <c r="J190" s="23">
        <v>1207.4670000000001</v>
      </c>
      <c r="K190" s="23">
        <v>50109.89</v>
      </c>
      <c r="L190" s="23">
        <v>21616.959999999999</v>
      </c>
      <c r="M190" s="23">
        <v>5</v>
      </c>
      <c r="N190" s="23">
        <v>-60.37</v>
      </c>
      <c r="O190" s="31">
        <v>-6.0000000000000001E-3</v>
      </c>
      <c r="P190" s="31">
        <v>4.7999999999999996E-3</v>
      </c>
      <c r="Q190" s="23" t="s">
        <v>24</v>
      </c>
      <c r="R190" s="23">
        <v>0</v>
      </c>
      <c r="S190" s="23">
        <v>41.07</v>
      </c>
      <c r="U190" s="47">
        <f>VLOOKUP(AU190,[1]expiry_dates!$B$2:$C$2894,2,FALSE)</f>
        <v>43643</v>
      </c>
      <c r="V190" s="23" t="s">
        <v>113</v>
      </c>
      <c r="W190" s="23" t="s">
        <v>23</v>
      </c>
      <c r="X190" s="49">
        <v>43633.59375</v>
      </c>
      <c r="Y190" s="23">
        <v>0.45</v>
      </c>
      <c r="Z190" s="23">
        <v>43633.635416666664</v>
      </c>
      <c r="AA190" s="23">
        <v>0.5</v>
      </c>
      <c r="AB190" s="23">
        <v>0.1111</v>
      </c>
      <c r="AC190" s="23">
        <v>-5947.1</v>
      </c>
      <c r="AD190" s="23">
        <v>-0.1111</v>
      </c>
      <c r="AE190" s="23">
        <v>118942</v>
      </c>
      <c r="AF190" s="23">
        <v>53523.88</v>
      </c>
      <c r="AG190" s="23">
        <v>698828.89</v>
      </c>
      <c r="AH190" s="23">
        <v>5</v>
      </c>
      <c r="AI190" s="23">
        <v>-1189.42</v>
      </c>
      <c r="AJ190" s="23">
        <v>-0.1111</v>
      </c>
      <c r="AK190" s="23">
        <v>0</v>
      </c>
      <c r="AL190" s="23" t="s">
        <v>24</v>
      </c>
      <c r="AM190" s="23">
        <v>41.5</v>
      </c>
      <c r="AN190" s="23">
        <v>30336.400000000001</v>
      </c>
      <c r="AO190" s="23">
        <v>41.07</v>
      </c>
      <c r="AP190" s="23">
        <v>0</v>
      </c>
      <c r="AR190" s="46"/>
      <c r="AS190" s="44"/>
      <c r="AT190" s="45"/>
      <c r="AU190" s="2">
        <v>43633</v>
      </c>
      <c r="AV190" s="52">
        <v>9.375E-2</v>
      </c>
      <c r="AW190" s="2" t="s">
        <v>213</v>
      </c>
      <c r="AY190" s="3"/>
      <c r="BA190" s="3"/>
      <c r="BG190" s="3"/>
      <c r="BH190" s="3"/>
    </row>
    <row r="191" spans="1:60">
      <c r="A191" s="23" t="s">
        <v>22</v>
      </c>
      <c r="B191" s="23" t="s">
        <v>23</v>
      </c>
      <c r="C191" s="27">
        <v>43633.635416666664</v>
      </c>
      <c r="D191" s="23">
        <v>41.25</v>
      </c>
      <c r="E191" s="27">
        <v>43634.46875</v>
      </c>
      <c r="F191" s="23">
        <v>41.4</v>
      </c>
      <c r="G191" s="31">
        <v>3.5999999999999999E-3</v>
      </c>
      <c r="H191" s="23">
        <v>-182.22</v>
      </c>
      <c r="I191" s="31">
        <v>-3.5999999999999999E-3</v>
      </c>
      <c r="J191" s="23">
        <v>1214.771</v>
      </c>
      <c r="K191" s="23">
        <v>50109.29</v>
      </c>
      <c r="L191" s="23">
        <v>21434.74</v>
      </c>
      <c r="M191" s="23">
        <v>14</v>
      </c>
      <c r="N191" s="23">
        <v>-13.02</v>
      </c>
      <c r="O191" s="31">
        <v>-4.7999999999999996E-3</v>
      </c>
      <c r="P191" s="31">
        <v>7.3000000000000001E-3</v>
      </c>
      <c r="Q191" s="23" t="s">
        <v>24</v>
      </c>
      <c r="R191" s="23">
        <v>0</v>
      </c>
      <c r="S191" s="23">
        <v>41.7</v>
      </c>
      <c r="U191" s="47">
        <f>VLOOKUP(AU191,[1]expiry_dates!$B$2:$C$2894,2,FALSE)</f>
        <v>43643</v>
      </c>
      <c r="V191" s="23" t="s">
        <v>116</v>
      </c>
      <c r="W191" s="23" t="s">
        <v>23</v>
      </c>
      <c r="X191" s="49">
        <v>43633.635416666664</v>
      </c>
      <c r="Y191" s="23">
        <v>0.65</v>
      </c>
      <c r="Z191" s="23">
        <v>43634.46875</v>
      </c>
      <c r="AA191" s="23">
        <v>0.65</v>
      </c>
      <c r="AB191" s="23">
        <v>0</v>
      </c>
      <c r="AC191" s="23">
        <v>0</v>
      </c>
      <c r="AD191" s="23">
        <v>0</v>
      </c>
      <c r="AE191" s="23">
        <v>82344.44</v>
      </c>
      <c r="AF191" s="23">
        <v>53523.88</v>
      </c>
      <c r="AG191" s="23">
        <v>698828.89</v>
      </c>
      <c r="AH191" s="23">
        <v>14</v>
      </c>
      <c r="AI191" s="23">
        <v>0</v>
      </c>
      <c r="AJ191" s="23">
        <v>-7.6899999999999996E-2</v>
      </c>
      <c r="AK191" s="23">
        <v>0.15379999999999999</v>
      </c>
      <c r="AL191" s="23" t="s">
        <v>24</v>
      </c>
      <c r="AM191" s="23">
        <v>41.25</v>
      </c>
      <c r="AN191" s="23">
        <v>30305.95</v>
      </c>
      <c r="AO191" s="23">
        <v>41.7</v>
      </c>
      <c r="AP191" s="23">
        <v>0</v>
      </c>
      <c r="AR191" s="46"/>
      <c r="AS191" s="44"/>
      <c r="AT191" s="45"/>
      <c r="AU191" s="2">
        <v>43633</v>
      </c>
      <c r="AV191" s="52">
        <v>0.13541666666666666</v>
      </c>
      <c r="AW191" s="2" t="s">
        <v>213</v>
      </c>
      <c r="AY191" s="3"/>
      <c r="BA191" s="3"/>
      <c r="BG191" s="3"/>
      <c r="BH191" s="3"/>
    </row>
    <row r="192" spans="1:60">
      <c r="A192" s="23" t="s">
        <v>22</v>
      </c>
      <c r="B192" s="23" t="s">
        <v>25</v>
      </c>
      <c r="C192" s="27">
        <v>43634.46875</v>
      </c>
      <c r="D192" s="23">
        <v>41.4</v>
      </c>
      <c r="E192" s="27">
        <v>43634.552083333336</v>
      </c>
      <c r="F192" s="23">
        <v>41.2</v>
      </c>
      <c r="G192" s="31">
        <v>-4.7999999999999996E-3</v>
      </c>
      <c r="H192" s="23">
        <v>-242.07</v>
      </c>
      <c r="I192" s="31">
        <v>-4.7999999999999996E-3</v>
      </c>
      <c r="J192" s="23">
        <v>1210.3330000000001</v>
      </c>
      <c r="K192" s="23">
        <v>50107.79</v>
      </c>
      <c r="L192" s="23">
        <v>21192.68</v>
      </c>
      <c r="M192" s="23">
        <v>9</v>
      </c>
      <c r="N192" s="23">
        <v>-26.9</v>
      </c>
      <c r="O192" s="31">
        <v>-4.7999999999999996E-3</v>
      </c>
      <c r="P192" s="31">
        <v>8.5000000000000006E-3</v>
      </c>
      <c r="Q192" s="23" t="s">
        <v>24</v>
      </c>
      <c r="R192" s="23">
        <v>0</v>
      </c>
      <c r="S192" s="23">
        <v>40.97</v>
      </c>
      <c r="U192" s="47">
        <f>VLOOKUP(AU192,[1]expiry_dates!$B$2:$C$2894,2,FALSE)</f>
        <v>43643</v>
      </c>
      <c r="V192" s="23" t="s">
        <v>113</v>
      </c>
      <c r="W192" s="23" t="s">
        <v>23</v>
      </c>
      <c r="X192" s="49">
        <v>43634.46875</v>
      </c>
      <c r="Y192" s="23">
        <v>0.4</v>
      </c>
      <c r="Z192" s="23">
        <v>43634.552083333336</v>
      </c>
      <c r="AA192" s="23">
        <v>0.4</v>
      </c>
      <c r="AB192" s="23">
        <v>0</v>
      </c>
      <c r="AC192" s="23">
        <v>0</v>
      </c>
      <c r="AD192" s="23">
        <v>0</v>
      </c>
      <c r="AE192" s="23">
        <v>133838.29999999999</v>
      </c>
      <c r="AF192" s="23">
        <v>53535.32</v>
      </c>
      <c r="AG192" s="23">
        <v>698828.89</v>
      </c>
      <c r="AH192" s="23">
        <v>9</v>
      </c>
      <c r="AI192" s="23">
        <v>0</v>
      </c>
      <c r="AJ192" s="23">
        <v>0</v>
      </c>
      <c r="AK192" s="23">
        <v>0.25</v>
      </c>
      <c r="AL192" s="23" t="s">
        <v>24</v>
      </c>
      <c r="AM192" s="23">
        <v>41.4</v>
      </c>
      <c r="AN192" s="23">
        <v>30469.4</v>
      </c>
      <c r="AO192" s="23">
        <v>40.97</v>
      </c>
      <c r="AP192" s="23">
        <v>0</v>
      </c>
      <c r="AR192" s="46"/>
      <c r="AS192" s="44"/>
      <c r="AT192" s="45"/>
      <c r="AU192" s="2">
        <v>43634</v>
      </c>
      <c r="AV192" s="52">
        <v>0.46875</v>
      </c>
      <c r="AW192" s="2" t="s">
        <v>212</v>
      </c>
      <c r="AY192" s="3"/>
      <c r="BA192" s="3"/>
      <c r="BG192" s="3"/>
      <c r="BH192" s="3"/>
    </row>
    <row r="193" spans="1:60">
      <c r="A193" s="23" t="s">
        <v>22</v>
      </c>
      <c r="B193" s="23" t="s">
        <v>23</v>
      </c>
      <c r="C193" s="27">
        <v>43634.552083333336</v>
      </c>
      <c r="D193" s="23">
        <v>41.2</v>
      </c>
      <c r="E193" s="27">
        <v>43635.385416666664</v>
      </c>
      <c r="F193" s="23">
        <v>41.6</v>
      </c>
      <c r="G193" s="31">
        <v>9.7000000000000003E-3</v>
      </c>
      <c r="H193" s="23">
        <v>-486.48</v>
      </c>
      <c r="I193" s="31">
        <v>-9.7000000000000003E-3</v>
      </c>
      <c r="J193" s="23">
        <v>1216.2080000000001</v>
      </c>
      <c r="K193" s="23">
        <v>50107.78</v>
      </c>
      <c r="L193" s="23">
        <v>20706.189999999999</v>
      </c>
      <c r="M193" s="23">
        <v>14</v>
      </c>
      <c r="N193" s="23">
        <v>-34.75</v>
      </c>
      <c r="O193" s="31">
        <v>-9.7000000000000003E-3</v>
      </c>
      <c r="P193" s="31">
        <v>1.3299999999999999E-2</v>
      </c>
      <c r="Q193" s="23" t="s">
        <v>24</v>
      </c>
      <c r="R193" s="23">
        <v>0</v>
      </c>
      <c r="S193" s="23">
        <v>41.74</v>
      </c>
      <c r="U193" s="47">
        <f>VLOOKUP(AU193,[1]expiry_dates!$B$2:$C$2894,2,FALSE)</f>
        <v>43643</v>
      </c>
      <c r="V193" s="23" t="s">
        <v>136</v>
      </c>
      <c r="W193" s="23" t="s">
        <v>23</v>
      </c>
      <c r="X193" s="49">
        <v>43634.552083333336</v>
      </c>
      <c r="Y193" s="23">
        <v>1.05</v>
      </c>
      <c r="Z193" s="23">
        <v>43635.385416666664</v>
      </c>
      <c r="AA193" s="23">
        <v>1</v>
      </c>
      <c r="AB193" s="23">
        <v>-4.7600000000000003E-2</v>
      </c>
      <c r="AC193" s="23">
        <v>2550.5300000000002</v>
      </c>
      <c r="AD193" s="23">
        <v>4.7600000000000003E-2</v>
      </c>
      <c r="AE193" s="23">
        <v>51010.54</v>
      </c>
      <c r="AF193" s="23">
        <v>53561.06</v>
      </c>
      <c r="AG193" s="23">
        <v>701379.41</v>
      </c>
      <c r="AH193" s="23">
        <v>14</v>
      </c>
      <c r="AI193" s="23">
        <v>182.18</v>
      </c>
      <c r="AJ193" s="23">
        <v>-0.1429</v>
      </c>
      <c r="AK193" s="23">
        <v>0.33329999999999999</v>
      </c>
      <c r="AL193" s="23" t="s">
        <v>24</v>
      </c>
      <c r="AM193" s="23">
        <v>41.2</v>
      </c>
      <c r="AN193" s="23">
        <v>30399.55</v>
      </c>
      <c r="AO193" s="23">
        <v>41.74</v>
      </c>
      <c r="AP193" s="23">
        <v>0</v>
      </c>
      <c r="AR193" s="46"/>
      <c r="AS193" s="44"/>
      <c r="AT193" s="45"/>
      <c r="AU193" s="2">
        <v>43634</v>
      </c>
      <c r="AV193" s="52">
        <v>5.2083333333333336E-2</v>
      </c>
      <c r="AW193" s="2" t="s">
        <v>213</v>
      </c>
      <c r="AY193" s="3"/>
      <c r="BA193" s="3"/>
      <c r="BG193" s="3"/>
      <c r="BH193" s="3"/>
    </row>
    <row r="194" spans="1:60">
      <c r="A194" s="23" t="s">
        <v>22</v>
      </c>
      <c r="B194" s="23" t="s">
        <v>25</v>
      </c>
      <c r="C194" s="27">
        <v>43635.385416666664</v>
      </c>
      <c r="D194" s="23">
        <v>41.6</v>
      </c>
      <c r="E194" s="27">
        <v>43635.458333333336</v>
      </c>
      <c r="F194" s="23">
        <v>41.05</v>
      </c>
      <c r="G194" s="31">
        <v>-1.32E-2</v>
      </c>
      <c r="H194" s="23">
        <v>-662.46</v>
      </c>
      <c r="I194" s="31">
        <v>-1.32E-2</v>
      </c>
      <c r="J194" s="23">
        <v>1204.47</v>
      </c>
      <c r="K194" s="23">
        <v>50105.96</v>
      </c>
      <c r="L194" s="23">
        <v>20043.73</v>
      </c>
      <c r="M194" s="23">
        <v>8</v>
      </c>
      <c r="N194" s="23">
        <v>-82.81</v>
      </c>
      <c r="O194" s="31">
        <v>-1.32E-2</v>
      </c>
      <c r="P194" s="31">
        <v>4.7999999999999996E-3</v>
      </c>
      <c r="Q194" s="23" t="s">
        <v>24</v>
      </c>
      <c r="R194" s="23">
        <v>0</v>
      </c>
      <c r="S194" s="23">
        <v>40.68</v>
      </c>
      <c r="U194" s="47">
        <f>VLOOKUP(AU194,[1]expiry_dates!$B$2:$C$2894,2,FALSE)</f>
        <v>43643</v>
      </c>
      <c r="V194" s="23" t="s">
        <v>113</v>
      </c>
      <c r="W194" s="23" t="s">
        <v>23</v>
      </c>
      <c r="X194" s="49">
        <v>43635.385416666664</v>
      </c>
      <c r="Y194" s="23">
        <v>0.35</v>
      </c>
      <c r="Z194" s="23">
        <v>43635.458333333336</v>
      </c>
      <c r="AA194" s="23">
        <v>0.4</v>
      </c>
      <c r="AB194" s="23">
        <v>0.1429</v>
      </c>
      <c r="AC194" s="23">
        <v>-7649.31</v>
      </c>
      <c r="AD194" s="23">
        <v>-0.1429</v>
      </c>
      <c r="AE194" s="23">
        <v>152986.20000000001</v>
      </c>
      <c r="AF194" s="23">
        <v>53545.15</v>
      </c>
      <c r="AG194" s="23">
        <v>693730.11</v>
      </c>
      <c r="AH194" s="23">
        <v>8</v>
      </c>
      <c r="AI194" s="23">
        <v>-956.16</v>
      </c>
      <c r="AJ194" s="23">
        <v>-0.1429</v>
      </c>
      <c r="AK194" s="23">
        <v>0.28570000000000001</v>
      </c>
      <c r="AL194" s="23" t="s">
        <v>24</v>
      </c>
      <c r="AM194" s="23">
        <v>41.6</v>
      </c>
      <c r="AN194" s="23">
        <v>30671.45</v>
      </c>
      <c r="AO194" s="23">
        <v>40.68</v>
      </c>
      <c r="AP194" s="23">
        <v>0</v>
      </c>
      <c r="AR194" s="46"/>
      <c r="AS194" s="44"/>
      <c r="AT194" s="45"/>
      <c r="AU194" s="2">
        <v>43635</v>
      </c>
      <c r="AV194" s="52">
        <v>0.38541666666666669</v>
      </c>
      <c r="AW194" s="2" t="s">
        <v>212</v>
      </c>
      <c r="AY194" s="3"/>
      <c r="BA194" s="3"/>
      <c r="BG194" s="3"/>
      <c r="BH194" s="3"/>
    </row>
    <row r="195" spans="1:60">
      <c r="A195" s="23" t="s">
        <v>22</v>
      </c>
      <c r="B195" s="23" t="s">
        <v>23</v>
      </c>
      <c r="C195" s="27">
        <v>43635.458333333336</v>
      </c>
      <c r="D195" s="23">
        <v>41.05</v>
      </c>
      <c r="E195" s="27">
        <v>43636.40625</v>
      </c>
      <c r="F195" s="23">
        <v>40.65</v>
      </c>
      <c r="G195" s="31">
        <v>-9.7000000000000003E-3</v>
      </c>
      <c r="H195" s="23">
        <v>488.2</v>
      </c>
      <c r="I195" s="31">
        <v>9.7000000000000003E-3</v>
      </c>
      <c r="J195" s="23">
        <v>1220.5050000000001</v>
      </c>
      <c r="K195" s="23">
        <v>50101.72</v>
      </c>
      <c r="L195" s="23">
        <v>20531.939999999999</v>
      </c>
      <c r="M195" s="23">
        <v>25</v>
      </c>
      <c r="N195" s="23">
        <v>19.53</v>
      </c>
      <c r="O195" s="31">
        <v>-7.3000000000000001E-3</v>
      </c>
      <c r="P195" s="31">
        <v>3.0499999999999999E-2</v>
      </c>
      <c r="Q195" s="23" t="s">
        <v>24</v>
      </c>
      <c r="R195" s="23">
        <v>0</v>
      </c>
      <c r="S195" s="23">
        <v>41.8</v>
      </c>
      <c r="U195" s="47">
        <f>VLOOKUP(AU195,[1]expiry_dates!$B$2:$C$2894,2,FALSE)</f>
        <v>43643</v>
      </c>
      <c r="V195" s="23" t="s">
        <v>116</v>
      </c>
      <c r="W195" s="23" t="s">
        <v>23</v>
      </c>
      <c r="X195" s="49">
        <v>43635.458333333336</v>
      </c>
      <c r="Y195" s="23">
        <v>0.45</v>
      </c>
      <c r="Z195" s="23">
        <v>43636.40625</v>
      </c>
      <c r="AA195" s="23">
        <v>0.3</v>
      </c>
      <c r="AB195" s="23">
        <v>-0.33329999999999999</v>
      </c>
      <c r="AC195" s="23">
        <v>17835.63</v>
      </c>
      <c r="AD195" s="23">
        <v>0.33329999999999999</v>
      </c>
      <c r="AE195" s="23">
        <v>118904.2</v>
      </c>
      <c r="AF195" s="23">
        <v>53506.9</v>
      </c>
      <c r="AG195" s="23">
        <v>711565.74</v>
      </c>
      <c r="AH195" s="23">
        <v>25</v>
      </c>
      <c r="AI195" s="23">
        <v>713.43</v>
      </c>
      <c r="AJ195" s="23">
        <v>-0.1111</v>
      </c>
      <c r="AK195" s="23">
        <v>0.44440000000000002</v>
      </c>
      <c r="AL195" s="23" t="s">
        <v>24</v>
      </c>
      <c r="AM195" s="23">
        <v>41.05</v>
      </c>
      <c r="AN195" s="23">
        <v>30576.85</v>
      </c>
      <c r="AO195" s="23">
        <v>41.8</v>
      </c>
      <c r="AP195" s="23">
        <v>0</v>
      </c>
      <c r="AR195" s="46"/>
      <c r="AS195" s="44"/>
      <c r="AT195" s="45"/>
      <c r="AU195" s="2">
        <v>43635</v>
      </c>
      <c r="AV195" s="52">
        <v>0.45833333333333331</v>
      </c>
      <c r="AW195" s="2" t="s">
        <v>212</v>
      </c>
      <c r="AY195" s="3"/>
      <c r="BA195" s="3"/>
      <c r="BG195" s="3"/>
      <c r="BH195" s="3"/>
    </row>
    <row r="196" spans="1:60">
      <c r="A196" s="23" t="s">
        <v>22</v>
      </c>
      <c r="B196" s="23" t="s">
        <v>25</v>
      </c>
      <c r="C196" s="27">
        <v>43636.40625</v>
      </c>
      <c r="D196" s="23">
        <v>40.65</v>
      </c>
      <c r="E196" s="27">
        <v>43637.625</v>
      </c>
      <c r="F196" s="23">
        <v>42.4</v>
      </c>
      <c r="G196" s="31">
        <v>4.3099999999999999E-2</v>
      </c>
      <c r="H196" s="23">
        <v>2157.0100000000002</v>
      </c>
      <c r="I196" s="31">
        <v>4.3099999999999999E-2</v>
      </c>
      <c r="J196" s="23">
        <v>1232.575</v>
      </c>
      <c r="K196" s="23">
        <v>50104.18</v>
      </c>
      <c r="L196" s="23">
        <v>22688.94</v>
      </c>
      <c r="M196" s="23">
        <v>51</v>
      </c>
      <c r="N196" s="23">
        <v>42.29</v>
      </c>
      <c r="O196" s="31">
        <v>-6.1999999999999998E-3</v>
      </c>
      <c r="P196" s="31">
        <v>5.5399999999999998E-2</v>
      </c>
      <c r="Q196" s="23" t="s">
        <v>24</v>
      </c>
      <c r="R196" s="23">
        <v>0</v>
      </c>
      <c r="S196" s="23">
        <v>39.840000000000003</v>
      </c>
      <c r="U196" s="47">
        <f>VLOOKUP(AU196,[1]expiry_dates!$B$2:$C$2894,2,FALSE)</f>
        <v>43643</v>
      </c>
      <c r="V196" s="23" t="s">
        <v>135</v>
      </c>
      <c r="W196" s="23" t="s">
        <v>23</v>
      </c>
      <c r="X196" s="49">
        <v>43636.40625</v>
      </c>
      <c r="Y196" s="23">
        <v>0.25</v>
      </c>
      <c r="Z196" s="23">
        <v>43637.625</v>
      </c>
      <c r="AA196" s="23">
        <v>0.1</v>
      </c>
      <c r="AB196" s="23">
        <v>-0.6</v>
      </c>
      <c r="AC196" s="23">
        <v>32134.7</v>
      </c>
      <c r="AD196" s="23">
        <v>0.6</v>
      </c>
      <c r="AE196" s="23">
        <v>214231.3</v>
      </c>
      <c r="AF196" s="23">
        <v>53557.83</v>
      </c>
      <c r="AG196" s="23">
        <v>743700.43</v>
      </c>
      <c r="AH196" s="23">
        <v>51</v>
      </c>
      <c r="AI196" s="23">
        <v>630.09</v>
      </c>
      <c r="AJ196" s="23">
        <v>-0.2</v>
      </c>
      <c r="AK196" s="23">
        <v>0.8</v>
      </c>
      <c r="AL196" s="23" t="s">
        <v>24</v>
      </c>
      <c r="AM196" s="23">
        <v>40.65</v>
      </c>
      <c r="AN196" s="23">
        <v>30397.8</v>
      </c>
      <c r="AO196" s="23">
        <v>39.840000000000003</v>
      </c>
      <c r="AP196" s="23">
        <v>0</v>
      </c>
      <c r="AR196" s="46"/>
      <c r="AS196" s="44"/>
      <c r="AT196" s="45"/>
      <c r="AU196" s="2">
        <v>43636</v>
      </c>
      <c r="AV196" s="52">
        <v>0.40625</v>
      </c>
      <c r="AW196" s="2" t="s">
        <v>212</v>
      </c>
      <c r="AY196" s="3"/>
      <c r="BA196" s="3"/>
      <c r="BG196" s="3"/>
      <c r="BH196" s="3"/>
    </row>
    <row r="197" spans="1:60">
      <c r="A197" s="23" t="s">
        <v>22</v>
      </c>
      <c r="B197" s="23" t="s">
        <v>23</v>
      </c>
      <c r="C197" s="27">
        <v>43637.625</v>
      </c>
      <c r="D197" s="23">
        <v>42.4</v>
      </c>
      <c r="E197" s="27">
        <v>43640.479166666664</v>
      </c>
      <c r="F197" s="23">
        <v>42.5</v>
      </c>
      <c r="G197" s="31">
        <v>2.3999999999999998E-3</v>
      </c>
      <c r="H197" s="23">
        <v>-118.2</v>
      </c>
      <c r="I197" s="31">
        <v>-2.3999999999999998E-3</v>
      </c>
      <c r="J197" s="23">
        <v>1181.9860000000001</v>
      </c>
      <c r="K197" s="23">
        <v>50116.22</v>
      </c>
      <c r="L197" s="23">
        <v>22570.74</v>
      </c>
      <c r="M197" s="23">
        <v>16</v>
      </c>
      <c r="N197" s="23">
        <v>-7.39</v>
      </c>
      <c r="O197" s="31">
        <v>-1.06E-2</v>
      </c>
      <c r="P197" s="31">
        <v>8.3000000000000001E-3</v>
      </c>
      <c r="Q197" s="23" t="s">
        <v>24</v>
      </c>
      <c r="R197" s="23">
        <v>0</v>
      </c>
      <c r="S197" s="23">
        <v>42.88</v>
      </c>
      <c r="U197" s="47">
        <f>VLOOKUP(AU197,[1]expiry_dates!$B$2:$C$2894,2,FALSE)</f>
        <v>43643</v>
      </c>
      <c r="V197" s="23" t="s">
        <v>116</v>
      </c>
      <c r="W197" s="23" t="s">
        <v>23</v>
      </c>
      <c r="X197" s="49">
        <v>43637.625</v>
      </c>
      <c r="Y197" s="23">
        <v>0.8</v>
      </c>
      <c r="Z197" s="23">
        <v>43640.479166666664</v>
      </c>
      <c r="AA197" s="23">
        <v>0.8</v>
      </c>
      <c r="AB197" s="23">
        <v>0</v>
      </c>
      <c r="AC197" s="23">
        <v>0</v>
      </c>
      <c r="AD197" s="23">
        <v>0</v>
      </c>
      <c r="AE197" s="23">
        <v>67215.070000000007</v>
      </c>
      <c r="AF197" s="23">
        <v>53772.06</v>
      </c>
      <c r="AG197" s="23">
        <v>743700.43</v>
      </c>
      <c r="AH197" s="23">
        <v>16</v>
      </c>
      <c r="AI197" s="23">
        <v>0</v>
      </c>
      <c r="AJ197" s="23">
        <v>-0.25</v>
      </c>
      <c r="AK197" s="23">
        <v>0.25</v>
      </c>
      <c r="AL197" s="23" t="s">
        <v>24</v>
      </c>
      <c r="AM197" s="23">
        <v>42.4</v>
      </c>
      <c r="AN197" s="23">
        <v>30625.1</v>
      </c>
      <c r="AO197" s="23">
        <v>42.88</v>
      </c>
      <c r="AP197" s="23">
        <v>0</v>
      </c>
      <c r="AR197" s="46"/>
      <c r="AS197" s="44"/>
      <c r="AT197" s="45"/>
      <c r="AU197" s="2">
        <v>43637</v>
      </c>
      <c r="AV197" s="52">
        <v>0.125</v>
      </c>
      <c r="AW197" s="2" t="s">
        <v>213</v>
      </c>
      <c r="AY197" s="3"/>
      <c r="BA197" s="3"/>
      <c r="BG197" s="3"/>
      <c r="BH197" s="3"/>
    </row>
    <row r="198" spans="1:60">
      <c r="A198" s="23" t="s">
        <v>22</v>
      </c>
      <c r="B198" s="23" t="s">
        <v>25</v>
      </c>
      <c r="C198" s="27">
        <v>43640.479166666664</v>
      </c>
      <c r="D198" s="23">
        <v>42.5</v>
      </c>
      <c r="E198" s="27">
        <v>43640.625</v>
      </c>
      <c r="F198" s="23">
        <v>42.45</v>
      </c>
      <c r="G198" s="31">
        <v>-1.1999999999999999E-3</v>
      </c>
      <c r="H198" s="23">
        <v>-58.96</v>
      </c>
      <c r="I198" s="31">
        <v>-1.1999999999999999E-3</v>
      </c>
      <c r="J198" s="23">
        <v>1179.133</v>
      </c>
      <c r="K198" s="23">
        <v>50113.15</v>
      </c>
      <c r="L198" s="23">
        <v>22511.79</v>
      </c>
      <c r="M198" s="23">
        <v>15</v>
      </c>
      <c r="N198" s="23">
        <v>-3.93</v>
      </c>
      <c r="O198" s="31">
        <v>-3.5000000000000001E-3</v>
      </c>
      <c r="P198" s="31">
        <v>3.5000000000000001E-3</v>
      </c>
      <c r="Q198" s="23" t="s">
        <v>24</v>
      </c>
      <c r="R198" s="23">
        <v>0</v>
      </c>
      <c r="S198" s="23">
        <v>42.06</v>
      </c>
      <c r="U198" s="47">
        <f>VLOOKUP(AU198,[1]expiry_dates!$B$2:$C$2894,2,FALSE)</f>
        <v>43643</v>
      </c>
      <c r="V198" s="23" t="s">
        <v>115</v>
      </c>
      <c r="W198" s="23" t="s">
        <v>23</v>
      </c>
      <c r="X198" s="49">
        <v>43640.479166666664</v>
      </c>
      <c r="Y198" s="23">
        <v>0.4</v>
      </c>
      <c r="Z198" s="23">
        <v>43640.625</v>
      </c>
      <c r="AA198" s="23">
        <v>0.4</v>
      </c>
      <c r="AB198" s="23">
        <v>0</v>
      </c>
      <c r="AC198" s="23">
        <v>0</v>
      </c>
      <c r="AD198" s="23">
        <v>0</v>
      </c>
      <c r="AE198" s="23">
        <v>134380.29999999999</v>
      </c>
      <c r="AF198" s="23">
        <v>53752.11</v>
      </c>
      <c r="AG198" s="23">
        <v>743700.43</v>
      </c>
      <c r="AH198" s="23">
        <v>15</v>
      </c>
      <c r="AI198" s="23">
        <v>0</v>
      </c>
      <c r="AJ198" s="23">
        <v>-0.125</v>
      </c>
      <c r="AK198" s="23">
        <v>0.25</v>
      </c>
      <c r="AL198" s="23" t="s">
        <v>24</v>
      </c>
      <c r="AM198" s="23">
        <v>42.5</v>
      </c>
      <c r="AN198" s="23">
        <v>30672.55</v>
      </c>
      <c r="AO198" s="23">
        <v>42.06</v>
      </c>
      <c r="AP198" s="23">
        <v>0</v>
      </c>
      <c r="AR198" s="46"/>
      <c r="AS198" s="44"/>
      <c r="AT198" s="45"/>
      <c r="AU198" s="2">
        <v>43640</v>
      </c>
      <c r="AV198" s="52">
        <v>0.47916666666666669</v>
      </c>
      <c r="AW198" s="2" t="s">
        <v>212</v>
      </c>
      <c r="AY198" s="3"/>
      <c r="BA198" s="3"/>
      <c r="BG198" s="3"/>
      <c r="BH198" s="3"/>
    </row>
    <row r="199" spans="1:60">
      <c r="A199" s="23" t="s">
        <v>22</v>
      </c>
      <c r="B199" s="23" t="s">
        <v>23</v>
      </c>
      <c r="C199" s="27">
        <v>43640.625</v>
      </c>
      <c r="D199" s="23">
        <v>42.45</v>
      </c>
      <c r="E199" s="27">
        <v>43641.5</v>
      </c>
      <c r="F199" s="23">
        <v>42.2</v>
      </c>
      <c r="G199" s="31">
        <v>-5.8999999999999999E-3</v>
      </c>
      <c r="H199" s="23">
        <v>295.13</v>
      </c>
      <c r="I199" s="31">
        <v>5.8999999999999999E-3</v>
      </c>
      <c r="J199" s="23">
        <v>1180.508</v>
      </c>
      <c r="K199" s="23">
        <v>50112.56</v>
      </c>
      <c r="L199" s="23">
        <v>22806.91</v>
      </c>
      <c r="M199" s="23">
        <v>17</v>
      </c>
      <c r="N199" s="23">
        <v>17.36</v>
      </c>
      <c r="O199" s="31">
        <v>-1.1999999999999999E-3</v>
      </c>
      <c r="P199" s="31">
        <v>1.2999999999999999E-2</v>
      </c>
      <c r="Q199" s="23" t="s">
        <v>24</v>
      </c>
      <c r="R199" s="23">
        <v>0</v>
      </c>
      <c r="S199" s="23">
        <v>42.64</v>
      </c>
      <c r="U199" s="47">
        <f>VLOOKUP(AU199,[1]expiry_dates!$B$2:$C$2894,2,FALSE)</f>
        <v>43643</v>
      </c>
      <c r="V199" s="23" t="s">
        <v>116</v>
      </c>
      <c r="W199" s="23" t="s">
        <v>23</v>
      </c>
      <c r="X199" s="49">
        <v>43640.625</v>
      </c>
      <c r="Y199" s="23">
        <v>0.65</v>
      </c>
      <c r="Z199" s="23">
        <v>43641.5</v>
      </c>
      <c r="AA199" s="23">
        <v>0.5</v>
      </c>
      <c r="AB199" s="23">
        <v>-0.23080000000000001</v>
      </c>
      <c r="AC199" s="23">
        <v>12404.33</v>
      </c>
      <c r="AD199" s="23">
        <v>0.23080000000000001</v>
      </c>
      <c r="AE199" s="23">
        <v>82695.539999999994</v>
      </c>
      <c r="AF199" s="23">
        <v>53752.1</v>
      </c>
      <c r="AG199" s="23">
        <v>756104.77</v>
      </c>
      <c r="AH199" s="23">
        <v>17</v>
      </c>
      <c r="AI199" s="23">
        <v>729.67</v>
      </c>
      <c r="AJ199" s="23">
        <v>0</v>
      </c>
      <c r="AK199" s="23">
        <v>0.3846</v>
      </c>
      <c r="AL199" s="23" t="s">
        <v>24</v>
      </c>
      <c r="AM199" s="23">
        <v>42.45</v>
      </c>
      <c r="AN199" s="23">
        <v>30586.3</v>
      </c>
      <c r="AO199" s="23">
        <v>42.64</v>
      </c>
      <c r="AP199" s="23">
        <v>0</v>
      </c>
      <c r="AR199" s="46"/>
      <c r="AS199" s="44"/>
      <c r="AT199" s="45"/>
      <c r="AU199" s="2">
        <v>43640</v>
      </c>
      <c r="AV199" s="52">
        <v>0.125</v>
      </c>
      <c r="AW199" s="2" t="s">
        <v>213</v>
      </c>
      <c r="AY199" s="3"/>
      <c r="BA199" s="3"/>
      <c r="BG199" s="3"/>
      <c r="BH199" s="3"/>
    </row>
    <row r="200" spans="1:60">
      <c r="A200" s="23" t="s">
        <v>22</v>
      </c>
      <c r="B200" s="23" t="s">
        <v>25</v>
      </c>
      <c r="C200" s="27">
        <v>43641.5</v>
      </c>
      <c r="D200" s="23">
        <v>42.2</v>
      </c>
      <c r="E200" s="27">
        <v>43641.635416666664</v>
      </c>
      <c r="F200" s="23">
        <v>42.4</v>
      </c>
      <c r="G200" s="31">
        <v>4.7000000000000002E-3</v>
      </c>
      <c r="H200" s="23">
        <v>237.51</v>
      </c>
      <c r="I200" s="31">
        <v>4.7000000000000002E-3</v>
      </c>
      <c r="J200" s="23">
        <v>1187.5360000000001</v>
      </c>
      <c r="K200" s="23">
        <v>50114.04</v>
      </c>
      <c r="L200" s="23">
        <v>23044.42</v>
      </c>
      <c r="M200" s="23">
        <v>14</v>
      </c>
      <c r="N200" s="23">
        <v>16.96</v>
      </c>
      <c r="O200" s="31">
        <v>-2.3999999999999998E-3</v>
      </c>
      <c r="P200" s="31">
        <v>9.4999999999999998E-3</v>
      </c>
      <c r="Q200" s="23" t="s">
        <v>24</v>
      </c>
      <c r="R200" s="23">
        <v>0</v>
      </c>
      <c r="S200" s="23">
        <v>41.9</v>
      </c>
      <c r="U200" s="47">
        <f>VLOOKUP(AU200,[1]expiry_dates!$B$2:$C$2894,2,FALSE)</f>
        <v>43643</v>
      </c>
      <c r="V200" s="23" t="s">
        <v>115</v>
      </c>
      <c r="W200" s="23" t="s">
        <v>23</v>
      </c>
      <c r="X200" s="49">
        <v>43641.5</v>
      </c>
      <c r="Y200" s="23">
        <v>0.4</v>
      </c>
      <c r="Z200" s="23">
        <v>43641.635416666664</v>
      </c>
      <c r="AA200" s="23">
        <v>0.2</v>
      </c>
      <c r="AB200" s="23">
        <v>-0.5</v>
      </c>
      <c r="AC200" s="23">
        <v>26900.6</v>
      </c>
      <c r="AD200" s="23">
        <v>0.5</v>
      </c>
      <c r="AE200" s="23">
        <v>134503</v>
      </c>
      <c r="AF200" s="23">
        <v>53801.2</v>
      </c>
      <c r="AG200" s="23">
        <v>783005.37</v>
      </c>
      <c r="AH200" s="23">
        <v>14</v>
      </c>
      <c r="AI200" s="23">
        <v>1921.47</v>
      </c>
      <c r="AJ200" s="23">
        <v>0</v>
      </c>
      <c r="AK200" s="23">
        <v>0.5</v>
      </c>
      <c r="AL200" s="23" t="s">
        <v>24</v>
      </c>
      <c r="AM200" s="23">
        <v>42.2</v>
      </c>
      <c r="AN200" s="23">
        <v>30620.2</v>
      </c>
      <c r="AO200" s="23">
        <v>41.9</v>
      </c>
      <c r="AP200" s="23">
        <v>0</v>
      </c>
      <c r="AR200" s="46"/>
      <c r="AS200" s="44"/>
      <c r="AT200" s="45"/>
      <c r="AU200" s="2">
        <v>43641</v>
      </c>
      <c r="AV200" s="52">
        <v>0.5</v>
      </c>
      <c r="AW200" s="2" t="s">
        <v>213</v>
      </c>
      <c r="AY200" s="3"/>
      <c r="BA200" s="3"/>
      <c r="BG200" s="3"/>
      <c r="BH200" s="3"/>
    </row>
    <row r="201" spans="1:60">
      <c r="A201" s="23" t="s">
        <v>22</v>
      </c>
      <c r="B201" s="23" t="s">
        <v>23</v>
      </c>
      <c r="C201" s="27">
        <v>43641.635416666664</v>
      </c>
      <c r="D201" s="23">
        <v>42.4</v>
      </c>
      <c r="E201" s="27">
        <v>43642.395833333336</v>
      </c>
      <c r="F201" s="23">
        <v>42.55</v>
      </c>
      <c r="G201" s="31">
        <v>3.5000000000000001E-3</v>
      </c>
      <c r="H201" s="23">
        <v>-177.3</v>
      </c>
      <c r="I201" s="31">
        <v>-3.5000000000000001E-3</v>
      </c>
      <c r="J201" s="23">
        <v>1181.97</v>
      </c>
      <c r="K201" s="23">
        <v>50115.519999999997</v>
      </c>
      <c r="L201" s="23">
        <v>22867.13</v>
      </c>
      <c r="M201" s="23">
        <v>6</v>
      </c>
      <c r="N201" s="23">
        <v>-29.55</v>
      </c>
      <c r="O201" s="31">
        <v>-3.5000000000000001E-3</v>
      </c>
      <c r="P201" s="31">
        <v>7.1000000000000004E-3</v>
      </c>
      <c r="Q201" s="23" t="s">
        <v>24</v>
      </c>
      <c r="R201" s="23">
        <v>0</v>
      </c>
      <c r="S201" s="23">
        <v>42.59</v>
      </c>
      <c r="U201" s="47">
        <f>VLOOKUP(AU201,[1]expiry_dates!$B$2:$C$2894,2,FALSE)</f>
        <v>43643</v>
      </c>
      <c r="V201" s="23" t="s">
        <v>116</v>
      </c>
      <c r="W201" s="23" t="s">
        <v>23</v>
      </c>
      <c r="X201" s="49">
        <v>43641.635416666664</v>
      </c>
      <c r="Y201" s="23">
        <v>0.6</v>
      </c>
      <c r="Z201" s="23">
        <v>43642.395833333336</v>
      </c>
      <c r="AA201" s="23">
        <v>0.65</v>
      </c>
      <c r="AB201" s="23">
        <v>8.3299999999999999E-2</v>
      </c>
      <c r="AC201" s="23">
        <v>-4492.92</v>
      </c>
      <c r="AD201" s="23">
        <v>-8.3299999999999999E-2</v>
      </c>
      <c r="AE201" s="23">
        <v>89858.38</v>
      </c>
      <c r="AF201" s="23">
        <v>53915.03</v>
      </c>
      <c r="AG201" s="23">
        <v>778512.45</v>
      </c>
      <c r="AH201" s="23">
        <v>6</v>
      </c>
      <c r="AI201" s="23">
        <v>-748.82</v>
      </c>
      <c r="AJ201" s="23">
        <v>-8.3299999999999999E-2</v>
      </c>
      <c r="AK201" s="23">
        <v>0.25</v>
      </c>
      <c r="AL201" s="23" t="s">
        <v>24</v>
      </c>
      <c r="AM201" s="23">
        <v>42.4</v>
      </c>
      <c r="AN201" s="23">
        <v>30806.400000000001</v>
      </c>
      <c r="AO201" s="23">
        <v>42.59</v>
      </c>
      <c r="AP201" s="23">
        <v>0</v>
      </c>
      <c r="AR201" s="46"/>
      <c r="AS201" s="44"/>
      <c r="AT201" s="45"/>
      <c r="AU201" s="2">
        <v>43641</v>
      </c>
      <c r="AV201" s="52">
        <v>0.13541666666666666</v>
      </c>
      <c r="AW201" s="2" t="s">
        <v>213</v>
      </c>
      <c r="AY201" s="3"/>
      <c r="BA201" s="3"/>
      <c r="BG201" s="3"/>
      <c r="BH201" s="3"/>
    </row>
    <row r="202" spans="1:60">
      <c r="A202" s="23" t="s">
        <v>22</v>
      </c>
      <c r="B202" s="23" t="s">
        <v>25</v>
      </c>
      <c r="C202" s="27">
        <v>43642.395833333336</v>
      </c>
      <c r="D202" s="23">
        <v>42.55</v>
      </c>
      <c r="E202" s="27">
        <v>43642.447916666664</v>
      </c>
      <c r="F202" s="23">
        <v>42.25</v>
      </c>
      <c r="G202" s="31">
        <v>-7.1000000000000004E-3</v>
      </c>
      <c r="H202" s="23">
        <v>-353.33</v>
      </c>
      <c r="I202" s="31">
        <v>-7.1000000000000004E-3</v>
      </c>
      <c r="J202" s="23">
        <v>1177.7819999999999</v>
      </c>
      <c r="K202" s="23">
        <v>50114.63</v>
      </c>
      <c r="L202" s="23">
        <v>22513.79</v>
      </c>
      <c r="M202" s="23">
        <v>6</v>
      </c>
      <c r="N202" s="23">
        <v>-58.89</v>
      </c>
      <c r="O202" s="31">
        <v>-8.2000000000000007E-3</v>
      </c>
      <c r="P202" s="31">
        <v>0</v>
      </c>
      <c r="Q202" s="23" t="s">
        <v>24</v>
      </c>
      <c r="R202" s="23">
        <v>0</v>
      </c>
      <c r="S202" s="23">
        <v>42.12</v>
      </c>
      <c r="U202" s="47">
        <f>VLOOKUP(AU202,[1]expiry_dates!$B$2:$C$2894,2,FALSE)</f>
        <v>43643</v>
      </c>
      <c r="V202" s="23" t="s">
        <v>118</v>
      </c>
      <c r="W202" s="23" t="s">
        <v>23</v>
      </c>
      <c r="X202" s="49">
        <v>43642.395833333336</v>
      </c>
      <c r="Y202" s="23">
        <v>0.65</v>
      </c>
      <c r="Z202" s="23">
        <v>43642.447916666664</v>
      </c>
      <c r="AA202" s="23">
        <v>0.65</v>
      </c>
      <c r="AB202" s="23">
        <v>0</v>
      </c>
      <c r="AC202" s="23">
        <v>0</v>
      </c>
      <c r="AD202" s="23">
        <v>0</v>
      </c>
      <c r="AE202" s="23">
        <v>82911.64</v>
      </c>
      <c r="AF202" s="23">
        <v>53892.56</v>
      </c>
      <c r="AG202" s="23">
        <v>778512.45</v>
      </c>
      <c r="AH202" s="23">
        <v>6</v>
      </c>
      <c r="AI202" s="23">
        <v>0</v>
      </c>
      <c r="AJ202" s="23">
        <v>0</v>
      </c>
      <c r="AK202" s="23">
        <v>0</v>
      </c>
      <c r="AL202" s="23" t="s">
        <v>24</v>
      </c>
      <c r="AM202" s="23">
        <v>42.55</v>
      </c>
      <c r="AN202" s="23">
        <v>30985</v>
      </c>
      <c r="AO202" s="23">
        <v>42.12</v>
      </c>
      <c r="AP202" s="23">
        <v>0</v>
      </c>
      <c r="AR202" s="46"/>
      <c r="AS202" s="44"/>
      <c r="AT202" s="45"/>
      <c r="AU202" s="2">
        <v>43642</v>
      </c>
      <c r="AV202" s="52">
        <v>0.39583333333333331</v>
      </c>
      <c r="AW202" s="2" t="s">
        <v>212</v>
      </c>
      <c r="AY202" s="3"/>
      <c r="BA202" s="3"/>
      <c r="BG202" s="3"/>
      <c r="BH202" s="3"/>
    </row>
    <row r="203" spans="1:60">
      <c r="A203" s="23" t="s">
        <v>22</v>
      </c>
      <c r="B203" s="23" t="s">
        <v>23</v>
      </c>
      <c r="C203" s="27">
        <v>43642.447916666664</v>
      </c>
      <c r="D203" s="23">
        <v>42.25</v>
      </c>
      <c r="E203" s="27">
        <v>43642.46875</v>
      </c>
      <c r="F203" s="23">
        <v>42.75</v>
      </c>
      <c r="G203" s="31">
        <v>1.18E-2</v>
      </c>
      <c r="H203" s="23">
        <v>-593.05999999999995</v>
      </c>
      <c r="I203" s="31">
        <v>-1.18E-2</v>
      </c>
      <c r="J203" s="23">
        <v>1186.124</v>
      </c>
      <c r="K203" s="23">
        <v>50113.75</v>
      </c>
      <c r="L203" s="23">
        <v>21920.73</v>
      </c>
      <c r="M203" s="23">
        <v>3</v>
      </c>
      <c r="N203" s="23">
        <v>-197.69</v>
      </c>
      <c r="O203" s="31">
        <v>-1.18E-2</v>
      </c>
      <c r="P203" s="31">
        <v>1.1999999999999999E-3</v>
      </c>
      <c r="Q203" s="23" t="s">
        <v>24</v>
      </c>
      <c r="R203" s="23">
        <v>0</v>
      </c>
      <c r="S203" s="23">
        <v>42.55</v>
      </c>
      <c r="U203" s="47">
        <f>VLOOKUP(AU203,[1]expiry_dates!$B$2:$C$2894,2,FALSE)</f>
        <v>43643</v>
      </c>
      <c r="V203" s="23" t="s">
        <v>116</v>
      </c>
      <c r="W203" s="23" t="s">
        <v>23</v>
      </c>
      <c r="X203" s="49">
        <v>43642.447916666664</v>
      </c>
      <c r="Y203" s="23">
        <v>0.5</v>
      </c>
      <c r="Z203" s="23">
        <v>43642.46875</v>
      </c>
      <c r="AA203" s="23">
        <v>0.85</v>
      </c>
      <c r="AB203" s="23">
        <v>0.7</v>
      </c>
      <c r="AC203" s="23">
        <v>-37724.79</v>
      </c>
      <c r="AD203" s="23">
        <v>-0.7</v>
      </c>
      <c r="AE203" s="23">
        <v>107785.1</v>
      </c>
      <c r="AF203" s="23">
        <v>53892.56</v>
      </c>
      <c r="AG203" s="23">
        <v>740787.65</v>
      </c>
      <c r="AH203" s="23">
        <v>3</v>
      </c>
      <c r="AI203" s="23">
        <v>-12574.93</v>
      </c>
      <c r="AJ203" s="23">
        <v>-0.7</v>
      </c>
      <c r="AK203" s="23">
        <v>0</v>
      </c>
      <c r="AL203" s="23" t="s">
        <v>24</v>
      </c>
      <c r="AM203" s="23">
        <v>42.25</v>
      </c>
      <c r="AN203" s="23">
        <v>30909.1</v>
      </c>
      <c r="AO203" s="23">
        <v>42.55</v>
      </c>
      <c r="AP203" s="23">
        <v>0</v>
      </c>
      <c r="AR203" s="46"/>
      <c r="AS203" s="44"/>
      <c r="AT203" s="45"/>
      <c r="AU203" s="2">
        <v>43642</v>
      </c>
      <c r="AV203" s="52">
        <v>0.44791666666666669</v>
      </c>
      <c r="AW203" s="2" t="s">
        <v>212</v>
      </c>
      <c r="AY203" s="3"/>
      <c r="BA203" s="3"/>
      <c r="BG203" s="3"/>
      <c r="BH203" s="3"/>
    </row>
    <row r="204" spans="1:60">
      <c r="A204" s="23" t="s">
        <v>22</v>
      </c>
      <c r="B204" s="23" t="s">
        <v>25</v>
      </c>
      <c r="C204" s="27">
        <v>43642.46875</v>
      </c>
      <c r="D204" s="23">
        <v>42.75</v>
      </c>
      <c r="E204" s="27">
        <v>43643.395833333336</v>
      </c>
      <c r="F204" s="23">
        <v>42.75</v>
      </c>
      <c r="G204" s="31">
        <v>0</v>
      </c>
      <c r="H204" s="23">
        <v>0</v>
      </c>
      <c r="I204" s="31">
        <v>0</v>
      </c>
      <c r="J204" s="23">
        <v>1172.1959999999999</v>
      </c>
      <c r="K204" s="23">
        <v>50111.38</v>
      </c>
      <c r="L204" s="23">
        <v>21920.73</v>
      </c>
      <c r="M204" s="23">
        <v>22</v>
      </c>
      <c r="N204" s="23">
        <v>0</v>
      </c>
      <c r="O204" s="31">
        <v>-7.0000000000000001E-3</v>
      </c>
      <c r="P204" s="31">
        <v>9.4000000000000004E-3</v>
      </c>
      <c r="Q204" s="23" t="s">
        <v>24</v>
      </c>
      <c r="R204" s="23">
        <v>0</v>
      </c>
      <c r="S204" s="23">
        <v>42.22</v>
      </c>
      <c r="U204" s="47">
        <f>VLOOKUP(AU204,[1]expiry_dates!$B$2:$C$2894,2,FALSE)</f>
        <v>43643</v>
      </c>
      <c r="V204" s="23" t="s">
        <v>118</v>
      </c>
      <c r="W204" s="23" t="s">
        <v>23</v>
      </c>
      <c r="X204" s="49">
        <v>43642.46875</v>
      </c>
      <c r="Y204" s="23">
        <v>0.55000000000000004</v>
      </c>
      <c r="Z204" s="23">
        <v>43643.395833333336</v>
      </c>
      <c r="AA204" s="23">
        <v>0.4</v>
      </c>
      <c r="AB204" s="23">
        <v>-0.2727</v>
      </c>
      <c r="AC204" s="23">
        <v>14697.97</v>
      </c>
      <c r="AD204" s="23">
        <v>0.2727</v>
      </c>
      <c r="AE204" s="23">
        <v>97986.48</v>
      </c>
      <c r="AF204" s="23">
        <v>53892.56</v>
      </c>
      <c r="AG204" s="23">
        <v>755485.62</v>
      </c>
      <c r="AH204" s="23">
        <v>22</v>
      </c>
      <c r="AI204" s="23">
        <v>668.09</v>
      </c>
      <c r="AJ204" s="23">
        <v>-9.0899999999999995E-2</v>
      </c>
      <c r="AK204" s="23">
        <v>0.54549999999999998</v>
      </c>
      <c r="AL204" s="23" t="s">
        <v>24</v>
      </c>
      <c r="AM204" s="23">
        <v>42.75</v>
      </c>
      <c r="AN204" s="23">
        <v>30969.95</v>
      </c>
      <c r="AO204" s="23">
        <v>42.22</v>
      </c>
      <c r="AP204" s="23">
        <v>0</v>
      </c>
      <c r="AR204" s="46"/>
      <c r="AS204" s="44"/>
      <c r="AT204" s="45"/>
      <c r="AU204" s="2">
        <v>43642</v>
      </c>
      <c r="AV204" s="52">
        <v>0.46875</v>
      </c>
      <c r="AW204" s="2" t="s">
        <v>212</v>
      </c>
      <c r="AY204" s="3"/>
      <c r="BA204" s="3"/>
      <c r="BG204" s="3"/>
      <c r="BH204" s="3"/>
    </row>
    <row r="205" spans="1:60">
      <c r="A205" s="23" t="s">
        <v>22</v>
      </c>
      <c r="B205" s="23" t="s">
        <v>23</v>
      </c>
      <c r="C205" s="27">
        <v>43643.395833333336</v>
      </c>
      <c r="D205" s="23">
        <v>42.75</v>
      </c>
      <c r="E205" s="27">
        <v>43643.489583333336</v>
      </c>
      <c r="F205" s="23">
        <v>42.9</v>
      </c>
      <c r="G205" s="31">
        <v>3.5000000000000001E-3</v>
      </c>
      <c r="H205" s="23">
        <v>-175.83</v>
      </c>
      <c r="I205" s="31">
        <v>-3.5000000000000001E-3</v>
      </c>
      <c r="J205" s="23">
        <v>1172.1890000000001</v>
      </c>
      <c r="K205" s="23">
        <v>50111.07</v>
      </c>
      <c r="L205" s="23">
        <v>21744.9</v>
      </c>
      <c r="M205" s="23">
        <v>10</v>
      </c>
      <c r="N205" s="23">
        <v>-17.579999999999998</v>
      </c>
      <c r="O205" s="31">
        <v>-5.7999999999999996E-3</v>
      </c>
      <c r="P205" s="31">
        <v>4.7000000000000002E-3</v>
      </c>
      <c r="Q205" s="23" t="s">
        <v>24</v>
      </c>
      <c r="R205" s="23">
        <v>0</v>
      </c>
      <c r="S205" s="23">
        <v>43.15</v>
      </c>
      <c r="U205" s="47">
        <f>VLOOKUP(AU205,[1]expiry_dates!$B$2:$C$2894,2,FALSE)</f>
        <v>43643</v>
      </c>
      <c r="V205" s="23" t="s">
        <v>114</v>
      </c>
      <c r="W205" s="23" t="s">
        <v>23</v>
      </c>
      <c r="X205" s="49">
        <v>43643.395833333336</v>
      </c>
      <c r="Y205" s="23">
        <v>0.25</v>
      </c>
      <c r="Z205" s="23">
        <v>43643.489583333336</v>
      </c>
      <c r="AA205" s="23">
        <v>0.4</v>
      </c>
      <c r="AB205" s="23">
        <v>0.6</v>
      </c>
      <c r="AC205" s="23">
        <v>-32266.46</v>
      </c>
      <c r="AD205" s="23">
        <v>-0.6</v>
      </c>
      <c r="AE205" s="23">
        <v>215109.7</v>
      </c>
      <c r="AF205" s="23">
        <v>53777.43</v>
      </c>
      <c r="AG205" s="23">
        <v>723219.17</v>
      </c>
      <c r="AH205" s="23">
        <v>10</v>
      </c>
      <c r="AI205" s="23">
        <v>-3226.65</v>
      </c>
      <c r="AJ205" s="23">
        <v>-0.6</v>
      </c>
      <c r="AK205" s="23">
        <v>0.4</v>
      </c>
      <c r="AL205" s="23" t="s">
        <v>24</v>
      </c>
      <c r="AM205" s="23">
        <v>42.75</v>
      </c>
      <c r="AN205" s="23">
        <v>31247.65</v>
      </c>
      <c r="AO205" s="23">
        <v>43.15</v>
      </c>
      <c r="AP205" s="23">
        <v>0</v>
      </c>
      <c r="AR205" s="46"/>
      <c r="AS205" s="44"/>
      <c r="AT205" s="45"/>
      <c r="AU205" s="2">
        <v>43643</v>
      </c>
      <c r="AV205" s="52">
        <v>0.39583333333333331</v>
      </c>
      <c r="AW205" s="2" t="s">
        <v>212</v>
      </c>
      <c r="AY205" s="3"/>
      <c r="BA205" s="3"/>
      <c r="BG205" s="3"/>
      <c r="BH205" s="3"/>
    </row>
    <row r="206" spans="1:60">
      <c r="A206" s="23" t="s">
        <v>22</v>
      </c>
      <c r="B206" s="23" t="s">
        <v>25</v>
      </c>
      <c r="C206" s="27">
        <v>43643.489583333336</v>
      </c>
      <c r="D206" s="23">
        <v>42.9</v>
      </c>
      <c r="E206" s="27">
        <v>43643.583333333336</v>
      </c>
      <c r="F206" s="23">
        <v>42.75</v>
      </c>
      <c r="G206" s="31">
        <v>-3.5000000000000001E-3</v>
      </c>
      <c r="H206" s="23">
        <v>-175.21</v>
      </c>
      <c r="I206" s="31">
        <v>-3.5000000000000001E-3</v>
      </c>
      <c r="J206" s="23">
        <v>1168.056</v>
      </c>
      <c r="K206" s="23">
        <v>50109.61</v>
      </c>
      <c r="L206" s="23">
        <v>21569.69</v>
      </c>
      <c r="M206" s="23">
        <v>10</v>
      </c>
      <c r="N206" s="23">
        <v>-17.52</v>
      </c>
      <c r="O206" s="31">
        <v>-3.5000000000000001E-3</v>
      </c>
      <c r="P206" s="31">
        <v>4.7000000000000002E-3</v>
      </c>
      <c r="Q206" s="23" t="s">
        <v>24</v>
      </c>
      <c r="R206" s="23">
        <v>0</v>
      </c>
      <c r="S206" s="23">
        <v>42.56</v>
      </c>
      <c r="U206" s="47">
        <f>VLOOKUP(AU206,[1]expiry_dates!$B$2:$C$2894,2,FALSE)</f>
        <v>43643</v>
      </c>
      <c r="V206" s="23" t="s">
        <v>115</v>
      </c>
      <c r="W206" s="23" t="s">
        <v>23</v>
      </c>
      <c r="X206" s="49">
        <v>43643.489583333336</v>
      </c>
      <c r="Y206" s="23">
        <v>0.1</v>
      </c>
      <c r="Z206" s="23">
        <v>43643.583333333336</v>
      </c>
      <c r="AA206" s="23">
        <v>0.2</v>
      </c>
      <c r="AB206" s="23">
        <v>1</v>
      </c>
      <c r="AC206" s="23">
        <v>-53777.43</v>
      </c>
      <c r="AD206" s="23">
        <v>-1</v>
      </c>
      <c r="AE206" s="23">
        <v>537774.30000000005</v>
      </c>
      <c r="AF206" s="23">
        <v>53777.43</v>
      </c>
      <c r="AG206" s="23">
        <v>669441.74</v>
      </c>
      <c r="AH206" s="23">
        <v>10</v>
      </c>
      <c r="AI206" s="23">
        <v>-5377.74</v>
      </c>
      <c r="AJ206" s="23">
        <v>-1</v>
      </c>
      <c r="AK206" s="23">
        <v>0.5</v>
      </c>
      <c r="AL206" s="23" t="s">
        <v>24</v>
      </c>
      <c r="AM206" s="23">
        <v>42.9</v>
      </c>
      <c r="AN206" s="23">
        <v>31433.9</v>
      </c>
      <c r="AO206" s="23">
        <v>42.56</v>
      </c>
      <c r="AP206" s="23">
        <v>0</v>
      </c>
      <c r="AR206" s="46"/>
      <c r="AS206" s="44"/>
      <c r="AT206" s="45"/>
      <c r="AU206" s="2">
        <v>43643</v>
      </c>
      <c r="AV206" s="52">
        <v>0.48958333333333331</v>
      </c>
      <c r="AW206" s="2" t="s">
        <v>212</v>
      </c>
      <c r="AY206" s="3"/>
      <c r="BA206" s="3"/>
      <c r="BG206" s="3"/>
      <c r="BH206" s="3"/>
    </row>
    <row r="207" spans="1:60">
      <c r="A207" s="23" t="s">
        <v>22</v>
      </c>
      <c r="B207" s="23" t="s">
        <v>23</v>
      </c>
      <c r="C207" s="27">
        <v>43643.583333333336</v>
      </c>
      <c r="D207" s="23">
        <v>42.75</v>
      </c>
      <c r="E207" s="27">
        <v>43643.625</v>
      </c>
      <c r="F207" s="23">
        <v>42.9</v>
      </c>
      <c r="G207" s="31">
        <v>3.5000000000000001E-3</v>
      </c>
      <c r="H207" s="23">
        <v>-175.82</v>
      </c>
      <c r="I207" s="31">
        <v>-3.5000000000000001E-3</v>
      </c>
      <c r="J207" s="23">
        <v>1172.1199999999999</v>
      </c>
      <c r="K207" s="23">
        <v>50108.14</v>
      </c>
      <c r="L207" s="23">
        <v>21393.87</v>
      </c>
      <c r="M207" s="23">
        <v>5</v>
      </c>
      <c r="N207" s="23">
        <v>-35.159999999999997</v>
      </c>
      <c r="O207" s="31">
        <v>-5.7999999999999996E-3</v>
      </c>
      <c r="P207" s="31">
        <v>2.3E-3</v>
      </c>
      <c r="Q207" s="23" t="s">
        <v>24</v>
      </c>
      <c r="R207" s="23">
        <v>0</v>
      </c>
      <c r="S207" s="23">
        <v>43.09</v>
      </c>
      <c r="U207" s="47">
        <f>VLOOKUP(AU207,[1]expiry_dates!$B$2:$C$2894,2,FALSE)</f>
        <v>43643</v>
      </c>
      <c r="V207" s="23" t="s">
        <v>114</v>
      </c>
      <c r="W207" s="23" t="s">
        <v>23</v>
      </c>
      <c r="X207" s="49">
        <v>43643.583333333336</v>
      </c>
      <c r="Y207" s="23">
        <v>0.1</v>
      </c>
      <c r="Z207" s="23">
        <v>43643.625</v>
      </c>
      <c r="AA207" s="23">
        <v>0.1</v>
      </c>
      <c r="AB207" s="23">
        <v>0</v>
      </c>
      <c r="AC207" s="23">
        <v>0</v>
      </c>
      <c r="AD207" s="23">
        <v>0</v>
      </c>
      <c r="AE207" s="23">
        <v>534816.5</v>
      </c>
      <c r="AF207" s="23">
        <v>53481.65</v>
      </c>
      <c r="AG207" s="23">
        <v>669441.74</v>
      </c>
      <c r="AH207" s="23">
        <v>5</v>
      </c>
      <c r="AI207" s="23">
        <v>0</v>
      </c>
      <c r="AJ207" s="23">
        <v>-0.5</v>
      </c>
      <c r="AK207" s="23">
        <v>0.5</v>
      </c>
      <c r="AL207" s="23" t="s">
        <v>24</v>
      </c>
      <c r="AM207" s="23">
        <v>42.75</v>
      </c>
      <c r="AN207" s="23">
        <v>31240.45</v>
      </c>
      <c r="AO207" s="23">
        <v>43.09</v>
      </c>
      <c r="AP207" s="23">
        <v>0</v>
      </c>
      <c r="AR207" s="46"/>
      <c r="AS207" s="44"/>
      <c r="AT207" s="45"/>
      <c r="AU207" s="2">
        <v>43643</v>
      </c>
      <c r="AV207" s="52">
        <v>8.3333333333333329E-2</v>
      </c>
      <c r="AW207" s="2" t="s">
        <v>213</v>
      </c>
      <c r="AY207" s="3"/>
      <c r="BA207" s="3"/>
      <c r="BG207" s="3"/>
      <c r="BH207" s="3"/>
    </row>
    <row r="208" spans="1:60">
      <c r="A208" s="23" t="s">
        <v>22</v>
      </c>
      <c r="B208" s="23" t="s">
        <v>25</v>
      </c>
      <c r="C208" s="27">
        <v>43643.625</v>
      </c>
      <c r="D208" s="23">
        <v>42.9</v>
      </c>
      <c r="E208" s="27">
        <v>43643.71875</v>
      </c>
      <c r="F208" s="23">
        <v>42.9</v>
      </c>
      <c r="G208" s="31">
        <v>0</v>
      </c>
      <c r="H208" s="23">
        <v>0</v>
      </c>
      <c r="I208" s="31">
        <v>0</v>
      </c>
      <c r="J208" s="23">
        <v>1167.9880000000001</v>
      </c>
      <c r="K208" s="23">
        <v>50106.68</v>
      </c>
      <c r="L208" s="23">
        <v>21393.87</v>
      </c>
      <c r="M208" s="23">
        <v>4</v>
      </c>
      <c r="N208" s="23">
        <v>0</v>
      </c>
      <c r="O208" s="31">
        <v>-4.7000000000000002E-3</v>
      </c>
      <c r="P208" s="31">
        <v>2.3E-3</v>
      </c>
      <c r="Q208" s="23" t="s">
        <v>24</v>
      </c>
      <c r="R208" s="23">
        <v>0</v>
      </c>
      <c r="S208" s="23">
        <v>42.65</v>
      </c>
      <c r="U208" s="47">
        <f>VLOOKUP(AU208,[1]expiry_dates!$B$2:$C$2894,2,FALSE)</f>
        <v>43643</v>
      </c>
      <c r="V208" s="23" t="s">
        <v>118</v>
      </c>
      <c r="W208" s="23" t="s">
        <v>23</v>
      </c>
      <c r="X208" s="49">
        <v>43643.625</v>
      </c>
      <c r="Y208" s="23">
        <v>0.15</v>
      </c>
      <c r="Z208" s="23">
        <v>43643.71875</v>
      </c>
      <c r="AA208" s="23">
        <v>0.15</v>
      </c>
      <c r="AB208" s="23">
        <v>0</v>
      </c>
      <c r="AC208" s="23">
        <v>0</v>
      </c>
      <c r="AD208" s="23">
        <v>0</v>
      </c>
      <c r="AE208" s="23">
        <v>355648</v>
      </c>
      <c r="AF208" s="23">
        <v>53347.21</v>
      </c>
      <c r="AG208" s="23">
        <v>669441.74</v>
      </c>
      <c r="AH208" s="23">
        <v>4</v>
      </c>
      <c r="AI208" s="23">
        <v>0</v>
      </c>
      <c r="AJ208" s="23">
        <v>0</v>
      </c>
      <c r="AK208" s="23">
        <v>0</v>
      </c>
      <c r="AL208" s="23" t="s">
        <v>24</v>
      </c>
      <c r="AM208" s="23">
        <v>42.9</v>
      </c>
      <c r="AN208" s="23">
        <v>31291.15</v>
      </c>
      <c r="AO208" s="23">
        <v>42.65</v>
      </c>
      <c r="AP208" s="23">
        <v>0</v>
      </c>
      <c r="AR208" s="46"/>
      <c r="AS208" s="44"/>
      <c r="AT208" s="45"/>
      <c r="AU208" s="2">
        <v>43643</v>
      </c>
      <c r="AV208" s="52">
        <v>0.125</v>
      </c>
      <c r="AW208" s="2" t="s">
        <v>213</v>
      </c>
      <c r="AY208" s="3"/>
      <c r="BA208" s="3"/>
      <c r="BG208" s="3"/>
      <c r="BH208" s="3"/>
    </row>
    <row r="209" spans="1:60">
      <c r="A209" s="23" t="s">
        <v>22</v>
      </c>
      <c r="B209" s="23" t="s">
        <v>23</v>
      </c>
      <c r="C209" s="27">
        <v>43644.385416666664</v>
      </c>
      <c r="D209" s="23">
        <v>42.7</v>
      </c>
      <c r="E209" s="27">
        <v>43644.40625</v>
      </c>
      <c r="F209" s="23">
        <v>43.2</v>
      </c>
      <c r="G209" s="31">
        <v>1.17E-2</v>
      </c>
      <c r="H209" s="23">
        <v>-586.73</v>
      </c>
      <c r="I209" s="31">
        <v>-1.17E-2</v>
      </c>
      <c r="J209" s="23">
        <v>1173.4649999999999</v>
      </c>
      <c r="K209" s="23">
        <v>50106.97</v>
      </c>
      <c r="L209" s="23">
        <v>20807.14</v>
      </c>
      <c r="M209" s="23">
        <v>3</v>
      </c>
      <c r="N209" s="23">
        <v>-195.58</v>
      </c>
      <c r="O209" s="31">
        <v>-1.17E-2</v>
      </c>
      <c r="P209" s="31">
        <v>0</v>
      </c>
      <c r="Q209" s="23" t="s">
        <v>24</v>
      </c>
      <c r="R209" s="23">
        <v>0</v>
      </c>
      <c r="S209" s="23">
        <v>42.99</v>
      </c>
      <c r="U209" s="47">
        <f>VLOOKUP(AU209,[1]expiry_dates!$B$2:$C$2894,2,FALSE)</f>
        <v>43671</v>
      </c>
      <c r="V209" s="23" t="s">
        <v>114</v>
      </c>
      <c r="W209" s="23" t="s">
        <v>23</v>
      </c>
      <c r="X209" s="49">
        <v>43644.385416666664</v>
      </c>
      <c r="Y209" s="23">
        <v>1.35</v>
      </c>
      <c r="Z209" s="23">
        <v>43644.40625</v>
      </c>
      <c r="AA209" s="23">
        <v>1.6</v>
      </c>
      <c r="AB209" s="23">
        <v>0.1852</v>
      </c>
      <c r="AC209" s="23">
        <v>-9879.11</v>
      </c>
      <c r="AD209" s="23">
        <v>-0.1852</v>
      </c>
      <c r="AE209" s="23">
        <v>39516.449999999997</v>
      </c>
      <c r="AF209" s="23">
        <v>53347.21</v>
      </c>
      <c r="AG209" s="23">
        <v>659562.63</v>
      </c>
      <c r="AH209" s="23">
        <v>3</v>
      </c>
      <c r="AI209" s="23">
        <v>-3293.04</v>
      </c>
      <c r="AJ209" s="23">
        <v>-0.1852</v>
      </c>
      <c r="AK209" s="23">
        <v>3.6999999999999998E-2</v>
      </c>
      <c r="AL209" s="23" t="s">
        <v>24</v>
      </c>
      <c r="AM209" s="23">
        <v>42.7</v>
      </c>
      <c r="AN209" s="23">
        <v>31144.25</v>
      </c>
      <c r="AO209" s="23">
        <v>42.99</v>
      </c>
      <c r="AP209" s="23">
        <v>0</v>
      </c>
      <c r="AR209" s="46"/>
      <c r="AS209" s="44"/>
      <c r="AT209" s="45"/>
      <c r="AU209" s="2">
        <v>43644</v>
      </c>
      <c r="AV209" s="52">
        <v>0.38541666666666669</v>
      </c>
      <c r="AW209" s="2" t="s">
        <v>212</v>
      </c>
      <c r="AY209" s="3"/>
      <c r="BA209" s="3"/>
      <c r="BG209" s="3"/>
      <c r="BH209" s="3"/>
    </row>
    <row r="210" spans="1:60">
      <c r="A210" s="23" t="s">
        <v>22</v>
      </c>
      <c r="B210" s="23" t="s">
        <v>25</v>
      </c>
      <c r="C210" s="27">
        <v>43644.40625</v>
      </c>
      <c r="D210" s="23">
        <v>43.2</v>
      </c>
      <c r="E210" s="27">
        <v>43644.59375</v>
      </c>
      <c r="F210" s="23">
        <v>43.15</v>
      </c>
      <c r="G210" s="31">
        <v>-1.1999999999999999E-3</v>
      </c>
      <c r="H210" s="23">
        <v>-57.99</v>
      </c>
      <c r="I210" s="31">
        <v>-1.1999999999999999E-3</v>
      </c>
      <c r="J210" s="23">
        <v>1159.8630000000001</v>
      </c>
      <c r="K210" s="23">
        <v>50106.09</v>
      </c>
      <c r="L210" s="23">
        <v>20749.150000000001</v>
      </c>
      <c r="M210" s="23">
        <v>19</v>
      </c>
      <c r="N210" s="23">
        <v>-3.05</v>
      </c>
      <c r="O210" s="31">
        <v>-9.2999999999999992E-3</v>
      </c>
      <c r="P210" s="31">
        <v>6.8999999999999999E-3</v>
      </c>
      <c r="Q210" s="23" t="s">
        <v>24</v>
      </c>
      <c r="R210" s="23">
        <v>0</v>
      </c>
      <c r="S210" s="23">
        <v>42.71</v>
      </c>
      <c r="U210" s="47">
        <f>VLOOKUP(AU210,[1]expiry_dates!$B$2:$C$2894,2,FALSE)</f>
        <v>43671</v>
      </c>
      <c r="V210" s="23" t="s">
        <v>118</v>
      </c>
      <c r="W210" s="23" t="s">
        <v>23</v>
      </c>
      <c r="X210" s="49">
        <v>43644.40625</v>
      </c>
      <c r="Y210" s="23">
        <v>1.25</v>
      </c>
      <c r="Z210" s="23">
        <v>43644.59375</v>
      </c>
      <c r="AA210" s="23">
        <v>1.25</v>
      </c>
      <c r="AB210" s="23">
        <v>0</v>
      </c>
      <c r="AC210" s="23">
        <v>0</v>
      </c>
      <c r="AD210" s="23">
        <v>0</v>
      </c>
      <c r="AE210" s="23">
        <v>42669.86</v>
      </c>
      <c r="AF210" s="23">
        <v>53337.33</v>
      </c>
      <c r="AG210" s="23">
        <v>659562.63</v>
      </c>
      <c r="AH210" s="23">
        <v>19</v>
      </c>
      <c r="AI210" s="23">
        <v>0</v>
      </c>
      <c r="AJ210" s="23">
        <v>-0.16</v>
      </c>
      <c r="AK210" s="23">
        <v>0.04</v>
      </c>
      <c r="AL210" s="23" t="s">
        <v>24</v>
      </c>
      <c r="AM210" s="23">
        <v>43.2</v>
      </c>
      <c r="AN210" s="23">
        <v>31230.799999999999</v>
      </c>
      <c r="AO210" s="23">
        <v>42.71</v>
      </c>
      <c r="AP210" s="23">
        <v>0</v>
      </c>
      <c r="AR210" s="46"/>
      <c r="AS210" s="44"/>
      <c r="AT210" s="45"/>
      <c r="AU210" s="2">
        <v>43644</v>
      </c>
      <c r="AV210" s="52">
        <v>0.40625</v>
      </c>
      <c r="AW210" s="2" t="s">
        <v>212</v>
      </c>
      <c r="AY210" s="3"/>
      <c r="BA210" s="3"/>
      <c r="BG210" s="3"/>
      <c r="BH210" s="3"/>
    </row>
    <row r="211" spans="1:60">
      <c r="A211" s="23" t="s">
        <v>22</v>
      </c>
      <c r="B211" s="23" t="s">
        <v>23</v>
      </c>
      <c r="C211" s="27">
        <v>43644.59375</v>
      </c>
      <c r="D211" s="23">
        <v>43.15</v>
      </c>
      <c r="E211" s="27">
        <v>43644.635416666664</v>
      </c>
      <c r="F211" s="23">
        <v>43.4</v>
      </c>
      <c r="G211" s="31">
        <v>5.7999999999999996E-3</v>
      </c>
      <c r="H211" s="23">
        <v>-290.3</v>
      </c>
      <c r="I211" s="31">
        <v>-5.7999999999999996E-3</v>
      </c>
      <c r="J211" s="23">
        <v>1161.1859999999999</v>
      </c>
      <c r="K211" s="23">
        <v>50105.2</v>
      </c>
      <c r="L211" s="23">
        <v>20458.849999999999</v>
      </c>
      <c r="M211" s="23">
        <v>5</v>
      </c>
      <c r="N211" s="23">
        <v>-58.06</v>
      </c>
      <c r="O211" s="31">
        <v>-5.7999999999999996E-3</v>
      </c>
      <c r="P211" s="31">
        <v>4.5999999999999999E-3</v>
      </c>
      <c r="Q211" s="23" t="s">
        <v>24</v>
      </c>
      <c r="R211" s="23">
        <v>0</v>
      </c>
      <c r="S211" s="23">
        <v>43.49</v>
      </c>
      <c r="U211" s="47">
        <f>VLOOKUP(AU211,[1]expiry_dates!$B$2:$C$2894,2,FALSE)</f>
        <v>43671</v>
      </c>
      <c r="V211" s="23" t="s">
        <v>117</v>
      </c>
      <c r="W211" s="23" t="s">
        <v>23</v>
      </c>
      <c r="X211" s="49">
        <v>43644.59375</v>
      </c>
      <c r="Y211" s="23">
        <v>1.1000000000000001</v>
      </c>
      <c r="Z211" s="23">
        <v>43644.635416666664</v>
      </c>
      <c r="AA211" s="23">
        <v>1.1000000000000001</v>
      </c>
      <c r="AB211" s="23">
        <v>0</v>
      </c>
      <c r="AC211" s="23">
        <v>0</v>
      </c>
      <c r="AD211" s="23">
        <v>0</v>
      </c>
      <c r="AE211" s="23">
        <v>48452.55</v>
      </c>
      <c r="AF211" s="23">
        <v>53297.81</v>
      </c>
      <c r="AG211" s="23">
        <v>659562.63</v>
      </c>
      <c r="AH211" s="23">
        <v>5</v>
      </c>
      <c r="AI211" s="23">
        <v>0</v>
      </c>
      <c r="AJ211" s="23">
        <v>-4.5499999999999999E-2</v>
      </c>
      <c r="AK211" s="23">
        <v>4.5499999999999999E-2</v>
      </c>
      <c r="AL211" s="23" t="s">
        <v>24</v>
      </c>
      <c r="AM211" s="23">
        <v>43.15</v>
      </c>
      <c r="AN211" s="23">
        <v>31147.45</v>
      </c>
      <c r="AO211" s="23">
        <v>43.49</v>
      </c>
      <c r="AP211" s="23">
        <v>0</v>
      </c>
      <c r="AR211" s="46"/>
      <c r="AS211" s="44"/>
      <c r="AT211" s="45"/>
      <c r="AU211" s="2">
        <v>43644</v>
      </c>
      <c r="AV211" s="52">
        <v>9.375E-2</v>
      </c>
      <c r="AW211" s="2" t="s">
        <v>213</v>
      </c>
      <c r="AY211" s="3"/>
      <c r="BA211" s="3"/>
      <c r="BG211" s="3"/>
      <c r="BH211" s="3"/>
    </row>
    <row r="212" spans="1:60">
      <c r="A212" s="23" t="s">
        <v>22</v>
      </c>
      <c r="B212" s="23" t="s">
        <v>25</v>
      </c>
      <c r="C212" s="27">
        <v>43644.635416666664</v>
      </c>
      <c r="D212" s="23">
        <v>43.4</v>
      </c>
      <c r="E212" s="27">
        <v>43648.40625</v>
      </c>
      <c r="F212" s="23">
        <v>44.1</v>
      </c>
      <c r="G212" s="31">
        <v>1.61E-2</v>
      </c>
      <c r="H212" s="23">
        <v>808.13</v>
      </c>
      <c r="I212" s="31">
        <v>1.61E-2</v>
      </c>
      <c r="J212" s="23">
        <v>1154.471</v>
      </c>
      <c r="K212" s="23">
        <v>50104.04</v>
      </c>
      <c r="L212" s="23">
        <v>21266.98</v>
      </c>
      <c r="M212" s="23">
        <v>34</v>
      </c>
      <c r="N212" s="23">
        <v>23.77</v>
      </c>
      <c r="O212" s="31">
        <v>-9.1999999999999998E-3</v>
      </c>
      <c r="P212" s="31">
        <v>3.2300000000000002E-2</v>
      </c>
      <c r="Q212" s="23" t="s">
        <v>24</v>
      </c>
      <c r="R212" s="23">
        <v>0</v>
      </c>
      <c r="S212" s="23">
        <v>42.96</v>
      </c>
      <c r="U212" s="47">
        <f>VLOOKUP(AU212,[1]expiry_dates!$B$2:$C$2894,2,FALSE)</f>
        <v>43671</v>
      </c>
      <c r="V212" s="23" t="s">
        <v>113</v>
      </c>
      <c r="W212" s="23" t="s">
        <v>23</v>
      </c>
      <c r="X212" s="49">
        <v>43644.635416666664</v>
      </c>
      <c r="Y212" s="23">
        <v>0.4</v>
      </c>
      <c r="Z212" s="23">
        <v>43648.40625</v>
      </c>
      <c r="AA212" s="23">
        <v>0.2</v>
      </c>
      <c r="AB212" s="23">
        <v>-0.5</v>
      </c>
      <c r="AC212" s="23">
        <v>26648.91</v>
      </c>
      <c r="AD212" s="23">
        <v>0.5</v>
      </c>
      <c r="AE212" s="23">
        <v>133244.5</v>
      </c>
      <c r="AF212" s="23">
        <v>53297.81</v>
      </c>
      <c r="AG212" s="23">
        <v>686211.54</v>
      </c>
      <c r="AH212" s="23">
        <v>34</v>
      </c>
      <c r="AI212" s="23">
        <v>783.79</v>
      </c>
      <c r="AJ212" s="23">
        <v>0</v>
      </c>
      <c r="AK212" s="23">
        <v>0.5</v>
      </c>
      <c r="AL212" s="23" t="s">
        <v>24</v>
      </c>
      <c r="AM212" s="23">
        <v>43.4</v>
      </c>
      <c r="AN212" s="23">
        <v>31121.599999999999</v>
      </c>
      <c r="AO212" s="23">
        <v>42.96</v>
      </c>
      <c r="AP212" s="23">
        <v>0</v>
      </c>
      <c r="AR212" s="46"/>
      <c r="AS212" s="44"/>
      <c r="AT212" s="45"/>
      <c r="AU212" s="2">
        <v>43644</v>
      </c>
      <c r="AV212" s="52">
        <v>0.13541666666666666</v>
      </c>
      <c r="AW212" s="2" t="s">
        <v>213</v>
      </c>
      <c r="AY212" s="3"/>
      <c r="BA212" s="3"/>
      <c r="BG212" s="3"/>
      <c r="BH212" s="3"/>
    </row>
    <row r="213" spans="1:60">
      <c r="A213" s="23" t="s">
        <v>22</v>
      </c>
      <c r="B213" s="23" t="s">
        <v>23</v>
      </c>
      <c r="C213" s="27">
        <v>43648.40625</v>
      </c>
      <c r="D213" s="23">
        <v>44.1</v>
      </c>
      <c r="E213" s="27">
        <v>43648.520833333336</v>
      </c>
      <c r="F213" s="23">
        <v>44.3</v>
      </c>
      <c r="G213" s="31">
        <v>4.4999999999999997E-3</v>
      </c>
      <c r="H213" s="23">
        <v>-227.25</v>
      </c>
      <c r="I213" s="31">
        <v>-4.4999999999999997E-3</v>
      </c>
      <c r="J213" s="23">
        <v>1136.2370000000001</v>
      </c>
      <c r="K213" s="23">
        <v>50108.07</v>
      </c>
      <c r="L213" s="23">
        <v>21039.73</v>
      </c>
      <c r="M213" s="23">
        <v>12</v>
      </c>
      <c r="N213" s="23">
        <v>-18.940000000000001</v>
      </c>
      <c r="O213" s="31">
        <v>-7.9000000000000008E-3</v>
      </c>
      <c r="P213" s="31">
        <v>1.1299999999999999E-2</v>
      </c>
      <c r="Q213" s="23" t="s">
        <v>24</v>
      </c>
      <c r="R213" s="23">
        <v>0</v>
      </c>
      <c r="S213" s="23">
        <v>44.8</v>
      </c>
      <c r="U213" s="47">
        <f>VLOOKUP(AU213,[1]expiry_dates!$B$2:$C$2894,2,FALSE)</f>
        <v>43671</v>
      </c>
      <c r="V213" s="23" t="s">
        <v>117</v>
      </c>
      <c r="W213" s="23" t="s">
        <v>23</v>
      </c>
      <c r="X213" s="49">
        <v>43648.40625</v>
      </c>
      <c r="Y213" s="23">
        <v>1.4</v>
      </c>
      <c r="Z213" s="23">
        <v>43648.520833333336</v>
      </c>
      <c r="AA213" s="23">
        <v>1.55</v>
      </c>
      <c r="AB213" s="23">
        <v>0.1071</v>
      </c>
      <c r="AC213" s="23">
        <v>-5724.76</v>
      </c>
      <c r="AD213" s="23">
        <v>-0.1071</v>
      </c>
      <c r="AE213" s="23">
        <v>38165.040000000001</v>
      </c>
      <c r="AF213" s="23">
        <v>53431.06</v>
      </c>
      <c r="AG213" s="23">
        <v>680486.78</v>
      </c>
      <c r="AH213" s="23">
        <v>12</v>
      </c>
      <c r="AI213" s="23">
        <v>-477.06</v>
      </c>
      <c r="AJ213" s="23">
        <v>-0.1071</v>
      </c>
      <c r="AK213" s="23">
        <v>0.1429</v>
      </c>
      <c r="AL213" s="23" t="s">
        <v>24</v>
      </c>
      <c r="AM213" s="23">
        <v>44.1</v>
      </c>
      <c r="AN213" s="23">
        <v>31252.400000000001</v>
      </c>
      <c r="AO213" s="23">
        <v>44.8</v>
      </c>
      <c r="AP213" s="23">
        <v>0</v>
      </c>
      <c r="AR213" s="46"/>
      <c r="AS213" s="44"/>
      <c r="AT213" s="45"/>
      <c r="AU213" s="2">
        <v>43648</v>
      </c>
      <c r="AV213" s="52">
        <v>0.40625</v>
      </c>
      <c r="AW213" s="2" t="s">
        <v>212</v>
      </c>
      <c r="AY213" s="3"/>
      <c r="BA213" s="3"/>
      <c r="BG213" s="3"/>
      <c r="BH213" s="3"/>
    </row>
    <row r="214" spans="1:60">
      <c r="A214" s="23" t="s">
        <v>22</v>
      </c>
      <c r="B214" s="23" t="s">
        <v>25</v>
      </c>
      <c r="C214" s="27">
        <v>43648.520833333336</v>
      </c>
      <c r="D214" s="23">
        <v>44.3</v>
      </c>
      <c r="E214" s="27">
        <v>43649.447916666664</v>
      </c>
      <c r="F214" s="23">
        <v>44.35</v>
      </c>
      <c r="G214" s="31">
        <v>1.1000000000000001E-3</v>
      </c>
      <c r="H214" s="23">
        <v>56.55</v>
      </c>
      <c r="I214" s="31">
        <v>1.1000000000000001E-3</v>
      </c>
      <c r="J214" s="23">
        <v>1131.0619999999999</v>
      </c>
      <c r="K214" s="23">
        <v>50106.05</v>
      </c>
      <c r="L214" s="23">
        <v>21096.29</v>
      </c>
      <c r="M214" s="23">
        <v>22</v>
      </c>
      <c r="N214" s="23">
        <v>2.57</v>
      </c>
      <c r="O214" s="31">
        <v>-4.4999999999999997E-3</v>
      </c>
      <c r="P214" s="31">
        <v>8.9999999999999993E-3</v>
      </c>
      <c r="Q214" s="23" t="s">
        <v>24</v>
      </c>
      <c r="R214" s="23">
        <v>0</v>
      </c>
      <c r="S214" s="23">
        <v>43.61</v>
      </c>
      <c r="U214" s="47">
        <f>VLOOKUP(AU214,[1]expiry_dates!$B$2:$C$2894,2,FALSE)</f>
        <v>43671</v>
      </c>
      <c r="V214" s="23" t="s">
        <v>113</v>
      </c>
      <c r="W214" s="23" t="s">
        <v>23</v>
      </c>
      <c r="X214" s="49">
        <v>43648.520833333336</v>
      </c>
      <c r="Y214" s="23">
        <v>0.25</v>
      </c>
      <c r="Z214" s="23">
        <v>43649.447916666664</v>
      </c>
      <c r="AA214" s="23">
        <v>0.25</v>
      </c>
      <c r="AB214" s="23">
        <v>0</v>
      </c>
      <c r="AC214" s="23">
        <v>0</v>
      </c>
      <c r="AD214" s="23">
        <v>0</v>
      </c>
      <c r="AE214" s="23">
        <v>213647.9</v>
      </c>
      <c r="AF214" s="23">
        <v>53411.98</v>
      </c>
      <c r="AG214" s="23">
        <v>680486.78</v>
      </c>
      <c r="AH214" s="23">
        <v>22</v>
      </c>
      <c r="AI214" s="23">
        <v>0</v>
      </c>
      <c r="AJ214" s="23">
        <v>-0.2</v>
      </c>
      <c r="AK214" s="23">
        <v>0</v>
      </c>
      <c r="AL214" s="23" t="s">
        <v>24</v>
      </c>
      <c r="AM214" s="23">
        <v>44.3</v>
      </c>
      <c r="AN214" s="23">
        <v>31156.85</v>
      </c>
      <c r="AO214" s="23">
        <v>43.61</v>
      </c>
      <c r="AP214" s="23">
        <v>0</v>
      </c>
      <c r="AR214" s="46"/>
      <c r="AS214" s="44"/>
      <c r="AT214" s="45"/>
      <c r="AU214" s="2">
        <v>43648</v>
      </c>
      <c r="AV214" s="52">
        <v>0.52083333333333337</v>
      </c>
      <c r="AW214" s="2" t="s">
        <v>213</v>
      </c>
      <c r="AY214" s="3"/>
      <c r="BA214" s="3"/>
      <c r="BG214" s="3"/>
      <c r="BH214" s="3"/>
    </row>
    <row r="215" spans="1:60">
      <c r="A215" s="23" t="s">
        <v>22</v>
      </c>
      <c r="B215" s="23" t="s">
        <v>23</v>
      </c>
      <c r="C215" s="27">
        <v>43649.447916666664</v>
      </c>
      <c r="D215" s="23">
        <v>44.35</v>
      </c>
      <c r="E215" s="27">
        <v>43649.5625</v>
      </c>
      <c r="F215" s="23">
        <v>44.55</v>
      </c>
      <c r="G215" s="31">
        <v>4.4999999999999997E-3</v>
      </c>
      <c r="H215" s="23">
        <v>-225.96</v>
      </c>
      <c r="I215" s="31">
        <v>-4.4999999999999997E-3</v>
      </c>
      <c r="J215" s="23">
        <v>1129.7929999999999</v>
      </c>
      <c r="K215" s="23">
        <v>50106.33</v>
      </c>
      <c r="L215" s="23">
        <v>20870.330000000002</v>
      </c>
      <c r="M215" s="23">
        <v>12</v>
      </c>
      <c r="N215" s="23">
        <v>-18.829999999999998</v>
      </c>
      <c r="O215" s="31">
        <v>-4.4999999999999997E-3</v>
      </c>
      <c r="P215" s="31">
        <v>3.3999999999999998E-3</v>
      </c>
      <c r="Q215" s="23" t="s">
        <v>24</v>
      </c>
      <c r="R215" s="23">
        <v>0</v>
      </c>
      <c r="S215" s="23">
        <v>44.7</v>
      </c>
      <c r="U215" s="47">
        <f>VLOOKUP(AU215,[1]expiry_dates!$B$2:$C$2894,2,FALSE)</f>
        <v>43671</v>
      </c>
      <c r="V215" s="23" t="s">
        <v>112</v>
      </c>
      <c r="W215" s="23" t="s">
        <v>23</v>
      </c>
      <c r="X215" s="49">
        <v>43649.447916666664</v>
      </c>
      <c r="Y215" s="23">
        <v>1.1499999999999999</v>
      </c>
      <c r="Z215" s="23">
        <v>43649.5625</v>
      </c>
      <c r="AA215" s="23">
        <v>1.2</v>
      </c>
      <c r="AB215" s="23">
        <v>4.3499999999999997E-2</v>
      </c>
      <c r="AC215" s="23">
        <v>-2321.84</v>
      </c>
      <c r="AD215" s="23">
        <v>-4.3499999999999997E-2</v>
      </c>
      <c r="AE215" s="23">
        <v>46436.9</v>
      </c>
      <c r="AF215" s="23">
        <v>53402.43</v>
      </c>
      <c r="AG215" s="23">
        <v>678164.93</v>
      </c>
      <c r="AH215" s="23">
        <v>12</v>
      </c>
      <c r="AI215" s="23">
        <v>-193.49</v>
      </c>
      <c r="AJ215" s="23">
        <v>-4.3499999999999997E-2</v>
      </c>
      <c r="AK215" s="23">
        <v>8.6999999999999994E-2</v>
      </c>
      <c r="AL215" s="23" t="s">
        <v>24</v>
      </c>
      <c r="AM215" s="23">
        <v>44.35</v>
      </c>
      <c r="AN215" s="23">
        <v>31331</v>
      </c>
      <c r="AO215" s="23">
        <v>44.7</v>
      </c>
      <c r="AP215" s="23">
        <v>0</v>
      </c>
      <c r="AR215" s="46"/>
      <c r="AS215" s="44"/>
      <c r="AT215" s="45"/>
      <c r="AU215" s="2">
        <v>43649</v>
      </c>
      <c r="AV215" s="52">
        <v>0.44791666666666669</v>
      </c>
      <c r="AW215" s="2" t="s">
        <v>212</v>
      </c>
      <c r="AY215" s="3"/>
      <c r="BA215" s="3"/>
      <c r="BG215" s="3"/>
      <c r="BH215" s="3"/>
    </row>
    <row r="216" spans="1:60">
      <c r="A216" s="23" t="s">
        <v>22</v>
      </c>
      <c r="B216" s="23" t="s">
        <v>25</v>
      </c>
      <c r="C216" s="27">
        <v>43649.5625</v>
      </c>
      <c r="D216" s="23">
        <v>44.55</v>
      </c>
      <c r="E216" s="27">
        <v>43650.510416666664</v>
      </c>
      <c r="F216" s="23">
        <v>45.1</v>
      </c>
      <c r="G216" s="31">
        <v>1.23E-2</v>
      </c>
      <c r="H216" s="23">
        <v>618.58000000000004</v>
      </c>
      <c r="I216" s="31">
        <v>1.23E-2</v>
      </c>
      <c r="J216" s="23">
        <v>1124.6890000000001</v>
      </c>
      <c r="K216" s="23">
        <v>50104.91</v>
      </c>
      <c r="L216" s="23">
        <v>21488.91</v>
      </c>
      <c r="M216" s="23">
        <v>24</v>
      </c>
      <c r="N216" s="23">
        <v>25.77</v>
      </c>
      <c r="O216" s="31">
        <v>-3.3999999999999998E-3</v>
      </c>
      <c r="P216" s="31">
        <v>2.69E-2</v>
      </c>
      <c r="Q216" s="23" t="s">
        <v>24</v>
      </c>
      <c r="R216" s="23">
        <v>0</v>
      </c>
      <c r="S216" s="23">
        <v>44.22</v>
      </c>
      <c r="U216" s="47">
        <f>VLOOKUP(AU216,[1]expiry_dates!$B$2:$C$2894,2,FALSE)</f>
        <v>43671</v>
      </c>
      <c r="V216" s="23" t="s">
        <v>115</v>
      </c>
      <c r="W216" s="23" t="s">
        <v>23</v>
      </c>
      <c r="X216" s="49">
        <v>43649.5625</v>
      </c>
      <c r="Y216" s="23">
        <v>0.5</v>
      </c>
      <c r="Z216" s="23">
        <v>43650.510416666664</v>
      </c>
      <c r="AA216" s="23">
        <v>0.3</v>
      </c>
      <c r="AB216" s="23">
        <v>-0.4</v>
      </c>
      <c r="AC216" s="23">
        <v>21365.62</v>
      </c>
      <c r="AD216" s="23">
        <v>0.4</v>
      </c>
      <c r="AE216" s="23">
        <v>106828.1</v>
      </c>
      <c r="AF216" s="23">
        <v>53414.04</v>
      </c>
      <c r="AG216" s="23">
        <v>699530.55</v>
      </c>
      <c r="AH216" s="23">
        <v>24</v>
      </c>
      <c r="AI216" s="23">
        <v>890.23</v>
      </c>
      <c r="AJ216" s="23">
        <v>-0.1</v>
      </c>
      <c r="AK216" s="23">
        <v>0.4</v>
      </c>
      <c r="AL216" s="23" t="s">
        <v>24</v>
      </c>
      <c r="AM216" s="23">
        <v>44.55</v>
      </c>
      <c r="AN216" s="23">
        <v>31448.25</v>
      </c>
      <c r="AO216" s="23">
        <v>44.22</v>
      </c>
      <c r="AP216" s="23">
        <v>0</v>
      </c>
      <c r="AR216" s="46"/>
      <c r="AS216" s="44"/>
      <c r="AT216" s="45"/>
      <c r="AU216" s="2">
        <v>43649</v>
      </c>
      <c r="AV216" s="52">
        <v>6.25E-2</v>
      </c>
      <c r="AW216" s="2" t="s">
        <v>213</v>
      </c>
      <c r="AY216" s="3"/>
      <c r="BA216" s="3"/>
      <c r="BG216" s="3"/>
      <c r="BH216" s="3"/>
    </row>
    <row r="217" spans="1:60">
      <c r="A217" s="23" t="s">
        <v>22</v>
      </c>
      <c r="B217" s="23" t="s">
        <v>23</v>
      </c>
      <c r="C217" s="27">
        <v>43650.510416666664</v>
      </c>
      <c r="D217" s="23">
        <v>45.1</v>
      </c>
      <c r="E217" s="27">
        <v>43651.385416666664</v>
      </c>
      <c r="F217" s="23">
        <v>44.9</v>
      </c>
      <c r="G217" s="31">
        <v>-4.4000000000000003E-3</v>
      </c>
      <c r="H217" s="23">
        <v>222.21</v>
      </c>
      <c r="I217" s="31">
        <v>4.4000000000000003E-3</v>
      </c>
      <c r="J217" s="23">
        <v>1111.0550000000001</v>
      </c>
      <c r="K217" s="23">
        <v>50108.57</v>
      </c>
      <c r="L217" s="23">
        <v>21711.119999999999</v>
      </c>
      <c r="M217" s="23">
        <v>17</v>
      </c>
      <c r="N217" s="23">
        <v>13.07</v>
      </c>
      <c r="O217" s="31">
        <v>-4.4000000000000003E-3</v>
      </c>
      <c r="P217" s="31">
        <v>8.8999999999999999E-3</v>
      </c>
      <c r="Q217" s="23" t="s">
        <v>24</v>
      </c>
      <c r="R217" s="23">
        <v>0</v>
      </c>
      <c r="S217" s="23">
        <v>45.75</v>
      </c>
      <c r="U217" s="47">
        <f>VLOOKUP(AU217,[1]expiry_dates!$B$2:$C$2894,2,FALSE)</f>
        <v>43671</v>
      </c>
      <c r="V217" s="23" t="s">
        <v>112</v>
      </c>
      <c r="W217" s="23" t="s">
        <v>23</v>
      </c>
      <c r="X217" s="49">
        <v>43650.510416666664</v>
      </c>
      <c r="Y217" s="23">
        <v>1.5</v>
      </c>
      <c r="Z217" s="23">
        <v>43651.385416666664</v>
      </c>
      <c r="AA217" s="23">
        <v>1.35</v>
      </c>
      <c r="AB217" s="23">
        <v>-0.1</v>
      </c>
      <c r="AC217" s="23">
        <v>5349.77</v>
      </c>
      <c r="AD217" s="23">
        <v>0.1</v>
      </c>
      <c r="AE217" s="23">
        <v>35665.1</v>
      </c>
      <c r="AF217" s="23">
        <v>53497.65</v>
      </c>
      <c r="AG217" s="23">
        <v>704880.32</v>
      </c>
      <c r="AH217" s="23">
        <v>17</v>
      </c>
      <c r="AI217" s="23">
        <v>314.69</v>
      </c>
      <c r="AJ217" s="23">
        <v>-3.3300000000000003E-2</v>
      </c>
      <c r="AK217" s="23">
        <v>0.1333</v>
      </c>
      <c r="AL217" s="23" t="s">
        <v>24</v>
      </c>
      <c r="AM217" s="23">
        <v>45.1</v>
      </c>
      <c r="AN217" s="23">
        <v>31564.5</v>
      </c>
      <c r="AO217" s="23">
        <v>45.75</v>
      </c>
      <c r="AP217" s="23">
        <v>0</v>
      </c>
      <c r="AR217" s="46"/>
      <c r="AS217" s="44"/>
      <c r="AT217" s="45"/>
      <c r="AU217" s="2">
        <v>43650</v>
      </c>
      <c r="AV217" s="52">
        <v>0.51041666666666663</v>
      </c>
      <c r="AW217" s="2" t="s">
        <v>213</v>
      </c>
      <c r="AY217" s="3"/>
      <c r="BA217" s="3"/>
      <c r="BG217" s="3"/>
      <c r="BH217" s="3"/>
    </row>
    <row r="218" spans="1:60">
      <c r="A218" s="23" t="s">
        <v>22</v>
      </c>
      <c r="B218" s="23" t="s">
        <v>25</v>
      </c>
      <c r="C218" s="27">
        <v>43651.385416666664</v>
      </c>
      <c r="D218" s="23">
        <v>44.9</v>
      </c>
      <c r="E218" s="27">
        <v>43651.416666666664</v>
      </c>
      <c r="F218" s="23">
        <v>44.7</v>
      </c>
      <c r="G218" s="31">
        <v>-4.4999999999999997E-3</v>
      </c>
      <c r="H218" s="23">
        <v>-223.19</v>
      </c>
      <c r="I218" s="31">
        <v>-4.4999999999999997E-3</v>
      </c>
      <c r="J218" s="23">
        <v>1115.9659999999999</v>
      </c>
      <c r="K218" s="23">
        <v>50106.89</v>
      </c>
      <c r="L218" s="23">
        <v>21487.919999999998</v>
      </c>
      <c r="M218" s="23">
        <v>4</v>
      </c>
      <c r="N218" s="23">
        <v>-55.8</v>
      </c>
      <c r="O218" s="31">
        <v>-4.4999999999999997E-3</v>
      </c>
      <c r="P218" s="31">
        <v>6.7000000000000002E-3</v>
      </c>
      <c r="Q218" s="23" t="s">
        <v>24</v>
      </c>
      <c r="R218" s="23">
        <v>0</v>
      </c>
      <c r="S218" s="23">
        <v>44.73</v>
      </c>
      <c r="U218" s="47">
        <f>VLOOKUP(AU218,[1]expiry_dates!$B$2:$C$2894,2,FALSE)</f>
        <v>43671</v>
      </c>
      <c r="V218" s="23" t="s">
        <v>109</v>
      </c>
      <c r="W218" s="23" t="s">
        <v>23</v>
      </c>
      <c r="X218" s="49">
        <v>43651.385416666664</v>
      </c>
      <c r="Y218" s="23">
        <v>1.35</v>
      </c>
      <c r="Z218" s="23">
        <v>43651.416666666664</v>
      </c>
      <c r="AA218" s="23">
        <v>1.65</v>
      </c>
      <c r="AB218" s="23">
        <v>0.22220000000000001</v>
      </c>
      <c r="AC218" s="23">
        <v>-11890.35</v>
      </c>
      <c r="AD218" s="23">
        <v>-0.22220000000000001</v>
      </c>
      <c r="AE218" s="23">
        <v>39634.5</v>
      </c>
      <c r="AF218" s="23">
        <v>53506.57</v>
      </c>
      <c r="AG218" s="23">
        <v>692989.97</v>
      </c>
      <c r="AH218" s="23">
        <v>4</v>
      </c>
      <c r="AI218" s="23">
        <v>-2972.59</v>
      </c>
      <c r="AJ218" s="23">
        <v>-0.22220000000000001</v>
      </c>
      <c r="AK218" s="23">
        <v>0</v>
      </c>
      <c r="AL218" s="23" t="s">
        <v>24</v>
      </c>
      <c r="AM218" s="23">
        <v>44.9</v>
      </c>
      <c r="AN218" s="23">
        <v>31554.2</v>
      </c>
      <c r="AO218" s="23">
        <v>44.73</v>
      </c>
      <c r="AP218" s="23">
        <v>0</v>
      </c>
      <c r="AR218" s="46"/>
      <c r="AS218" s="44"/>
      <c r="AT218" s="45"/>
      <c r="AU218" s="2">
        <v>43651</v>
      </c>
      <c r="AV218" s="52">
        <v>0.38541666666666669</v>
      </c>
      <c r="AW218" s="2" t="s">
        <v>212</v>
      </c>
      <c r="AY218" s="3"/>
      <c r="BA218" s="3"/>
      <c r="BG218" s="3"/>
      <c r="BH218" s="3"/>
    </row>
    <row r="219" spans="1:60">
      <c r="A219" s="23" t="s">
        <v>22</v>
      </c>
      <c r="B219" s="23" t="s">
        <v>23</v>
      </c>
      <c r="C219" s="27">
        <v>43651.416666666664</v>
      </c>
      <c r="D219" s="23">
        <v>44.7</v>
      </c>
      <c r="E219" s="27">
        <v>43651.510416666664</v>
      </c>
      <c r="F219" s="23">
        <v>44.6</v>
      </c>
      <c r="G219" s="31">
        <v>-2.2000000000000001E-3</v>
      </c>
      <c r="H219" s="23">
        <v>112.1</v>
      </c>
      <c r="I219" s="31">
        <v>2.2000000000000001E-3</v>
      </c>
      <c r="J219" s="23">
        <v>1120.9970000000001</v>
      </c>
      <c r="K219" s="23">
        <v>50108.55</v>
      </c>
      <c r="L219" s="23">
        <v>21600.02</v>
      </c>
      <c r="M219" s="23">
        <v>10</v>
      </c>
      <c r="N219" s="23">
        <v>11.21</v>
      </c>
      <c r="O219" s="31">
        <v>-4.4999999999999997E-3</v>
      </c>
      <c r="P219" s="31">
        <v>1.7899999999999999E-2</v>
      </c>
      <c r="Q219" s="23" t="s">
        <v>24</v>
      </c>
      <c r="R219" s="23">
        <v>0</v>
      </c>
      <c r="S219" s="23">
        <v>45.18</v>
      </c>
      <c r="U219" s="47">
        <f>VLOOKUP(AU219,[1]expiry_dates!$B$2:$C$2894,2,FALSE)</f>
        <v>43671</v>
      </c>
      <c r="V219" s="23" t="s">
        <v>112</v>
      </c>
      <c r="W219" s="23" t="s">
        <v>23</v>
      </c>
      <c r="X219" s="49">
        <v>43651.416666666664</v>
      </c>
      <c r="Y219" s="23">
        <v>1.1000000000000001</v>
      </c>
      <c r="Z219" s="23">
        <v>43651.510416666664</v>
      </c>
      <c r="AA219" s="23">
        <v>1.25</v>
      </c>
      <c r="AB219" s="23">
        <v>0.13639999999999999</v>
      </c>
      <c r="AC219" s="23">
        <v>-7298.78</v>
      </c>
      <c r="AD219" s="23">
        <v>-0.13639999999999999</v>
      </c>
      <c r="AE219" s="23">
        <v>48658.55</v>
      </c>
      <c r="AF219" s="23">
        <v>53524.4</v>
      </c>
      <c r="AG219" s="23">
        <v>685691.19</v>
      </c>
      <c r="AH219" s="23">
        <v>10</v>
      </c>
      <c r="AI219" s="23">
        <v>-729.88</v>
      </c>
      <c r="AJ219" s="23">
        <v>-0.18179999999999999</v>
      </c>
      <c r="AK219" s="23">
        <v>0.13639999999999999</v>
      </c>
      <c r="AL219" s="23" t="s">
        <v>24</v>
      </c>
      <c r="AM219" s="23">
        <v>44.7</v>
      </c>
      <c r="AN219" s="23">
        <v>31534.799999999999</v>
      </c>
      <c r="AO219" s="23">
        <v>45.18</v>
      </c>
      <c r="AP219" s="23">
        <v>0</v>
      </c>
      <c r="AR219" s="46"/>
      <c r="AS219" s="44"/>
      <c r="AT219" s="45"/>
      <c r="AU219" s="2">
        <v>43651</v>
      </c>
      <c r="AV219" s="52">
        <v>0.41666666666666669</v>
      </c>
      <c r="AW219" s="2" t="s">
        <v>212</v>
      </c>
      <c r="AY219" s="3"/>
      <c r="BA219" s="3"/>
      <c r="BG219" s="3"/>
      <c r="BH219" s="3"/>
    </row>
    <row r="220" spans="1:60">
      <c r="A220" s="23" t="s">
        <v>22</v>
      </c>
      <c r="B220" s="23" t="s">
        <v>25</v>
      </c>
      <c r="C220" s="27">
        <v>43651.510416666664</v>
      </c>
      <c r="D220" s="23">
        <v>44.6</v>
      </c>
      <c r="E220" s="27">
        <v>43651.541666666664</v>
      </c>
      <c r="F220" s="23">
        <v>43.85</v>
      </c>
      <c r="G220" s="31">
        <v>-1.6799999999999999E-2</v>
      </c>
      <c r="H220" s="23">
        <v>-842.65</v>
      </c>
      <c r="I220" s="31">
        <v>-1.6799999999999999E-2</v>
      </c>
      <c r="J220" s="23">
        <v>1123.5360000000001</v>
      </c>
      <c r="K220" s="23">
        <v>50109.68</v>
      </c>
      <c r="L220" s="23">
        <v>20757.37</v>
      </c>
      <c r="M220" s="23">
        <v>4</v>
      </c>
      <c r="N220" s="23">
        <v>-210.66</v>
      </c>
      <c r="O220" s="31">
        <v>-1.6799999999999999E-2</v>
      </c>
      <c r="P220" s="31">
        <v>3.3999999999999998E-3</v>
      </c>
      <c r="Q220" s="23" t="s">
        <v>24</v>
      </c>
      <c r="R220" s="23">
        <v>0</v>
      </c>
      <c r="S220" s="23">
        <v>43.9</v>
      </c>
      <c r="U220" s="47">
        <f>VLOOKUP(AU220,[1]expiry_dates!$B$2:$C$2894,2,FALSE)</f>
        <v>43671</v>
      </c>
      <c r="V220" s="23" t="s">
        <v>113</v>
      </c>
      <c r="W220" s="23" t="s">
        <v>23</v>
      </c>
      <c r="X220" s="49">
        <v>43651.510416666664</v>
      </c>
      <c r="Y220" s="23">
        <v>0.2</v>
      </c>
      <c r="Z220" s="23">
        <v>43651.541666666664</v>
      </c>
      <c r="AA220" s="23">
        <v>0.2</v>
      </c>
      <c r="AB220" s="23">
        <v>0</v>
      </c>
      <c r="AC220" s="23">
        <v>0</v>
      </c>
      <c r="AD220" s="23">
        <v>0</v>
      </c>
      <c r="AE220" s="23">
        <v>267385.59999999998</v>
      </c>
      <c r="AF220" s="23">
        <v>53477.11</v>
      </c>
      <c r="AG220" s="23">
        <v>685691.19</v>
      </c>
      <c r="AH220" s="23">
        <v>4</v>
      </c>
      <c r="AI220" s="23">
        <v>0</v>
      </c>
      <c r="AJ220" s="23">
        <v>0</v>
      </c>
      <c r="AK220" s="23">
        <v>0</v>
      </c>
      <c r="AL220" s="23" t="s">
        <v>24</v>
      </c>
      <c r="AM220" s="23">
        <v>44.6</v>
      </c>
      <c r="AN220" s="23">
        <v>31577.85</v>
      </c>
      <c r="AO220" s="23">
        <v>43.9</v>
      </c>
      <c r="AP220" s="23">
        <v>0</v>
      </c>
      <c r="AR220" s="46"/>
      <c r="AS220" s="44"/>
      <c r="AT220" s="45"/>
      <c r="AU220" s="2">
        <v>43651</v>
      </c>
      <c r="AV220" s="52">
        <v>0.51041666666666663</v>
      </c>
      <c r="AW220" s="2" t="s">
        <v>213</v>
      </c>
      <c r="AY220" s="3"/>
      <c r="BA220" s="3"/>
      <c r="BG220" s="3"/>
      <c r="BH220" s="3"/>
    </row>
    <row r="221" spans="1:60">
      <c r="A221" s="23" t="s">
        <v>22</v>
      </c>
      <c r="B221" s="23" t="s">
        <v>23</v>
      </c>
      <c r="C221" s="27">
        <v>43651.541666666664</v>
      </c>
      <c r="D221" s="23">
        <v>43.85</v>
      </c>
      <c r="E221" s="27">
        <v>43655.427083333336</v>
      </c>
      <c r="F221" s="23">
        <v>42</v>
      </c>
      <c r="G221" s="31">
        <v>-4.2200000000000001E-2</v>
      </c>
      <c r="H221" s="23">
        <v>2113.94</v>
      </c>
      <c r="I221" s="31">
        <v>4.2200000000000001E-2</v>
      </c>
      <c r="J221" s="23">
        <v>1142.6690000000001</v>
      </c>
      <c r="K221" s="23">
        <v>50106.03</v>
      </c>
      <c r="L221" s="23">
        <v>22871.31</v>
      </c>
      <c r="M221" s="23">
        <v>46</v>
      </c>
      <c r="N221" s="23">
        <v>45.96</v>
      </c>
      <c r="O221" s="31">
        <v>-1.03E-2</v>
      </c>
      <c r="P221" s="31">
        <v>8.1000000000000003E-2</v>
      </c>
      <c r="Q221" s="23" t="s">
        <v>24</v>
      </c>
      <c r="R221" s="23">
        <v>0</v>
      </c>
      <c r="S221" s="23">
        <v>44.73</v>
      </c>
      <c r="U221" s="47">
        <f>VLOOKUP(AU221,[1]expiry_dates!$B$2:$C$2894,2,FALSE)</f>
        <v>43671</v>
      </c>
      <c r="V221" s="23" t="s">
        <v>114</v>
      </c>
      <c r="W221" s="23" t="s">
        <v>23</v>
      </c>
      <c r="X221" s="49">
        <v>43651.541666666664</v>
      </c>
      <c r="Y221" s="23">
        <v>1.8</v>
      </c>
      <c r="Z221" s="23">
        <v>43655.427083333336</v>
      </c>
      <c r="AA221" s="23">
        <v>0.85</v>
      </c>
      <c r="AB221" s="23">
        <v>-0.52780000000000005</v>
      </c>
      <c r="AC221" s="23">
        <v>28198.35</v>
      </c>
      <c r="AD221" s="23">
        <v>0.52780000000000005</v>
      </c>
      <c r="AE221" s="23">
        <v>29682.48</v>
      </c>
      <c r="AF221" s="23">
        <v>53428.46</v>
      </c>
      <c r="AG221" s="23">
        <v>713889.54</v>
      </c>
      <c r="AH221" s="23">
        <v>46</v>
      </c>
      <c r="AI221" s="23">
        <v>613.01</v>
      </c>
      <c r="AJ221" s="23">
        <v>-0.27779999999999999</v>
      </c>
      <c r="AK221" s="23">
        <v>0.63890000000000002</v>
      </c>
      <c r="AL221" s="23" t="s">
        <v>24</v>
      </c>
      <c r="AM221" s="23">
        <v>43.85</v>
      </c>
      <c r="AN221" s="23">
        <v>31408.35</v>
      </c>
      <c r="AO221" s="23">
        <v>44.73</v>
      </c>
      <c r="AP221" s="23">
        <v>0</v>
      </c>
      <c r="AR221" s="46"/>
      <c r="AS221" s="44"/>
      <c r="AT221" s="45"/>
      <c r="AU221" s="2">
        <v>43651</v>
      </c>
      <c r="AV221" s="52">
        <v>4.1666666666666664E-2</v>
      </c>
      <c r="AW221" s="2" t="s">
        <v>213</v>
      </c>
      <c r="AY221" s="3"/>
      <c r="BA221" s="3"/>
      <c r="BG221" s="3"/>
      <c r="BH221" s="3"/>
    </row>
    <row r="222" spans="1:60">
      <c r="A222" s="23" t="s">
        <v>22</v>
      </c>
      <c r="B222" s="23" t="s">
        <v>25</v>
      </c>
      <c r="C222" s="27">
        <v>43655.427083333336</v>
      </c>
      <c r="D222" s="23">
        <v>42</v>
      </c>
      <c r="E222" s="27">
        <v>43656.416666666664</v>
      </c>
      <c r="F222" s="23">
        <v>42.55</v>
      </c>
      <c r="G222" s="31">
        <v>1.3100000000000001E-2</v>
      </c>
      <c r="H222" s="23">
        <v>656.26</v>
      </c>
      <c r="I222" s="31">
        <v>1.3100000000000001E-2</v>
      </c>
      <c r="J222" s="23">
        <v>1193.192</v>
      </c>
      <c r="K222" s="23">
        <v>50114.07</v>
      </c>
      <c r="L222" s="23">
        <v>23527.57</v>
      </c>
      <c r="M222" s="23">
        <v>28</v>
      </c>
      <c r="N222" s="23">
        <v>23.44</v>
      </c>
      <c r="O222" s="31">
        <v>-1.1999999999999999E-3</v>
      </c>
      <c r="P222" s="31">
        <v>3.5700000000000003E-2</v>
      </c>
      <c r="Q222" s="23" t="s">
        <v>24</v>
      </c>
      <c r="R222" s="23">
        <v>0</v>
      </c>
      <c r="S222" s="23">
        <v>40.380000000000003</v>
      </c>
      <c r="U222" s="47">
        <f>VLOOKUP(AU222,[1]expiry_dates!$B$2:$C$2894,2,FALSE)</f>
        <v>43671</v>
      </c>
      <c r="V222" s="23" t="s">
        <v>115</v>
      </c>
      <c r="W222" s="23" t="s">
        <v>23</v>
      </c>
      <c r="X222" s="49">
        <v>43655.427083333336</v>
      </c>
      <c r="Y222" s="23">
        <v>1.2</v>
      </c>
      <c r="Z222" s="23">
        <v>43656.416666666664</v>
      </c>
      <c r="AA222" s="23">
        <v>0.9</v>
      </c>
      <c r="AB222" s="23">
        <v>-0.25</v>
      </c>
      <c r="AC222" s="23">
        <v>13396.07</v>
      </c>
      <c r="AD222" s="23">
        <v>0.25</v>
      </c>
      <c r="AE222" s="23">
        <v>44653.57</v>
      </c>
      <c r="AF222" s="23">
        <v>53584.29</v>
      </c>
      <c r="AG222" s="23">
        <v>727285.61</v>
      </c>
      <c r="AH222" s="23">
        <v>28</v>
      </c>
      <c r="AI222" s="23">
        <v>478.43</v>
      </c>
      <c r="AJ222" s="23">
        <v>0</v>
      </c>
      <c r="AK222" s="23">
        <v>0.41670000000000001</v>
      </c>
      <c r="AL222" s="23" t="s">
        <v>24</v>
      </c>
      <c r="AM222" s="23">
        <v>42</v>
      </c>
      <c r="AN222" s="23">
        <v>30386.799999999999</v>
      </c>
      <c r="AO222" s="23">
        <v>40.380000000000003</v>
      </c>
      <c r="AP222" s="23">
        <v>0</v>
      </c>
      <c r="AR222" s="46"/>
      <c r="AS222" s="44"/>
      <c r="AT222" s="45"/>
      <c r="AU222" s="2">
        <v>43655</v>
      </c>
      <c r="AV222" s="52">
        <v>0.42708333333333331</v>
      </c>
      <c r="AW222" s="2" t="s">
        <v>212</v>
      </c>
      <c r="AY222" s="3"/>
      <c r="BA222" s="3"/>
      <c r="BG222" s="3"/>
      <c r="BH222" s="3"/>
    </row>
    <row r="223" spans="1:60">
      <c r="A223" s="23" t="s">
        <v>22</v>
      </c>
      <c r="B223" s="23" t="s">
        <v>23</v>
      </c>
      <c r="C223" s="27">
        <v>43656.416666666664</v>
      </c>
      <c r="D223" s="23">
        <v>42.55</v>
      </c>
      <c r="E223" s="27">
        <v>43656.510416666664</v>
      </c>
      <c r="F223" s="23">
        <v>43.05</v>
      </c>
      <c r="G223" s="31">
        <v>1.18E-2</v>
      </c>
      <c r="H223" s="23">
        <v>-588.94000000000005</v>
      </c>
      <c r="I223" s="31">
        <v>-1.18E-2</v>
      </c>
      <c r="J223" s="23">
        <v>1177.874</v>
      </c>
      <c r="K223" s="23">
        <v>50118.54</v>
      </c>
      <c r="L223" s="23">
        <v>22938.63</v>
      </c>
      <c r="M223" s="23">
        <v>10</v>
      </c>
      <c r="N223" s="23">
        <v>-58.89</v>
      </c>
      <c r="O223" s="31">
        <v>-1.18E-2</v>
      </c>
      <c r="P223" s="31">
        <v>5.8999999999999999E-3</v>
      </c>
      <c r="Q223" s="23" t="s">
        <v>24</v>
      </c>
      <c r="R223" s="23">
        <v>0</v>
      </c>
      <c r="S223" s="23">
        <v>43.48</v>
      </c>
      <c r="U223" s="47">
        <f>VLOOKUP(AU223,[1]expiry_dates!$B$2:$C$2894,2,FALSE)</f>
        <v>43671</v>
      </c>
      <c r="V223" s="23" t="s">
        <v>116</v>
      </c>
      <c r="W223" s="23" t="s">
        <v>23</v>
      </c>
      <c r="X223" s="49">
        <v>43656.416666666664</v>
      </c>
      <c r="Y223" s="23">
        <v>1.3</v>
      </c>
      <c r="Z223" s="23">
        <v>43656.510416666664</v>
      </c>
      <c r="AA223" s="23">
        <v>1.4</v>
      </c>
      <c r="AB223" s="23">
        <v>7.6899999999999996E-2</v>
      </c>
      <c r="AC223" s="23">
        <v>-4125.88</v>
      </c>
      <c r="AD223" s="23">
        <v>-7.6899999999999996E-2</v>
      </c>
      <c r="AE223" s="23">
        <v>41258.79</v>
      </c>
      <c r="AF223" s="23">
        <v>53636.43</v>
      </c>
      <c r="AG223" s="23">
        <v>723159.73</v>
      </c>
      <c r="AH223" s="23">
        <v>10</v>
      </c>
      <c r="AI223" s="23">
        <v>-412.59</v>
      </c>
      <c r="AJ223" s="23">
        <v>-7.6899999999999996E-2</v>
      </c>
      <c r="AK223" s="23">
        <v>3.85E-2</v>
      </c>
      <c r="AL223" s="23" t="s">
        <v>24</v>
      </c>
      <c r="AM223" s="23">
        <v>42.55</v>
      </c>
      <c r="AN223" s="23">
        <v>30659.05</v>
      </c>
      <c r="AO223" s="23">
        <v>43.48</v>
      </c>
      <c r="AP223" s="23">
        <v>0</v>
      </c>
      <c r="AR223" s="46"/>
      <c r="AS223" s="44"/>
      <c r="AT223" s="45"/>
      <c r="AU223" s="2">
        <v>43656</v>
      </c>
      <c r="AV223" s="52">
        <v>0.41666666666666669</v>
      </c>
      <c r="AW223" s="2" t="s">
        <v>212</v>
      </c>
      <c r="AY223" s="3"/>
      <c r="BA223" s="3"/>
      <c r="BG223" s="3"/>
      <c r="BH223" s="3"/>
    </row>
    <row r="224" spans="1:60">
      <c r="A224" s="23" t="s">
        <v>22</v>
      </c>
      <c r="B224" s="23" t="s">
        <v>25</v>
      </c>
      <c r="C224" s="27">
        <v>43656.510416666664</v>
      </c>
      <c r="D224" s="23">
        <v>43.05</v>
      </c>
      <c r="E224" s="27">
        <v>43656.604166666664</v>
      </c>
      <c r="F224" s="23">
        <v>42.8</v>
      </c>
      <c r="G224" s="31">
        <v>-5.7999999999999996E-3</v>
      </c>
      <c r="H224" s="23">
        <v>-291.04000000000002</v>
      </c>
      <c r="I224" s="31">
        <v>-5.7999999999999996E-3</v>
      </c>
      <c r="J224" s="23">
        <v>1164.1590000000001</v>
      </c>
      <c r="K224" s="23">
        <v>50117.05</v>
      </c>
      <c r="L224" s="23">
        <v>22647.59</v>
      </c>
      <c r="M224" s="23">
        <v>10</v>
      </c>
      <c r="N224" s="23">
        <v>-29.1</v>
      </c>
      <c r="O224" s="31">
        <v>-1.0500000000000001E-2</v>
      </c>
      <c r="P224" s="31">
        <v>5.7999999999999996E-3</v>
      </c>
      <c r="Q224" s="23" t="s">
        <v>24</v>
      </c>
      <c r="R224" s="23">
        <v>0</v>
      </c>
      <c r="S224" s="23">
        <v>42.3</v>
      </c>
      <c r="U224" s="47">
        <f>VLOOKUP(AU224,[1]expiry_dates!$B$2:$C$2894,2,FALSE)</f>
        <v>43671</v>
      </c>
      <c r="V224" s="23" t="s">
        <v>134</v>
      </c>
      <c r="W224" s="23" t="s">
        <v>23</v>
      </c>
      <c r="X224" s="49">
        <v>43656.510416666664</v>
      </c>
      <c r="Y224" s="23">
        <v>0.5</v>
      </c>
      <c r="Z224" s="23">
        <v>43656.604166666664</v>
      </c>
      <c r="AA224" s="23">
        <v>0.45</v>
      </c>
      <c r="AB224" s="23">
        <v>-0.1</v>
      </c>
      <c r="AC224" s="23">
        <v>5361.58</v>
      </c>
      <c r="AD224" s="23">
        <v>0.1</v>
      </c>
      <c r="AE224" s="23">
        <v>107231.6</v>
      </c>
      <c r="AF224" s="23">
        <v>53615.8</v>
      </c>
      <c r="AG224" s="23">
        <v>728521.31</v>
      </c>
      <c r="AH224" s="23">
        <v>10</v>
      </c>
      <c r="AI224" s="23">
        <v>536.16</v>
      </c>
      <c r="AJ224" s="23">
        <v>-0.3</v>
      </c>
      <c r="AK224" s="23">
        <v>0.1</v>
      </c>
      <c r="AL224" s="23" t="s">
        <v>24</v>
      </c>
      <c r="AM224" s="23">
        <v>43.05</v>
      </c>
      <c r="AN224" s="23">
        <v>30540.85</v>
      </c>
      <c r="AO224" s="23">
        <v>42.3</v>
      </c>
      <c r="AP224" s="23">
        <v>0</v>
      </c>
      <c r="AR224" s="46"/>
      <c r="AS224" s="44"/>
      <c r="AT224" s="45"/>
      <c r="AU224" s="2">
        <v>43656</v>
      </c>
      <c r="AV224" s="52">
        <v>0.51041666666666663</v>
      </c>
      <c r="AW224" s="2" t="s">
        <v>213</v>
      </c>
      <c r="AY224" s="3"/>
      <c r="BA224" s="3"/>
      <c r="BG224" s="3"/>
      <c r="BH224" s="3"/>
    </row>
    <row r="225" spans="1:60">
      <c r="A225" s="23" t="s">
        <v>22</v>
      </c>
      <c r="B225" s="23" t="s">
        <v>23</v>
      </c>
      <c r="C225" s="27">
        <v>43656.604166666664</v>
      </c>
      <c r="D225" s="23">
        <v>42.8</v>
      </c>
      <c r="E225" s="27">
        <v>43657.385416666664</v>
      </c>
      <c r="F225" s="23">
        <v>42.8</v>
      </c>
      <c r="G225" s="31">
        <v>0</v>
      </c>
      <c r="H225" s="23">
        <v>0</v>
      </c>
      <c r="I225" s="31">
        <v>0</v>
      </c>
      <c r="J225" s="23">
        <v>1170.924</v>
      </c>
      <c r="K225" s="23">
        <v>50115.57</v>
      </c>
      <c r="L225" s="23">
        <v>22647.59</v>
      </c>
      <c r="M225" s="23">
        <v>8</v>
      </c>
      <c r="N225" s="23">
        <v>0</v>
      </c>
      <c r="O225" s="31">
        <v>-9.2999999999999992E-3</v>
      </c>
      <c r="P225" s="31">
        <v>5.7999999999999996E-3</v>
      </c>
      <c r="Q225" s="23" t="s">
        <v>24</v>
      </c>
      <c r="R225" s="23">
        <v>0</v>
      </c>
      <c r="S225" s="23">
        <v>43.29</v>
      </c>
      <c r="U225" s="47">
        <f>VLOOKUP(AU225,[1]expiry_dates!$B$2:$C$2894,2,FALSE)</f>
        <v>43671</v>
      </c>
      <c r="V225" s="23" t="s">
        <v>114</v>
      </c>
      <c r="W225" s="23" t="s">
        <v>23</v>
      </c>
      <c r="X225" s="49">
        <v>43656.604166666664</v>
      </c>
      <c r="Y225" s="23">
        <v>0.95</v>
      </c>
      <c r="Z225" s="23">
        <v>43657.385416666664</v>
      </c>
      <c r="AA225" s="23">
        <v>0.9</v>
      </c>
      <c r="AB225" s="23">
        <v>-5.2600000000000001E-2</v>
      </c>
      <c r="AC225" s="23">
        <v>2823.3</v>
      </c>
      <c r="AD225" s="23">
        <v>5.2600000000000001E-2</v>
      </c>
      <c r="AE225" s="23">
        <v>56465.9</v>
      </c>
      <c r="AF225" s="23">
        <v>53642.61</v>
      </c>
      <c r="AG225" s="23">
        <v>731344.61</v>
      </c>
      <c r="AH225" s="23">
        <v>8</v>
      </c>
      <c r="AI225" s="23">
        <v>352.91</v>
      </c>
      <c r="AJ225" s="23">
        <v>-0.15790000000000001</v>
      </c>
      <c r="AK225" s="23">
        <v>0.1053</v>
      </c>
      <c r="AL225" s="23" t="s">
        <v>24</v>
      </c>
      <c r="AM225" s="23">
        <v>42.8</v>
      </c>
      <c r="AN225" s="23">
        <v>30535.95</v>
      </c>
      <c r="AO225" s="23">
        <v>43.29</v>
      </c>
      <c r="AP225" s="23">
        <v>0</v>
      </c>
      <c r="AR225" s="46"/>
      <c r="AS225" s="44"/>
      <c r="AT225" s="45"/>
      <c r="AU225" s="2">
        <v>43656</v>
      </c>
      <c r="AV225" s="52">
        <v>0.10416666666666667</v>
      </c>
      <c r="AW225" s="2" t="s">
        <v>213</v>
      </c>
      <c r="AY225" s="3"/>
      <c r="BA225" s="3"/>
      <c r="BG225" s="3"/>
      <c r="BH225" s="3"/>
    </row>
    <row r="226" spans="1:60">
      <c r="A226" s="23" t="s">
        <v>22</v>
      </c>
      <c r="B226" s="23" t="s">
        <v>25</v>
      </c>
      <c r="C226" s="27">
        <v>43657.385416666664</v>
      </c>
      <c r="D226" s="23">
        <v>42.8</v>
      </c>
      <c r="E226" s="27">
        <v>43657.40625</v>
      </c>
      <c r="F226" s="23">
        <v>42.75</v>
      </c>
      <c r="G226" s="31">
        <v>-1.1999999999999999E-3</v>
      </c>
      <c r="H226" s="23">
        <v>-58.54</v>
      </c>
      <c r="I226" s="31">
        <v>-1.1999999999999999E-3</v>
      </c>
      <c r="J226" s="23">
        <v>1170.8219999999999</v>
      </c>
      <c r="K226" s="23">
        <v>50111.19</v>
      </c>
      <c r="L226" s="23">
        <v>22589.05</v>
      </c>
      <c r="M226" s="23">
        <v>3</v>
      </c>
      <c r="N226" s="23">
        <v>-19.510000000000002</v>
      </c>
      <c r="O226" s="31">
        <v>-2.3E-3</v>
      </c>
      <c r="P226" s="31">
        <v>7.0000000000000001E-3</v>
      </c>
      <c r="Q226" s="23" t="s">
        <v>24</v>
      </c>
      <c r="R226" s="23">
        <v>0</v>
      </c>
      <c r="S226" s="23">
        <v>42.59</v>
      </c>
      <c r="U226" s="47">
        <f>VLOOKUP(AU226,[1]expiry_dates!$B$2:$C$2894,2,FALSE)</f>
        <v>43671</v>
      </c>
      <c r="V226" s="23" t="s">
        <v>115</v>
      </c>
      <c r="W226" s="23" t="s">
        <v>23</v>
      </c>
      <c r="X226" s="49">
        <v>43657.395833333336</v>
      </c>
      <c r="Y226" s="23">
        <v>0.9</v>
      </c>
      <c r="Z226" s="23">
        <v>43657.40625</v>
      </c>
      <c r="AA226" s="23">
        <v>0.9</v>
      </c>
      <c r="AB226" s="23">
        <v>0</v>
      </c>
      <c r="AC226" s="23">
        <v>0</v>
      </c>
      <c r="AD226" s="23">
        <v>0</v>
      </c>
      <c r="AE226" s="23">
        <v>59618.58</v>
      </c>
      <c r="AF226" s="23">
        <v>53656.72</v>
      </c>
      <c r="AG226" s="23">
        <v>731344.61</v>
      </c>
      <c r="AH226" s="23">
        <v>2</v>
      </c>
      <c r="AI226" s="23">
        <v>0</v>
      </c>
      <c r="AJ226" s="23">
        <v>0</v>
      </c>
      <c r="AK226" s="23">
        <v>5.5599999999999997E-2</v>
      </c>
      <c r="AL226" s="23" t="s">
        <v>24</v>
      </c>
      <c r="AM226" s="23">
        <v>42.75</v>
      </c>
      <c r="AN226" s="23">
        <v>30581.7</v>
      </c>
      <c r="AO226" s="23">
        <v>42.62</v>
      </c>
      <c r="AP226" s="23">
        <v>0</v>
      </c>
      <c r="AR226" s="46"/>
      <c r="AS226" s="44"/>
      <c r="AT226" s="45"/>
      <c r="AU226" s="2">
        <v>43657</v>
      </c>
      <c r="AV226" s="52">
        <v>0.39583333333333331</v>
      </c>
      <c r="AW226" s="2" t="s">
        <v>212</v>
      </c>
      <c r="AY226" s="3"/>
      <c r="BA226" s="3"/>
      <c r="BG226" s="3"/>
      <c r="BH226" s="3"/>
    </row>
    <row r="227" spans="1:60">
      <c r="A227" s="23" t="s">
        <v>22</v>
      </c>
      <c r="B227" s="23" t="s">
        <v>23</v>
      </c>
      <c r="C227" s="27">
        <v>43657.40625</v>
      </c>
      <c r="D227" s="23">
        <v>42.75</v>
      </c>
      <c r="E227" s="27">
        <v>43657.541666666664</v>
      </c>
      <c r="F227" s="23">
        <v>42.9</v>
      </c>
      <c r="G227" s="31">
        <v>3.5000000000000001E-3</v>
      </c>
      <c r="H227" s="23">
        <v>-175.83</v>
      </c>
      <c r="I227" s="31">
        <v>-3.5000000000000001E-3</v>
      </c>
      <c r="J227" s="23">
        <v>1172.2329999999999</v>
      </c>
      <c r="K227" s="23">
        <v>50112.95</v>
      </c>
      <c r="L227" s="23">
        <v>22413.21</v>
      </c>
      <c r="M227" s="23">
        <v>14</v>
      </c>
      <c r="N227" s="23">
        <v>-12.56</v>
      </c>
      <c r="O227" s="31">
        <v>-3.5000000000000001E-3</v>
      </c>
      <c r="P227" s="31">
        <v>8.2000000000000007E-3</v>
      </c>
      <c r="Q227" s="23" t="s">
        <v>24</v>
      </c>
      <c r="R227" s="23">
        <v>0</v>
      </c>
      <c r="S227" s="23">
        <v>43.14</v>
      </c>
      <c r="U227" s="47">
        <f>VLOOKUP(AU227,[1]expiry_dates!$B$2:$C$2894,2,FALSE)</f>
        <v>43671</v>
      </c>
      <c r="V227" s="23" t="s">
        <v>116</v>
      </c>
      <c r="W227" s="23" t="s">
        <v>23</v>
      </c>
      <c r="X227" s="49">
        <v>43657.40625</v>
      </c>
      <c r="Y227" s="23">
        <v>1.3</v>
      </c>
      <c r="Z227" s="23">
        <v>43657.541666666664</v>
      </c>
      <c r="AA227" s="23">
        <v>1.4</v>
      </c>
      <c r="AB227" s="23">
        <v>7.6899999999999996E-2</v>
      </c>
      <c r="AC227" s="23">
        <v>-4127.4399999999996</v>
      </c>
      <c r="AD227" s="23">
        <v>-7.6899999999999996E-2</v>
      </c>
      <c r="AE227" s="23">
        <v>41274.400000000001</v>
      </c>
      <c r="AF227" s="23">
        <v>53656.72</v>
      </c>
      <c r="AG227" s="23">
        <v>727217.17</v>
      </c>
      <c r="AH227" s="23">
        <v>14</v>
      </c>
      <c r="AI227" s="23">
        <v>-294.82</v>
      </c>
      <c r="AJ227" s="23">
        <v>-0.1154</v>
      </c>
      <c r="AK227" s="23">
        <v>3.85E-2</v>
      </c>
      <c r="AL227" s="23" t="s">
        <v>24</v>
      </c>
      <c r="AM227" s="23">
        <v>42.75</v>
      </c>
      <c r="AN227" s="23">
        <v>30621.599999999999</v>
      </c>
      <c r="AO227" s="23">
        <v>43.14</v>
      </c>
      <c r="AP227" s="23">
        <v>0</v>
      </c>
      <c r="AR227" s="46"/>
      <c r="AS227" s="44"/>
      <c r="AT227" s="45"/>
      <c r="AU227" s="2">
        <v>43657</v>
      </c>
      <c r="AV227" s="52">
        <v>0.40625</v>
      </c>
      <c r="AW227" s="2" t="s">
        <v>212</v>
      </c>
      <c r="AY227" s="3"/>
      <c r="BA227" s="3"/>
      <c r="BG227" s="3"/>
      <c r="BH227" s="3"/>
    </row>
    <row r="228" spans="1:60">
      <c r="A228" s="23" t="s">
        <v>22</v>
      </c>
      <c r="B228" s="23" t="s">
        <v>25</v>
      </c>
      <c r="C228" s="27">
        <v>43657.541666666664</v>
      </c>
      <c r="D228" s="23">
        <v>42.9</v>
      </c>
      <c r="E228" s="27">
        <v>43657.614583333336</v>
      </c>
      <c r="F228" s="23">
        <v>42.6</v>
      </c>
      <c r="G228" s="31">
        <v>-7.0000000000000001E-3</v>
      </c>
      <c r="H228" s="23">
        <v>-350.44</v>
      </c>
      <c r="I228" s="31">
        <v>-7.0000000000000001E-3</v>
      </c>
      <c r="J228" s="23">
        <v>1168.1410000000001</v>
      </c>
      <c r="K228" s="23">
        <v>50113.24</v>
      </c>
      <c r="L228" s="23">
        <v>22062.77</v>
      </c>
      <c r="M228" s="23">
        <v>8</v>
      </c>
      <c r="N228" s="23">
        <v>-43.81</v>
      </c>
      <c r="O228" s="31">
        <v>-7.0000000000000001E-3</v>
      </c>
      <c r="P228" s="31">
        <v>2.3E-3</v>
      </c>
      <c r="Q228" s="23" t="s">
        <v>24</v>
      </c>
      <c r="R228" s="23">
        <v>0</v>
      </c>
      <c r="S228" s="23">
        <v>42.42</v>
      </c>
      <c r="U228" s="47">
        <f>VLOOKUP(AU228,[1]expiry_dates!$B$2:$C$2894,2,FALSE)</f>
        <v>43671</v>
      </c>
      <c r="V228" s="23" t="s">
        <v>115</v>
      </c>
      <c r="W228" s="23" t="s">
        <v>23</v>
      </c>
      <c r="X228" s="49">
        <v>43657.541666666664</v>
      </c>
      <c r="Y228" s="23">
        <v>0.85</v>
      </c>
      <c r="Z228" s="23">
        <v>43657.614583333336</v>
      </c>
      <c r="AA228" s="23">
        <v>0.85</v>
      </c>
      <c r="AB228" s="23">
        <v>0</v>
      </c>
      <c r="AC228" s="23">
        <v>0</v>
      </c>
      <c r="AD228" s="23">
        <v>0</v>
      </c>
      <c r="AE228" s="23">
        <v>63125.55</v>
      </c>
      <c r="AF228" s="23">
        <v>53656.72</v>
      </c>
      <c r="AG228" s="23">
        <v>727217.17</v>
      </c>
      <c r="AH228" s="23">
        <v>8</v>
      </c>
      <c r="AI228" s="23">
        <v>0</v>
      </c>
      <c r="AJ228" s="23">
        <v>-0.17649999999999999</v>
      </c>
      <c r="AK228" s="23">
        <v>0</v>
      </c>
      <c r="AL228" s="23" t="s">
        <v>24</v>
      </c>
      <c r="AM228" s="23">
        <v>42.9</v>
      </c>
      <c r="AN228" s="23">
        <v>30695.1</v>
      </c>
      <c r="AO228" s="23">
        <v>42.42</v>
      </c>
      <c r="AP228" s="23">
        <v>0</v>
      </c>
      <c r="AR228" s="46"/>
      <c r="AS228" s="44"/>
      <c r="AT228" s="45"/>
      <c r="AU228" s="2">
        <v>43657</v>
      </c>
      <c r="AV228" s="52">
        <v>4.1666666666666664E-2</v>
      </c>
      <c r="AW228" s="2" t="s">
        <v>213</v>
      </c>
      <c r="AY228" s="3"/>
      <c r="BA228" s="3"/>
      <c r="BG228" s="3"/>
      <c r="BH228" s="3"/>
    </row>
    <row r="229" spans="1:60">
      <c r="A229" s="23" t="s">
        <v>22</v>
      </c>
      <c r="B229" s="23" t="s">
        <v>23</v>
      </c>
      <c r="C229" s="27">
        <v>43657.614583333336</v>
      </c>
      <c r="D229" s="23">
        <v>42.6</v>
      </c>
      <c r="E229" s="27">
        <v>43658.385416666664</v>
      </c>
      <c r="F229" s="23">
        <v>42.85</v>
      </c>
      <c r="G229" s="31">
        <v>5.8999999999999999E-3</v>
      </c>
      <c r="H229" s="23">
        <v>-294.08</v>
      </c>
      <c r="I229" s="31">
        <v>-5.8999999999999999E-3</v>
      </c>
      <c r="J229" s="23">
        <v>1176.3330000000001</v>
      </c>
      <c r="K229" s="23">
        <v>50111.77</v>
      </c>
      <c r="L229" s="23">
        <v>21768.69</v>
      </c>
      <c r="M229" s="23">
        <v>7</v>
      </c>
      <c r="N229" s="23">
        <v>-42.01</v>
      </c>
      <c r="O229" s="31">
        <v>-7.0000000000000001E-3</v>
      </c>
      <c r="P229" s="31">
        <v>0</v>
      </c>
      <c r="Q229" s="23" t="s">
        <v>24</v>
      </c>
      <c r="R229" s="23">
        <v>0</v>
      </c>
      <c r="S229" s="23">
        <v>43</v>
      </c>
      <c r="U229" s="47">
        <f>VLOOKUP(AU229,[1]expiry_dates!$B$2:$C$2894,2,FALSE)</f>
        <v>43671</v>
      </c>
      <c r="V229" s="23" t="s">
        <v>117</v>
      </c>
      <c r="W229" s="23" t="s">
        <v>23</v>
      </c>
      <c r="X229" s="49">
        <v>43657.614583333336</v>
      </c>
      <c r="Y229" s="23">
        <v>0.6</v>
      </c>
      <c r="Z229" s="23">
        <v>43658.385416666664</v>
      </c>
      <c r="AA229" s="23">
        <v>0.55000000000000004</v>
      </c>
      <c r="AB229" s="23">
        <v>-8.3299999999999999E-2</v>
      </c>
      <c r="AC229" s="23">
        <v>4469.67</v>
      </c>
      <c r="AD229" s="23">
        <v>8.3299999999999999E-2</v>
      </c>
      <c r="AE229" s="23">
        <v>89393.48</v>
      </c>
      <c r="AF229" s="23">
        <v>53636.09</v>
      </c>
      <c r="AG229" s="23">
        <v>731686.84</v>
      </c>
      <c r="AH229" s="23">
        <v>7</v>
      </c>
      <c r="AI229" s="23">
        <v>638.52</v>
      </c>
      <c r="AJ229" s="23">
        <v>0</v>
      </c>
      <c r="AK229" s="23">
        <v>0.16669999999999999</v>
      </c>
      <c r="AL229" s="23" t="s">
        <v>24</v>
      </c>
      <c r="AM229" s="23">
        <v>42.6</v>
      </c>
      <c r="AN229" s="23">
        <v>30723.05</v>
      </c>
      <c r="AO229" s="23">
        <v>43</v>
      </c>
      <c r="AP229" s="23">
        <v>0</v>
      </c>
      <c r="AR229" s="46"/>
      <c r="AS229" s="44"/>
      <c r="AT229" s="45"/>
      <c r="AU229" s="2">
        <v>43657</v>
      </c>
      <c r="AV229" s="52">
        <v>0.11458333333333333</v>
      </c>
      <c r="AW229" s="2" t="s">
        <v>213</v>
      </c>
      <c r="AY229" s="3"/>
      <c r="BA229" s="3"/>
      <c r="BG229" s="3"/>
      <c r="BH229" s="3"/>
    </row>
    <row r="230" spans="1:60" s="17" customFormat="1">
      <c r="A230" s="24" t="s">
        <v>22</v>
      </c>
      <c r="B230" s="24" t="s">
        <v>25</v>
      </c>
      <c r="C230" s="28">
        <v>43658.385416666664</v>
      </c>
      <c r="D230" s="24">
        <v>42.85</v>
      </c>
      <c r="E230" s="28">
        <v>43658.395833333336</v>
      </c>
      <c r="F230" s="24">
        <v>42.6</v>
      </c>
      <c r="G230" s="32">
        <v>-5.7999999999999996E-3</v>
      </c>
      <c r="H230" s="24">
        <v>-292.35000000000002</v>
      </c>
      <c r="I230" s="32">
        <v>-5.7999999999999996E-3</v>
      </c>
      <c r="J230" s="24">
        <v>1169.4010000000001</v>
      </c>
      <c r="K230" s="24">
        <v>50108.84</v>
      </c>
      <c r="L230" s="24">
        <v>21476.34</v>
      </c>
      <c r="M230" s="24">
        <v>2</v>
      </c>
      <c r="N230" s="24">
        <v>-146.18</v>
      </c>
      <c r="O230" s="32">
        <v>-5.7999999999999996E-3</v>
      </c>
      <c r="P230" s="32">
        <v>2.3E-3</v>
      </c>
      <c r="Q230" s="24" t="s">
        <v>24</v>
      </c>
      <c r="R230" s="24">
        <v>0</v>
      </c>
      <c r="S230" s="24">
        <v>42.61</v>
      </c>
      <c r="U230" s="47" t="e">
        <f>VLOOKUP(AU230,[1]expiry_dates!$B$2:$C$2894,2,FALSE)</f>
        <v>#N/A</v>
      </c>
      <c r="V230" s="24"/>
      <c r="W230" s="24"/>
      <c r="X230" s="50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24"/>
      <c r="AO230" s="24"/>
      <c r="AP230" s="24"/>
      <c r="AR230" s="46"/>
      <c r="AS230" s="44"/>
      <c r="AT230" s="45"/>
      <c r="AU230" s="18"/>
      <c r="AW230" s="18"/>
      <c r="AY230" s="19"/>
      <c r="BA230" s="19"/>
      <c r="BG230" s="19"/>
      <c r="BH230" s="19"/>
    </row>
    <row r="231" spans="1:60">
      <c r="A231" s="23" t="s">
        <v>22</v>
      </c>
      <c r="B231" s="23" t="s">
        <v>23</v>
      </c>
      <c r="C231" s="27">
        <v>43658.395833333336</v>
      </c>
      <c r="D231" s="23">
        <v>42.6</v>
      </c>
      <c r="E231" s="27">
        <v>43658.479166666664</v>
      </c>
      <c r="F231" s="23">
        <v>42.75</v>
      </c>
      <c r="G231" s="31">
        <v>3.5000000000000001E-3</v>
      </c>
      <c r="H231" s="23">
        <v>-176.44</v>
      </c>
      <c r="I231" s="31">
        <v>-3.5000000000000001E-3</v>
      </c>
      <c r="J231" s="23">
        <v>1176.2639999999999</v>
      </c>
      <c r="K231" s="23">
        <v>50108.84</v>
      </c>
      <c r="L231" s="23">
        <v>21299.9</v>
      </c>
      <c r="M231" s="23">
        <v>9</v>
      </c>
      <c r="N231" s="23">
        <v>-19.600000000000001</v>
      </c>
      <c r="O231" s="31">
        <v>-5.8999999999999999E-3</v>
      </c>
      <c r="P231" s="31">
        <v>3.5000000000000001E-3</v>
      </c>
      <c r="Q231" s="23" t="s">
        <v>24</v>
      </c>
      <c r="R231" s="23">
        <v>0</v>
      </c>
      <c r="S231" s="23">
        <v>42.94</v>
      </c>
      <c r="U231" s="47">
        <f>VLOOKUP(AU231,[1]expiry_dates!$B$2:$C$2894,2,FALSE)</f>
        <v>43671</v>
      </c>
      <c r="V231" s="23" t="s">
        <v>116</v>
      </c>
      <c r="W231" s="23" t="s">
        <v>23</v>
      </c>
      <c r="X231" s="49">
        <v>43658.395833333336</v>
      </c>
      <c r="Y231" s="23">
        <v>1.25</v>
      </c>
      <c r="Z231" s="23">
        <v>43658.479166666664</v>
      </c>
      <c r="AA231" s="23">
        <v>1.3</v>
      </c>
      <c r="AB231" s="23">
        <v>0.04</v>
      </c>
      <c r="AC231" s="23">
        <v>-2146.34</v>
      </c>
      <c r="AD231" s="23">
        <v>-0.04</v>
      </c>
      <c r="AE231" s="23">
        <v>42926.75</v>
      </c>
      <c r="AF231" s="23">
        <v>53658.43</v>
      </c>
      <c r="AG231" s="23">
        <v>729540.5</v>
      </c>
      <c r="AH231" s="23">
        <v>9</v>
      </c>
      <c r="AI231" s="23">
        <v>-238.48</v>
      </c>
      <c r="AJ231" s="23">
        <v>-0.04</v>
      </c>
      <c r="AK231" s="23">
        <v>0</v>
      </c>
      <c r="AL231" s="23" t="s">
        <v>24</v>
      </c>
      <c r="AM231" s="23">
        <v>42.6</v>
      </c>
      <c r="AN231" s="23">
        <v>30608.95</v>
      </c>
      <c r="AO231" s="23">
        <v>42.94</v>
      </c>
      <c r="AP231" s="23">
        <v>0</v>
      </c>
      <c r="AR231" s="46"/>
      <c r="AS231" s="44"/>
      <c r="AT231" s="45"/>
      <c r="AU231" s="2">
        <v>43658</v>
      </c>
      <c r="AV231" s="52">
        <v>0.39583333333333331</v>
      </c>
      <c r="AW231" s="2" t="s">
        <v>212</v>
      </c>
      <c r="AY231" s="3"/>
      <c r="BA231" s="3"/>
      <c r="BG231" s="3"/>
      <c r="BH231" s="3"/>
    </row>
    <row r="232" spans="1:60">
      <c r="A232" s="23" t="s">
        <v>22</v>
      </c>
      <c r="B232" s="23" t="s">
        <v>25</v>
      </c>
      <c r="C232" s="27">
        <v>43658.479166666664</v>
      </c>
      <c r="D232" s="23">
        <v>42.75</v>
      </c>
      <c r="E232" s="27">
        <v>43661.385416666664</v>
      </c>
      <c r="F232" s="23">
        <v>42.85</v>
      </c>
      <c r="G232" s="31">
        <v>2.3E-3</v>
      </c>
      <c r="H232" s="23">
        <v>117.21</v>
      </c>
      <c r="I232" s="31">
        <v>2.3E-3</v>
      </c>
      <c r="J232" s="23">
        <v>1172.0889999999999</v>
      </c>
      <c r="K232" s="23">
        <v>50106.79</v>
      </c>
      <c r="L232" s="23">
        <v>21417.11</v>
      </c>
      <c r="M232" s="23">
        <v>20</v>
      </c>
      <c r="N232" s="23">
        <v>5.86</v>
      </c>
      <c r="O232" s="31">
        <v>-2.3E-3</v>
      </c>
      <c r="P232" s="31">
        <v>1.29E-2</v>
      </c>
      <c r="Q232" s="23" t="s">
        <v>24</v>
      </c>
      <c r="R232" s="23">
        <v>0</v>
      </c>
      <c r="S232" s="23">
        <v>42.46</v>
      </c>
      <c r="U232" s="47">
        <f>VLOOKUP(AU232,[1]expiry_dates!$B$2:$C$2894,2,FALSE)</f>
        <v>43671</v>
      </c>
      <c r="V232" s="23" t="s">
        <v>118</v>
      </c>
      <c r="W232" s="23" t="s">
        <v>23</v>
      </c>
      <c r="X232" s="49">
        <v>43658.479166666664</v>
      </c>
      <c r="Y232" s="23">
        <v>1.4</v>
      </c>
      <c r="Z232" s="23">
        <v>43661.385416666664</v>
      </c>
      <c r="AA232" s="23">
        <v>1.1000000000000001</v>
      </c>
      <c r="AB232" s="23">
        <v>-0.21429999999999999</v>
      </c>
      <c r="AC232" s="23">
        <v>11498.24</v>
      </c>
      <c r="AD232" s="23">
        <v>0.21429999999999999</v>
      </c>
      <c r="AE232" s="23">
        <v>38327.449999999997</v>
      </c>
      <c r="AF232" s="23">
        <v>53658.43</v>
      </c>
      <c r="AG232" s="23">
        <v>741038.74</v>
      </c>
      <c r="AH232" s="23">
        <v>20</v>
      </c>
      <c r="AI232" s="23">
        <v>574.91</v>
      </c>
      <c r="AJ232" s="23">
        <v>0</v>
      </c>
      <c r="AK232" s="23">
        <v>0.21429999999999999</v>
      </c>
      <c r="AL232" s="23" t="s">
        <v>24</v>
      </c>
      <c r="AM232" s="23">
        <v>42.75</v>
      </c>
      <c r="AN232" s="23">
        <v>30642.2</v>
      </c>
      <c r="AO232" s="23">
        <v>42.46</v>
      </c>
      <c r="AP232" s="23">
        <v>0</v>
      </c>
      <c r="AR232" s="46"/>
      <c r="AS232" s="44"/>
      <c r="AT232" s="45"/>
      <c r="AU232" s="2">
        <v>43658</v>
      </c>
      <c r="AV232" s="52">
        <v>0.47916666666666669</v>
      </c>
      <c r="AW232" s="2" t="s">
        <v>212</v>
      </c>
      <c r="AY232" s="3"/>
      <c r="BA232" s="3"/>
      <c r="BG232" s="3"/>
      <c r="BH232" s="3"/>
    </row>
    <row r="233" spans="1:60">
      <c r="A233" s="23" t="s">
        <v>22</v>
      </c>
      <c r="B233" s="23" t="s">
        <v>23</v>
      </c>
      <c r="C233" s="27">
        <v>43661.385416666664</v>
      </c>
      <c r="D233" s="23">
        <v>42.85</v>
      </c>
      <c r="E233" s="27">
        <v>43661.59375</v>
      </c>
      <c r="F233" s="23">
        <v>42.4</v>
      </c>
      <c r="G233" s="31">
        <v>-1.0500000000000001E-2</v>
      </c>
      <c r="H233" s="23">
        <v>526.22</v>
      </c>
      <c r="I233" s="31">
        <v>1.0500000000000001E-2</v>
      </c>
      <c r="J233" s="23">
        <v>1169.3810000000001</v>
      </c>
      <c r="K233" s="23">
        <v>50107.96</v>
      </c>
      <c r="L233" s="23">
        <v>21943.33</v>
      </c>
      <c r="M233" s="23">
        <v>21</v>
      </c>
      <c r="N233" s="23">
        <v>25.06</v>
      </c>
      <c r="O233" s="31">
        <v>-9.2999999999999992E-3</v>
      </c>
      <c r="P233" s="31">
        <v>2.1000000000000001E-2</v>
      </c>
      <c r="Q233" s="23" t="s">
        <v>24</v>
      </c>
      <c r="R233" s="23">
        <v>0</v>
      </c>
      <c r="S233" s="23">
        <v>43.28</v>
      </c>
      <c r="U233" s="47">
        <f>VLOOKUP(AU233,[1]expiry_dates!$B$2:$C$2894,2,FALSE)</f>
        <v>43671</v>
      </c>
      <c r="V233" s="23" t="s">
        <v>117</v>
      </c>
      <c r="W233" s="23" t="s">
        <v>23</v>
      </c>
      <c r="X233" s="49">
        <v>43661.385416666664</v>
      </c>
      <c r="Y233" s="23">
        <v>0.55000000000000004</v>
      </c>
      <c r="Z233" s="23">
        <v>43661.59375</v>
      </c>
      <c r="AA233" s="23">
        <v>0.4</v>
      </c>
      <c r="AB233" s="23">
        <v>-0.2727</v>
      </c>
      <c r="AC233" s="23">
        <v>14646.87</v>
      </c>
      <c r="AD233" s="23">
        <v>0.2727</v>
      </c>
      <c r="AE233" s="23">
        <v>97645.8</v>
      </c>
      <c r="AF233" s="23">
        <v>53705.2</v>
      </c>
      <c r="AG233" s="23">
        <v>755685.61</v>
      </c>
      <c r="AH233" s="23">
        <v>21</v>
      </c>
      <c r="AI233" s="23">
        <v>697.47</v>
      </c>
      <c r="AJ233" s="23">
        <v>-9.0899999999999995E-2</v>
      </c>
      <c r="AK233" s="23">
        <v>0.45450000000000002</v>
      </c>
      <c r="AL233" s="23" t="s">
        <v>24</v>
      </c>
      <c r="AM233" s="23">
        <v>42.85</v>
      </c>
      <c r="AN233" s="23">
        <v>30610</v>
      </c>
      <c r="AO233" s="23">
        <v>43.28</v>
      </c>
      <c r="AP233" s="23">
        <v>0</v>
      </c>
      <c r="AR233" s="46"/>
      <c r="AS233" s="44"/>
      <c r="AT233" s="45"/>
      <c r="AU233" s="2">
        <v>43661</v>
      </c>
      <c r="AV233" s="52">
        <v>0.38541666666666669</v>
      </c>
      <c r="AW233" s="2" t="s">
        <v>212</v>
      </c>
      <c r="AY233" s="3"/>
      <c r="BA233" s="3"/>
      <c r="BG233" s="3"/>
      <c r="BH233" s="3"/>
    </row>
    <row r="234" spans="1:60">
      <c r="A234" s="23" t="s">
        <v>22</v>
      </c>
      <c r="B234" s="23" t="s">
        <v>25</v>
      </c>
      <c r="C234" s="27">
        <v>43661.59375</v>
      </c>
      <c r="D234" s="23">
        <v>42.4</v>
      </c>
      <c r="E234" s="27">
        <v>43662.40625</v>
      </c>
      <c r="F234" s="23">
        <v>42.2</v>
      </c>
      <c r="G234" s="31">
        <v>-4.7000000000000002E-3</v>
      </c>
      <c r="H234" s="23">
        <v>-236.37</v>
      </c>
      <c r="I234" s="31">
        <v>-4.7000000000000002E-3</v>
      </c>
      <c r="J234" s="23">
        <v>1181.8399999999999</v>
      </c>
      <c r="K234" s="23">
        <v>50110.01</v>
      </c>
      <c r="L234" s="23">
        <v>21706.959999999999</v>
      </c>
      <c r="M234" s="23">
        <v>11</v>
      </c>
      <c r="N234" s="23">
        <v>-21.49</v>
      </c>
      <c r="O234" s="31">
        <v>-7.1000000000000004E-3</v>
      </c>
      <c r="P234" s="31">
        <v>2.3999999999999998E-3</v>
      </c>
      <c r="Q234" s="23" t="s">
        <v>24</v>
      </c>
      <c r="R234" s="23">
        <v>0</v>
      </c>
      <c r="S234" s="23">
        <v>41.96</v>
      </c>
      <c r="U234" s="47">
        <f>VLOOKUP(AU234,[1]expiry_dates!$B$2:$C$2894,2,FALSE)</f>
        <v>43671</v>
      </c>
      <c r="V234" s="23" t="s">
        <v>111</v>
      </c>
      <c r="W234" s="23" t="s">
        <v>23</v>
      </c>
      <c r="X234" s="49">
        <v>43661.59375</v>
      </c>
      <c r="Y234" s="23">
        <v>2.2000000000000002</v>
      </c>
      <c r="Z234" s="23">
        <v>43662.40625</v>
      </c>
      <c r="AA234" s="23">
        <v>2.2000000000000002</v>
      </c>
      <c r="AB234" s="23">
        <v>0</v>
      </c>
      <c r="AC234" s="23">
        <v>0</v>
      </c>
      <c r="AD234" s="23">
        <v>0</v>
      </c>
      <c r="AE234" s="23">
        <v>24444.74</v>
      </c>
      <c r="AF234" s="23">
        <v>53778.43</v>
      </c>
      <c r="AG234" s="23">
        <v>755685.61</v>
      </c>
      <c r="AH234" s="23">
        <v>11</v>
      </c>
      <c r="AI234" s="23">
        <v>0</v>
      </c>
      <c r="AJ234" s="23">
        <v>0</v>
      </c>
      <c r="AK234" s="23">
        <v>0</v>
      </c>
      <c r="AL234" s="23" t="s">
        <v>24</v>
      </c>
      <c r="AM234" s="23">
        <v>42.4</v>
      </c>
      <c r="AN234" s="23">
        <v>30447.9</v>
      </c>
      <c r="AO234" s="23">
        <v>41.96</v>
      </c>
      <c r="AP234" s="23">
        <v>0</v>
      </c>
      <c r="AR234" s="46"/>
      <c r="AS234" s="44"/>
      <c r="AT234" s="45"/>
      <c r="AU234" s="2">
        <v>43661</v>
      </c>
      <c r="AV234" s="52">
        <v>9.375E-2</v>
      </c>
      <c r="AW234" s="2" t="s">
        <v>213</v>
      </c>
      <c r="AY234" s="3"/>
      <c r="BA234" s="3"/>
      <c r="BG234" s="3"/>
      <c r="BH234" s="3"/>
    </row>
    <row r="235" spans="1:60">
      <c r="A235" s="23" t="s">
        <v>22</v>
      </c>
      <c r="B235" s="23" t="s">
        <v>23</v>
      </c>
      <c r="C235" s="27">
        <v>43662.40625</v>
      </c>
      <c r="D235" s="23">
        <v>42.2</v>
      </c>
      <c r="E235" s="27">
        <v>43662.59375</v>
      </c>
      <c r="F235" s="23">
        <v>42.05</v>
      </c>
      <c r="G235" s="31">
        <v>-3.5999999999999999E-3</v>
      </c>
      <c r="H235" s="23">
        <v>178.11</v>
      </c>
      <c r="I235" s="31">
        <v>3.5999999999999999E-3</v>
      </c>
      <c r="J235" s="23">
        <v>1187.3989999999999</v>
      </c>
      <c r="K235" s="23">
        <v>50108.24</v>
      </c>
      <c r="L235" s="23">
        <v>21885.07</v>
      </c>
      <c r="M235" s="23">
        <v>19</v>
      </c>
      <c r="N235" s="23">
        <v>9.3699999999999992</v>
      </c>
      <c r="O235" s="31">
        <v>-2.3999999999999998E-3</v>
      </c>
      <c r="P235" s="31">
        <v>1.0699999999999999E-2</v>
      </c>
      <c r="Q235" s="23" t="s">
        <v>24</v>
      </c>
      <c r="R235" s="23">
        <v>0</v>
      </c>
      <c r="S235" s="23">
        <v>42.48</v>
      </c>
      <c r="U235" s="47">
        <f>VLOOKUP(AU235,[1]expiry_dates!$B$2:$C$2894,2,FALSE)</f>
        <v>43671</v>
      </c>
      <c r="V235" s="23" t="s">
        <v>114</v>
      </c>
      <c r="W235" s="23" t="s">
        <v>23</v>
      </c>
      <c r="X235" s="49">
        <v>43662.40625</v>
      </c>
      <c r="Y235" s="23">
        <v>0.65</v>
      </c>
      <c r="Z235" s="23">
        <v>43662.59375</v>
      </c>
      <c r="AA235" s="23">
        <v>0.65</v>
      </c>
      <c r="AB235" s="23">
        <v>0</v>
      </c>
      <c r="AC235" s="23">
        <v>0</v>
      </c>
      <c r="AD235" s="23">
        <v>0</v>
      </c>
      <c r="AE235" s="23">
        <v>82736.05</v>
      </c>
      <c r="AF235" s="23">
        <v>53778.43</v>
      </c>
      <c r="AG235" s="23">
        <v>755685.61</v>
      </c>
      <c r="AH235" s="23">
        <v>19</v>
      </c>
      <c r="AI235" s="23">
        <v>0</v>
      </c>
      <c r="AJ235" s="23">
        <v>-7.6899999999999996E-2</v>
      </c>
      <c r="AK235" s="23">
        <v>0.23080000000000001</v>
      </c>
      <c r="AL235" s="23" t="s">
        <v>24</v>
      </c>
      <c r="AM235" s="23">
        <v>42.2</v>
      </c>
      <c r="AN235" s="23">
        <v>30607.45</v>
      </c>
      <c r="AO235" s="23">
        <v>42.48</v>
      </c>
      <c r="AP235" s="23">
        <v>0</v>
      </c>
      <c r="AR235" s="46"/>
      <c r="AS235" s="44"/>
      <c r="AT235" s="45"/>
      <c r="AU235" s="2">
        <v>43662</v>
      </c>
      <c r="AV235" s="52">
        <v>0.40625</v>
      </c>
      <c r="AW235" s="2" t="s">
        <v>212</v>
      </c>
      <c r="AY235" s="3"/>
      <c r="BA235" s="3"/>
      <c r="BG235" s="3"/>
      <c r="BH235" s="3"/>
    </row>
    <row r="236" spans="1:60">
      <c r="A236" s="23" t="s">
        <v>22</v>
      </c>
      <c r="B236" s="23" t="s">
        <v>25</v>
      </c>
      <c r="C236" s="27">
        <v>43662.59375</v>
      </c>
      <c r="D236" s="23">
        <v>42.05</v>
      </c>
      <c r="E236" s="27">
        <v>43664.385416666664</v>
      </c>
      <c r="F236" s="23">
        <v>42.85</v>
      </c>
      <c r="G236" s="31">
        <v>1.9E-2</v>
      </c>
      <c r="H236" s="23">
        <v>953.34</v>
      </c>
      <c r="I236" s="31">
        <v>1.9E-2</v>
      </c>
      <c r="J236" s="23">
        <v>1191.67</v>
      </c>
      <c r="K236" s="23">
        <v>50109.72</v>
      </c>
      <c r="L236" s="23">
        <v>22838.41</v>
      </c>
      <c r="M236" s="23">
        <v>37</v>
      </c>
      <c r="N236" s="23">
        <v>25.77</v>
      </c>
      <c r="O236" s="31">
        <v>-2.3999999999999998E-3</v>
      </c>
      <c r="P236" s="31">
        <v>3.2099999999999997E-2</v>
      </c>
      <c r="Q236" s="23" t="s">
        <v>24</v>
      </c>
      <c r="R236" s="23">
        <v>0</v>
      </c>
      <c r="S236" s="23">
        <v>41.76</v>
      </c>
      <c r="U236" s="47">
        <f>VLOOKUP(AU236,[1]expiry_dates!$B$2:$C$2894,2,FALSE)</f>
        <v>43671</v>
      </c>
      <c r="V236" s="23" t="s">
        <v>113</v>
      </c>
      <c r="W236" s="23" t="s">
        <v>23</v>
      </c>
      <c r="X236" s="49">
        <v>43662.59375</v>
      </c>
      <c r="Y236" s="23">
        <v>0.35</v>
      </c>
      <c r="Z236" s="23">
        <v>43664.385416666664</v>
      </c>
      <c r="AA236" s="23">
        <v>0.25</v>
      </c>
      <c r="AB236" s="23">
        <v>-0.28570000000000001</v>
      </c>
      <c r="AC236" s="23">
        <v>15371.17</v>
      </c>
      <c r="AD236" s="23">
        <v>0.28570000000000001</v>
      </c>
      <c r="AE236" s="23">
        <v>153711.79999999999</v>
      </c>
      <c r="AF236" s="23">
        <v>53799.11</v>
      </c>
      <c r="AG236" s="23">
        <v>771056.78</v>
      </c>
      <c r="AH236" s="23">
        <v>37</v>
      </c>
      <c r="AI236" s="23">
        <v>415.44</v>
      </c>
      <c r="AJ236" s="23">
        <v>0</v>
      </c>
      <c r="AK236" s="23">
        <v>0.42859999999999998</v>
      </c>
      <c r="AL236" s="23" t="s">
        <v>24</v>
      </c>
      <c r="AM236" s="23">
        <v>42.05</v>
      </c>
      <c r="AN236" s="23">
        <v>30568.75</v>
      </c>
      <c r="AO236" s="23">
        <v>41.76</v>
      </c>
      <c r="AP236" s="23">
        <v>0</v>
      </c>
      <c r="AR236" s="46"/>
      <c r="AS236" s="44"/>
      <c r="AT236" s="45"/>
      <c r="AU236" s="2">
        <v>43662</v>
      </c>
      <c r="AV236" s="52">
        <v>9.375E-2</v>
      </c>
      <c r="AW236" s="2" t="s">
        <v>213</v>
      </c>
      <c r="AY236" s="3"/>
      <c r="BA236" s="3"/>
      <c r="BG236" s="3"/>
      <c r="BH236" s="3"/>
    </row>
    <row r="237" spans="1:60">
      <c r="A237" s="23" t="s">
        <v>22</v>
      </c>
      <c r="B237" s="23" t="s">
        <v>23</v>
      </c>
      <c r="C237" s="27">
        <v>43664.385416666664</v>
      </c>
      <c r="D237" s="23">
        <v>42.85</v>
      </c>
      <c r="E237" s="27">
        <v>43665.385416666664</v>
      </c>
      <c r="F237" s="23">
        <v>41.85</v>
      </c>
      <c r="G237" s="31">
        <v>-2.3300000000000001E-2</v>
      </c>
      <c r="H237" s="23">
        <v>1169.53</v>
      </c>
      <c r="I237" s="31">
        <v>2.3300000000000001E-2</v>
      </c>
      <c r="J237" s="23">
        <v>1169.5329999999999</v>
      </c>
      <c r="K237" s="23">
        <v>50114.49</v>
      </c>
      <c r="L237" s="23">
        <v>24007.94</v>
      </c>
      <c r="M237" s="23">
        <v>29</v>
      </c>
      <c r="N237" s="23">
        <v>40.33</v>
      </c>
      <c r="O237" s="31">
        <v>-3.5000000000000001E-3</v>
      </c>
      <c r="P237" s="31">
        <v>2.92E-2</v>
      </c>
      <c r="Q237" s="23" t="s">
        <v>24</v>
      </c>
      <c r="R237" s="23">
        <v>0</v>
      </c>
      <c r="S237" s="23">
        <v>43.37</v>
      </c>
      <c r="U237" s="47">
        <f>VLOOKUP(AU237,[1]expiry_dates!$B$2:$C$2894,2,FALSE)</f>
        <v>43671</v>
      </c>
      <c r="V237" s="23" t="s">
        <v>114</v>
      </c>
      <c r="W237" s="23" t="s">
        <v>23</v>
      </c>
      <c r="X237" s="49">
        <v>43664.385416666664</v>
      </c>
      <c r="Y237" s="23">
        <v>0.9</v>
      </c>
      <c r="Z237" s="23">
        <v>43665.385416666664</v>
      </c>
      <c r="AA237" s="23">
        <v>0.4</v>
      </c>
      <c r="AB237" s="23">
        <v>-0.55559999999999998</v>
      </c>
      <c r="AC237" s="23">
        <v>29919.599999999999</v>
      </c>
      <c r="AD237" s="23">
        <v>0.55559999999999998</v>
      </c>
      <c r="AE237" s="23">
        <v>59839.21</v>
      </c>
      <c r="AF237" s="23">
        <v>53855.29</v>
      </c>
      <c r="AG237" s="23">
        <v>800976.39</v>
      </c>
      <c r="AH237" s="23">
        <v>29</v>
      </c>
      <c r="AI237" s="23">
        <v>1031.71</v>
      </c>
      <c r="AJ237" s="23">
        <v>-5.5599999999999997E-2</v>
      </c>
      <c r="AK237" s="23">
        <v>0.55559999999999998</v>
      </c>
      <c r="AL237" s="23" t="s">
        <v>24</v>
      </c>
      <c r="AM237" s="23">
        <v>42.85</v>
      </c>
      <c r="AN237" s="23">
        <v>30716.2</v>
      </c>
      <c r="AO237" s="23">
        <v>43.37</v>
      </c>
      <c r="AP237" s="23">
        <v>0</v>
      </c>
      <c r="AR237" s="46"/>
      <c r="AS237" s="44"/>
      <c r="AT237" s="45"/>
      <c r="AU237" s="2">
        <v>43664</v>
      </c>
      <c r="AV237" s="52">
        <v>0.38541666666666669</v>
      </c>
      <c r="AW237" s="2" t="s">
        <v>212</v>
      </c>
      <c r="AY237" s="3"/>
      <c r="BA237" s="3"/>
      <c r="BG237" s="3"/>
      <c r="BH237" s="3"/>
    </row>
    <row r="238" spans="1:60">
      <c r="A238" s="23" t="s">
        <v>22</v>
      </c>
      <c r="B238" s="23" t="s">
        <v>25</v>
      </c>
      <c r="C238" s="27">
        <v>43665.385416666664</v>
      </c>
      <c r="D238" s="23">
        <v>41.85</v>
      </c>
      <c r="E238" s="27">
        <v>43665.395833333336</v>
      </c>
      <c r="F238" s="23">
        <v>41.5</v>
      </c>
      <c r="G238" s="31">
        <v>-8.3999999999999995E-3</v>
      </c>
      <c r="H238" s="23">
        <v>-419.16</v>
      </c>
      <c r="I238" s="31">
        <v>-8.3999999999999995E-3</v>
      </c>
      <c r="J238" s="23">
        <v>1197.598</v>
      </c>
      <c r="K238" s="23">
        <v>50119.45</v>
      </c>
      <c r="L238" s="23">
        <v>23588.78</v>
      </c>
      <c r="M238" s="23">
        <v>2</v>
      </c>
      <c r="N238" s="23">
        <v>-209.58</v>
      </c>
      <c r="O238" s="31">
        <v>-8.3999999999999995E-3</v>
      </c>
      <c r="P238" s="31">
        <v>8.3999999999999995E-3</v>
      </c>
      <c r="Q238" s="23" t="s">
        <v>24</v>
      </c>
      <c r="R238" s="23">
        <v>0</v>
      </c>
      <c r="S238" s="23">
        <v>41.62</v>
      </c>
      <c r="U238" s="47">
        <f>VLOOKUP(AU238,[1]expiry_dates!$B$2:$C$2894,2,FALSE)</f>
        <v>43671</v>
      </c>
      <c r="V238" s="23" t="s">
        <v>113</v>
      </c>
      <c r="W238" s="23" t="s">
        <v>23</v>
      </c>
      <c r="X238" s="49">
        <v>43665.385416666664</v>
      </c>
      <c r="Y238" s="23">
        <v>0.35</v>
      </c>
      <c r="Z238" s="23">
        <v>43665.395833333336</v>
      </c>
      <c r="AA238" s="23">
        <v>0.45</v>
      </c>
      <c r="AB238" s="23">
        <v>0.28570000000000001</v>
      </c>
      <c r="AC238" s="23">
        <v>-15429.97</v>
      </c>
      <c r="AD238" s="23">
        <v>-0.28570000000000001</v>
      </c>
      <c r="AE238" s="23">
        <v>154299.70000000001</v>
      </c>
      <c r="AF238" s="23">
        <v>54004.88</v>
      </c>
      <c r="AG238" s="23">
        <v>785546.42</v>
      </c>
      <c r="AH238" s="23">
        <v>2</v>
      </c>
      <c r="AI238" s="23">
        <v>-7714.98</v>
      </c>
      <c r="AJ238" s="23">
        <v>-0.28570000000000001</v>
      </c>
      <c r="AK238" s="23">
        <v>0</v>
      </c>
      <c r="AL238" s="23" t="s">
        <v>24</v>
      </c>
      <c r="AM238" s="23">
        <v>41.85</v>
      </c>
      <c r="AN238" s="23">
        <v>30445</v>
      </c>
      <c r="AO238" s="23">
        <v>41.62</v>
      </c>
      <c r="AP238" s="23">
        <v>0</v>
      </c>
      <c r="AR238" s="46"/>
      <c r="AS238" s="44"/>
      <c r="AT238" s="45"/>
      <c r="AU238" s="2">
        <v>43665</v>
      </c>
      <c r="AV238" s="52">
        <v>0.38541666666666669</v>
      </c>
      <c r="AW238" s="2" t="s">
        <v>212</v>
      </c>
      <c r="AY238" s="3"/>
      <c r="BA238" s="3"/>
      <c r="BG238" s="3"/>
      <c r="BH238" s="3"/>
    </row>
    <row r="239" spans="1:60">
      <c r="A239" s="23" t="s">
        <v>22</v>
      </c>
      <c r="B239" s="23" t="s">
        <v>23</v>
      </c>
      <c r="C239" s="27">
        <v>43665.395833333336</v>
      </c>
      <c r="D239" s="23">
        <v>41.5</v>
      </c>
      <c r="E239" s="27">
        <v>43668.572916666664</v>
      </c>
      <c r="F239" s="23">
        <v>39.799999999999997</v>
      </c>
      <c r="G239" s="31">
        <v>-4.1000000000000002E-2</v>
      </c>
      <c r="H239" s="23">
        <v>2053.11</v>
      </c>
      <c r="I239" s="31">
        <v>4.1000000000000002E-2</v>
      </c>
      <c r="J239" s="23">
        <v>1207.712</v>
      </c>
      <c r="K239" s="23">
        <v>50120.04</v>
      </c>
      <c r="L239" s="23">
        <v>25641.89</v>
      </c>
      <c r="M239" s="23">
        <v>46</v>
      </c>
      <c r="N239" s="23">
        <v>44.63</v>
      </c>
      <c r="O239" s="31">
        <v>-9.5999999999999992E-3</v>
      </c>
      <c r="P239" s="31">
        <v>5.0599999999999999E-2</v>
      </c>
      <c r="Q239" s="23" t="s">
        <v>24</v>
      </c>
      <c r="R239" s="23">
        <v>0</v>
      </c>
      <c r="S239" s="23">
        <v>42.19</v>
      </c>
      <c r="U239" s="47">
        <f>VLOOKUP(AU239,[1]expiry_dates!$B$2:$C$2894,2,FALSE)</f>
        <v>43671</v>
      </c>
      <c r="V239" s="23" t="s">
        <v>116</v>
      </c>
      <c r="W239" s="23" t="s">
        <v>23</v>
      </c>
      <c r="X239" s="49">
        <v>43665.395833333336</v>
      </c>
      <c r="Y239" s="23">
        <v>0.55000000000000004</v>
      </c>
      <c r="Z239" s="23">
        <v>43668.572916666664</v>
      </c>
      <c r="AA239" s="23">
        <v>0.15</v>
      </c>
      <c r="AB239" s="23">
        <v>-0.72729999999999995</v>
      </c>
      <c r="AC239" s="23">
        <v>39276.28</v>
      </c>
      <c r="AD239" s="23">
        <v>0.72729999999999995</v>
      </c>
      <c r="AE239" s="23">
        <v>98190.7</v>
      </c>
      <c r="AF239" s="23">
        <v>54004.88</v>
      </c>
      <c r="AG239" s="23">
        <v>824822.7</v>
      </c>
      <c r="AH239" s="23">
        <v>46</v>
      </c>
      <c r="AI239" s="23">
        <v>853.83</v>
      </c>
      <c r="AJ239" s="23">
        <v>0</v>
      </c>
      <c r="AK239" s="23">
        <v>0.81820000000000004</v>
      </c>
      <c r="AL239" s="23" t="s">
        <v>24</v>
      </c>
      <c r="AM239" s="23">
        <v>41.5</v>
      </c>
      <c r="AN239" s="23">
        <v>30318.2</v>
      </c>
      <c r="AO239" s="23">
        <v>42.19</v>
      </c>
      <c r="AP239" s="23">
        <v>0</v>
      </c>
      <c r="AR239" s="46"/>
      <c r="AS239" s="44"/>
      <c r="AT239" s="45"/>
      <c r="AU239" s="2">
        <v>43665</v>
      </c>
      <c r="AV239" s="52">
        <v>0.39583333333333331</v>
      </c>
      <c r="AW239" s="2" t="s">
        <v>212</v>
      </c>
      <c r="AY239" s="3"/>
      <c r="BA239" s="3"/>
      <c r="BG239" s="3"/>
      <c r="BH239" s="3"/>
    </row>
    <row r="240" spans="1:60">
      <c r="A240" s="23" t="s">
        <v>22</v>
      </c>
      <c r="B240" s="23" t="s">
        <v>25</v>
      </c>
      <c r="C240" s="27">
        <v>43668.572916666664</v>
      </c>
      <c r="D240" s="23">
        <v>39.799999999999997</v>
      </c>
      <c r="E240" s="27">
        <v>43669.385416666664</v>
      </c>
      <c r="F240" s="23">
        <v>39.85</v>
      </c>
      <c r="G240" s="31">
        <v>1.2999999999999999E-3</v>
      </c>
      <c r="H240" s="23">
        <v>62.98</v>
      </c>
      <c r="I240" s="31">
        <v>1.2999999999999999E-3</v>
      </c>
      <c r="J240" s="23">
        <v>1259.5329999999999</v>
      </c>
      <c r="K240" s="23">
        <v>50129.41</v>
      </c>
      <c r="L240" s="23">
        <v>25704.87</v>
      </c>
      <c r="M240" s="23">
        <v>11</v>
      </c>
      <c r="N240" s="23">
        <v>5.73</v>
      </c>
      <c r="O240" s="31">
        <v>-5.0000000000000001E-3</v>
      </c>
      <c r="P240" s="31">
        <v>1.7600000000000001E-2</v>
      </c>
      <c r="Q240" s="23" t="s">
        <v>24</v>
      </c>
      <c r="R240" s="23">
        <v>0</v>
      </c>
      <c r="S240" s="23">
        <v>39.409999999999997</v>
      </c>
      <c r="U240" s="47">
        <f>VLOOKUP(AU240,[1]expiry_dates!$B$2:$C$2894,2,FALSE)</f>
        <v>43671</v>
      </c>
      <c r="V240" s="23" t="s">
        <v>113</v>
      </c>
      <c r="W240" s="23" t="s">
        <v>23</v>
      </c>
      <c r="X240" s="49">
        <v>43668.572916666664</v>
      </c>
      <c r="Y240" s="23">
        <v>0.8</v>
      </c>
      <c r="Z240" s="23">
        <v>43669.385416666664</v>
      </c>
      <c r="AA240" s="23">
        <v>0.6</v>
      </c>
      <c r="AB240" s="23">
        <v>-0.25</v>
      </c>
      <c r="AC240" s="23">
        <v>13537.17</v>
      </c>
      <c r="AD240" s="23">
        <v>0.25</v>
      </c>
      <c r="AE240" s="23">
        <v>67685.83</v>
      </c>
      <c r="AF240" s="23">
        <v>54148.66</v>
      </c>
      <c r="AG240" s="23">
        <v>838359.86</v>
      </c>
      <c r="AH240" s="23">
        <v>11</v>
      </c>
      <c r="AI240" s="23">
        <v>1230.6500000000001</v>
      </c>
      <c r="AJ240" s="23">
        <v>-0.125</v>
      </c>
      <c r="AK240" s="23">
        <v>0.4375</v>
      </c>
      <c r="AL240" s="23" t="s">
        <v>24</v>
      </c>
      <c r="AM240" s="23">
        <v>39.799999999999997</v>
      </c>
      <c r="AN240" s="23">
        <v>29291.8</v>
      </c>
      <c r="AO240" s="23">
        <v>39.409999999999997</v>
      </c>
      <c r="AP240" s="23">
        <v>0</v>
      </c>
      <c r="AR240" s="46"/>
      <c r="AS240" s="44"/>
      <c r="AT240" s="45"/>
      <c r="AU240" s="2">
        <v>43668</v>
      </c>
      <c r="AV240" s="52">
        <v>7.2916666666666671E-2</v>
      </c>
      <c r="AW240" s="2" t="s">
        <v>213</v>
      </c>
      <c r="AY240" s="3"/>
      <c r="BA240" s="3"/>
      <c r="BG240" s="3"/>
      <c r="BH240" s="3"/>
    </row>
    <row r="241" spans="1:60">
      <c r="A241" s="23" t="s">
        <v>22</v>
      </c>
      <c r="B241" s="23" t="s">
        <v>23</v>
      </c>
      <c r="C241" s="27">
        <v>43669.385416666664</v>
      </c>
      <c r="D241" s="23">
        <v>39.85</v>
      </c>
      <c r="E241" s="27">
        <v>43669.59375</v>
      </c>
      <c r="F241" s="23">
        <v>39.5</v>
      </c>
      <c r="G241" s="31">
        <v>-8.8000000000000005E-3</v>
      </c>
      <c r="H241" s="23">
        <v>440.3</v>
      </c>
      <c r="I241" s="31">
        <v>8.8000000000000005E-3</v>
      </c>
      <c r="J241" s="23">
        <v>1258.001</v>
      </c>
      <c r="K241" s="23">
        <v>50131.360000000001</v>
      </c>
      <c r="L241" s="23">
        <v>26145.17</v>
      </c>
      <c r="M241" s="23">
        <v>21</v>
      </c>
      <c r="N241" s="23">
        <v>20.97</v>
      </c>
      <c r="O241" s="31">
        <v>-1.6299999999999999E-2</v>
      </c>
      <c r="P241" s="31">
        <v>1.38E-2</v>
      </c>
      <c r="Q241" s="23" t="s">
        <v>24</v>
      </c>
      <c r="R241" s="23">
        <v>0</v>
      </c>
      <c r="S241" s="23">
        <v>40.5</v>
      </c>
      <c r="U241" s="47">
        <f>VLOOKUP(AU241,[1]expiry_dates!$B$2:$C$2894,2,FALSE)</f>
        <v>43671</v>
      </c>
      <c r="V241" s="23" t="s">
        <v>139</v>
      </c>
      <c r="W241" s="23" t="s">
        <v>23</v>
      </c>
      <c r="X241" s="49">
        <v>43669.385416666664</v>
      </c>
      <c r="Y241" s="23">
        <v>0.85</v>
      </c>
      <c r="Z241" s="23">
        <v>43669.59375</v>
      </c>
      <c r="AA241" s="23">
        <v>0.65</v>
      </c>
      <c r="AB241" s="23">
        <v>-0.23530000000000001</v>
      </c>
      <c r="AC241" s="23">
        <v>12751.01</v>
      </c>
      <c r="AD241" s="23">
        <v>0.23530000000000001</v>
      </c>
      <c r="AE241" s="23">
        <v>63755.05</v>
      </c>
      <c r="AF241" s="23">
        <v>54191.8</v>
      </c>
      <c r="AG241" s="23">
        <v>851110.88</v>
      </c>
      <c r="AH241" s="23">
        <v>21</v>
      </c>
      <c r="AI241" s="23">
        <v>607.19000000000005</v>
      </c>
      <c r="AJ241" s="23">
        <v>-0.23530000000000001</v>
      </c>
      <c r="AK241" s="23">
        <v>0.52939999999999998</v>
      </c>
      <c r="AL241" s="23" t="s">
        <v>24</v>
      </c>
      <c r="AM241" s="23">
        <v>39.85</v>
      </c>
      <c r="AN241" s="23">
        <v>29130.2</v>
      </c>
      <c r="AO241" s="23">
        <v>40.5</v>
      </c>
      <c r="AP241" s="23">
        <v>0</v>
      </c>
      <c r="AR241" s="46"/>
      <c r="AS241" s="44"/>
      <c r="AT241" s="45"/>
      <c r="AU241" s="2">
        <v>43669</v>
      </c>
      <c r="AV241" s="52">
        <v>0.38541666666666669</v>
      </c>
      <c r="AW241" s="2" t="s">
        <v>212</v>
      </c>
      <c r="AY241" s="3"/>
      <c r="BA241" s="3"/>
      <c r="BG241" s="3"/>
      <c r="BH241" s="3"/>
    </row>
    <row r="242" spans="1:60">
      <c r="A242" s="23" t="s">
        <v>22</v>
      </c>
      <c r="B242" s="23" t="s">
        <v>25</v>
      </c>
      <c r="C242" s="27">
        <v>43669.59375</v>
      </c>
      <c r="D242" s="23">
        <v>39.5</v>
      </c>
      <c r="E242" s="27">
        <v>43669.604166666664</v>
      </c>
      <c r="F242" s="23">
        <v>39.200000000000003</v>
      </c>
      <c r="G242" s="31">
        <v>-7.6E-3</v>
      </c>
      <c r="H242" s="23">
        <v>-380.73</v>
      </c>
      <c r="I242" s="31">
        <v>-7.6E-3</v>
      </c>
      <c r="J242" s="23">
        <v>1269.0999999999999</v>
      </c>
      <c r="K242" s="23">
        <v>50129.47</v>
      </c>
      <c r="L242" s="23">
        <v>25764.44</v>
      </c>
      <c r="M242" s="23">
        <v>2</v>
      </c>
      <c r="N242" s="23">
        <v>-190.37</v>
      </c>
      <c r="O242" s="31">
        <v>-7.6E-3</v>
      </c>
      <c r="P242" s="31">
        <v>7.6E-3</v>
      </c>
      <c r="Q242" s="23" t="s">
        <v>24</v>
      </c>
      <c r="R242" s="23">
        <v>0</v>
      </c>
      <c r="S242" s="23">
        <v>39.32</v>
      </c>
      <c r="U242" s="47">
        <f>VLOOKUP(AU242,[1]expiry_dates!$B$2:$C$2894,2,FALSE)</f>
        <v>43671</v>
      </c>
      <c r="V242" s="23" t="s">
        <v>113</v>
      </c>
      <c r="W242" s="23" t="s">
        <v>23</v>
      </c>
      <c r="X242" s="49">
        <v>43669.59375</v>
      </c>
      <c r="Y242" s="23">
        <v>0.95</v>
      </c>
      <c r="Z242" s="23">
        <v>43669.604166666664</v>
      </c>
      <c r="AA242" s="23">
        <v>1.25</v>
      </c>
      <c r="AB242" s="23">
        <v>0.31580000000000003</v>
      </c>
      <c r="AC242" s="23">
        <v>-17138.37</v>
      </c>
      <c r="AD242" s="23">
        <v>-0.31580000000000003</v>
      </c>
      <c r="AE242" s="23">
        <v>57127.89</v>
      </c>
      <c r="AF242" s="23">
        <v>54271.49</v>
      </c>
      <c r="AG242" s="23">
        <v>833972.51</v>
      </c>
      <c r="AH242" s="23">
        <v>2</v>
      </c>
      <c r="AI242" s="23">
        <v>-8569.18</v>
      </c>
      <c r="AJ242" s="23">
        <v>-0.31580000000000003</v>
      </c>
      <c r="AK242" s="23">
        <v>0.1053</v>
      </c>
      <c r="AL242" s="23" t="s">
        <v>24</v>
      </c>
      <c r="AM242" s="23">
        <v>39.5</v>
      </c>
      <c r="AN242" s="23">
        <v>29255.65</v>
      </c>
      <c r="AO242" s="23">
        <v>39.32</v>
      </c>
      <c r="AP242" s="23">
        <v>0</v>
      </c>
      <c r="AR242" s="46"/>
      <c r="AS242" s="44"/>
      <c r="AT242" s="45"/>
      <c r="AU242" s="2">
        <v>43669</v>
      </c>
      <c r="AV242" s="52">
        <v>9.375E-2</v>
      </c>
      <c r="AW242" s="2" t="s">
        <v>213</v>
      </c>
      <c r="AY242" s="3"/>
      <c r="BA242" s="3"/>
      <c r="BG242" s="3"/>
      <c r="BH242" s="3"/>
    </row>
    <row r="243" spans="1:60">
      <c r="A243" s="23" t="s">
        <v>22</v>
      </c>
      <c r="B243" s="23" t="s">
        <v>23</v>
      </c>
      <c r="C243" s="27">
        <v>43669.604166666664</v>
      </c>
      <c r="D243" s="23">
        <v>39.200000000000003</v>
      </c>
      <c r="E243" s="27">
        <v>43670.59375</v>
      </c>
      <c r="F243" s="23">
        <v>38.25</v>
      </c>
      <c r="G243" s="31">
        <v>-2.4199999999999999E-2</v>
      </c>
      <c r="H243" s="23">
        <v>1214.9000000000001</v>
      </c>
      <c r="I243" s="31">
        <v>2.4199999999999999E-2</v>
      </c>
      <c r="J243" s="23">
        <v>1278.845</v>
      </c>
      <c r="K243" s="23">
        <v>50130.720000000001</v>
      </c>
      <c r="L243" s="23">
        <v>26979.34</v>
      </c>
      <c r="M243" s="23">
        <v>28</v>
      </c>
      <c r="N243" s="23">
        <v>43.39</v>
      </c>
      <c r="O243" s="31">
        <v>-8.8999999999999999E-3</v>
      </c>
      <c r="P243" s="31">
        <v>4.3400000000000001E-2</v>
      </c>
      <c r="Q243" s="23" t="s">
        <v>24</v>
      </c>
      <c r="R243" s="23">
        <v>0</v>
      </c>
      <c r="S243" s="23">
        <v>39.79</v>
      </c>
      <c r="U243" s="47">
        <f>VLOOKUP(AU243,[1]expiry_dates!$B$2:$C$2894,2,FALSE)</f>
        <v>43671</v>
      </c>
      <c r="V243" s="23" t="s">
        <v>139</v>
      </c>
      <c r="W243" s="23" t="s">
        <v>23</v>
      </c>
      <c r="X243" s="49">
        <v>43669.604166666664</v>
      </c>
      <c r="Y243" s="23">
        <v>0.45</v>
      </c>
      <c r="Z243" s="23">
        <v>43670.59375</v>
      </c>
      <c r="AA243" s="23">
        <v>0.15</v>
      </c>
      <c r="AB243" s="23">
        <v>-0.66669999999999996</v>
      </c>
      <c r="AC243" s="23">
        <v>36170.370000000003</v>
      </c>
      <c r="AD243" s="23">
        <v>0.66669999999999996</v>
      </c>
      <c r="AE243" s="23">
        <v>120567.9</v>
      </c>
      <c r="AF243" s="23">
        <v>54255.55</v>
      </c>
      <c r="AG243" s="23">
        <v>870142.88</v>
      </c>
      <c r="AH243" s="23">
        <v>28</v>
      </c>
      <c r="AI243" s="23">
        <v>1291.8</v>
      </c>
      <c r="AJ243" s="23">
        <v>-0.44440000000000002</v>
      </c>
      <c r="AK243" s="23">
        <v>0.77780000000000005</v>
      </c>
      <c r="AL243" s="23" t="s">
        <v>24</v>
      </c>
      <c r="AM243" s="23">
        <v>39.200000000000003</v>
      </c>
      <c r="AN243" s="23">
        <v>29113.1</v>
      </c>
      <c r="AO243" s="23">
        <v>39.79</v>
      </c>
      <c r="AP243" s="23">
        <v>0</v>
      </c>
      <c r="AR243" s="46"/>
      <c r="AS243" s="44"/>
      <c r="AT243" s="45"/>
      <c r="AU243" s="2">
        <v>43669</v>
      </c>
      <c r="AV243" s="52">
        <v>0.10416666666666667</v>
      </c>
      <c r="AW243" s="2" t="s">
        <v>213</v>
      </c>
      <c r="AY243" s="3"/>
      <c r="BA243" s="3"/>
      <c r="BG243" s="3"/>
      <c r="BH243" s="3"/>
    </row>
    <row r="244" spans="1:60">
      <c r="A244" s="23" t="s">
        <v>22</v>
      </c>
      <c r="B244" s="23" t="s">
        <v>25</v>
      </c>
      <c r="C244" s="27">
        <v>43670.59375</v>
      </c>
      <c r="D244" s="23">
        <v>38.25</v>
      </c>
      <c r="E244" s="27">
        <v>43670.625</v>
      </c>
      <c r="F244" s="23">
        <v>37.549999999999997</v>
      </c>
      <c r="G244" s="31">
        <v>-1.83E-2</v>
      </c>
      <c r="H244" s="23">
        <v>-917.52</v>
      </c>
      <c r="I244" s="31">
        <v>-1.83E-2</v>
      </c>
      <c r="J244" s="23">
        <v>1310.75</v>
      </c>
      <c r="K244" s="23">
        <v>50136.17</v>
      </c>
      <c r="L244" s="23">
        <v>26061.82</v>
      </c>
      <c r="M244" s="23">
        <v>4</v>
      </c>
      <c r="N244" s="23">
        <v>-229.38</v>
      </c>
      <c r="O244" s="31">
        <v>-1.83E-2</v>
      </c>
      <c r="P244" s="31">
        <v>2.5999999999999999E-3</v>
      </c>
      <c r="Q244" s="23" t="s">
        <v>24</v>
      </c>
      <c r="R244" s="23">
        <v>0</v>
      </c>
      <c r="S244" s="23">
        <v>37.520000000000003</v>
      </c>
      <c r="U244" s="47">
        <f>VLOOKUP(AU244,[1]expiry_dates!$B$2:$C$2894,2,FALSE)</f>
        <v>43671</v>
      </c>
      <c r="V244" s="23" t="s">
        <v>135</v>
      </c>
      <c r="W244" s="23" t="s">
        <v>23</v>
      </c>
      <c r="X244" s="49">
        <v>43670.59375</v>
      </c>
      <c r="Y244" s="23">
        <v>0.9</v>
      </c>
      <c r="Z244" s="23">
        <v>43670.625</v>
      </c>
      <c r="AA244" s="23">
        <v>1.5</v>
      </c>
      <c r="AB244" s="23">
        <v>0.66669999999999996</v>
      </c>
      <c r="AC244" s="23">
        <v>-36233.81</v>
      </c>
      <c r="AD244" s="23">
        <v>-0.66669999999999996</v>
      </c>
      <c r="AE244" s="23">
        <v>60389.68</v>
      </c>
      <c r="AF244" s="23">
        <v>54350.71</v>
      </c>
      <c r="AG244" s="23">
        <v>833909.07</v>
      </c>
      <c r="AH244" s="23">
        <v>4</v>
      </c>
      <c r="AI244" s="23">
        <v>-9058.4500000000007</v>
      </c>
      <c r="AJ244" s="23">
        <v>-0.66669999999999996</v>
      </c>
      <c r="AK244" s="23">
        <v>0.1111</v>
      </c>
      <c r="AL244" s="23" t="s">
        <v>24</v>
      </c>
      <c r="AM244" s="23">
        <v>38.25</v>
      </c>
      <c r="AN244" s="23">
        <v>28957.55</v>
      </c>
      <c r="AO244" s="23">
        <v>37.520000000000003</v>
      </c>
      <c r="AP244" s="23">
        <v>0</v>
      </c>
      <c r="AR244" s="46"/>
      <c r="AS244" s="44"/>
      <c r="AT244" s="45"/>
      <c r="AU244" s="2">
        <v>43670</v>
      </c>
      <c r="AV244" s="52">
        <v>9.375E-2</v>
      </c>
      <c r="AW244" s="2" t="s">
        <v>213</v>
      </c>
      <c r="AY244" s="3"/>
      <c r="BA244" s="3"/>
      <c r="BG244" s="3"/>
      <c r="BH244" s="3"/>
    </row>
    <row r="245" spans="1:60">
      <c r="A245" s="23" t="s">
        <v>22</v>
      </c>
      <c r="B245" s="23" t="s">
        <v>23</v>
      </c>
      <c r="C245" s="27">
        <v>43670.625</v>
      </c>
      <c r="D245" s="23">
        <v>37.549999999999997</v>
      </c>
      <c r="E245" s="27">
        <v>43671.385416666664</v>
      </c>
      <c r="F245" s="23">
        <v>38.15</v>
      </c>
      <c r="G245" s="31">
        <v>1.6E-2</v>
      </c>
      <c r="H245" s="23">
        <v>-801.04</v>
      </c>
      <c r="I245" s="31">
        <v>-1.6E-2</v>
      </c>
      <c r="J245" s="23">
        <v>1335.0630000000001</v>
      </c>
      <c r="K245" s="23">
        <v>50131.62</v>
      </c>
      <c r="L245" s="23">
        <v>25260.78</v>
      </c>
      <c r="M245" s="23">
        <v>6</v>
      </c>
      <c r="N245" s="23">
        <v>-133.51</v>
      </c>
      <c r="O245" s="31">
        <v>-1.6E-2</v>
      </c>
      <c r="P245" s="31">
        <v>1.46E-2</v>
      </c>
      <c r="Q245" s="23" t="s">
        <v>24</v>
      </c>
      <c r="R245" s="23">
        <v>0</v>
      </c>
      <c r="S245" s="23">
        <v>38.31</v>
      </c>
      <c r="U245" s="47">
        <f>VLOOKUP(AU245,[1]expiry_dates!$B$2:$C$2894,2,FALSE)</f>
        <v>43671</v>
      </c>
      <c r="V245" s="23" t="s">
        <v>140</v>
      </c>
      <c r="W245" s="23" t="s">
        <v>23</v>
      </c>
      <c r="X245" s="49">
        <v>43670.625</v>
      </c>
      <c r="Y245" s="23">
        <v>0.55000000000000004</v>
      </c>
      <c r="Z245" s="23">
        <v>43671.385416666664</v>
      </c>
      <c r="AA245" s="23">
        <v>0.55000000000000004</v>
      </c>
      <c r="AB245" s="23">
        <v>0</v>
      </c>
      <c r="AC245" s="23">
        <v>0</v>
      </c>
      <c r="AD245" s="23">
        <v>0</v>
      </c>
      <c r="AE245" s="23">
        <v>98709.68</v>
      </c>
      <c r="AF245" s="23">
        <v>54290.32</v>
      </c>
      <c r="AG245" s="23">
        <v>833909.07</v>
      </c>
      <c r="AH245" s="23">
        <v>6</v>
      </c>
      <c r="AI245" s="23">
        <v>0</v>
      </c>
      <c r="AJ245" s="23">
        <v>-0.2727</v>
      </c>
      <c r="AK245" s="23">
        <v>0.72729999999999995</v>
      </c>
      <c r="AL245" s="23" t="s">
        <v>24</v>
      </c>
      <c r="AM245" s="23">
        <v>37.549999999999997</v>
      </c>
      <c r="AN245" s="23">
        <v>28917.3</v>
      </c>
      <c r="AO245" s="23">
        <v>38.31</v>
      </c>
      <c r="AP245" s="23">
        <v>0</v>
      </c>
      <c r="AR245" s="46"/>
      <c r="AS245" s="44"/>
      <c r="AT245" s="45"/>
      <c r="AU245" s="2">
        <v>43670</v>
      </c>
      <c r="AV245" s="52">
        <v>0.125</v>
      </c>
      <c r="AW245" s="2" t="s">
        <v>213</v>
      </c>
      <c r="AY245" s="3"/>
      <c r="BA245" s="3"/>
      <c r="BG245" s="3"/>
      <c r="BH245" s="3"/>
    </row>
    <row r="246" spans="1:60">
      <c r="A246" s="23" t="s">
        <v>22</v>
      </c>
      <c r="B246" s="23" t="s">
        <v>25</v>
      </c>
      <c r="C246" s="27">
        <v>43671.385416666664</v>
      </c>
      <c r="D246" s="23">
        <v>38.15</v>
      </c>
      <c r="E246" s="27">
        <v>43671.625</v>
      </c>
      <c r="F246" s="23">
        <v>38.85</v>
      </c>
      <c r="G246" s="31">
        <v>1.83E-2</v>
      </c>
      <c r="H246" s="23">
        <v>919.89</v>
      </c>
      <c r="I246" s="31">
        <v>1.83E-2</v>
      </c>
      <c r="J246" s="23">
        <v>1314.1279999999999</v>
      </c>
      <c r="K246" s="23">
        <v>50133.98</v>
      </c>
      <c r="L246" s="23">
        <v>26180.67</v>
      </c>
      <c r="M246" s="23">
        <v>24</v>
      </c>
      <c r="N246" s="23">
        <v>38.33</v>
      </c>
      <c r="O246" s="31">
        <v>-5.6399999999999999E-2</v>
      </c>
      <c r="P246" s="31">
        <v>5.6399999999999999E-2</v>
      </c>
      <c r="Q246" s="23" t="s">
        <v>24</v>
      </c>
      <c r="R246" s="23">
        <v>0</v>
      </c>
      <c r="S246" s="23">
        <v>36</v>
      </c>
      <c r="U246" s="47">
        <f>VLOOKUP(AU246,[1]expiry_dates!$B$2:$C$2894,2,FALSE)</f>
        <v>43671</v>
      </c>
      <c r="V246" s="23" t="s">
        <v>135</v>
      </c>
      <c r="W246" s="23" t="s">
        <v>23</v>
      </c>
      <c r="X246" s="49">
        <v>43671.385416666664</v>
      </c>
      <c r="Y246" s="23">
        <v>0.55000000000000004</v>
      </c>
      <c r="Z246" s="23">
        <v>43671.625</v>
      </c>
      <c r="AA246" s="23">
        <v>0.05</v>
      </c>
      <c r="AB246" s="23">
        <v>-0.90910000000000002</v>
      </c>
      <c r="AC246" s="23">
        <v>49222.61</v>
      </c>
      <c r="AD246" s="23">
        <v>0.90910000000000002</v>
      </c>
      <c r="AE246" s="23">
        <v>98445.21</v>
      </c>
      <c r="AF246" s="23">
        <v>54144.87</v>
      </c>
      <c r="AG246" s="23">
        <v>883131.67</v>
      </c>
      <c r="AH246" s="23">
        <v>24</v>
      </c>
      <c r="AI246" s="23">
        <v>2050.94</v>
      </c>
      <c r="AJ246" s="23">
        <v>-2.2726999999999999</v>
      </c>
      <c r="AK246" s="23">
        <v>0.90910000000000002</v>
      </c>
      <c r="AL246" s="23" t="s">
        <v>24</v>
      </c>
      <c r="AM246" s="23">
        <v>38.15</v>
      </c>
      <c r="AN246" s="23">
        <v>29120.9</v>
      </c>
      <c r="AO246" s="23">
        <v>36</v>
      </c>
      <c r="AP246" s="23">
        <v>0</v>
      </c>
      <c r="AR246" s="46"/>
      <c r="AS246" s="44"/>
      <c r="AT246" s="45"/>
      <c r="AU246" s="2">
        <v>43671</v>
      </c>
      <c r="AV246" s="52">
        <v>0.38541666666666669</v>
      </c>
      <c r="AW246" s="2" t="s">
        <v>212</v>
      </c>
      <c r="AY246" s="3"/>
      <c r="BA246" s="3"/>
      <c r="BG246" s="3"/>
      <c r="BH246" s="3"/>
    </row>
    <row r="247" spans="1:60">
      <c r="A247" s="23" t="s">
        <v>22</v>
      </c>
      <c r="B247" s="23" t="s">
        <v>23</v>
      </c>
      <c r="C247" s="27">
        <v>43671.625</v>
      </c>
      <c r="D247" s="23">
        <v>38.85</v>
      </c>
      <c r="E247" s="27">
        <v>43671.6875</v>
      </c>
      <c r="F247" s="23">
        <v>38.950000000000003</v>
      </c>
      <c r="G247" s="31">
        <v>2.5999999999999999E-3</v>
      </c>
      <c r="H247" s="23">
        <v>-129.05000000000001</v>
      </c>
      <c r="I247" s="31">
        <v>-2.5999999999999999E-3</v>
      </c>
      <c r="J247" s="23">
        <v>1290.4549999999999</v>
      </c>
      <c r="K247" s="23">
        <v>50134.19</v>
      </c>
      <c r="L247" s="23">
        <v>26051.62</v>
      </c>
      <c r="M247" s="23">
        <v>4</v>
      </c>
      <c r="N247" s="23">
        <v>-32.26</v>
      </c>
      <c r="O247" s="31">
        <v>-1.29E-2</v>
      </c>
      <c r="P247" s="31">
        <v>5.1000000000000004E-3</v>
      </c>
      <c r="Q247" s="23" t="s">
        <v>24</v>
      </c>
      <c r="R247" s="23">
        <v>0</v>
      </c>
      <c r="S247" s="23">
        <v>40.299999999999997</v>
      </c>
      <c r="U247" s="47">
        <f>VLOOKUP(AU247,[1]expiry_dates!$B$2:$C$2894,2,FALSE)</f>
        <v>43671</v>
      </c>
      <c r="V247" s="23" t="s">
        <v>141</v>
      </c>
      <c r="W247" s="23" t="s">
        <v>23</v>
      </c>
      <c r="X247" s="49">
        <v>43671.625</v>
      </c>
      <c r="Y247" s="23">
        <v>0.85</v>
      </c>
      <c r="Z247" s="23">
        <v>43671.6875</v>
      </c>
      <c r="AA247" s="23">
        <v>0.1</v>
      </c>
      <c r="AB247" s="23">
        <v>-0.88239999999999996</v>
      </c>
      <c r="AC247" s="23">
        <v>48013.81</v>
      </c>
      <c r="AD247" s="23">
        <v>0.88239999999999996</v>
      </c>
      <c r="AE247" s="23">
        <v>64018.42</v>
      </c>
      <c r="AF247" s="23">
        <v>54415.66</v>
      </c>
      <c r="AG247" s="23">
        <v>931145.49</v>
      </c>
      <c r="AH247" s="23">
        <v>4</v>
      </c>
      <c r="AI247" s="23">
        <v>12003.45</v>
      </c>
      <c r="AJ247" s="23">
        <v>0</v>
      </c>
      <c r="AK247" s="23">
        <v>0.88239999999999996</v>
      </c>
      <c r="AL247" s="23" t="s">
        <v>24</v>
      </c>
      <c r="AM247" s="23">
        <v>38.85</v>
      </c>
      <c r="AN247" s="23">
        <v>29041.25</v>
      </c>
      <c r="AO247" s="23">
        <v>40.299999999999997</v>
      </c>
      <c r="AP247" s="23">
        <v>0</v>
      </c>
      <c r="AR247" s="46"/>
      <c r="AS247" s="44"/>
      <c r="AT247" s="45"/>
      <c r="AU247" s="2">
        <v>43671</v>
      </c>
      <c r="AV247" s="52">
        <v>0.125</v>
      </c>
      <c r="AW247" s="2" t="s">
        <v>213</v>
      </c>
      <c r="AY247" s="3"/>
      <c r="BA247" s="3"/>
      <c r="BG247" s="3"/>
      <c r="BH247" s="3"/>
    </row>
    <row r="248" spans="1:60">
      <c r="A248" s="23" t="s">
        <v>22</v>
      </c>
      <c r="B248" s="23" t="s">
        <v>25</v>
      </c>
      <c r="C248" s="27">
        <v>43672.385416666664</v>
      </c>
      <c r="D248" s="23">
        <v>40</v>
      </c>
      <c r="E248" s="27">
        <v>43675.395833333336</v>
      </c>
      <c r="F248" s="23">
        <v>41.5</v>
      </c>
      <c r="G248" s="31">
        <v>3.7499999999999999E-2</v>
      </c>
      <c r="H248" s="23">
        <v>1879.88</v>
      </c>
      <c r="I248" s="31">
        <v>3.7499999999999999E-2</v>
      </c>
      <c r="J248" s="23">
        <v>1253.2560000000001</v>
      </c>
      <c r="K248" s="23">
        <v>50130.26</v>
      </c>
      <c r="L248" s="23">
        <v>27931.51</v>
      </c>
      <c r="M248" s="23">
        <v>30</v>
      </c>
      <c r="N248" s="23">
        <v>62.66</v>
      </c>
      <c r="O248" s="31">
        <v>-3.5000000000000003E-2</v>
      </c>
      <c r="P248" s="31">
        <v>7.3800000000000004E-2</v>
      </c>
      <c r="Q248" s="23" t="s">
        <v>24</v>
      </c>
      <c r="R248" s="23">
        <v>0</v>
      </c>
      <c r="S248" s="23">
        <v>38.549999999999997</v>
      </c>
      <c r="U248" s="47">
        <f>VLOOKUP(AU248,[1]expiry_dates!$B$2:$C$2894,2,FALSE)</f>
        <v>43706</v>
      </c>
      <c r="V248" s="23" t="s">
        <v>113</v>
      </c>
      <c r="W248" s="23" t="s">
        <v>23</v>
      </c>
      <c r="X248" s="49">
        <v>43672.385416666664</v>
      </c>
      <c r="Y248" s="23">
        <v>1.9</v>
      </c>
      <c r="Z248" s="23">
        <v>43675.395833333336</v>
      </c>
      <c r="AA248" s="23">
        <v>1.1499999999999999</v>
      </c>
      <c r="AB248" s="23">
        <v>-0.3947</v>
      </c>
      <c r="AC248" s="23">
        <v>21574.63</v>
      </c>
      <c r="AD248" s="23">
        <v>0.3947</v>
      </c>
      <c r="AE248" s="23">
        <v>28766.17</v>
      </c>
      <c r="AF248" s="23">
        <v>54655.73</v>
      </c>
      <c r="AG248" s="23">
        <v>952720.12</v>
      </c>
      <c r="AH248" s="23">
        <v>30</v>
      </c>
      <c r="AI248" s="23">
        <v>719.15</v>
      </c>
      <c r="AJ248" s="23">
        <v>-5.2600000000000001E-2</v>
      </c>
      <c r="AK248" s="23">
        <v>0.60529999999999995</v>
      </c>
      <c r="AL248" s="23" t="s">
        <v>24</v>
      </c>
      <c r="AM248" s="23">
        <v>40</v>
      </c>
      <c r="AN248" s="23">
        <v>29147.3</v>
      </c>
      <c r="AO248" s="23">
        <v>38.549999999999997</v>
      </c>
      <c r="AP248" s="23">
        <v>0</v>
      </c>
      <c r="AR248" s="46"/>
      <c r="AS248" s="44"/>
      <c r="AT248" s="45"/>
      <c r="AU248" s="2">
        <v>43672</v>
      </c>
      <c r="AV248" s="52">
        <v>0.38541666666666669</v>
      </c>
      <c r="AW248" s="2" t="s">
        <v>212</v>
      </c>
      <c r="AY248" s="3"/>
      <c r="BA248" s="3"/>
      <c r="BG248" s="3"/>
      <c r="BH248" s="3"/>
    </row>
    <row r="249" spans="1:60">
      <c r="A249" s="23" t="s">
        <v>22</v>
      </c>
      <c r="B249" s="23" t="s">
        <v>23</v>
      </c>
      <c r="C249" s="27">
        <v>43675.395833333336</v>
      </c>
      <c r="D249" s="23">
        <v>41.5</v>
      </c>
      <c r="E249" s="27">
        <v>43675.541666666664</v>
      </c>
      <c r="F249" s="23">
        <v>41.85</v>
      </c>
      <c r="G249" s="31">
        <v>8.3999999999999995E-3</v>
      </c>
      <c r="H249" s="23">
        <v>-422.89</v>
      </c>
      <c r="I249" s="31">
        <v>-8.3999999999999995E-3</v>
      </c>
      <c r="J249" s="23">
        <v>1208.2449999999999</v>
      </c>
      <c r="K249" s="23">
        <v>50142.16</v>
      </c>
      <c r="L249" s="23">
        <v>27508.62</v>
      </c>
      <c r="M249" s="23">
        <v>15</v>
      </c>
      <c r="N249" s="23">
        <v>-28.19</v>
      </c>
      <c r="O249" s="31">
        <v>-9.5999999999999992E-3</v>
      </c>
      <c r="P249" s="31">
        <v>7.1999999999999998E-3</v>
      </c>
      <c r="Q249" s="23" t="s">
        <v>24</v>
      </c>
      <c r="R249" s="23">
        <v>0</v>
      </c>
      <c r="S249" s="23">
        <v>42.92</v>
      </c>
      <c r="U249" s="47">
        <f>VLOOKUP(AU249,[1]expiry_dates!$B$2:$C$2894,2,FALSE)</f>
        <v>43706</v>
      </c>
      <c r="V249" s="23" t="s">
        <v>136</v>
      </c>
      <c r="W249" s="23" t="s">
        <v>23</v>
      </c>
      <c r="X249" s="49">
        <v>43675.395833333336</v>
      </c>
      <c r="Y249" s="23">
        <v>1.95</v>
      </c>
      <c r="Z249" s="23">
        <v>43675.541666666664</v>
      </c>
      <c r="AA249" s="23">
        <v>2.25</v>
      </c>
      <c r="AB249" s="23">
        <v>0.15379999999999999</v>
      </c>
      <c r="AC249" s="23">
        <v>-8428.49</v>
      </c>
      <c r="AD249" s="23">
        <v>-0.15379999999999999</v>
      </c>
      <c r="AE249" s="23">
        <v>28094.959999999999</v>
      </c>
      <c r="AF249" s="23">
        <v>54785.18</v>
      </c>
      <c r="AG249" s="23">
        <v>944291.63</v>
      </c>
      <c r="AH249" s="23">
        <v>15</v>
      </c>
      <c r="AI249" s="23">
        <v>-561.9</v>
      </c>
      <c r="AJ249" s="23">
        <v>-0.15379999999999999</v>
      </c>
      <c r="AK249" s="23">
        <v>0.1026</v>
      </c>
      <c r="AL249" s="23" t="s">
        <v>24</v>
      </c>
      <c r="AM249" s="23">
        <v>41.5</v>
      </c>
      <c r="AN249" s="23">
        <v>29377.65</v>
      </c>
      <c r="AO249" s="23">
        <v>42.92</v>
      </c>
      <c r="AP249" s="23">
        <v>0</v>
      </c>
      <c r="AR249" s="46"/>
      <c r="AS249" s="44"/>
      <c r="AT249" s="45"/>
      <c r="AU249" s="2">
        <v>43675</v>
      </c>
      <c r="AV249" s="52">
        <v>0.39583333333333331</v>
      </c>
      <c r="AW249" s="2" t="s">
        <v>212</v>
      </c>
      <c r="AY249" s="3"/>
      <c r="BA249" s="3"/>
      <c r="BG249" s="3"/>
      <c r="BH249" s="3"/>
    </row>
    <row r="250" spans="1:60">
      <c r="A250" s="23" t="s">
        <v>22</v>
      </c>
      <c r="B250" s="23" t="s">
        <v>25</v>
      </c>
      <c r="C250" s="27">
        <v>43675.541666666664</v>
      </c>
      <c r="D250" s="23">
        <v>41.85</v>
      </c>
      <c r="E250" s="27">
        <v>43675.604166666664</v>
      </c>
      <c r="F250" s="23">
        <v>41.45</v>
      </c>
      <c r="G250" s="31">
        <v>-9.5999999999999992E-3</v>
      </c>
      <c r="H250" s="23">
        <v>-479.21</v>
      </c>
      <c r="I250" s="31">
        <v>-9.5999999999999992E-3</v>
      </c>
      <c r="J250" s="23">
        <v>1198.037</v>
      </c>
      <c r="K250" s="23">
        <v>50137.85</v>
      </c>
      <c r="L250" s="23">
        <v>27029.41</v>
      </c>
      <c r="M250" s="23">
        <v>7</v>
      </c>
      <c r="N250" s="23">
        <v>-68.459999999999994</v>
      </c>
      <c r="O250" s="31">
        <v>-9.5999999999999992E-3</v>
      </c>
      <c r="P250" s="31">
        <v>6.0000000000000001E-3</v>
      </c>
      <c r="Q250" s="23" t="s">
        <v>24</v>
      </c>
      <c r="R250" s="23">
        <v>0</v>
      </c>
      <c r="S250" s="23">
        <v>41.23</v>
      </c>
      <c r="U250" s="47">
        <f>VLOOKUP(AU250,[1]expiry_dates!$B$2:$C$2894,2,FALSE)</f>
        <v>43706</v>
      </c>
      <c r="V250" s="23" t="s">
        <v>113</v>
      </c>
      <c r="W250" s="23" t="s">
        <v>23</v>
      </c>
      <c r="X250" s="49">
        <v>43675.541666666664</v>
      </c>
      <c r="Y250" s="23">
        <v>1.1499999999999999</v>
      </c>
      <c r="Z250" s="23">
        <v>43675.604166666664</v>
      </c>
      <c r="AA250" s="23">
        <v>1.1000000000000001</v>
      </c>
      <c r="AB250" s="23">
        <v>-4.3499999999999997E-2</v>
      </c>
      <c r="AC250" s="23">
        <v>2379.5</v>
      </c>
      <c r="AD250" s="23">
        <v>4.3499999999999997E-2</v>
      </c>
      <c r="AE250" s="23">
        <v>47589.98</v>
      </c>
      <c r="AF250" s="23">
        <v>54728.480000000003</v>
      </c>
      <c r="AG250" s="23">
        <v>946671.13</v>
      </c>
      <c r="AH250" s="23">
        <v>7</v>
      </c>
      <c r="AI250" s="23">
        <v>339.93</v>
      </c>
      <c r="AJ250" s="23">
        <v>-4.3499999999999997E-2</v>
      </c>
      <c r="AK250" s="23">
        <v>4.3499999999999997E-2</v>
      </c>
      <c r="AL250" s="23" t="s">
        <v>24</v>
      </c>
      <c r="AM250" s="23">
        <v>41.85</v>
      </c>
      <c r="AN250" s="23">
        <v>29224.95</v>
      </c>
      <c r="AO250" s="23">
        <v>41.23</v>
      </c>
      <c r="AP250" s="23">
        <v>0</v>
      </c>
      <c r="AR250" s="46"/>
      <c r="AS250" s="44"/>
      <c r="AT250" s="45"/>
      <c r="AU250" s="2">
        <v>43675</v>
      </c>
      <c r="AV250" s="52">
        <v>4.1666666666666664E-2</v>
      </c>
      <c r="AW250" s="2" t="s">
        <v>213</v>
      </c>
      <c r="AY250" s="3"/>
      <c r="BA250" s="3"/>
      <c r="BG250" s="3"/>
      <c r="BH250" s="3"/>
    </row>
    <row r="251" spans="1:60">
      <c r="A251" s="23" t="s">
        <v>22</v>
      </c>
      <c r="B251" s="23" t="s">
        <v>23</v>
      </c>
      <c r="C251" s="27">
        <v>43675.604166666664</v>
      </c>
      <c r="D251" s="23">
        <v>41.45</v>
      </c>
      <c r="E251" s="27">
        <v>43676.385416666664</v>
      </c>
      <c r="F251" s="23">
        <v>41.6</v>
      </c>
      <c r="G251" s="31">
        <v>3.5999999999999999E-3</v>
      </c>
      <c r="H251" s="23">
        <v>-181.44</v>
      </c>
      <c r="I251" s="31">
        <v>-3.5999999999999999E-3</v>
      </c>
      <c r="J251" s="23">
        <v>1209.569</v>
      </c>
      <c r="K251" s="23">
        <v>50136.639999999999</v>
      </c>
      <c r="L251" s="23">
        <v>26847.97</v>
      </c>
      <c r="M251" s="23">
        <v>8</v>
      </c>
      <c r="N251" s="23">
        <v>-22.68</v>
      </c>
      <c r="O251" s="31">
        <v>-6.0000000000000001E-3</v>
      </c>
      <c r="P251" s="31">
        <v>2.3999999999999998E-3</v>
      </c>
      <c r="Q251" s="23" t="s">
        <v>24</v>
      </c>
      <c r="R251" s="23">
        <v>0</v>
      </c>
      <c r="S251" s="23">
        <v>42.09</v>
      </c>
      <c r="U251" s="47">
        <f>VLOOKUP(AU251,[1]expiry_dates!$B$2:$C$2894,2,FALSE)</f>
        <v>43706</v>
      </c>
      <c r="V251" s="23" t="s">
        <v>136</v>
      </c>
      <c r="W251" s="23" t="s">
        <v>23</v>
      </c>
      <c r="X251" s="49">
        <v>43675.604166666664</v>
      </c>
      <c r="Y251" s="23">
        <v>1.95</v>
      </c>
      <c r="Z251" s="23">
        <v>43676.385416666664</v>
      </c>
      <c r="AA251" s="23">
        <v>2</v>
      </c>
      <c r="AB251" s="23">
        <v>2.5600000000000001E-2</v>
      </c>
      <c r="AC251" s="23">
        <v>-1403.42</v>
      </c>
      <c r="AD251" s="23">
        <v>-2.5600000000000001E-2</v>
      </c>
      <c r="AE251" s="23">
        <v>28068.39</v>
      </c>
      <c r="AF251" s="23">
        <v>54733.36</v>
      </c>
      <c r="AG251" s="23">
        <v>945267.71</v>
      </c>
      <c r="AH251" s="23">
        <v>8</v>
      </c>
      <c r="AI251" s="23">
        <v>-175.43</v>
      </c>
      <c r="AJ251" s="23">
        <v>-5.1299999999999998E-2</v>
      </c>
      <c r="AK251" s="23">
        <v>0</v>
      </c>
      <c r="AL251" s="23" t="s">
        <v>24</v>
      </c>
      <c r="AM251" s="23">
        <v>41.45</v>
      </c>
      <c r="AN251" s="23">
        <v>29291.9</v>
      </c>
      <c r="AO251" s="23">
        <v>42.09</v>
      </c>
      <c r="AP251" s="23">
        <v>0</v>
      </c>
      <c r="AR251" s="46"/>
      <c r="AS251" s="44"/>
      <c r="AT251" s="45"/>
      <c r="AU251" s="2">
        <v>43675</v>
      </c>
      <c r="AV251" s="52">
        <v>0.10416666666666667</v>
      </c>
      <c r="AW251" s="2" t="s">
        <v>213</v>
      </c>
      <c r="AY251" s="3"/>
      <c r="BA251" s="3"/>
      <c r="BG251" s="3"/>
      <c r="BH251" s="3"/>
    </row>
    <row r="252" spans="1:60">
      <c r="A252" s="23" t="s">
        <v>22</v>
      </c>
      <c r="B252" s="23" t="s">
        <v>25</v>
      </c>
      <c r="C252" s="27">
        <v>43676.385416666664</v>
      </c>
      <c r="D252" s="23">
        <v>41.6</v>
      </c>
      <c r="E252" s="27">
        <v>43676.395833333336</v>
      </c>
      <c r="F252" s="23">
        <v>41.4</v>
      </c>
      <c r="G252" s="31">
        <v>-4.7999999999999996E-3</v>
      </c>
      <c r="H252" s="23">
        <v>-241.03</v>
      </c>
      <c r="I252" s="31">
        <v>-4.7999999999999996E-3</v>
      </c>
      <c r="J252" s="23">
        <v>1205.1569999999999</v>
      </c>
      <c r="K252" s="23">
        <v>50134.54</v>
      </c>
      <c r="L252" s="23">
        <v>26606.94</v>
      </c>
      <c r="M252" s="23">
        <v>2</v>
      </c>
      <c r="N252" s="23">
        <v>-120.52</v>
      </c>
      <c r="O252" s="31">
        <v>-4.7999999999999996E-3</v>
      </c>
      <c r="P252" s="31">
        <v>8.3999999999999995E-3</v>
      </c>
      <c r="Q252" s="23" t="s">
        <v>24</v>
      </c>
      <c r="R252" s="23">
        <v>0</v>
      </c>
      <c r="S252" s="23">
        <v>41.37</v>
      </c>
      <c r="U252" s="47">
        <f>VLOOKUP(AU252,[1]expiry_dates!$B$2:$C$2894,2,FALSE)</f>
        <v>43706</v>
      </c>
      <c r="V252" s="23" t="s">
        <v>134</v>
      </c>
      <c r="W252" s="23" t="s">
        <v>23</v>
      </c>
      <c r="X252" s="49">
        <v>43676.385416666664</v>
      </c>
      <c r="Y252" s="23">
        <v>1.55</v>
      </c>
      <c r="Z252" s="23">
        <v>43676.395833333336</v>
      </c>
      <c r="AA252" s="23">
        <v>1.65</v>
      </c>
      <c r="AB252" s="23">
        <v>6.4500000000000002E-2</v>
      </c>
      <c r="AC252" s="23">
        <v>-3531.18</v>
      </c>
      <c r="AD252" s="23">
        <v>-6.4500000000000002E-2</v>
      </c>
      <c r="AE252" s="23">
        <v>35311.839999999997</v>
      </c>
      <c r="AF252" s="23">
        <v>54733.36</v>
      </c>
      <c r="AG252" s="23">
        <v>941736.52</v>
      </c>
      <c r="AH252" s="23">
        <v>2</v>
      </c>
      <c r="AI252" s="23">
        <v>-1765.59</v>
      </c>
      <c r="AJ252" s="23">
        <v>-6.4500000000000002E-2</v>
      </c>
      <c r="AK252" s="23">
        <v>3.2300000000000002E-2</v>
      </c>
      <c r="AL252" s="23" t="s">
        <v>24</v>
      </c>
      <c r="AM252" s="23">
        <v>41.6</v>
      </c>
      <c r="AN252" s="23">
        <v>29489.55</v>
      </c>
      <c r="AO252" s="23">
        <v>41.37</v>
      </c>
      <c r="AP252" s="23">
        <v>0</v>
      </c>
      <c r="AR252" s="46"/>
      <c r="AS252" s="44"/>
      <c r="AT252" s="45"/>
      <c r="AU252" s="2">
        <v>43676</v>
      </c>
      <c r="AV252" s="52">
        <v>0.38541666666666669</v>
      </c>
      <c r="AW252" s="2" t="s">
        <v>212</v>
      </c>
      <c r="AY252" s="3"/>
      <c r="BA252" s="3"/>
      <c r="BG252" s="3"/>
      <c r="BH252" s="3"/>
    </row>
    <row r="253" spans="1:60">
      <c r="A253" s="23" t="s">
        <v>22</v>
      </c>
      <c r="B253" s="23" t="s">
        <v>23</v>
      </c>
      <c r="C253" s="27">
        <v>43676.395833333336</v>
      </c>
      <c r="D253" s="23">
        <v>41.4</v>
      </c>
      <c r="E253" s="27">
        <v>43677.395833333336</v>
      </c>
      <c r="F253" s="23">
        <v>40.15</v>
      </c>
      <c r="G253" s="31">
        <v>-3.0200000000000001E-2</v>
      </c>
      <c r="H253" s="23">
        <v>1513.71</v>
      </c>
      <c r="I253" s="31">
        <v>3.0200000000000001E-2</v>
      </c>
      <c r="J253" s="23">
        <v>1210.972</v>
      </c>
      <c r="K253" s="23">
        <v>50134.239999999998</v>
      </c>
      <c r="L253" s="23">
        <v>28120.65</v>
      </c>
      <c r="M253" s="23">
        <v>29</v>
      </c>
      <c r="N253" s="23">
        <v>52.2</v>
      </c>
      <c r="O253" s="31">
        <v>-8.5000000000000006E-3</v>
      </c>
      <c r="P253" s="31">
        <v>5.3100000000000001E-2</v>
      </c>
      <c r="Q253" s="23" t="s">
        <v>24</v>
      </c>
      <c r="R253" s="23">
        <v>0</v>
      </c>
      <c r="S253" s="23">
        <v>41.95</v>
      </c>
      <c r="U253" s="47">
        <f>VLOOKUP(AU253,[1]expiry_dates!$B$2:$C$2894,2,FALSE)</f>
        <v>43706</v>
      </c>
      <c r="V253" s="23" t="s">
        <v>136</v>
      </c>
      <c r="W253" s="23" t="s">
        <v>23</v>
      </c>
      <c r="X253" s="49">
        <v>43676.395833333336</v>
      </c>
      <c r="Y253" s="23">
        <v>1.85</v>
      </c>
      <c r="Z253" s="23">
        <v>43677.395833333336</v>
      </c>
      <c r="AA253" s="23">
        <v>1.25</v>
      </c>
      <c r="AB253" s="23">
        <v>-0.32429999999999998</v>
      </c>
      <c r="AC253" s="23">
        <v>17749.080000000002</v>
      </c>
      <c r="AD253" s="23">
        <v>0.32429999999999998</v>
      </c>
      <c r="AE253" s="23">
        <v>29581.8</v>
      </c>
      <c r="AF253" s="23">
        <v>54726.34</v>
      </c>
      <c r="AG253" s="23">
        <v>959485.61</v>
      </c>
      <c r="AH253" s="23">
        <v>29</v>
      </c>
      <c r="AI253" s="23">
        <v>612.04</v>
      </c>
      <c r="AJ253" s="23">
        <v>-8.1100000000000005E-2</v>
      </c>
      <c r="AK253" s="23">
        <v>0.48649999999999999</v>
      </c>
      <c r="AL253" s="23" t="s">
        <v>24</v>
      </c>
      <c r="AM253" s="23">
        <v>41.4</v>
      </c>
      <c r="AN253" s="23">
        <v>29469.7</v>
      </c>
      <c r="AO253" s="23">
        <v>41.95</v>
      </c>
      <c r="AP253" s="23">
        <v>0</v>
      </c>
      <c r="AR253" s="46"/>
      <c r="AS253" s="44"/>
      <c r="AT253" s="45"/>
      <c r="AU253" s="2">
        <v>43676</v>
      </c>
      <c r="AV253" s="52">
        <v>0.39583333333333331</v>
      </c>
      <c r="AW253" s="2" t="s">
        <v>212</v>
      </c>
      <c r="AY253" s="3"/>
      <c r="BA253" s="3"/>
      <c r="BG253" s="3"/>
      <c r="BH253" s="3"/>
    </row>
    <row r="254" spans="1:60">
      <c r="A254" s="23" t="s">
        <v>22</v>
      </c>
      <c r="B254" s="23" t="s">
        <v>25</v>
      </c>
      <c r="C254" s="27">
        <v>43677.395833333336</v>
      </c>
      <c r="D254" s="23">
        <v>40.15</v>
      </c>
      <c r="E254" s="27">
        <v>43678.40625</v>
      </c>
      <c r="F254" s="23">
        <v>41.4</v>
      </c>
      <c r="G254" s="31">
        <v>3.1099999999999999E-2</v>
      </c>
      <c r="H254" s="23">
        <v>1561.11</v>
      </c>
      <c r="I254" s="31">
        <v>3.1099999999999999E-2</v>
      </c>
      <c r="J254" s="23">
        <v>1248.885</v>
      </c>
      <c r="K254" s="23">
        <v>50142.720000000001</v>
      </c>
      <c r="L254" s="23">
        <v>29681.759999999998</v>
      </c>
      <c r="M254" s="23">
        <v>30</v>
      </c>
      <c r="N254" s="23">
        <v>52.04</v>
      </c>
      <c r="O254" s="31">
        <v>-1.49E-2</v>
      </c>
      <c r="P254" s="31">
        <v>5.2299999999999999E-2</v>
      </c>
      <c r="Q254" s="23" t="s">
        <v>24</v>
      </c>
      <c r="R254" s="23">
        <v>0</v>
      </c>
      <c r="S254" s="23">
        <v>39.200000000000003</v>
      </c>
      <c r="U254" s="47">
        <f>VLOOKUP(AU254,[1]expiry_dates!$B$2:$C$2894,2,FALSE)</f>
        <v>43706</v>
      </c>
      <c r="V254" s="23" t="s">
        <v>137</v>
      </c>
      <c r="W254" s="23" t="s">
        <v>23</v>
      </c>
      <c r="X254" s="49">
        <v>43677.395833333336</v>
      </c>
      <c r="Y254" s="23">
        <v>1.3</v>
      </c>
      <c r="Z254" s="23">
        <v>43678.40625</v>
      </c>
      <c r="AA254" s="23">
        <v>0.94999990000000001</v>
      </c>
      <c r="AB254" s="23">
        <v>-0.26919999999999999</v>
      </c>
      <c r="AC254" s="23">
        <v>14759.13</v>
      </c>
      <c r="AD254" s="23">
        <v>0.26919999999999999</v>
      </c>
      <c r="AE254" s="23">
        <v>42168.94</v>
      </c>
      <c r="AF254" s="23">
        <v>54819.62</v>
      </c>
      <c r="AG254" s="23">
        <v>974244.73</v>
      </c>
      <c r="AH254" s="23">
        <v>30</v>
      </c>
      <c r="AI254" s="23">
        <v>491.97</v>
      </c>
      <c r="AJ254" s="23">
        <v>-7.6899999999999996E-2</v>
      </c>
      <c r="AK254" s="23">
        <v>0.46150000000000002</v>
      </c>
      <c r="AL254" s="23" t="s">
        <v>24</v>
      </c>
      <c r="AM254" s="23">
        <v>40.15</v>
      </c>
      <c r="AN254" s="23">
        <v>28761</v>
      </c>
      <c r="AO254" s="23">
        <v>39.200000000000003</v>
      </c>
      <c r="AP254" s="23">
        <v>0</v>
      </c>
      <c r="AR254" s="46"/>
      <c r="AS254" s="44"/>
      <c r="AT254" s="45"/>
      <c r="AU254" s="2">
        <v>43677</v>
      </c>
      <c r="AV254" s="52">
        <v>0.39583333333333331</v>
      </c>
      <c r="AW254" s="2" t="s">
        <v>212</v>
      </c>
      <c r="AY254" s="3"/>
      <c r="BA254" s="3"/>
      <c r="BG254" s="3"/>
      <c r="BH254" s="3"/>
    </row>
    <row r="255" spans="1:60">
      <c r="A255" s="23" t="s">
        <v>22</v>
      </c>
      <c r="B255" s="23" t="s">
        <v>23</v>
      </c>
      <c r="C255" s="27">
        <v>43678.40625</v>
      </c>
      <c r="D255" s="23">
        <v>41.4</v>
      </c>
      <c r="E255" s="27">
        <v>43678.53125</v>
      </c>
      <c r="F255" s="23">
        <v>41.6</v>
      </c>
      <c r="G255" s="31">
        <v>4.7999999999999996E-3</v>
      </c>
      <c r="H255" s="23">
        <v>-242.26</v>
      </c>
      <c r="I255" s="31">
        <v>-4.7999999999999996E-3</v>
      </c>
      <c r="J255" s="23">
        <v>1211.2840000000001</v>
      </c>
      <c r="K255" s="23">
        <v>50147.16</v>
      </c>
      <c r="L255" s="23">
        <v>29439.5</v>
      </c>
      <c r="M255" s="23">
        <v>13</v>
      </c>
      <c r="N255" s="23">
        <v>-18.64</v>
      </c>
      <c r="O255" s="31">
        <v>-6.0000000000000001E-3</v>
      </c>
      <c r="P255" s="31">
        <v>8.5000000000000006E-3</v>
      </c>
      <c r="Q255" s="23" t="s">
        <v>24</v>
      </c>
      <c r="R255" s="23">
        <v>0</v>
      </c>
      <c r="S255" s="23">
        <v>42.2</v>
      </c>
      <c r="U255" s="47">
        <f>VLOOKUP(AU255,[1]expiry_dates!$B$2:$C$2894,2,FALSE)</f>
        <v>43706</v>
      </c>
      <c r="V255" s="23" t="s">
        <v>116</v>
      </c>
      <c r="W255" s="23" t="s">
        <v>23</v>
      </c>
      <c r="X255" s="49">
        <v>43678.40625</v>
      </c>
      <c r="Y255" s="23">
        <v>1.3</v>
      </c>
      <c r="Z255" s="23">
        <v>43678.53125</v>
      </c>
      <c r="AA255" s="23">
        <v>1.35</v>
      </c>
      <c r="AB255" s="23">
        <v>3.85E-2</v>
      </c>
      <c r="AC255" s="23">
        <v>-2110.4299999999998</v>
      </c>
      <c r="AD255" s="23">
        <v>-3.85E-2</v>
      </c>
      <c r="AE255" s="23">
        <v>42208.639999999999</v>
      </c>
      <c r="AF255" s="23">
        <v>54871.23</v>
      </c>
      <c r="AG255" s="23">
        <v>972134.3</v>
      </c>
      <c r="AH255" s="23">
        <v>13</v>
      </c>
      <c r="AI255" s="23">
        <v>-162.34</v>
      </c>
      <c r="AJ255" s="23">
        <v>-0.15379999999999999</v>
      </c>
      <c r="AK255" s="23">
        <v>3.85E-2</v>
      </c>
      <c r="AL255" s="23" t="s">
        <v>24</v>
      </c>
      <c r="AM255" s="23">
        <v>41.4</v>
      </c>
      <c r="AN255" s="23">
        <v>28765.4</v>
      </c>
      <c r="AO255" s="23">
        <v>42.2</v>
      </c>
      <c r="AP255" s="23">
        <v>0</v>
      </c>
      <c r="AR255" s="46"/>
      <c r="AS255" s="44"/>
      <c r="AT255" s="45"/>
      <c r="AU255" s="2">
        <v>43678</v>
      </c>
      <c r="AV255" s="52">
        <v>0.40625</v>
      </c>
      <c r="AW255" s="2" t="s">
        <v>212</v>
      </c>
      <c r="AY255" s="3"/>
      <c r="BA255" s="3"/>
      <c r="BG255" s="3"/>
      <c r="BH255" s="3"/>
    </row>
    <row r="256" spans="1:60">
      <c r="A256" s="23" t="s">
        <v>22</v>
      </c>
      <c r="B256" s="23" t="s">
        <v>25</v>
      </c>
      <c r="C256" s="27">
        <v>43678.53125</v>
      </c>
      <c r="D256" s="23">
        <v>41.6</v>
      </c>
      <c r="E256" s="27">
        <v>43678.604166666664</v>
      </c>
      <c r="F256" s="23">
        <v>40.85</v>
      </c>
      <c r="G256" s="31">
        <v>-1.7999999999999999E-2</v>
      </c>
      <c r="H256" s="23">
        <v>-904.11</v>
      </c>
      <c r="I256" s="31">
        <v>-1.7999999999999999E-2</v>
      </c>
      <c r="J256" s="23">
        <v>1205.4760000000001</v>
      </c>
      <c r="K256" s="23">
        <v>50147.8</v>
      </c>
      <c r="L256" s="23">
        <v>28535.4</v>
      </c>
      <c r="M256" s="23">
        <v>8</v>
      </c>
      <c r="N256" s="23">
        <v>-113.01</v>
      </c>
      <c r="O256" s="31">
        <v>-1.7999999999999999E-2</v>
      </c>
      <c r="P256" s="31">
        <v>1.9199999999999998E-2</v>
      </c>
      <c r="Q256" s="23" t="s">
        <v>24</v>
      </c>
      <c r="R256" s="23">
        <v>0</v>
      </c>
      <c r="S256" s="23">
        <v>41.05</v>
      </c>
      <c r="U256" s="47">
        <f>VLOOKUP(AU256,[1]expiry_dates!$B$2:$C$2894,2,FALSE)</f>
        <v>43706</v>
      </c>
      <c r="V256" s="23" t="s">
        <v>137</v>
      </c>
      <c r="W256" s="23" t="s">
        <v>23</v>
      </c>
      <c r="X256" s="49">
        <v>43678.53125</v>
      </c>
      <c r="Y256" s="23">
        <v>0.9</v>
      </c>
      <c r="Z256" s="23">
        <v>43678.604166666664</v>
      </c>
      <c r="AA256" s="23">
        <v>1.2</v>
      </c>
      <c r="AB256" s="23">
        <v>0.33329999999999999</v>
      </c>
      <c r="AC256" s="23">
        <v>-18286.89</v>
      </c>
      <c r="AD256" s="23">
        <v>-0.33329999999999999</v>
      </c>
      <c r="AE256" s="23">
        <v>60956.3</v>
      </c>
      <c r="AF256" s="23">
        <v>54860.67</v>
      </c>
      <c r="AG256" s="23">
        <v>953847.41</v>
      </c>
      <c r="AH256" s="23">
        <v>8</v>
      </c>
      <c r="AI256" s="23">
        <v>-2285.86</v>
      </c>
      <c r="AJ256" s="23">
        <v>-0.33329999999999999</v>
      </c>
      <c r="AK256" s="23">
        <v>0.22220000000000001</v>
      </c>
      <c r="AL256" s="23" t="s">
        <v>24</v>
      </c>
      <c r="AM256" s="23">
        <v>41.6</v>
      </c>
      <c r="AN256" s="23">
        <v>28502.7</v>
      </c>
      <c r="AO256" s="23">
        <v>41.05</v>
      </c>
      <c r="AP256" s="23">
        <v>0</v>
      </c>
      <c r="AR256" s="46"/>
      <c r="AS256" s="44"/>
      <c r="AT256" s="45"/>
      <c r="AU256" s="2">
        <v>43678</v>
      </c>
      <c r="AV256" s="52">
        <v>0.53125</v>
      </c>
      <c r="AW256" s="2" t="s">
        <v>213</v>
      </c>
      <c r="AY256" s="3"/>
      <c r="BA256" s="3"/>
      <c r="BG256" s="3"/>
      <c r="BH256" s="3"/>
    </row>
    <row r="257" spans="1:60">
      <c r="A257" s="23" t="s">
        <v>22</v>
      </c>
      <c r="B257" s="23" t="s">
        <v>23</v>
      </c>
      <c r="C257" s="27">
        <v>43678.604166666664</v>
      </c>
      <c r="D257" s="23">
        <v>40.85</v>
      </c>
      <c r="E257" s="27">
        <v>43679.479166666664</v>
      </c>
      <c r="F257" s="23">
        <v>41.2</v>
      </c>
      <c r="G257" s="31">
        <v>8.6E-3</v>
      </c>
      <c r="H257" s="23">
        <v>-429.67</v>
      </c>
      <c r="I257" s="31">
        <v>-8.6E-3</v>
      </c>
      <c r="J257" s="23">
        <v>1227.6300000000001</v>
      </c>
      <c r="K257" s="23">
        <v>50148.7</v>
      </c>
      <c r="L257" s="23">
        <v>28105.72</v>
      </c>
      <c r="M257" s="23">
        <v>17</v>
      </c>
      <c r="N257" s="23">
        <v>-25.27</v>
      </c>
      <c r="O257" s="31">
        <v>-2.4500000000000001E-2</v>
      </c>
      <c r="P257" s="31">
        <v>1.5900000000000001E-2</v>
      </c>
      <c r="Q257" s="23" t="s">
        <v>24</v>
      </c>
      <c r="R257" s="23">
        <v>0</v>
      </c>
      <c r="S257" s="23">
        <v>42.35</v>
      </c>
      <c r="U257" s="47">
        <f>VLOOKUP(AU257,[1]expiry_dates!$B$2:$C$2894,2,FALSE)</f>
        <v>43706</v>
      </c>
      <c r="V257" s="23" t="s">
        <v>136</v>
      </c>
      <c r="W257" s="23" t="s">
        <v>23</v>
      </c>
      <c r="X257" s="49">
        <v>43678.604166666664</v>
      </c>
      <c r="Y257" s="23">
        <v>1.5</v>
      </c>
      <c r="Z257" s="23">
        <v>43679.479166666664</v>
      </c>
      <c r="AA257" s="23">
        <v>1.65</v>
      </c>
      <c r="AB257" s="23">
        <v>0.1</v>
      </c>
      <c r="AC257" s="23">
        <v>-5492.16</v>
      </c>
      <c r="AD257" s="23">
        <v>-0.1</v>
      </c>
      <c r="AE257" s="23">
        <v>36614.42</v>
      </c>
      <c r="AF257" s="23">
        <v>54921.63</v>
      </c>
      <c r="AG257" s="23">
        <v>948355.25</v>
      </c>
      <c r="AH257" s="23">
        <v>17</v>
      </c>
      <c r="AI257" s="23">
        <v>-323.07</v>
      </c>
      <c r="AJ257" s="23">
        <v>-0.36670000000000003</v>
      </c>
      <c r="AK257" s="23">
        <v>0.1</v>
      </c>
      <c r="AL257" s="23" t="s">
        <v>24</v>
      </c>
      <c r="AM257" s="23">
        <v>40.85</v>
      </c>
      <c r="AN257" s="23">
        <v>28180.75</v>
      </c>
      <c r="AO257" s="23">
        <v>42.35</v>
      </c>
      <c r="AP257" s="23">
        <v>0</v>
      </c>
      <c r="AR257" s="46"/>
      <c r="AS257" s="44"/>
      <c r="AT257" s="45"/>
      <c r="AU257" s="2">
        <v>43678</v>
      </c>
      <c r="AV257" s="52">
        <v>0.10416666666666667</v>
      </c>
      <c r="AW257" s="2" t="s">
        <v>213</v>
      </c>
      <c r="AY257" s="3"/>
      <c r="BA257" s="3"/>
      <c r="BG257" s="3"/>
      <c r="BH257" s="3"/>
    </row>
    <row r="258" spans="1:60">
      <c r="A258" s="23" t="s">
        <v>22</v>
      </c>
      <c r="B258" s="23" t="s">
        <v>25</v>
      </c>
      <c r="C258" s="27">
        <v>43679.479166666664</v>
      </c>
      <c r="D258" s="23">
        <v>41.2</v>
      </c>
      <c r="E258" s="27">
        <v>43682.385416666664</v>
      </c>
      <c r="F258" s="23">
        <v>40.1</v>
      </c>
      <c r="G258" s="31">
        <v>-2.6700000000000002E-2</v>
      </c>
      <c r="H258" s="23">
        <v>-1338.74</v>
      </c>
      <c r="I258" s="31">
        <v>-2.6700000000000002E-2</v>
      </c>
      <c r="J258" s="23">
        <v>1217.04</v>
      </c>
      <c r="K258" s="23">
        <v>50142.07</v>
      </c>
      <c r="L258" s="23">
        <v>26766.98</v>
      </c>
      <c r="M258" s="23">
        <v>20</v>
      </c>
      <c r="N258" s="23">
        <v>-66.94</v>
      </c>
      <c r="O258" s="31">
        <v>-2.6700000000000002E-2</v>
      </c>
      <c r="P258" s="31">
        <v>1.9400000000000001E-2</v>
      </c>
      <c r="Q258" s="23" t="s">
        <v>24</v>
      </c>
      <c r="R258" s="23">
        <v>0</v>
      </c>
      <c r="S258" s="23">
        <v>40.22</v>
      </c>
      <c r="U258" s="47">
        <f>VLOOKUP(AU258,[1]expiry_dates!$B$2:$C$2894,2,FALSE)</f>
        <v>43706</v>
      </c>
      <c r="V258" s="23" t="s">
        <v>134</v>
      </c>
      <c r="W258" s="23" t="s">
        <v>23</v>
      </c>
      <c r="X258" s="49">
        <v>43679.479166666664</v>
      </c>
      <c r="Y258" s="23">
        <v>1.8</v>
      </c>
      <c r="Z258" s="23">
        <v>43682.385416666664</v>
      </c>
      <c r="AA258" s="23">
        <v>2.15</v>
      </c>
      <c r="AB258" s="23">
        <v>0.19439999999999999</v>
      </c>
      <c r="AC258" s="23">
        <v>-10644.23</v>
      </c>
      <c r="AD258" s="23">
        <v>-0.19439999999999999</v>
      </c>
      <c r="AE258" s="23">
        <v>30412.1</v>
      </c>
      <c r="AF258" s="23">
        <v>54741.78</v>
      </c>
      <c r="AG258" s="23">
        <v>937711.01</v>
      </c>
      <c r="AH258" s="23">
        <v>20</v>
      </c>
      <c r="AI258" s="23">
        <v>-532.21</v>
      </c>
      <c r="AJ258" s="23">
        <v>-0.19439999999999999</v>
      </c>
      <c r="AK258" s="23">
        <v>0.19439999999999999</v>
      </c>
      <c r="AL258" s="23" t="s">
        <v>24</v>
      </c>
      <c r="AM258" s="23">
        <v>41.2</v>
      </c>
      <c r="AN258" s="23">
        <v>28149.8</v>
      </c>
      <c r="AO258" s="23">
        <v>40.22</v>
      </c>
      <c r="AP258" s="23">
        <v>0</v>
      </c>
      <c r="AR258" s="46"/>
      <c r="AS258" s="44"/>
      <c r="AT258" s="45"/>
      <c r="AU258" s="2">
        <v>43679</v>
      </c>
      <c r="AV258" s="52">
        <v>0.47916666666666669</v>
      </c>
      <c r="AW258" s="2" t="s">
        <v>212</v>
      </c>
      <c r="AY258" s="3"/>
      <c r="BA258" s="3"/>
      <c r="BG258" s="3"/>
      <c r="BH258" s="3"/>
    </row>
    <row r="259" spans="1:60">
      <c r="A259" s="23" t="s">
        <v>22</v>
      </c>
      <c r="B259" s="23" t="s">
        <v>23</v>
      </c>
      <c r="C259" s="27">
        <v>43682.385416666664</v>
      </c>
      <c r="D259" s="23">
        <v>40.1</v>
      </c>
      <c r="E259" s="27">
        <v>43682.53125</v>
      </c>
      <c r="F259" s="23">
        <v>40.65</v>
      </c>
      <c r="G259" s="31">
        <v>1.37E-2</v>
      </c>
      <c r="H259" s="23">
        <v>-687.69</v>
      </c>
      <c r="I259" s="31">
        <v>-1.37E-2</v>
      </c>
      <c r="J259" s="23">
        <v>1250.3489999999999</v>
      </c>
      <c r="K259" s="23">
        <v>50139.01</v>
      </c>
      <c r="L259" s="23">
        <v>26079.29</v>
      </c>
      <c r="M259" s="23">
        <v>15</v>
      </c>
      <c r="N259" s="23">
        <v>-45.85</v>
      </c>
      <c r="O259" s="31">
        <v>-0.02</v>
      </c>
      <c r="P259" s="31">
        <v>1.2500000000000001E-2</v>
      </c>
      <c r="Q259" s="23" t="s">
        <v>24</v>
      </c>
      <c r="R259" s="23">
        <v>0</v>
      </c>
      <c r="S259" s="23">
        <v>41.92</v>
      </c>
      <c r="U259" s="47">
        <f>VLOOKUP(AU259,[1]expiry_dates!$B$2:$C$2894,2,FALSE)</f>
        <v>43706</v>
      </c>
      <c r="V259" s="23" t="s">
        <v>139</v>
      </c>
      <c r="W259" s="23" t="s">
        <v>23</v>
      </c>
      <c r="X259" s="49">
        <v>43682.385416666664</v>
      </c>
      <c r="Y259" s="23">
        <v>1.75</v>
      </c>
      <c r="Z259" s="23">
        <v>43682.53125</v>
      </c>
      <c r="AA259" s="23">
        <v>1.75</v>
      </c>
      <c r="AB259" s="23">
        <v>0</v>
      </c>
      <c r="AC259" s="23">
        <v>0</v>
      </c>
      <c r="AD259" s="23">
        <v>0</v>
      </c>
      <c r="AE259" s="23">
        <v>31289.71</v>
      </c>
      <c r="AF259" s="23">
        <v>54756.98</v>
      </c>
      <c r="AG259" s="23">
        <v>937711.01</v>
      </c>
      <c r="AH259" s="23">
        <v>15</v>
      </c>
      <c r="AI259" s="23">
        <v>0</v>
      </c>
      <c r="AJ259" s="23">
        <v>-8.5699999999999998E-2</v>
      </c>
      <c r="AK259" s="23">
        <v>0.1714</v>
      </c>
      <c r="AL259" s="23" t="s">
        <v>24</v>
      </c>
      <c r="AM259" s="23">
        <v>40.1</v>
      </c>
      <c r="AN259" s="23">
        <v>27644.400000000001</v>
      </c>
      <c r="AO259" s="23">
        <v>41.92</v>
      </c>
      <c r="AP259" s="23">
        <v>0</v>
      </c>
      <c r="AR259" s="46"/>
      <c r="AS259" s="44"/>
      <c r="AT259" s="45"/>
      <c r="AU259" s="2">
        <v>43682</v>
      </c>
      <c r="AV259" s="52">
        <v>0.38541666666666669</v>
      </c>
      <c r="AW259" s="2" t="s">
        <v>212</v>
      </c>
      <c r="AY259" s="3"/>
      <c r="BA259" s="3"/>
      <c r="BG259" s="3"/>
      <c r="BH259" s="3"/>
    </row>
    <row r="260" spans="1:60">
      <c r="A260" s="23" t="s">
        <v>22</v>
      </c>
      <c r="B260" s="23" t="s">
        <v>25</v>
      </c>
      <c r="C260" s="27">
        <v>43682.53125</v>
      </c>
      <c r="D260" s="23">
        <v>40.65</v>
      </c>
      <c r="E260" s="27">
        <v>43683.5</v>
      </c>
      <c r="F260" s="23">
        <v>41.2</v>
      </c>
      <c r="G260" s="31">
        <v>1.35E-2</v>
      </c>
      <c r="H260" s="23">
        <v>678.28</v>
      </c>
      <c r="I260" s="31">
        <v>1.35E-2</v>
      </c>
      <c r="J260" s="23">
        <v>1233.2429999999999</v>
      </c>
      <c r="K260" s="23">
        <v>50131.34</v>
      </c>
      <c r="L260" s="23">
        <v>26757.57</v>
      </c>
      <c r="M260" s="23">
        <v>26</v>
      </c>
      <c r="N260" s="23">
        <v>26.09</v>
      </c>
      <c r="O260" s="31">
        <v>-3.7000000000000002E-3</v>
      </c>
      <c r="P260" s="31">
        <v>3.0800000000000001E-2</v>
      </c>
      <c r="Q260" s="23" t="s">
        <v>24</v>
      </c>
      <c r="R260" s="23">
        <v>0</v>
      </c>
      <c r="S260" s="23">
        <v>39.64</v>
      </c>
      <c r="U260" s="47">
        <f>VLOOKUP(AU260,[1]expiry_dates!$B$2:$C$2894,2,FALSE)</f>
        <v>43706</v>
      </c>
      <c r="V260" s="23" t="s">
        <v>142</v>
      </c>
      <c r="W260" s="23" t="s">
        <v>23</v>
      </c>
      <c r="X260" s="49">
        <v>43682.53125</v>
      </c>
      <c r="Y260" s="23">
        <v>0.55000000000000004</v>
      </c>
      <c r="Z260" s="23">
        <v>43683.5</v>
      </c>
      <c r="AA260" s="23">
        <v>0.5</v>
      </c>
      <c r="AB260" s="23">
        <v>-9.0899999999999995E-2</v>
      </c>
      <c r="AC260" s="23">
        <v>4971.6899999999996</v>
      </c>
      <c r="AD260" s="23">
        <v>9.0899999999999995E-2</v>
      </c>
      <c r="AE260" s="23">
        <v>99433.73</v>
      </c>
      <c r="AF260" s="23">
        <v>54688.55</v>
      </c>
      <c r="AG260" s="23">
        <v>942682.7</v>
      </c>
      <c r="AH260" s="23">
        <v>26</v>
      </c>
      <c r="AI260" s="23">
        <v>191.22</v>
      </c>
      <c r="AJ260" s="23">
        <v>-9.0899999999999995E-2</v>
      </c>
      <c r="AK260" s="23">
        <v>0.2727</v>
      </c>
      <c r="AL260" s="23" t="s">
        <v>24</v>
      </c>
      <c r="AM260" s="23">
        <v>40.65</v>
      </c>
      <c r="AN260" s="23">
        <v>27715.95</v>
      </c>
      <c r="AO260" s="23">
        <v>39.64</v>
      </c>
      <c r="AP260" s="23">
        <v>0</v>
      </c>
      <c r="AR260" s="46"/>
      <c r="AS260" s="44"/>
      <c r="AT260" s="45"/>
      <c r="AU260" s="2">
        <v>43682</v>
      </c>
      <c r="AV260" s="52">
        <v>0.53125</v>
      </c>
      <c r="AW260" s="2" t="s">
        <v>213</v>
      </c>
      <c r="AY260" s="3"/>
      <c r="BA260" s="3"/>
      <c r="BG260" s="3"/>
      <c r="BH260" s="3"/>
    </row>
    <row r="261" spans="1:60">
      <c r="A261" s="23" t="s">
        <v>22</v>
      </c>
      <c r="B261" s="23" t="s">
        <v>23</v>
      </c>
      <c r="C261" s="27">
        <v>43683.5</v>
      </c>
      <c r="D261" s="23">
        <v>41.2</v>
      </c>
      <c r="E261" s="27">
        <v>43683.583333333336</v>
      </c>
      <c r="F261" s="23">
        <v>41.55</v>
      </c>
      <c r="G261" s="31">
        <v>8.5000000000000006E-3</v>
      </c>
      <c r="H261" s="23">
        <v>-425.89</v>
      </c>
      <c r="I261" s="31">
        <v>-8.5000000000000006E-3</v>
      </c>
      <c r="J261" s="23">
        <v>1216.8389999999999</v>
      </c>
      <c r="K261" s="23">
        <v>50133.79</v>
      </c>
      <c r="L261" s="23">
        <v>26331.68</v>
      </c>
      <c r="M261" s="23">
        <v>9</v>
      </c>
      <c r="N261" s="23">
        <v>-47.32</v>
      </c>
      <c r="O261" s="31">
        <v>-1.09E-2</v>
      </c>
      <c r="P261" s="31">
        <v>2.3999999999999998E-3</v>
      </c>
      <c r="Q261" s="23" t="s">
        <v>24</v>
      </c>
      <c r="R261" s="23">
        <v>0</v>
      </c>
      <c r="S261" s="23">
        <v>41.87</v>
      </c>
      <c r="U261" s="47">
        <f>VLOOKUP(AU261,[1]expiry_dates!$B$2:$C$2894,2,FALSE)</f>
        <v>43706</v>
      </c>
      <c r="V261" s="23" t="s">
        <v>116</v>
      </c>
      <c r="W261" s="23" t="s">
        <v>23</v>
      </c>
      <c r="X261" s="49">
        <v>43683.5</v>
      </c>
      <c r="Y261" s="23">
        <v>1.25</v>
      </c>
      <c r="Z261" s="23">
        <v>43683.583333333336</v>
      </c>
      <c r="AA261" s="23">
        <v>1.35</v>
      </c>
      <c r="AB261" s="23">
        <v>0.08</v>
      </c>
      <c r="AC261" s="23">
        <v>-4379.0600000000004</v>
      </c>
      <c r="AD261" s="23">
        <v>-0.08</v>
      </c>
      <c r="AE261" s="23">
        <v>43790.62</v>
      </c>
      <c r="AF261" s="23">
        <v>54738.27</v>
      </c>
      <c r="AG261" s="23">
        <v>938303.64</v>
      </c>
      <c r="AH261" s="23">
        <v>9</v>
      </c>
      <c r="AI261" s="23">
        <v>-486.56</v>
      </c>
      <c r="AJ261" s="23">
        <v>-0.16</v>
      </c>
      <c r="AK261" s="23">
        <v>0</v>
      </c>
      <c r="AL261" s="23" t="s">
        <v>24</v>
      </c>
      <c r="AM261" s="23">
        <v>41.2</v>
      </c>
      <c r="AN261" s="23">
        <v>27834.7</v>
      </c>
      <c r="AO261" s="23">
        <v>41.87</v>
      </c>
      <c r="AP261" s="23">
        <v>0</v>
      </c>
      <c r="AR261" s="46"/>
      <c r="AS261" s="44"/>
      <c r="AT261" s="45"/>
      <c r="AU261" s="2">
        <v>43683</v>
      </c>
      <c r="AV261" s="52">
        <v>0.5</v>
      </c>
      <c r="AW261" s="2" t="s">
        <v>213</v>
      </c>
      <c r="AY261" s="3"/>
      <c r="BA261" s="3"/>
      <c r="BG261" s="3"/>
      <c r="BH261" s="3"/>
    </row>
    <row r="262" spans="1:60">
      <c r="A262" s="23" t="s">
        <v>22</v>
      </c>
      <c r="B262" s="23" t="s">
        <v>25</v>
      </c>
      <c r="C262" s="27">
        <v>43683.583333333336</v>
      </c>
      <c r="D262" s="23">
        <v>41.55</v>
      </c>
      <c r="E262" s="27">
        <v>43684.385416666664</v>
      </c>
      <c r="F262" s="23">
        <v>41.7</v>
      </c>
      <c r="G262" s="31">
        <v>3.5999999999999999E-3</v>
      </c>
      <c r="H262" s="23">
        <v>180.99</v>
      </c>
      <c r="I262" s="31">
        <v>3.5999999999999999E-3</v>
      </c>
      <c r="J262" s="23">
        <v>1206.575</v>
      </c>
      <c r="K262" s="23">
        <v>50133.18</v>
      </c>
      <c r="L262" s="23">
        <v>26512.66</v>
      </c>
      <c r="M262" s="23">
        <v>10</v>
      </c>
      <c r="N262" s="23">
        <v>18.100000000000001</v>
      </c>
      <c r="O262" s="31">
        <v>-6.0000000000000001E-3</v>
      </c>
      <c r="P262" s="31">
        <v>8.3999999999999995E-3</v>
      </c>
      <c r="Q262" s="23" t="s">
        <v>24</v>
      </c>
      <c r="R262" s="23">
        <v>0</v>
      </c>
      <c r="S262" s="23">
        <v>41.1</v>
      </c>
      <c r="U262" s="47">
        <f>VLOOKUP(AU262,[1]expiry_dates!$B$2:$C$2894,2,FALSE)</f>
        <v>43706</v>
      </c>
      <c r="V262" s="23" t="s">
        <v>143</v>
      </c>
      <c r="W262" s="23" t="s">
        <v>23</v>
      </c>
      <c r="X262" s="49">
        <v>43683.583333333336</v>
      </c>
      <c r="Y262" s="23">
        <v>0.3</v>
      </c>
      <c r="Z262" s="23">
        <v>43684.385416666664</v>
      </c>
      <c r="AA262" s="23">
        <v>0.3</v>
      </c>
      <c r="AB262" s="23">
        <v>0</v>
      </c>
      <c r="AC262" s="23">
        <v>0</v>
      </c>
      <c r="AD262" s="23">
        <v>0</v>
      </c>
      <c r="AE262" s="23">
        <v>182305</v>
      </c>
      <c r="AF262" s="23">
        <v>54691.519999999997</v>
      </c>
      <c r="AG262" s="23">
        <v>938303.64</v>
      </c>
      <c r="AH262" s="23">
        <v>10</v>
      </c>
      <c r="AI262" s="23">
        <v>0</v>
      </c>
      <c r="AJ262" s="23">
        <v>0</v>
      </c>
      <c r="AK262" s="23">
        <v>0</v>
      </c>
      <c r="AL262" s="23" t="s">
        <v>24</v>
      </c>
      <c r="AM262" s="23">
        <v>41.55</v>
      </c>
      <c r="AN262" s="23">
        <v>28078.15</v>
      </c>
      <c r="AO262" s="23">
        <v>41.1</v>
      </c>
      <c r="AP262" s="23">
        <v>0</v>
      </c>
      <c r="AR262" s="46"/>
      <c r="AS262" s="44"/>
      <c r="AT262" s="45"/>
      <c r="AU262" s="2">
        <v>43683</v>
      </c>
      <c r="AV262" s="52">
        <v>8.3333333333333329E-2</v>
      </c>
      <c r="AW262" s="2" t="s">
        <v>213</v>
      </c>
      <c r="AY262" s="3"/>
      <c r="BA262" s="3"/>
      <c r="BG262" s="3"/>
      <c r="BH262" s="3"/>
    </row>
    <row r="263" spans="1:60">
      <c r="A263" s="23" t="s">
        <v>22</v>
      </c>
      <c r="B263" s="23" t="s">
        <v>23</v>
      </c>
      <c r="C263" s="27">
        <v>43684.385416666664</v>
      </c>
      <c r="D263" s="23">
        <v>41.7</v>
      </c>
      <c r="E263" s="27">
        <v>43684.395833333336</v>
      </c>
      <c r="F263" s="23">
        <v>41.85</v>
      </c>
      <c r="G263" s="31">
        <v>3.5999999999999999E-3</v>
      </c>
      <c r="H263" s="23">
        <v>-180.33</v>
      </c>
      <c r="I263" s="31">
        <v>-3.5999999999999999E-3</v>
      </c>
      <c r="J263" s="23">
        <v>1202.1980000000001</v>
      </c>
      <c r="K263" s="23">
        <v>50131.66</v>
      </c>
      <c r="L263" s="23">
        <v>26332.33</v>
      </c>
      <c r="M263" s="23">
        <v>2</v>
      </c>
      <c r="N263" s="23">
        <v>-90.16</v>
      </c>
      <c r="O263" s="31">
        <v>-3.5999999999999999E-3</v>
      </c>
      <c r="P263" s="31">
        <v>1.0800000000000001E-2</v>
      </c>
      <c r="Q263" s="23" t="s">
        <v>24</v>
      </c>
      <c r="R263" s="23">
        <v>0</v>
      </c>
      <c r="S263" s="23">
        <v>41.87</v>
      </c>
      <c r="U263" s="47">
        <f>VLOOKUP(AU263,[1]expiry_dates!$B$2:$C$2894,2,FALSE)</f>
        <v>43706</v>
      </c>
      <c r="V263" s="23" t="s">
        <v>116</v>
      </c>
      <c r="W263" s="23" t="s">
        <v>23</v>
      </c>
      <c r="X263" s="49">
        <v>43684.385416666664</v>
      </c>
      <c r="Y263" s="23">
        <v>1.4</v>
      </c>
      <c r="Z263" s="23">
        <v>43684.395833333336</v>
      </c>
      <c r="AA263" s="23">
        <v>1.45</v>
      </c>
      <c r="AB263" s="23">
        <v>3.5700000000000003E-2</v>
      </c>
      <c r="AC263" s="23">
        <v>-1953.27</v>
      </c>
      <c r="AD263" s="23">
        <v>-3.5700000000000003E-2</v>
      </c>
      <c r="AE263" s="23">
        <v>39065.370000000003</v>
      </c>
      <c r="AF263" s="23">
        <v>54691.519999999997</v>
      </c>
      <c r="AG263" s="23">
        <v>936350.37</v>
      </c>
      <c r="AH263" s="23">
        <v>2</v>
      </c>
      <c r="AI263" s="23">
        <v>-976.63</v>
      </c>
      <c r="AJ263" s="23">
        <v>-3.5700000000000003E-2</v>
      </c>
      <c r="AK263" s="23">
        <v>7.1400000000000005E-2</v>
      </c>
      <c r="AL263" s="23" t="s">
        <v>24</v>
      </c>
      <c r="AM263" s="23">
        <v>41.7</v>
      </c>
      <c r="AN263" s="23">
        <v>27926.799999999999</v>
      </c>
      <c r="AO263" s="23">
        <v>41.87</v>
      </c>
      <c r="AP263" s="23">
        <v>0</v>
      </c>
      <c r="AR263" s="46"/>
      <c r="AS263" s="44"/>
      <c r="AT263" s="45"/>
      <c r="AU263" s="2">
        <v>43684</v>
      </c>
      <c r="AV263" s="52">
        <v>0.38541666666666669</v>
      </c>
      <c r="AW263" s="2" t="s">
        <v>212</v>
      </c>
      <c r="AY263" s="3"/>
      <c r="BA263" s="3"/>
      <c r="BG263" s="3"/>
      <c r="BH263" s="3"/>
    </row>
    <row r="264" spans="1:60">
      <c r="A264" s="23" t="s">
        <v>22</v>
      </c>
      <c r="B264" s="23" t="s">
        <v>25</v>
      </c>
      <c r="C264" s="27">
        <v>43684.395833333336</v>
      </c>
      <c r="D264" s="23">
        <v>41.85</v>
      </c>
      <c r="E264" s="27">
        <v>43684.59375</v>
      </c>
      <c r="F264" s="23">
        <v>42.05</v>
      </c>
      <c r="G264" s="31">
        <v>4.7999999999999996E-3</v>
      </c>
      <c r="H264" s="23">
        <v>239.58</v>
      </c>
      <c r="I264" s="31">
        <v>4.7999999999999996E-3</v>
      </c>
      <c r="J264" s="23">
        <v>1197.9110000000001</v>
      </c>
      <c r="K264" s="23">
        <v>50132.56</v>
      </c>
      <c r="L264" s="23">
        <v>26571.919999999998</v>
      </c>
      <c r="M264" s="23">
        <v>20</v>
      </c>
      <c r="N264" s="23">
        <v>11.98</v>
      </c>
      <c r="O264" s="31">
        <v>-8.3999999999999995E-3</v>
      </c>
      <c r="P264" s="31">
        <v>1.55E-2</v>
      </c>
      <c r="Q264" s="23" t="s">
        <v>24</v>
      </c>
      <c r="R264" s="23">
        <v>0</v>
      </c>
      <c r="S264" s="23">
        <v>41.25</v>
      </c>
      <c r="U264" s="47">
        <f>VLOOKUP(AU264,[1]expiry_dates!$B$2:$C$2894,2,FALSE)</f>
        <v>43706</v>
      </c>
      <c r="V264" s="23" t="s">
        <v>137</v>
      </c>
      <c r="W264" s="23" t="s">
        <v>23</v>
      </c>
      <c r="X264" s="49">
        <v>43684.395833333336</v>
      </c>
      <c r="Y264" s="23">
        <v>0.7</v>
      </c>
      <c r="Z264" s="23">
        <v>43684.59375</v>
      </c>
      <c r="AA264" s="23">
        <v>0.7</v>
      </c>
      <c r="AB264" s="23">
        <v>0</v>
      </c>
      <c r="AC264" s="23">
        <v>0</v>
      </c>
      <c r="AD264" s="23">
        <v>0</v>
      </c>
      <c r="AE264" s="23">
        <v>78130.740000000005</v>
      </c>
      <c r="AF264" s="23">
        <v>54691.519999999997</v>
      </c>
      <c r="AG264" s="23">
        <v>936350.37</v>
      </c>
      <c r="AH264" s="23">
        <v>20</v>
      </c>
      <c r="AI264" s="23">
        <v>0</v>
      </c>
      <c r="AJ264" s="23">
        <v>0</v>
      </c>
      <c r="AK264" s="23">
        <v>0.21429999999999999</v>
      </c>
      <c r="AL264" s="23" t="s">
        <v>24</v>
      </c>
      <c r="AM264" s="23">
        <v>41.85</v>
      </c>
      <c r="AN264" s="23">
        <v>27980.5</v>
      </c>
      <c r="AO264" s="23">
        <v>41.25</v>
      </c>
      <c r="AP264" s="23">
        <v>0</v>
      </c>
      <c r="AR264" s="46"/>
      <c r="AS264" s="44"/>
      <c r="AT264" s="45"/>
      <c r="AU264" s="2">
        <v>43684</v>
      </c>
      <c r="AV264" s="52">
        <v>0.39583333333333331</v>
      </c>
      <c r="AW264" s="2" t="s">
        <v>212</v>
      </c>
      <c r="AY264" s="3"/>
      <c r="BA264" s="3"/>
      <c r="BG264" s="3"/>
      <c r="BH264" s="3"/>
    </row>
    <row r="265" spans="1:60">
      <c r="A265" s="23" t="s">
        <v>22</v>
      </c>
      <c r="B265" s="23" t="s">
        <v>23</v>
      </c>
      <c r="C265" s="27">
        <v>43684.59375</v>
      </c>
      <c r="D265" s="23">
        <v>42.05</v>
      </c>
      <c r="E265" s="27">
        <v>43685.552083333336</v>
      </c>
      <c r="F265" s="23">
        <v>41.4</v>
      </c>
      <c r="G265" s="31">
        <v>-1.55E-2</v>
      </c>
      <c r="H265" s="23">
        <v>774.96</v>
      </c>
      <c r="I265" s="31">
        <v>1.55E-2</v>
      </c>
      <c r="J265" s="23">
        <v>1192.242</v>
      </c>
      <c r="K265" s="23">
        <v>50133.760000000002</v>
      </c>
      <c r="L265" s="23">
        <v>27346.87</v>
      </c>
      <c r="M265" s="23">
        <v>25</v>
      </c>
      <c r="N265" s="23">
        <v>31</v>
      </c>
      <c r="O265" s="31">
        <v>-4.7999999999999996E-3</v>
      </c>
      <c r="P265" s="31">
        <v>2.5000000000000001E-2</v>
      </c>
      <c r="Q265" s="23" t="s">
        <v>24</v>
      </c>
      <c r="R265" s="23">
        <v>0</v>
      </c>
      <c r="S265" s="23">
        <v>42.49</v>
      </c>
      <c r="U265" s="47">
        <f>VLOOKUP(AU265,[1]expiry_dates!$B$2:$C$2894,2,FALSE)</f>
        <v>43706</v>
      </c>
      <c r="V265" s="23" t="s">
        <v>116</v>
      </c>
      <c r="W265" s="23" t="s">
        <v>23</v>
      </c>
      <c r="X265" s="49">
        <v>43684.59375</v>
      </c>
      <c r="Y265" s="23">
        <v>1.35</v>
      </c>
      <c r="Z265" s="23">
        <v>43685.552083333336</v>
      </c>
      <c r="AA265" s="23">
        <v>1</v>
      </c>
      <c r="AB265" s="23">
        <v>-0.25929999999999997</v>
      </c>
      <c r="AC265" s="23">
        <v>14186.88</v>
      </c>
      <c r="AD265" s="23">
        <v>0.25929999999999997</v>
      </c>
      <c r="AE265" s="23">
        <v>40533.94</v>
      </c>
      <c r="AF265" s="23">
        <v>54720.82</v>
      </c>
      <c r="AG265" s="23">
        <v>950537.25</v>
      </c>
      <c r="AH265" s="23">
        <v>25</v>
      </c>
      <c r="AI265" s="23">
        <v>567.48</v>
      </c>
      <c r="AJ265" s="23">
        <v>-7.4099999999999999E-2</v>
      </c>
      <c r="AK265" s="23">
        <v>0.33329999999999999</v>
      </c>
      <c r="AL265" s="23" t="s">
        <v>24</v>
      </c>
      <c r="AM265" s="23">
        <v>42.05</v>
      </c>
      <c r="AN265" s="23">
        <v>27906.75</v>
      </c>
      <c r="AO265" s="23">
        <v>42.49</v>
      </c>
      <c r="AP265" s="23">
        <v>0</v>
      </c>
      <c r="AR265" s="46"/>
      <c r="AS265" s="44"/>
      <c r="AT265" s="45"/>
      <c r="AU265" s="2">
        <v>43684</v>
      </c>
      <c r="AV265" s="52">
        <v>9.375E-2</v>
      </c>
      <c r="AW265" s="2" t="s">
        <v>213</v>
      </c>
      <c r="AY265" s="3"/>
      <c r="BA265" s="3"/>
      <c r="BG265" s="3"/>
      <c r="BH265" s="3"/>
    </row>
    <row r="266" spans="1:60">
      <c r="A266" s="23" t="s">
        <v>22</v>
      </c>
      <c r="B266" s="23" t="s">
        <v>25</v>
      </c>
      <c r="C266" s="27">
        <v>43685.552083333336</v>
      </c>
      <c r="D266" s="23">
        <v>41.4</v>
      </c>
      <c r="E266" s="27">
        <v>43690.385416666664</v>
      </c>
      <c r="F266" s="23">
        <v>43.85</v>
      </c>
      <c r="G266" s="31">
        <v>5.9200000000000003E-2</v>
      </c>
      <c r="H266" s="23">
        <v>2967.06</v>
      </c>
      <c r="I266" s="31">
        <v>5.9200000000000003E-2</v>
      </c>
      <c r="J266" s="23">
        <v>1211.047</v>
      </c>
      <c r="K266" s="23">
        <v>50137.33</v>
      </c>
      <c r="L266" s="23">
        <v>30313.94</v>
      </c>
      <c r="M266" s="23">
        <v>40</v>
      </c>
      <c r="N266" s="23">
        <v>74.180000000000007</v>
      </c>
      <c r="O266" s="31">
        <v>-2.3999999999999998E-3</v>
      </c>
      <c r="P266" s="31">
        <v>7.6100000000000001E-2</v>
      </c>
      <c r="Q266" s="23" t="s">
        <v>24</v>
      </c>
      <c r="R266" s="23">
        <v>0</v>
      </c>
      <c r="S266" s="23">
        <v>41</v>
      </c>
      <c r="U266" s="47">
        <f>VLOOKUP(AU266,[1]expiry_dates!$B$2:$C$2894,2,FALSE)</f>
        <v>43706</v>
      </c>
      <c r="V266" s="23" t="s">
        <v>142</v>
      </c>
      <c r="W266" s="23" t="s">
        <v>23</v>
      </c>
      <c r="X266" s="49">
        <v>43685.552083333336</v>
      </c>
      <c r="Y266" s="23">
        <v>0.4</v>
      </c>
      <c r="Z266" s="23">
        <v>43690.385416666664</v>
      </c>
      <c r="AA266" s="23">
        <v>0.2</v>
      </c>
      <c r="AB266" s="23">
        <v>-0.5</v>
      </c>
      <c r="AC266" s="23">
        <v>27376.34</v>
      </c>
      <c r="AD266" s="23">
        <v>0.5</v>
      </c>
      <c r="AE266" s="23">
        <v>136881.70000000001</v>
      </c>
      <c r="AF266" s="23">
        <v>54752.69</v>
      </c>
      <c r="AG266" s="23">
        <v>977913.59</v>
      </c>
      <c r="AH266" s="23">
        <v>40</v>
      </c>
      <c r="AI266" s="23">
        <v>684.41</v>
      </c>
      <c r="AJ266" s="23">
        <v>0</v>
      </c>
      <c r="AK266" s="23">
        <v>0.625</v>
      </c>
      <c r="AL266" s="23" t="s">
        <v>24</v>
      </c>
      <c r="AM266" s="23">
        <v>41.4</v>
      </c>
      <c r="AN266" s="23">
        <v>27685.200000000001</v>
      </c>
      <c r="AO266" s="23">
        <v>41</v>
      </c>
      <c r="AP266" s="23">
        <v>0</v>
      </c>
      <c r="AR266" s="46"/>
      <c r="AS266" s="44"/>
      <c r="AT266" s="45"/>
      <c r="AU266" s="2">
        <v>43685</v>
      </c>
      <c r="AV266" s="52">
        <v>5.2083333333333336E-2</v>
      </c>
      <c r="AW266" s="2" t="s">
        <v>213</v>
      </c>
      <c r="AY266" s="3"/>
      <c r="BA266" s="3"/>
      <c r="BG266" s="3"/>
      <c r="BH266" s="3"/>
    </row>
    <row r="267" spans="1:60">
      <c r="A267" s="23" t="s">
        <v>22</v>
      </c>
      <c r="B267" s="23" t="s">
        <v>23</v>
      </c>
      <c r="C267" s="27">
        <v>43690.385416666664</v>
      </c>
      <c r="D267" s="23">
        <v>43.85</v>
      </c>
      <c r="E267" s="27">
        <v>43690.614583333336</v>
      </c>
      <c r="F267" s="23">
        <v>43.45</v>
      </c>
      <c r="G267" s="31">
        <v>-9.1000000000000004E-3</v>
      </c>
      <c r="H267" s="23">
        <v>457.51</v>
      </c>
      <c r="I267" s="31">
        <v>9.1000000000000004E-3</v>
      </c>
      <c r="J267" s="23">
        <v>1143.77</v>
      </c>
      <c r="K267" s="23">
        <v>50154.29</v>
      </c>
      <c r="L267" s="23">
        <v>30771.45</v>
      </c>
      <c r="M267" s="23">
        <v>23</v>
      </c>
      <c r="N267" s="23">
        <v>19.89</v>
      </c>
      <c r="O267" s="31">
        <v>-1.14E-2</v>
      </c>
      <c r="P267" s="31">
        <v>2.0500000000000001E-2</v>
      </c>
      <c r="Q267" s="23" t="s">
        <v>24</v>
      </c>
      <c r="R267" s="23">
        <v>0</v>
      </c>
      <c r="S267" s="23">
        <v>44.49</v>
      </c>
      <c r="U267" s="47">
        <f>VLOOKUP(AU267,[1]expiry_dates!$B$2:$C$2894,2,FALSE)</f>
        <v>43706</v>
      </c>
      <c r="V267" s="23" t="s">
        <v>117</v>
      </c>
      <c r="W267" s="23" t="s">
        <v>23</v>
      </c>
      <c r="X267" s="49">
        <v>43690.385416666664</v>
      </c>
      <c r="Y267" s="23">
        <v>1.25</v>
      </c>
      <c r="Z267" s="23">
        <v>43690.614583333336</v>
      </c>
      <c r="AA267" s="23">
        <v>0.9</v>
      </c>
      <c r="AB267" s="23">
        <v>-0.28000000000000003</v>
      </c>
      <c r="AC267" s="23">
        <v>15378.66</v>
      </c>
      <c r="AD267" s="23">
        <v>0.28000000000000003</v>
      </c>
      <c r="AE267" s="23">
        <v>43939.03</v>
      </c>
      <c r="AF267" s="23">
        <v>54923.79</v>
      </c>
      <c r="AG267" s="23">
        <v>993292.25</v>
      </c>
      <c r="AH267" s="23">
        <v>23</v>
      </c>
      <c r="AI267" s="23">
        <v>668.64</v>
      </c>
      <c r="AJ267" s="23">
        <v>0</v>
      </c>
      <c r="AK267" s="23">
        <v>0.4</v>
      </c>
      <c r="AL267" s="23" t="s">
        <v>24</v>
      </c>
      <c r="AM267" s="23">
        <v>43.85</v>
      </c>
      <c r="AN267" s="23">
        <v>28107.25</v>
      </c>
      <c r="AO267" s="23">
        <v>44.49</v>
      </c>
      <c r="AP267" s="23">
        <v>0</v>
      </c>
      <c r="AR267" s="46"/>
      <c r="AS267" s="44"/>
      <c r="AT267" s="45"/>
      <c r="AU267" s="2">
        <v>43690</v>
      </c>
      <c r="AV267" s="52">
        <v>0.38541666666666669</v>
      </c>
      <c r="AW267" s="2" t="s">
        <v>212</v>
      </c>
      <c r="AY267" s="3"/>
      <c r="BA267" s="3"/>
      <c r="BG267" s="3"/>
      <c r="BH267" s="3"/>
    </row>
    <row r="268" spans="1:60">
      <c r="A268" s="23" t="s">
        <v>22</v>
      </c>
      <c r="B268" s="23" t="s">
        <v>25</v>
      </c>
      <c r="C268" s="27">
        <v>43690.614583333336</v>
      </c>
      <c r="D268" s="23">
        <v>43.45</v>
      </c>
      <c r="E268" s="27">
        <v>43690.635416666664</v>
      </c>
      <c r="F268" s="23">
        <v>42.85</v>
      </c>
      <c r="G268" s="31">
        <v>-1.38E-2</v>
      </c>
      <c r="H268" s="23">
        <v>-692.61</v>
      </c>
      <c r="I268" s="31">
        <v>-1.38E-2</v>
      </c>
      <c r="J268" s="23">
        <v>1154.348</v>
      </c>
      <c r="K268" s="23">
        <v>50156.43</v>
      </c>
      <c r="L268" s="23">
        <v>30078.84</v>
      </c>
      <c r="M268" s="23">
        <v>3</v>
      </c>
      <c r="N268" s="23">
        <v>-230.87</v>
      </c>
      <c r="O268" s="31">
        <v>-1.38E-2</v>
      </c>
      <c r="P268" s="31">
        <v>4.5999999999999999E-3</v>
      </c>
      <c r="Q268" s="23" t="s">
        <v>24</v>
      </c>
      <c r="R268" s="23">
        <v>0</v>
      </c>
      <c r="S268" s="23">
        <v>42.95</v>
      </c>
      <c r="U268" s="47">
        <f>VLOOKUP(AU268,[1]expiry_dates!$B$2:$C$2894,2,FALSE)</f>
        <v>43706</v>
      </c>
      <c r="V268" s="23" t="s">
        <v>115</v>
      </c>
      <c r="W268" s="23" t="s">
        <v>23</v>
      </c>
      <c r="X268" s="49">
        <v>43690.614583333336</v>
      </c>
      <c r="Y268" s="23">
        <v>1</v>
      </c>
      <c r="Z268" s="23">
        <v>43690.635416666664</v>
      </c>
      <c r="AA268" s="23">
        <v>1.3</v>
      </c>
      <c r="AB268" s="23">
        <v>0.3</v>
      </c>
      <c r="AC268" s="23">
        <v>-16499.82</v>
      </c>
      <c r="AD268" s="23">
        <v>-0.3</v>
      </c>
      <c r="AE268" s="23">
        <v>54999.41</v>
      </c>
      <c r="AF268" s="23">
        <v>54999.41</v>
      </c>
      <c r="AG268" s="23">
        <v>976792.43</v>
      </c>
      <c r="AH268" s="23">
        <v>3</v>
      </c>
      <c r="AI268" s="23">
        <v>-5499.94</v>
      </c>
      <c r="AJ268" s="23">
        <v>-0.3</v>
      </c>
      <c r="AK268" s="23">
        <v>0</v>
      </c>
      <c r="AL268" s="23" t="s">
        <v>24</v>
      </c>
      <c r="AM268" s="23">
        <v>43.45</v>
      </c>
      <c r="AN268" s="23">
        <v>27753.200000000001</v>
      </c>
      <c r="AO268" s="23">
        <v>42.95</v>
      </c>
      <c r="AP268" s="23">
        <v>0</v>
      </c>
      <c r="AR268" s="46"/>
      <c r="AS268" s="44"/>
      <c r="AT268" s="45"/>
      <c r="AU268" s="2">
        <v>43690</v>
      </c>
      <c r="AV268" s="52">
        <v>0.11458333333333333</v>
      </c>
      <c r="AW268" s="2" t="s">
        <v>213</v>
      </c>
      <c r="AY268" s="3"/>
      <c r="BA268" s="3"/>
      <c r="BG268" s="3"/>
      <c r="BH268" s="3"/>
    </row>
    <row r="269" spans="1:60">
      <c r="A269" s="23" t="s">
        <v>22</v>
      </c>
      <c r="B269" s="23" t="s">
        <v>23</v>
      </c>
      <c r="C269" s="27">
        <v>43690.635416666664</v>
      </c>
      <c r="D269" s="23">
        <v>42.85</v>
      </c>
      <c r="E269" s="27">
        <v>43691.385416666664</v>
      </c>
      <c r="F269" s="23">
        <v>43.35</v>
      </c>
      <c r="G269" s="31">
        <v>1.17E-2</v>
      </c>
      <c r="H269" s="23">
        <v>-585.22</v>
      </c>
      <c r="I269" s="31">
        <v>-1.17E-2</v>
      </c>
      <c r="J269" s="23">
        <v>1170.432</v>
      </c>
      <c r="K269" s="23">
        <v>50152.99</v>
      </c>
      <c r="L269" s="23">
        <v>29493.62</v>
      </c>
      <c r="M269" s="23">
        <v>5</v>
      </c>
      <c r="N269" s="23">
        <v>-117.04</v>
      </c>
      <c r="O269" s="31">
        <v>-1.52E-2</v>
      </c>
      <c r="P269" s="31">
        <v>5.7999999999999996E-3</v>
      </c>
      <c r="Q269" s="23" t="s">
        <v>24</v>
      </c>
      <c r="R269" s="23">
        <v>0</v>
      </c>
      <c r="S269" s="23">
        <v>43.65</v>
      </c>
      <c r="U269" s="47">
        <f>VLOOKUP(AU269,[1]expiry_dates!$B$2:$C$2894,2,FALSE)</f>
        <v>43706</v>
      </c>
      <c r="V269" s="23" t="s">
        <v>114</v>
      </c>
      <c r="W269" s="23" t="s">
        <v>23</v>
      </c>
      <c r="X269" s="49">
        <v>43690.635416666664</v>
      </c>
      <c r="Y269" s="23">
        <v>1.05</v>
      </c>
      <c r="Z269" s="23">
        <v>43691.385416666664</v>
      </c>
      <c r="AA269" s="23">
        <v>1.2</v>
      </c>
      <c r="AB269" s="23">
        <v>0.1429</v>
      </c>
      <c r="AC269" s="23">
        <v>-7844.49</v>
      </c>
      <c r="AD269" s="23">
        <v>-0.1429</v>
      </c>
      <c r="AE269" s="23">
        <v>52296.63</v>
      </c>
      <c r="AF269" s="23">
        <v>54911.46</v>
      </c>
      <c r="AG269" s="23">
        <v>968947.93</v>
      </c>
      <c r="AH269" s="23">
        <v>5</v>
      </c>
      <c r="AI269" s="23">
        <v>-1568.9</v>
      </c>
      <c r="AJ269" s="23">
        <v>-0.23810000000000001</v>
      </c>
      <c r="AK269" s="23">
        <v>4.7600000000000003E-2</v>
      </c>
      <c r="AL269" s="23" t="s">
        <v>24</v>
      </c>
      <c r="AM269" s="23">
        <v>42.85</v>
      </c>
      <c r="AN269" s="23">
        <v>27716.05</v>
      </c>
      <c r="AO269" s="23">
        <v>43.65</v>
      </c>
      <c r="AP269" s="23">
        <v>0</v>
      </c>
      <c r="AR269" s="46"/>
      <c r="AS269" s="44"/>
      <c r="AT269" s="45"/>
      <c r="AU269" s="2">
        <v>43690</v>
      </c>
      <c r="AV269" s="52">
        <v>0.13541666666666666</v>
      </c>
      <c r="AW269" s="2" t="s">
        <v>213</v>
      </c>
      <c r="AY269" s="3"/>
      <c r="BA269" s="3"/>
      <c r="BG269" s="3"/>
      <c r="BH269" s="3"/>
    </row>
    <row r="270" spans="1:60">
      <c r="A270" s="23" t="s">
        <v>22</v>
      </c>
      <c r="B270" s="23" t="s">
        <v>25</v>
      </c>
      <c r="C270" s="27">
        <v>43691.385416666664</v>
      </c>
      <c r="D270" s="23">
        <v>43.35</v>
      </c>
      <c r="E270" s="27">
        <v>43691.416666666664</v>
      </c>
      <c r="F270" s="23">
        <v>43.1</v>
      </c>
      <c r="G270" s="31">
        <v>-5.7999999999999996E-3</v>
      </c>
      <c r="H270" s="23">
        <v>-289.20999999999998</v>
      </c>
      <c r="I270" s="31">
        <v>-5.7999999999999996E-3</v>
      </c>
      <c r="J270" s="23">
        <v>1156.8309999999999</v>
      </c>
      <c r="K270" s="23">
        <v>50148.639999999999</v>
      </c>
      <c r="L270" s="23">
        <v>29204.41</v>
      </c>
      <c r="M270" s="23">
        <v>4</v>
      </c>
      <c r="N270" s="23">
        <v>-72.3</v>
      </c>
      <c r="O270" s="31">
        <v>-8.0999999999999996E-3</v>
      </c>
      <c r="P270" s="31">
        <v>6.8999999999999999E-3</v>
      </c>
      <c r="Q270" s="23" t="s">
        <v>24</v>
      </c>
      <c r="R270" s="23">
        <v>0</v>
      </c>
      <c r="S270" s="23">
        <v>42.64</v>
      </c>
      <c r="U270" s="47">
        <f>VLOOKUP(AU270,[1]expiry_dates!$B$2:$C$2894,2,FALSE)</f>
        <v>43706</v>
      </c>
      <c r="V270" s="23" t="s">
        <v>115</v>
      </c>
      <c r="W270" s="23" t="s">
        <v>23</v>
      </c>
      <c r="X270" s="49">
        <v>43691.385416666664</v>
      </c>
      <c r="Y270" s="23">
        <v>1.05</v>
      </c>
      <c r="Z270" s="23">
        <v>43691.416666666664</v>
      </c>
      <c r="AA270" s="23">
        <v>1.1499999999999999</v>
      </c>
      <c r="AB270" s="23">
        <v>9.5200000000000007E-2</v>
      </c>
      <c r="AC270" s="23">
        <v>-5227.04</v>
      </c>
      <c r="AD270" s="23">
        <v>-9.5200000000000007E-2</v>
      </c>
      <c r="AE270" s="23">
        <v>52270.44</v>
      </c>
      <c r="AF270" s="23">
        <v>54883.96</v>
      </c>
      <c r="AG270" s="23">
        <v>963720.89</v>
      </c>
      <c r="AH270" s="23">
        <v>4</v>
      </c>
      <c r="AI270" s="23">
        <v>-1306.76</v>
      </c>
      <c r="AJ270" s="23">
        <v>-0.1905</v>
      </c>
      <c r="AK270" s="23">
        <v>0.1905</v>
      </c>
      <c r="AL270" s="23" t="s">
        <v>24</v>
      </c>
      <c r="AM270" s="23">
        <v>43.35</v>
      </c>
      <c r="AN270" s="23">
        <v>27801.200000000001</v>
      </c>
      <c r="AO270" s="23">
        <v>42.64</v>
      </c>
      <c r="AP270" s="23">
        <v>0</v>
      </c>
      <c r="AR270" s="46"/>
      <c r="AS270" s="44"/>
      <c r="AT270" s="45"/>
      <c r="AU270" s="2">
        <v>43691</v>
      </c>
      <c r="AV270" s="52">
        <v>0.38541666666666669</v>
      </c>
      <c r="AW270" s="2" t="s">
        <v>212</v>
      </c>
      <c r="AY270" s="3"/>
      <c r="BA270" s="3"/>
      <c r="BG270" s="3"/>
      <c r="BH270" s="3"/>
    </row>
    <row r="271" spans="1:60">
      <c r="A271" s="23" t="s">
        <v>22</v>
      </c>
      <c r="B271" s="23" t="s">
        <v>23</v>
      </c>
      <c r="C271" s="27">
        <v>43691.416666666664</v>
      </c>
      <c r="D271" s="23">
        <v>43.1</v>
      </c>
      <c r="E271" s="27">
        <v>43691.4375</v>
      </c>
      <c r="F271" s="23">
        <v>43.65</v>
      </c>
      <c r="G271" s="31">
        <v>1.2800000000000001E-2</v>
      </c>
      <c r="H271" s="23">
        <v>-639.91</v>
      </c>
      <c r="I271" s="31">
        <v>-1.2800000000000001E-2</v>
      </c>
      <c r="J271" s="23">
        <v>1163.4739999999999</v>
      </c>
      <c r="K271" s="23">
        <v>50145.73</v>
      </c>
      <c r="L271" s="23">
        <v>28564.5</v>
      </c>
      <c r="M271" s="23">
        <v>3</v>
      </c>
      <c r="N271" s="23">
        <v>-213.3</v>
      </c>
      <c r="O271" s="31">
        <v>-1.2800000000000001E-2</v>
      </c>
      <c r="P271" s="31">
        <v>8.0999999999999996E-3</v>
      </c>
      <c r="Q271" s="23" t="s">
        <v>24</v>
      </c>
      <c r="R271" s="23">
        <v>0</v>
      </c>
      <c r="S271" s="23">
        <v>43.63</v>
      </c>
      <c r="U271" s="47">
        <f>VLOOKUP(AU271,[1]expiry_dates!$B$2:$C$2894,2,FALSE)</f>
        <v>43706</v>
      </c>
      <c r="V271" s="23" t="s">
        <v>114</v>
      </c>
      <c r="W271" s="23" t="s">
        <v>23</v>
      </c>
      <c r="X271" s="49">
        <v>43691.416666666664</v>
      </c>
      <c r="Y271" s="23">
        <v>1.1000000000000001</v>
      </c>
      <c r="Z271" s="23">
        <v>43691.4375</v>
      </c>
      <c r="AA271" s="23">
        <v>1.3</v>
      </c>
      <c r="AB271" s="23">
        <v>0.18179999999999999</v>
      </c>
      <c r="AC271" s="23">
        <v>-9967.02</v>
      </c>
      <c r="AD271" s="23">
        <v>-0.18179999999999999</v>
      </c>
      <c r="AE271" s="23">
        <v>49835.09</v>
      </c>
      <c r="AF271" s="23">
        <v>54818.61</v>
      </c>
      <c r="AG271" s="23">
        <v>953753.87</v>
      </c>
      <c r="AH271" s="23">
        <v>3</v>
      </c>
      <c r="AI271" s="23">
        <v>-3322.34</v>
      </c>
      <c r="AJ271" s="23">
        <v>-0.18179999999999999</v>
      </c>
      <c r="AK271" s="23">
        <v>4.5499999999999999E-2</v>
      </c>
      <c r="AL271" s="23" t="s">
        <v>24</v>
      </c>
      <c r="AM271" s="23">
        <v>43.1</v>
      </c>
      <c r="AN271" s="23">
        <v>27814.799999999999</v>
      </c>
      <c r="AO271" s="23">
        <v>43.63</v>
      </c>
      <c r="AP271" s="23">
        <v>0</v>
      </c>
      <c r="AR271" s="46"/>
      <c r="AS271" s="44"/>
      <c r="AT271" s="45"/>
      <c r="AU271" s="2">
        <v>43691</v>
      </c>
      <c r="AV271" s="52">
        <v>0.41666666666666669</v>
      </c>
      <c r="AW271" s="2" t="s">
        <v>212</v>
      </c>
      <c r="AY271" s="3"/>
      <c r="BA271" s="3"/>
      <c r="BG271" s="3"/>
      <c r="BH271" s="3"/>
    </row>
    <row r="272" spans="1:60">
      <c r="A272" s="23" t="s">
        <v>22</v>
      </c>
      <c r="B272" s="23" t="s">
        <v>25</v>
      </c>
      <c r="C272" s="27">
        <v>43691.4375</v>
      </c>
      <c r="D272" s="23">
        <v>43.65</v>
      </c>
      <c r="E272" s="27">
        <v>43693.385416666664</v>
      </c>
      <c r="F272" s="23">
        <v>43.95</v>
      </c>
      <c r="G272" s="31">
        <v>6.8999999999999999E-3</v>
      </c>
      <c r="H272" s="23">
        <v>344.65</v>
      </c>
      <c r="I272" s="31">
        <v>6.8999999999999999E-3</v>
      </c>
      <c r="J272" s="23">
        <v>1148.827</v>
      </c>
      <c r="K272" s="23">
        <v>50146.31</v>
      </c>
      <c r="L272" s="23">
        <v>28909.15</v>
      </c>
      <c r="M272" s="23">
        <v>24</v>
      </c>
      <c r="N272" s="23">
        <v>14.36</v>
      </c>
      <c r="O272" s="31">
        <v>-1.26E-2</v>
      </c>
      <c r="P272" s="31">
        <v>1.83E-2</v>
      </c>
      <c r="Q272" s="23" t="s">
        <v>24</v>
      </c>
      <c r="R272" s="23">
        <v>0</v>
      </c>
      <c r="S272" s="23">
        <v>42.75</v>
      </c>
      <c r="U272" s="47">
        <f>VLOOKUP(AU272,[1]expiry_dates!$B$2:$C$2894,2,FALSE)</f>
        <v>43706</v>
      </c>
      <c r="V272" s="23" t="s">
        <v>134</v>
      </c>
      <c r="W272" s="23" t="s">
        <v>23</v>
      </c>
      <c r="X272" s="49">
        <v>43691.4375</v>
      </c>
      <c r="Y272" s="23">
        <v>0.7</v>
      </c>
      <c r="Z272" s="23">
        <v>43693.385416666664</v>
      </c>
      <c r="AA272" s="23">
        <v>0.45</v>
      </c>
      <c r="AB272" s="23">
        <v>-0.35709999999999997</v>
      </c>
      <c r="AC272" s="23">
        <v>19578.07</v>
      </c>
      <c r="AD272" s="23">
        <v>0.35709999999999997</v>
      </c>
      <c r="AE272" s="23">
        <v>78312.3</v>
      </c>
      <c r="AF272" s="23">
        <v>54818.61</v>
      </c>
      <c r="AG272" s="23">
        <v>973331.95</v>
      </c>
      <c r="AH272" s="23">
        <v>24</v>
      </c>
      <c r="AI272" s="23">
        <v>815.75</v>
      </c>
      <c r="AJ272" s="23">
        <v>0</v>
      </c>
      <c r="AK272" s="23">
        <v>0.42859999999999998</v>
      </c>
      <c r="AL272" s="23" t="s">
        <v>24</v>
      </c>
      <c r="AM272" s="23">
        <v>43.65</v>
      </c>
      <c r="AN272" s="23">
        <v>28014.1</v>
      </c>
      <c r="AO272" s="23">
        <v>42.75</v>
      </c>
      <c r="AP272" s="23">
        <v>0</v>
      </c>
      <c r="AR272" s="46"/>
      <c r="AS272" s="44"/>
      <c r="AT272" s="45"/>
      <c r="AU272" s="2">
        <v>43691</v>
      </c>
      <c r="AV272" s="52">
        <v>0.4375</v>
      </c>
      <c r="AW272" s="2" t="s">
        <v>212</v>
      </c>
      <c r="AY272" s="3"/>
      <c r="BA272" s="3"/>
      <c r="BG272" s="3"/>
      <c r="BH272" s="3"/>
    </row>
    <row r="273" spans="1:60">
      <c r="A273" s="23" t="s">
        <v>22</v>
      </c>
      <c r="B273" s="23" t="s">
        <v>23</v>
      </c>
      <c r="C273" s="27">
        <v>43693.385416666664</v>
      </c>
      <c r="D273" s="23">
        <v>43.95</v>
      </c>
      <c r="E273" s="27">
        <v>43693.395833333336</v>
      </c>
      <c r="F273" s="23">
        <v>44.35</v>
      </c>
      <c r="G273" s="31">
        <v>9.1000000000000004E-3</v>
      </c>
      <c r="H273" s="23">
        <v>-456.38</v>
      </c>
      <c r="I273" s="31">
        <v>-9.1000000000000004E-3</v>
      </c>
      <c r="J273" s="23">
        <v>1140.952</v>
      </c>
      <c r="K273" s="23">
        <v>50144.83</v>
      </c>
      <c r="L273" s="23">
        <v>28452.77</v>
      </c>
      <c r="M273" s="23">
        <v>2</v>
      </c>
      <c r="N273" s="23">
        <v>-228.19</v>
      </c>
      <c r="O273" s="31">
        <v>-9.1000000000000004E-3</v>
      </c>
      <c r="P273" s="31">
        <v>1.0200000000000001E-2</v>
      </c>
      <c r="Q273" s="23" t="s">
        <v>24</v>
      </c>
      <c r="R273" s="23">
        <v>0</v>
      </c>
      <c r="S273" s="23">
        <v>44.42</v>
      </c>
      <c r="U273" s="47">
        <f>VLOOKUP(AU273,[1]expiry_dates!$B$2:$C$2894,2,FALSE)</f>
        <v>43706</v>
      </c>
      <c r="V273" s="23" t="s">
        <v>117</v>
      </c>
      <c r="W273" s="23" t="s">
        <v>23</v>
      </c>
      <c r="X273" s="49">
        <v>43693.385416666664</v>
      </c>
      <c r="Y273" s="23">
        <v>1</v>
      </c>
      <c r="Z273" s="23">
        <v>43693.395833333336</v>
      </c>
      <c r="AA273" s="23">
        <v>1.1499999999999999</v>
      </c>
      <c r="AB273" s="23">
        <v>0.15</v>
      </c>
      <c r="AC273" s="23">
        <v>-8232.94</v>
      </c>
      <c r="AD273" s="23">
        <v>-0.15</v>
      </c>
      <c r="AE273" s="23">
        <v>54886.239999999998</v>
      </c>
      <c r="AF273" s="23">
        <v>54886.239999999998</v>
      </c>
      <c r="AG273" s="23">
        <v>965099.01</v>
      </c>
      <c r="AH273" s="23">
        <v>2</v>
      </c>
      <c r="AI273" s="23">
        <v>-4116.47</v>
      </c>
      <c r="AJ273" s="23">
        <v>-0.15</v>
      </c>
      <c r="AK273" s="23">
        <v>0</v>
      </c>
      <c r="AL273" s="23" t="s">
        <v>24</v>
      </c>
      <c r="AM273" s="23">
        <v>43.95</v>
      </c>
      <c r="AN273" s="23">
        <v>27760.6</v>
      </c>
      <c r="AO273" s="23">
        <v>44.42</v>
      </c>
      <c r="AP273" s="23">
        <v>0</v>
      </c>
      <c r="AR273" s="46"/>
      <c r="AS273" s="44"/>
      <c r="AT273" s="45"/>
      <c r="AU273" s="2">
        <v>43693</v>
      </c>
      <c r="AV273" s="52">
        <v>0.38541666666666669</v>
      </c>
      <c r="AW273" s="2" t="s">
        <v>212</v>
      </c>
      <c r="AY273" s="3"/>
      <c r="BA273" s="3"/>
      <c r="BG273" s="3"/>
      <c r="BH273" s="3"/>
    </row>
    <row r="274" spans="1:60">
      <c r="A274" s="23" t="s">
        <v>22</v>
      </c>
      <c r="B274" s="23" t="s">
        <v>25</v>
      </c>
      <c r="C274" s="27">
        <v>43693.395833333336</v>
      </c>
      <c r="D274" s="23">
        <v>44.35</v>
      </c>
      <c r="E274" s="27">
        <v>43696.458333333336</v>
      </c>
      <c r="F274" s="23">
        <v>45.75</v>
      </c>
      <c r="G274" s="31">
        <v>3.1600000000000003E-2</v>
      </c>
      <c r="H274" s="23">
        <v>1582.92</v>
      </c>
      <c r="I274" s="31">
        <v>3.1600000000000003E-2</v>
      </c>
      <c r="J274" s="23">
        <v>1130.655</v>
      </c>
      <c r="K274" s="23">
        <v>50144.54</v>
      </c>
      <c r="L274" s="23">
        <v>30035.69</v>
      </c>
      <c r="M274" s="23">
        <v>35</v>
      </c>
      <c r="N274" s="23">
        <v>45.23</v>
      </c>
      <c r="O274" s="31">
        <v>-1.24E-2</v>
      </c>
      <c r="P274" s="31">
        <v>5.4100000000000002E-2</v>
      </c>
      <c r="Q274" s="23" t="s">
        <v>24</v>
      </c>
      <c r="R274" s="23">
        <v>0</v>
      </c>
      <c r="S274" s="23">
        <v>43.5</v>
      </c>
      <c r="U274" s="47">
        <f>VLOOKUP(AU274,[1]expiry_dates!$B$2:$C$2894,2,FALSE)</f>
        <v>43706</v>
      </c>
      <c r="V274" s="23" t="s">
        <v>111</v>
      </c>
      <c r="W274" s="23" t="s">
        <v>23</v>
      </c>
      <c r="X274" s="49">
        <v>43693.395833333336</v>
      </c>
      <c r="Y274" s="23">
        <v>1.35</v>
      </c>
      <c r="Z274" s="23">
        <v>43696.458333333336</v>
      </c>
      <c r="AA274" s="23">
        <v>0.65</v>
      </c>
      <c r="AB274" s="23">
        <v>-0.51849999999999996</v>
      </c>
      <c r="AC274" s="23">
        <v>28449.38</v>
      </c>
      <c r="AD274" s="23">
        <v>0.51849999999999996</v>
      </c>
      <c r="AE274" s="23">
        <v>40641.97</v>
      </c>
      <c r="AF274" s="23">
        <v>54866.66</v>
      </c>
      <c r="AG274" s="23">
        <v>993548.39</v>
      </c>
      <c r="AH274" s="23">
        <v>35</v>
      </c>
      <c r="AI274" s="23">
        <v>812.84</v>
      </c>
      <c r="AJ274" s="23">
        <v>-0.1852</v>
      </c>
      <c r="AK274" s="23">
        <v>0.62960000000000005</v>
      </c>
      <c r="AL274" s="23" t="s">
        <v>24</v>
      </c>
      <c r="AM274" s="23">
        <v>44.35</v>
      </c>
      <c r="AN274" s="23">
        <v>27833.55</v>
      </c>
      <c r="AO274" s="23">
        <v>43.5</v>
      </c>
      <c r="AP274" s="23">
        <v>0</v>
      </c>
      <c r="AR274" s="46"/>
      <c r="AS274" s="44"/>
      <c r="AT274" s="45"/>
      <c r="AU274" s="2">
        <v>43693</v>
      </c>
      <c r="AV274" s="52">
        <v>0.39583333333333331</v>
      </c>
      <c r="AW274" s="2" t="s">
        <v>212</v>
      </c>
      <c r="AY274" s="3"/>
      <c r="BA274" s="3"/>
      <c r="BG274" s="3"/>
      <c r="BH274" s="3"/>
    </row>
    <row r="275" spans="1:60">
      <c r="A275" s="23" t="s">
        <v>22</v>
      </c>
      <c r="B275" s="23" t="s">
        <v>23</v>
      </c>
      <c r="C275" s="27">
        <v>43696.458333333336</v>
      </c>
      <c r="D275" s="23">
        <v>45.75</v>
      </c>
      <c r="E275" s="27">
        <v>43697.5625</v>
      </c>
      <c r="F275" s="23">
        <v>44.75</v>
      </c>
      <c r="G275" s="31">
        <v>-2.1899999999999999E-2</v>
      </c>
      <c r="H275" s="23">
        <v>1096.18</v>
      </c>
      <c r="I275" s="31">
        <v>2.1899999999999999E-2</v>
      </c>
      <c r="J275" s="23">
        <v>1096.1790000000001</v>
      </c>
      <c r="K275" s="23">
        <v>50150.18</v>
      </c>
      <c r="L275" s="23">
        <v>31131.87</v>
      </c>
      <c r="M275" s="23">
        <v>39</v>
      </c>
      <c r="N275" s="23">
        <v>28.11</v>
      </c>
      <c r="O275" s="31">
        <v>-2.2000000000000001E-3</v>
      </c>
      <c r="P275" s="31">
        <v>3.61E-2</v>
      </c>
      <c r="Q275" s="23" t="s">
        <v>24</v>
      </c>
      <c r="R275" s="23">
        <v>0</v>
      </c>
      <c r="S275" s="23">
        <v>46.75</v>
      </c>
      <c r="U275" s="47">
        <f>VLOOKUP(AU275,[1]expiry_dates!$B$2:$C$2894,2,FALSE)</f>
        <v>43706</v>
      </c>
      <c r="V275" s="23" t="s">
        <v>110</v>
      </c>
      <c r="W275" s="23" t="s">
        <v>23</v>
      </c>
      <c r="X275" s="49">
        <v>43696.458333333336</v>
      </c>
      <c r="Y275" s="23">
        <v>1.05</v>
      </c>
      <c r="Z275" s="23">
        <v>43697.5625</v>
      </c>
      <c r="AA275" s="23">
        <v>0.7</v>
      </c>
      <c r="AB275" s="23">
        <v>-0.33329999999999999</v>
      </c>
      <c r="AC275" s="23">
        <v>18322.580000000002</v>
      </c>
      <c r="AD275" s="23">
        <v>0.33329999999999999</v>
      </c>
      <c r="AE275" s="23">
        <v>52350.23</v>
      </c>
      <c r="AF275" s="23">
        <v>54967.74</v>
      </c>
      <c r="AG275" s="23">
        <v>1011870.97</v>
      </c>
      <c r="AH275" s="23">
        <v>39</v>
      </c>
      <c r="AI275" s="23">
        <v>469.81</v>
      </c>
      <c r="AJ275" s="23">
        <v>-4.7600000000000003E-2</v>
      </c>
      <c r="AK275" s="23">
        <v>0.57140000000000002</v>
      </c>
      <c r="AL275" s="23" t="s">
        <v>24</v>
      </c>
      <c r="AM275" s="23">
        <v>45.75</v>
      </c>
      <c r="AN275" s="23">
        <v>28369.35</v>
      </c>
      <c r="AO275" s="23">
        <v>46.75</v>
      </c>
      <c r="AP275" s="23">
        <v>0</v>
      </c>
      <c r="AR275" s="46"/>
      <c r="AS275" s="44"/>
      <c r="AT275" s="45"/>
      <c r="AU275" s="2">
        <v>43696</v>
      </c>
      <c r="AV275" s="52">
        <v>0.45833333333333331</v>
      </c>
      <c r="AW275" s="2" t="s">
        <v>212</v>
      </c>
      <c r="AY275" s="3"/>
      <c r="BA275" s="3"/>
      <c r="BG275" s="3"/>
      <c r="BH275" s="3"/>
    </row>
    <row r="276" spans="1:60">
      <c r="A276" s="23" t="s">
        <v>22</v>
      </c>
      <c r="B276" s="23" t="s">
        <v>25</v>
      </c>
      <c r="C276" s="27">
        <v>43697.5625</v>
      </c>
      <c r="D276" s="23">
        <v>44.75</v>
      </c>
      <c r="E276" s="27">
        <v>43698.385416666664</v>
      </c>
      <c r="F276" s="23">
        <v>44.1</v>
      </c>
      <c r="G276" s="31">
        <v>-1.4500000000000001E-2</v>
      </c>
      <c r="H276" s="23">
        <v>-728.52</v>
      </c>
      <c r="I276" s="31">
        <v>-1.4500000000000001E-2</v>
      </c>
      <c r="J276" s="23">
        <v>1120.8030000000001</v>
      </c>
      <c r="K276" s="23">
        <v>50155.93</v>
      </c>
      <c r="L276" s="23">
        <v>30403.34</v>
      </c>
      <c r="M276" s="23">
        <v>12</v>
      </c>
      <c r="N276" s="23">
        <v>-60.71</v>
      </c>
      <c r="O276" s="31">
        <v>-1.4500000000000001E-2</v>
      </c>
      <c r="P276" s="31">
        <v>7.7999999999999996E-3</v>
      </c>
      <c r="Q276" s="23" t="s">
        <v>24</v>
      </c>
      <c r="R276" s="23">
        <v>0</v>
      </c>
      <c r="S276" s="23">
        <v>44.13</v>
      </c>
      <c r="U276" s="47">
        <f>VLOOKUP(AU276,[1]expiry_dates!$B$2:$C$2894,2,FALSE)</f>
        <v>43706</v>
      </c>
      <c r="V276" s="23" t="s">
        <v>118</v>
      </c>
      <c r="W276" s="23" t="s">
        <v>23</v>
      </c>
      <c r="X276" s="49">
        <v>43697.5625</v>
      </c>
      <c r="Y276" s="23">
        <v>0.5</v>
      </c>
      <c r="Z276" s="23">
        <v>43698.385416666664</v>
      </c>
      <c r="AA276" s="23">
        <v>0.7</v>
      </c>
      <c r="AB276" s="23">
        <v>0.4</v>
      </c>
      <c r="AC276" s="23">
        <v>-22034.21</v>
      </c>
      <c r="AD276" s="23">
        <v>-0.4</v>
      </c>
      <c r="AE276" s="23">
        <v>110171.1</v>
      </c>
      <c r="AF276" s="23">
        <v>55085.53</v>
      </c>
      <c r="AG276" s="23">
        <v>989836.76</v>
      </c>
      <c r="AH276" s="23">
        <v>12</v>
      </c>
      <c r="AI276" s="23">
        <v>-1836.18</v>
      </c>
      <c r="AJ276" s="23">
        <v>-0.4</v>
      </c>
      <c r="AK276" s="23">
        <v>0.1</v>
      </c>
      <c r="AL276" s="23" t="s">
        <v>24</v>
      </c>
      <c r="AM276" s="23">
        <v>44.75</v>
      </c>
      <c r="AN276" s="23">
        <v>27991.65</v>
      </c>
      <c r="AO276" s="23">
        <v>44.13</v>
      </c>
      <c r="AP276" s="23">
        <v>0</v>
      </c>
      <c r="AR276" s="46"/>
      <c r="AS276" s="44"/>
      <c r="AT276" s="45"/>
      <c r="AU276" s="2">
        <v>43697</v>
      </c>
      <c r="AV276" s="52">
        <v>6.25E-2</v>
      </c>
      <c r="AW276" s="2" t="s">
        <v>213</v>
      </c>
      <c r="AY276" s="3"/>
      <c r="BA276" s="3"/>
      <c r="BG276" s="3"/>
      <c r="BH276" s="3"/>
    </row>
    <row r="277" spans="1:60">
      <c r="A277" s="23" t="s">
        <v>22</v>
      </c>
      <c r="B277" s="23" t="s">
        <v>23</v>
      </c>
      <c r="C277" s="27">
        <v>43698.385416666664</v>
      </c>
      <c r="D277" s="23">
        <v>44.1</v>
      </c>
      <c r="E277" s="27">
        <v>43699.5</v>
      </c>
      <c r="F277" s="23">
        <v>43.2</v>
      </c>
      <c r="G277" s="31">
        <v>-2.0400000000000001E-2</v>
      </c>
      <c r="H277" s="23">
        <v>1023.58</v>
      </c>
      <c r="I277" s="31">
        <v>2.0400000000000001E-2</v>
      </c>
      <c r="J277" s="23">
        <v>1137.317</v>
      </c>
      <c r="K277" s="23">
        <v>50155.66</v>
      </c>
      <c r="L277" s="23">
        <v>31426.93</v>
      </c>
      <c r="M277" s="23">
        <v>40</v>
      </c>
      <c r="N277" s="23">
        <v>25.59</v>
      </c>
      <c r="O277" s="31">
        <v>-1.5900000000000001E-2</v>
      </c>
      <c r="P277" s="31">
        <v>3.85E-2</v>
      </c>
      <c r="Q277" s="23" t="s">
        <v>24</v>
      </c>
      <c r="R277" s="23">
        <v>0</v>
      </c>
      <c r="S277" s="23">
        <v>45.06</v>
      </c>
      <c r="U277" s="47">
        <f>VLOOKUP(AU277,[1]expiry_dates!$B$2:$C$2894,2,FALSE)</f>
        <v>43706</v>
      </c>
      <c r="V277" s="23" t="s">
        <v>117</v>
      </c>
      <c r="W277" s="23" t="s">
        <v>23</v>
      </c>
      <c r="X277" s="49">
        <v>43698.385416666664</v>
      </c>
      <c r="Y277" s="23">
        <v>1.1000000000000001</v>
      </c>
      <c r="Z277" s="23">
        <v>43699.5</v>
      </c>
      <c r="AA277" s="23">
        <v>0.65</v>
      </c>
      <c r="AB277" s="23">
        <v>-0.40910000000000002</v>
      </c>
      <c r="AC277" s="23">
        <v>22524.28</v>
      </c>
      <c r="AD277" s="23">
        <v>0.40910000000000002</v>
      </c>
      <c r="AE277" s="23">
        <v>50053.96</v>
      </c>
      <c r="AF277" s="23">
        <v>55059.360000000001</v>
      </c>
      <c r="AG277" s="23">
        <v>1012361.04</v>
      </c>
      <c r="AH277" s="23">
        <v>40</v>
      </c>
      <c r="AI277" s="23">
        <v>563.11</v>
      </c>
      <c r="AJ277" s="23">
        <v>-9.0899999999999995E-2</v>
      </c>
      <c r="AK277" s="23">
        <v>0.68179999999999996</v>
      </c>
      <c r="AL277" s="23" t="s">
        <v>24</v>
      </c>
      <c r="AM277" s="23">
        <v>44.1</v>
      </c>
      <c r="AN277" s="23">
        <v>27925.3</v>
      </c>
      <c r="AO277" s="23">
        <v>45.06</v>
      </c>
      <c r="AP277" s="23">
        <v>0</v>
      </c>
      <c r="AR277" s="46"/>
      <c r="AS277" s="44"/>
      <c r="AT277" s="45"/>
      <c r="AU277" s="2">
        <v>43698</v>
      </c>
      <c r="AV277" s="52">
        <v>0.38541666666666669</v>
      </c>
      <c r="AW277" s="2" t="s">
        <v>212</v>
      </c>
      <c r="AY277" s="3"/>
      <c r="BA277" s="3"/>
      <c r="BG277" s="3"/>
      <c r="BH277" s="3"/>
    </row>
    <row r="278" spans="1:60">
      <c r="A278" s="23" t="s">
        <v>22</v>
      </c>
      <c r="B278" s="23" t="s">
        <v>25</v>
      </c>
      <c r="C278" s="27">
        <v>43699.5</v>
      </c>
      <c r="D278" s="23">
        <v>43.2</v>
      </c>
      <c r="E278" s="27">
        <v>43699.614583333336</v>
      </c>
      <c r="F278" s="23">
        <v>43</v>
      </c>
      <c r="G278" s="31">
        <v>-4.5999999999999999E-3</v>
      </c>
      <c r="H278" s="23">
        <v>-232.21</v>
      </c>
      <c r="I278" s="31">
        <v>-4.5999999999999999E-3</v>
      </c>
      <c r="J278" s="23">
        <v>1161.0640000000001</v>
      </c>
      <c r="K278" s="23">
        <v>50157.98</v>
      </c>
      <c r="L278" s="23">
        <v>31194.720000000001</v>
      </c>
      <c r="M278" s="23">
        <v>12</v>
      </c>
      <c r="N278" s="23">
        <v>-19.350000000000001</v>
      </c>
      <c r="O278" s="31">
        <v>-5.7999999999999996E-3</v>
      </c>
      <c r="P278" s="31">
        <v>4.5999999999999999E-3</v>
      </c>
      <c r="Q278" s="23" t="s">
        <v>24</v>
      </c>
      <c r="R278" s="23">
        <v>0</v>
      </c>
      <c r="S278" s="23">
        <v>42.44</v>
      </c>
      <c r="U278" s="47">
        <f>VLOOKUP(AU278,[1]expiry_dates!$B$2:$C$2894,2,FALSE)</f>
        <v>43706</v>
      </c>
      <c r="V278" s="23" t="s">
        <v>134</v>
      </c>
      <c r="W278" s="23" t="s">
        <v>23</v>
      </c>
      <c r="X278" s="49">
        <v>43699.5</v>
      </c>
      <c r="Y278" s="23">
        <v>0.35</v>
      </c>
      <c r="Z278" s="23">
        <v>43699.614583333336</v>
      </c>
      <c r="AA278" s="23">
        <v>0.45</v>
      </c>
      <c r="AB278" s="23">
        <v>0.28570000000000001</v>
      </c>
      <c r="AC278" s="23">
        <v>-15739.1</v>
      </c>
      <c r="AD278" s="23">
        <v>-0.28570000000000001</v>
      </c>
      <c r="AE278" s="23">
        <v>157391</v>
      </c>
      <c r="AF278" s="23">
        <v>55086.83</v>
      </c>
      <c r="AG278" s="23">
        <v>996621.94</v>
      </c>
      <c r="AH278" s="23">
        <v>12</v>
      </c>
      <c r="AI278" s="23">
        <v>-1311.59</v>
      </c>
      <c r="AJ278" s="23">
        <v>-0.28570000000000001</v>
      </c>
      <c r="AK278" s="23">
        <v>0.1429</v>
      </c>
      <c r="AL278" s="23" t="s">
        <v>24</v>
      </c>
      <c r="AM278" s="23">
        <v>43.2</v>
      </c>
      <c r="AN278" s="23">
        <v>27487.200000000001</v>
      </c>
      <c r="AO278" s="23">
        <v>42.44</v>
      </c>
      <c r="AP278" s="23">
        <v>0</v>
      </c>
      <c r="AR278" s="46"/>
      <c r="AS278" s="44"/>
      <c r="AT278" s="45"/>
      <c r="AU278" s="2">
        <v>43699</v>
      </c>
      <c r="AV278" s="52">
        <v>0.5</v>
      </c>
      <c r="AW278" s="2" t="s">
        <v>213</v>
      </c>
      <c r="AY278" s="3"/>
      <c r="BA278" s="3"/>
      <c r="BG278" s="3"/>
      <c r="BH278" s="3"/>
    </row>
    <row r="279" spans="1:60">
      <c r="A279" s="23" t="s">
        <v>22</v>
      </c>
      <c r="B279" s="23" t="s">
        <v>23</v>
      </c>
      <c r="C279" s="27">
        <v>43699.614583333336</v>
      </c>
      <c r="D279" s="23">
        <v>43</v>
      </c>
      <c r="E279" s="27">
        <v>43700.427083333336</v>
      </c>
      <c r="F279" s="23">
        <v>43</v>
      </c>
      <c r="G279" s="31">
        <v>0</v>
      </c>
      <c r="H279" s="23">
        <v>0</v>
      </c>
      <c r="I279" s="31">
        <v>0</v>
      </c>
      <c r="J279" s="23">
        <v>1166.432</v>
      </c>
      <c r="K279" s="23">
        <v>50156.55</v>
      </c>
      <c r="L279" s="23">
        <v>31194.720000000001</v>
      </c>
      <c r="M279" s="23">
        <v>11</v>
      </c>
      <c r="N279" s="23">
        <v>0</v>
      </c>
      <c r="O279" s="31">
        <v>-5.7999999999999996E-3</v>
      </c>
      <c r="P279" s="31">
        <v>3.0200000000000001E-2</v>
      </c>
      <c r="Q279" s="23" t="s">
        <v>24</v>
      </c>
      <c r="R279" s="23">
        <v>0</v>
      </c>
      <c r="S279" s="23">
        <v>43.4</v>
      </c>
      <c r="U279" s="47">
        <f>VLOOKUP(AU279,[1]expiry_dates!$B$2:$C$2894,2,FALSE)</f>
        <v>43706</v>
      </c>
      <c r="V279" s="23" t="s">
        <v>114</v>
      </c>
      <c r="W279" s="23" t="s">
        <v>23</v>
      </c>
      <c r="X279" s="49">
        <v>43699.614583333336</v>
      </c>
      <c r="Y279" s="23">
        <v>0.75</v>
      </c>
      <c r="Z279" s="23">
        <v>43700.427083333336</v>
      </c>
      <c r="AA279" s="23">
        <v>0.85</v>
      </c>
      <c r="AB279" s="23">
        <v>0.1333</v>
      </c>
      <c r="AC279" s="23">
        <v>-7331.08</v>
      </c>
      <c r="AD279" s="23">
        <v>-0.1333</v>
      </c>
      <c r="AE279" s="23">
        <v>73310.81</v>
      </c>
      <c r="AF279" s="23">
        <v>54983.11</v>
      </c>
      <c r="AG279" s="23">
        <v>989290.86</v>
      </c>
      <c r="AH279" s="23">
        <v>11</v>
      </c>
      <c r="AI279" s="23">
        <v>-666.46</v>
      </c>
      <c r="AJ279" s="23">
        <v>-0.1333</v>
      </c>
      <c r="AK279" s="23">
        <v>0.4</v>
      </c>
      <c r="AL279" s="23" t="s">
        <v>24</v>
      </c>
      <c r="AM279" s="23">
        <v>43</v>
      </c>
      <c r="AN279" s="23">
        <v>27128.55</v>
      </c>
      <c r="AO279" s="23">
        <v>43.4</v>
      </c>
      <c r="AP279" s="23">
        <v>0</v>
      </c>
      <c r="AR279" s="46"/>
      <c r="AS279" s="44"/>
      <c r="AT279" s="45"/>
      <c r="AU279" s="2">
        <v>43699</v>
      </c>
      <c r="AV279" s="52">
        <v>0.11458333333333333</v>
      </c>
      <c r="AW279" s="2" t="s">
        <v>213</v>
      </c>
      <c r="AY279" s="3"/>
      <c r="BA279" s="3"/>
      <c r="BG279" s="3"/>
      <c r="BH279" s="3"/>
    </row>
    <row r="280" spans="1:60">
      <c r="A280" s="23" t="s">
        <v>22</v>
      </c>
      <c r="B280" s="23" t="s">
        <v>25</v>
      </c>
      <c r="C280" s="27">
        <v>43700.427083333336</v>
      </c>
      <c r="D280" s="23">
        <v>43</v>
      </c>
      <c r="E280" s="27">
        <v>43703.395833333336</v>
      </c>
      <c r="F280" s="23">
        <v>42.9</v>
      </c>
      <c r="G280" s="31">
        <v>-2.3E-3</v>
      </c>
      <c r="H280" s="23">
        <v>-116.64</v>
      </c>
      <c r="I280" s="31">
        <v>-2.3E-3</v>
      </c>
      <c r="J280" s="23">
        <v>1166.4449999999999</v>
      </c>
      <c r="K280" s="23">
        <v>50157.14</v>
      </c>
      <c r="L280" s="23">
        <v>31078.07</v>
      </c>
      <c r="M280" s="23">
        <v>26</v>
      </c>
      <c r="N280" s="23">
        <v>-4.49</v>
      </c>
      <c r="O280" s="31">
        <v>-8.0999999999999996E-3</v>
      </c>
      <c r="P280" s="31">
        <v>3.7199999999999997E-2</v>
      </c>
      <c r="Q280" s="23" t="s">
        <v>24</v>
      </c>
      <c r="R280" s="23">
        <v>0</v>
      </c>
      <c r="S280" s="23">
        <v>41.7</v>
      </c>
      <c r="U280" s="47">
        <f>VLOOKUP(AU280,[1]expiry_dates!$B$2:$C$2894,2,FALSE)</f>
        <v>43706</v>
      </c>
      <c r="V280" s="23" t="s">
        <v>134</v>
      </c>
      <c r="W280" s="23" t="s">
        <v>23</v>
      </c>
      <c r="X280" s="49">
        <v>43700.427083333336</v>
      </c>
      <c r="Y280" s="23">
        <v>0.5</v>
      </c>
      <c r="Z280" s="23">
        <v>43703.395833333336</v>
      </c>
      <c r="AA280" s="23">
        <v>0.3</v>
      </c>
      <c r="AB280" s="23">
        <v>-0.4</v>
      </c>
      <c r="AC280" s="23">
        <v>21985.91</v>
      </c>
      <c r="AD280" s="23">
        <v>0.4</v>
      </c>
      <c r="AE280" s="23">
        <v>109929.60000000001</v>
      </c>
      <c r="AF280" s="23">
        <v>54964.78</v>
      </c>
      <c r="AG280" s="23">
        <v>1011276.77</v>
      </c>
      <c r="AH280" s="23">
        <v>26</v>
      </c>
      <c r="AI280" s="23">
        <v>845.61</v>
      </c>
      <c r="AJ280" s="23">
        <v>0</v>
      </c>
      <c r="AK280" s="23">
        <v>0.7</v>
      </c>
      <c r="AL280" s="23" t="s">
        <v>24</v>
      </c>
      <c r="AM280" s="23">
        <v>43</v>
      </c>
      <c r="AN280" s="23">
        <v>26860.1</v>
      </c>
      <c r="AO280" s="23">
        <v>41.7</v>
      </c>
      <c r="AP280" s="23">
        <v>0</v>
      </c>
      <c r="AR280" s="46"/>
      <c r="AS280" s="44"/>
      <c r="AT280" s="45"/>
      <c r="AU280" s="2">
        <v>43700</v>
      </c>
      <c r="AV280" s="52">
        <v>0.42708333333333331</v>
      </c>
      <c r="AW280" s="2" t="s">
        <v>212</v>
      </c>
      <c r="AY280" s="3"/>
      <c r="BA280" s="3"/>
      <c r="BG280" s="3"/>
      <c r="BH280" s="3"/>
    </row>
    <row r="281" spans="1:60">
      <c r="A281" s="23" t="s">
        <v>22</v>
      </c>
      <c r="B281" s="23" t="s">
        <v>23</v>
      </c>
      <c r="C281" s="27">
        <v>43703.395833333336</v>
      </c>
      <c r="D281" s="23">
        <v>42.9</v>
      </c>
      <c r="E281" s="27">
        <v>43703.572916666664</v>
      </c>
      <c r="F281" s="23">
        <v>43.2</v>
      </c>
      <c r="G281" s="31">
        <v>7.0000000000000001E-3</v>
      </c>
      <c r="H281" s="23">
        <v>-350.77</v>
      </c>
      <c r="I281" s="31">
        <v>-7.0000000000000001E-3</v>
      </c>
      <c r="J281" s="23">
        <v>1169.232</v>
      </c>
      <c r="K281" s="23">
        <v>50160.06</v>
      </c>
      <c r="L281" s="23">
        <v>30727.3</v>
      </c>
      <c r="M281" s="23">
        <v>18</v>
      </c>
      <c r="N281" s="23">
        <v>-19.489999999999998</v>
      </c>
      <c r="O281" s="31">
        <v>-1.9800000000000002E-2</v>
      </c>
      <c r="P281" s="31">
        <v>9.2999999999999992E-3</v>
      </c>
      <c r="Q281" s="23" t="s">
        <v>24</v>
      </c>
      <c r="R281" s="23">
        <v>0</v>
      </c>
      <c r="S281" s="23">
        <v>44.57</v>
      </c>
      <c r="U281" s="47">
        <f>VLOOKUP(AU281,[1]expiry_dates!$B$2:$C$2894,2,FALSE)</f>
        <v>43706</v>
      </c>
      <c r="V281" s="23" t="s">
        <v>114</v>
      </c>
      <c r="W281" s="23" t="s">
        <v>23</v>
      </c>
      <c r="X281" s="49">
        <v>43703.395833333336</v>
      </c>
      <c r="Y281" s="23">
        <v>0.65</v>
      </c>
      <c r="Z281" s="23">
        <v>43703.572916666664</v>
      </c>
      <c r="AA281" s="23">
        <v>0.7</v>
      </c>
      <c r="AB281" s="23">
        <v>7.6899999999999996E-2</v>
      </c>
      <c r="AC281" s="23">
        <v>-4241.45</v>
      </c>
      <c r="AD281" s="23">
        <v>-7.6899999999999996E-2</v>
      </c>
      <c r="AE281" s="23">
        <v>84828.98</v>
      </c>
      <c r="AF281" s="23">
        <v>55138.83</v>
      </c>
      <c r="AG281" s="23">
        <v>1007035.33</v>
      </c>
      <c r="AH281" s="23">
        <v>18</v>
      </c>
      <c r="AI281" s="23">
        <v>-235.64</v>
      </c>
      <c r="AJ281" s="23">
        <v>-0.15379999999999999</v>
      </c>
      <c r="AK281" s="23">
        <v>0.30769999999999997</v>
      </c>
      <c r="AL281" s="23" t="s">
        <v>24</v>
      </c>
      <c r="AM281" s="23">
        <v>42.9</v>
      </c>
      <c r="AN281" s="23">
        <v>27251</v>
      </c>
      <c r="AO281" s="23">
        <v>44.57</v>
      </c>
      <c r="AP281" s="23">
        <v>0</v>
      </c>
      <c r="AR281" s="46"/>
      <c r="AS281" s="44"/>
      <c r="AT281" s="45"/>
      <c r="AU281" s="2">
        <v>43703</v>
      </c>
      <c r="AV281" s="52">
        <v>0.39583333333333331</v>
      </c>
      <c r="AW281" s="2" t="s">
        <v>212</v>
      </c>
      <c r="AY281" s="3"/>
      <c r="BA281" s="3"/>
      <c r="BG281" s="3"/>
      <c r="BH281" s="3"/>
    </row>
    <row r="282" spans="1:60">
      <c r="A282" s="23" t="s">
        <v>22</v>
      </c>
      <c r="B282" s="23" t="s">
        <v>25</v>
      </c>
      <c r="C282" s="27">
        <v>43703.572916666664</v>
      </c>
      <c r="D282" s="23">
        <v>43.2</v>
      </c>
      <c r="E282" s="27">
        <v>43704.489583333336</v>
      </c>
      <c r="F282" s="23">
        <v>43.4</v>
      </c>
      <c r="G282" s="31">
        <v>4.5999999999999999E-3</v>
      </c>
      <c r="H282" s="23">
        <v>232.2</v>
      </c>
      <c r="I282" s="31">
        <v>4.5999999999999999E-3</v>
      </c>
      <c r="J282" s="23">
        <v>1160.9839999999999</v>
      </c>
      <c r="K282" s="23">
        <v>50154.52</v>
      </c>
      <c r="L282" s="23">
        <v>30959.5</v>
      </c>
      <c r="M282" s="23">
        <v>21</v>
      </c>
      <c r="N282" s="23">
        <v>11.06</v>
      </c>
      <c r="O282" s="31">
        <v>-5.7999999999999996E-3</v>
      </c>
      <c r="P282" s="31">
        <v>2.3099999999999999E-2</v>
      </c>
      <c r="Q282" s="23" t="s">
        <v>24</v>
      </c>
      <c r="R282" s="23">
        <v>0</v>
      </c>
      <c r="S282" s="23">
        <v>42.5</v>
      </c>
      <c r="U282" s="47">
        <f>VLOOKUP(AU282,[1]expiry_dates!$B$2:$C$2894,2,FALSE)</f>
        <v>43706</v>
      </c>
      <c r="V282" s="23" t="s">
        <v>115</v>
      </c>
      <c r="W282" s="23" t="s">
        <v>23</v>
      </c>
      <c r="X282" s="49">
        <v>43703.572916666664</v>
      </c>
      <c r="Y282" s="23">
        <v>0.45</v>
      </c>
      <c r="Z282" s="23">
        <v>43704.489583333336</v>
      </c>
      <c r="AA282" s="23">
        <v>0.15</v>
      </c>
      <c r="AB282" s="23">
        <v>-0.66669999999999996</v>
      </c>
      <c r="AC282" s="23">
        <v>36718.39</v>
      </c>
      <c r="AD282" s="23">
        <v>0.66669999999999996</v>
      </c>
      <c r="AE282" s="23">
        <v>122394.6</v>
      </c>
      <c r="AF282" s="23">
        <v>55077.59</v>
      </c>
      <c r="AG282" s="23">
        <v>1043753.72</v>
      </c>
      <c r="AH282" s="23">
        <v>21</v>
      </c>
      <c r="AI282" s="23">
        <v>1748.49</v>
      </c>
      <c r="AJ282" s="23">
        <v>0</v>
      </c>
      <c r="AK282" s="23">
        <v>0.77780000000000005</v>
      </c>
      <c r="AL282" s="23" t="s">
        <v>24</v>
      </c>
      <c r="AM282" s="23">
        <v>43.2</v>
      </c>
      <c r="AN282" s="23">
        <v>27776.6</v>
      </c>
      <c r="AO282" s="23">
        <v>42.5</v>
      </c>
      <c r="AP282" s="23">
        <v>0</v>
      </c>
      <c r="AR282" s="46"/>
      <c r="AS282" s="44"/>
      <c r="AT282" s="45"/>
      <c r="AU282" s="2">
        <v>43703</v>
      </c>
      <c r="AV282" s="52">
        <v>7.2916666666666671E-2</v>
      </c>
      <c r="AW282" s="2" t="s">
        <v>213</v>
      </c>
      <c r="AY282" s="3"/>
      <c r="BA282" s="3"/>
      <c r="BG282" s="3"/>
      <c r="BH282" s="3"/>
    </row>
    <row r="283" spans="1:60">
      <c r="A283" s="23" t="s">
        <v>22</v>
      </c>
      <c r="B283" s="23" t="s">
        <v>23</v>
      </c>
      <c r="C283" s="27">
        <v>43704.489583333336</v>
      </c>
      <c r="D283" s="23">
        <v>43.4</v>
      </c>
      <c r="E283" s="27">
        <v>43706.427083333336</v>
      </c>
      <c r="F283" s="23">
        <v>42.2</v>
      </c>
      <c r="G283" s="31">
        <v>-2.76E-2</v>
      </c>
      <c r="H283" s="23">
        <v>1386.81</v>
      </c>
      <c r="I283" s="31">
        <v>2.76E-2</v>
      </c>
      <c r="J283" s="23">
        <v>1155.674</v>
      </c>
      <c r="K283" s="23">
        <v>50156.25</v>
      </c>
      <c r="L283" s="23">
        <v>32346.31</v>
      </c>
      <c r="M283" s="23">
        <v>51</v>
      </c>
      <c r="N283" s="23">
        <v>27.19</v>
      </c>
      <c r="O283" s="31">
        <v>-8.0999999999999996E-3</v>
      </c>
      <c r="P283" s="31">
        <v>3.9199999999999999E-2</v>
      </c>
      <c r="Q283" s="23" t="s">
        <v>24</v>
      </c>
      <c r="R283" s="23">
        <v>0</v>
      </c>
      <c r="S283" s="23">
        <v>44.18</v>
      </c>
      <c r="U283" s="47">
        <f>VLOOKUP(AU283,[1]expiry_dates!$B$2:$C$2894,2,FALSE)</f>
        <v>43706</v>
      </c>
      <c r="V283" s="23" t="s">
        <v>117</v>
      </c>
      <c r="W283" s="23" t="s">
        <v>23</v>
      </c>
      <c r="X283" s="49">
        <v>43704.489583333336</v>
      </c>
      <c r="Y283" s="23">
        <v>0.35</v>
      </c>
      <c r="Z283" s="23">
        <v>43706.427083333336</v>
      </c>
      <c r="AA283" s="23">
        <v>0.05</v>
      </c>
      <c r="AB283" s="23">
        <v>-0.85709999999999997</v>
      </c>
      <c r="AC283" s="23">
        <v>47356.6</v>
      </c>
      <c r="AD283" s="23">
        <v>0.85709999999999997</v>
      </c>
      <c r="AE283" s="23">
        <v>157855.29999999999</v>
      </c>
      <c r="AF283" s="23">
        <v>55249.37</v>
      </c>
      <c r="AG283" s="23">
        <v>1091110.32</v>
      </c>
      <c r="AH283" s="23">
        <v>51</v>
      </c>
      <c r="AI283" s="23">
        <v>928.56</v>
      </c>
      <c r="AJ283" s="23">
        <v>-0.42859999999999998</v>
      </c>
      <c r="AK283" s="23">
        <v>0.85709999999999997</v>
      </c>
      <c r="AL283" s="23" t="s">
        <v>24</v>
      </c>
      <c r="AM283" s="23">
        <v>43.4</v>
      </c>
      <c r="AN283" s="23">
        <v>28108.6</v>
      </c>
      <c r="AO283" s="23">
        <v>44.18</v>
      </c>
      <c r="AP283" s="23">
        <v>0</v>
      </c>
      <c r="AR283" s="46"/>
      <c r="AS283" s="44"/>
      <c r="AT283" s="45"/>
      <c r="AU283" s="2">
        <v>43704</v>
      </c>
      <c r="AV283" s="52">
        <v>0.48958333333333331</v>
      </c>
      <c r="AW283" s="2" t="s">
        <v>212</v>
      </c>
      <c r="AY283" s="3"/>
      <c r="BA283" s="3"/>
      <c r="BG283" s="3"/>
      <c r="BH283" s="3"/>
    </row>
    <row r="284" spans="1:60">
      <c r="A284" s="23" t="s">
        <v>22</v>
      </c>
      <c r="B284" s="23" t="s">
        <v>25</v>
      </c>
      <c r="C284" s="27">
        <v>43706.427083333336</v>
      </c>
      <c r="D284" s="23">
        <v>42.2</v>
      </c>
      <c r="E284" s="27">
        <v>43706.6875</v>
      </c>
      <c r="F284" s="23">
        <v>43</v>
      </c>
      <c r="G284" s="31">
        <v>1.9E-2</v>
      </c>
      <c r="H284" s="23">
        <v>950.94</v>
      </c>
      <c r="I284" s="31">
        <v>1.9E-2</v>
      </c>
      <c r="J284" s="23">
        <v>1188.673</v>
      </c>
      <c r="K284" s="23">
        <v>50162.02</v>
      </c>
      <c r="L284" s="23">
        <v>33297.25</v>
      </c>
      <c r="M284" s="23">
        <v>23</v>
      </c>
      <c r="N284" s="23">
        <v>41.35</v>
      </c>
      <c r="O284" s="31">
        <v>-4.7000000000000002E-3</v>
      </c>
      <c r="P284" s="31">
        <v>2.9600000000000001E-2</v>
      </c>
      <c r="Q284" s="23" t="s">
        <v>24</v>
      </c>
      <c r="R284" s="23">
        <v>0</v>
      </c>
      <c r="S284" s="23">
        <v>41.7</v>
      </c>
      <c r="U284" s="47">
        <f>VLOOKUP(AU284,[1]expiry_dates!$B$2:$C$2894,2,FALSE)</f>
        <v>43706</v>
      </c>
      <c r="V284" s="23" t="s">
        <v>115</v>
      </c>
      <c r="W284" s="23" t="s">
        <v>23</v>
      </c>
      <c r="X284" s="49">
        <v>43706.427083333336</v>
      </c>
      <c r="Y284" s="23">
        <v>0.3</v>
      </c>
      <c r="Z284" s="23">
        <v>43706.6875</v>
      </c>
      <c r="AA284" s="23">
        <v>0.05</v>
      </c>
      <c r="AB284" s="23">
        <v>-0.83330000000000004</v>
      </c>
      <c r="AC284" s="23">
        <v>46212.959999999999</v>
      </c>
      <c r="AD284" s="23">
        <v>0.83330000000000004</v>
      </c>
      <c r="AE284" s="23">
        <v>184851.8</v>
      </c>
      <c r="AF284" s="23">
        <v>55455.55</v>
      </c>
      <c r="AG284" s="23">
        <v>1137323.28</v>
      </c>
      <c r="AH284" s="23">
        <v>23</v>
      </c>
      <c r="AI284" s="23">
        <v>2009.26</v>
      </c>
      <c r="AJ284" s="23">
        <v>-1.1667000000000001</v>
      </c>
      <c r="AK284" s="23">
        <v>0.83330000000000004</v>
      </c>
      <c r="AL284" s="23" t="s">
        <v>24</v>
      </c>
      <c r="AM284" s="23">
        <v>42.2</v>
      </c>
      <c r="AN284" s="23">
        <v>27610.1</v>
      </c>
      <c r="AO284" s="23">
        <v>41.7</v>
      </c>
      <c r="AP284" s="23">
        <v>0</v>
      </c>
      <c r="AR284" s="46"/>
      <c r="AS284" s="44"/>
      <c r="AT284" s="45"/>
      <c r="AU284" s="2">
        <v>43706</v>
      </c>
      <c r="AV284" s="52">
        <v>0.42708333333333331</v>
      </c>
      <c r="AW284" s="2" t="s">
        <v>212</v>
      </c>
      <c r="AY284" s="3"/>
      <c r="BA284" s="3"/>
      <c r="BG284" s="3"/>
      <c r="BH284" s="3"/>
    </row>
    <row r="285" spans="1:60">
      <c r="A285" s="23" t="s">
        <v>22</v>
      </c>
      <c r="B285" s="23" t="s">
        <v>23</v>
      </c>
      <c r="C285" s="27">
        <v>43707.385416666664</v>
      </c>
      <c r="D285" s="23">
        <v>43.1</v>
      </c>
      <c r="E285" s="27">
        <v>43707.59375</v>
      </c>
      <c r="F285" s="23">
        <v>42.65</v>
      </c>
      <c r="G285" s="31">
        <v>-1.04E-2</v>
      </c>
      <c r="H285" s="23">
        <v>523.78</v>
      </c>
      <c r="I285" s="31">
        <v>1.04E-2</v>
      </c>
      <c r="J285" s="23">
        <v>1163.9559999999999</v>
      </c>
      <c r="K285" s="23">
        <v>50166.49</v>
      </c>
      <c r="L285" s="23">
        <v>33821.03</v>
      </c>
      <c r="M285" s="23">
        <v>21</v>
      </c>
      <c r="N285" s="23">
        <v>24.94</v>
      </c>
      <c r="O285" s="31">
        <v>-2.3E-3</v>
      </c>
      <c r="P285" s="31">
        <v>2.1999999999999999E-2</v>
      </c>
      <c r="Q285" s="23" t="s">
        <v>24</v>
      </c>
      <c r="R285" s="23">
        <v>0</v>
      </c>
      <c r="S285" s="23">
        <v>43.42</v>
      </c>
      <c r="U285" s="47">
        <f>VLOOKUP(AU285,[1]expiry_dates!$B$2:$C$2894,2,FALSE)</f>
        <v>43734</v>
      </c>
      <c r="V285" s="23" t="s">
        <v>114</v>
      </c>
      <c r="W285" s="23" t="s">
        <v>23</v>
      </c>
      <c r="X285" s="49">
        <v>43707.385416666664</v>
      </c>
      <c r="Y285" s="23">
        <v>1.6</v>
      </c>
      <c r="Z285" s="23">
        <v>43707.59375</v>
      </c>
      <c r="AA285" s="23">
        <v>1.25</v>
      </c>
      <c r="AB285" s="23">
        <v>-0.21879999999999999</v>
      </c>
      <c r="AC285" s="23">
        <v>12181.45</v>
      </c>
      <c r="AD285" s="23">
        <v>0.21870000000000001</v>
      </c>
      <c r="AE285" s="23">
        <v>34804.129999999997</v>
      </c>
      <c r="AF285" s="23">
        <v>55686.61</v>
      </c>
      <c r="AG285" s="23">
        <v>1149504.73</v>
      </c>
      <c r="AH285" s="23">
        <v>21</v>
      </c>
      <c r="AI285" s="23">
        <v>580.07000000000005</v>
      </c>
      <c r="AJ285" s="23">
        <v>0</v>
      </c>
      <c r="AK285" s="23">
        <v>0.28129999999999999</v>
      </c>
      <c r="AL285" s="23" t="s">
        <v>24</v>
      </c>
      <c r="AM285" s="23">
        <v>43.1</v>
      </c>
      <c r="AN285" s="23">
        <v>27499.7</v>
      </c>
      <c r="AO285" s="23">
        <v>43.42</v>
      </c>
      <c r="AP285" s="23">
        <v>0</v>
      </c>
      <c r="AR285" s="46"/>
      <c r="AS285" s="44"/>
      <c r="AT285" s="45"/>
      <c r="AU285" s="2">
        <v>43707</v>
      </c>
      <c r="AV285" s="52">
        <v>0.38541666666666669</v>
      </c>
      <c r="AW285" s="2" t="s">
        <v>212</v>
      </c>
      <c r="AY285" s="3"/>
      <c r="BA285" s="3"/>
      <c r="BG285" s="3"/>
      <c r="BH285" s="3"/>
    </row>
    <row r="286" spans="1:60">
      <c r="A286" s="23" t="s">
        <v>22</v>
      </c>
      <c r="B286" s="23" t="s">
        <v>25</v>
      </c>
      <c r="C286" s="27">
        <v>43707.59375</v>
      </c>
      <c r="D286" s="23">
        <v>42.65</v>
      </c>
      <c r="E286" s="27">
        <v>43711.395833333336</v>
      </c>
      <c r="F286" s="23">
        <v>42.6</v>
      </c>
      <c r="G286" s="31">
        <v>-1.1999999999999999E-3</v>
      </c>
      <c r="H286" s="23">
        <v>-58.82</v>
      </c>
      <c r="I286" s="31">
        <v>-1.1999999999999999E-3</v>
      </c>
      <c r="J286" s="23">
        <v>1176.3119999999999</v>
      </c>
      <c r="K286" s="23">
        <v>50169.69</v>
      </c>
      <c r="L286" s="23">
        <v>33762.21</v>
      </c>
      <c r="M286" s="23">
        <v>10</v>
      </c>
      <c r="N286" s="23">
        <v>-5.88</v>
      </c>
      <c r="O286" s="31">
        <v>-4.7000000000000002E-3</v>
      </c>
      <c r="P286" s="31">
        <v>3.0499999999999999E-2</v>
      </c>
      <c r="Q286" s="23" t="s">
        <v>24</v>
      </c>
      <c r="R286" s="23">
        <v>0</v>
      </c>
      <c r="S286" s="23">
        <v>42.17</v>
      </c>
      <c r="U286" s="47">
        <f>VLOOKUP(AU286,[1]expiry_dates!$B$2:$C$2894,2,FALSE)</f>
        <v>43734</v>
      </c>
      <c r="V286" s="23" t="s">
        <v>118</v>
      </c>
      <c r="W286" s="23" t="s">
        <v>23</v>
      </c>
      <c r="X286" s="49">
        <v>43707.59375</v>
      </c>
      <c r="Y286" s="23">
        <v>2.6</v>
      </c>
      <c r="Z286" s="23">
        <v>43711.395833333336</v>
      </c>
      <c r="AA286" s="23">
        <v>2.25</v>
      </c>
      <c r="AB286" s="23">
        <v>-0.1346</v>
      </c>
      <c r="AC286" s="23">
        <v>7504.47</v>
      </c>
      <c r="AD286" s="23">
        <v>0.1346</v>
      </c>
      <c r="AE286" s="23">
        <v>21441.360000000001</v>
      </c>
      <c r="AF286" s="23">
        <v>55747.519999999997</v>
      </c>
      <c r="AG286" s="23">
        <v>1157009.2</v>
      </c>
      <c r="AH286" s="23">
        <v>10</v>
      </c>
      <c r="AI286" s="23">
        <v>750.45</v>
      </c>
      <c r="AJ286" s="23">
        <v>0</v>
      </c>
      <c r="AK286" s="23">
        <v>0.26919999999999999</v>
      </c>
      <c r="AL286" s="23" t="s">
        <v>24</v>
      </c>
      <c r="AM286" s="23">
        <v>42.65</v>
      </c>
      <c r="AN286" s="23">
        <v>27412.05</v>
      </c>
      <c r="AO286" s="23">
        <v>42.17</v>
      </c>
      <c r="AP286" s="23">
        <v>0</v>
      </c>
      <c r="AR286" s="46"/>
      <c r="AS286" s="44"/>
      <c r="AT286" s="45"/>
      <c r="AU286" s="2">
        <v>43707</v>
      </c>
      <c r="AV286" s="52">
        <v>9.375E-2</v>
      </c>
      <c r="AW286" s="2" t="s">
        <v>213</v>
      </c>
      <c r="AY286" s="3"/>
      <c r="BA286" s="3"/>
      <c r="BG286" s="3"/>
      <c r="BH286" s="3"/>
    </row>
    <row r="287" spans="1:60">
      <c r="A287" s="23" t="s">
        <v>22</v>
      </c>
      <c r="B287" s="23" t="s">
        <v>23</v>
      </c>
      <c r="C287" s="27">
        <v>43711.395833333336</v>
      </c>
      <c r="D287" s="23">
        <v>42.6</v>
      </c>
      <c r="E287" s="27">
        <v>43711.53125</v>
      </c>
      <c r="F287" s="23">
        <v>43</v>
      </c>
      <c r="G287" s="31">
        <v>9.4000000000000004E-3</v>
      </c>
      <c r="H287" s="23">
        <v>-471.09</v>
      </c>
      <c r="I287" s="31">
        <v>-9.4000000000000004E-3</v>
      </c>
      <c r="J287" s="23">
        <v>1177.72</v>
      </c>
      <c r="K287" s="23">
        <v>50170.87</v>
      </c>
      <c r="L287" s="23">
        <v>33291.120000000003</v>
      </c>
      <c r="M287" s="23">
        <v>14</v>
      </c>
      <c r="N287" s="23">
        <v>-33.65</v>
      </c>
      <c r="O287" s="31">
        <v>-1.41E-2</v>
      </c>
      <c r="P287" s="31">
        <v>5.8999999999999999E-3</v>
      </c>
      <c r="Q287" s="23" t="s">
        <v>24</v>
      </c>
      <c r="R287" s="23">
        <v>0</v>
      </c>
      <c r="S287" s="23">
        <v>43.92</v>
      </c>
      <c r="U287" s="47">
        <f>VLOOKUP(AU287,[1]expiry_dates!$B$2:$C$2894,2,FALSE)</f>
        <v>43734</v>
      </c>
      <c r="V287" s="23" t="s">
        <v>114</v>
      </c>
      <c r="W287" s="23" t="s">
        <v>23</v>
      </c>
      <c r="X287" s="49">
        <v>43711.395833333336</v>
      </c>
      <c r="Y287" s="23">
        <v>1.3</v>
      </c>
      <c r="Z287" s="23">
        <v>43711.53125</v>
      </c>
      <c r="AA287" s="23">
        <v>1.4</v>
      </c>
      <c r="AB287" s="23">
        <v>7.6899999999999996E-2</v>
      </c>
      <c r="AC287" s="23">
        <v>-4294.04</v>
      </c>
      <c r="AD287" s="23">
        <v>-7.6899999999999996E-2</v>
      </c>
      <c r="AE287" s="23">
        <v>42940.44</v>
      </c>
      <c r="AF287" s="23">
        <v>55822.57</v>
      </c>
      <c r="AG287" s="23">
        <v>1152715.1599999999</v>
      </c>
      <c r="AH287" s="23">
        <v>14</v>
      </c>
      <c r="AI287" s="23">
        <v>-306.72000000000003</v>
      </c>
      <c r="AJ287" s="23">
        <v>-0.15379999999999999</v>
      </c>
      <c r="AK287" s="23">
        <v>0</v>
      </c>
      <c r="AL287" s="23" t="s">
        <v>24</v>
      </c>
      <c r="AM287" s="23">
        <v>42.6</v>
      </c>
      <c r="AN287" s="23">
        <v>26968.6</v>
      </c>
      <c r="AO287" s="23">
        <v>43.92</v>
      </c>
      <c r="AP287" s="23">
        <v>0</v>
      </c>
      <c r="AR287" s="46"/>
      <c r="AS287" s="44"/>
      <c r="AT287" s="45"/>
      <c r="AU287" s="2">
        <v>43711</v>
      </c>
      <c r="AV287" s="52">
        <v>0.39583333333333331</v>
      </c>
      <c r="AW287" s="2" t="s">
        <v>212</v>
      </c>
      <c r="AY287" s="3"/>
      <c r="BA287" s="3"/>
      <c r="BG287" s="3"/>
      <c r="BH287" s="3"/>
    </row>
    <row r="288" spans="1:60">
      <c r="A288" s="23" t="s">
        <v>22</v>
      </c>
      <c r="B288" s="23" t="s">
        <v>25</v>
      </c>
      <c r="C288" s="27">
        <v>43711.53125</v>
      </c>
      <c r="D288" s="23">
        <v>43</v>
      </c>
      <c r="E288" s="27">
        <v>43711.635416666664</v>
      </c>
      <c r="F288" s="23">
        <v>42.85</v>
      </c>
      <c r="G288" s="31">
        <v>-3.5000000000000001E-3</v>
      </c>
      <c r="H288" s="23">
        <v>-175</v>
      </c>
      <c r="I288" s="31">
        <v>-3.5000000000000001E-3</v>
      </c>
      <c r="J288" s="23">
        <v>1166.6690000000001</v>
      </c>
      <c r="K288" s="23">
        <v>50166.75</v>
      </c>
      <c r="L288" s="23">
        <v>33116.120000000003</v>
      </c>
      <c r="M288" s="23">
        <v>11</v>
      </c>
      <c r="N288" s="23">
        <v>-15.91</v>
      </c>
      <c r="O288" s="31">
        <v>-3.5000000000000001E-3</v>
      </c>
      <c r="P288" s="31">
        <v>8.0999999999999996E-3</v>
      </c>
      <c r="Q288" s="23" t="s">
        <v>24</v>
      </c>
      <c r="R288" s="23">
        <v>0</v>
      </c>
      <c r="S288" s="23">
        <v>42.36</v>
      </c>
      <c r="U288" s="47">
        <f>VLOOKUP(AU288,[1]expiry_dates!$B$2:$C$2894,2,FALSE)</f>
        <v>43734</v>
      </c>
      <c r="V288" s="23" t="s">
        <v>115</v>
      </c>
      <c r="W288" s="23" t="s">
        <v>23</v>
      </c>
      <c r="X288" s="49">
        <v>43711.53125</v>
      </c>
      <c r="Y288" s="23">
        <v>1.6</v>
      </c>
      <c r="Z288" s="23">
        <v>43711.635416666664</v>
      </c>
      <c r="AA288" s="23">
        <v>1.9</v>
      </c>
      <c r="AB288" s="23">
        <v>0.1875</v>
      </c>
      <c r="AC288" s="23">
        <v>-10457.68</v>
      </c>
      <c r="AD288" s="23">
        <v>-0.1875</v>
      </c>
      <c r="AE288" s="23">
        <v>34858.949999999997</v>
      </c>
      <c r="AF288" s="23">
        <v>55774.31</v>
      </c>
      <c r="AG288" s="23">
        <v>1142257.47</v>
      </c>
      <c r="AH288" s="23">
        <v>11</v>
      </c>
      <c r="AI288" s="23">
        <v>-950.7</v>
      </c>
      <c r="AJ288" s="23">
        <v>-0.1875</v>
      </c>
      <c r="AK288" s="23">
        <v>0</v>
      </c>
      <c r="AL288" s="23" t="s">
        <v>24</v>
      </c>
      <c r="AM288" s="23">
        <v>43</v>
      </c>
      <c r="AN288" s="23">
        <v>26971.45</v>
      </c>
      <c r="AO288" s="23">
        <v>42.36</v>
      </c>
      <c r="AP288" s="23">
        <v>0</v>
      </c>
      <c r="AR288" s="46"/>
      <c r="AS288" s="44"/>
      <c r="AT288" s="45"/>
      <c r="AU288" s="2">
        <v>43711</v>
      </c>
      <c r="AV288" s="52">
        <v>0.53125</v>
      </c>
      <c r="AW288" s="2" t="s">
        <v>213</v>
      </c>
      <c r="AY288" s="3"/>
      <c r="BA288" s="3"/>
      <c r="BG288" s="3"/>
      <c r="BH288" s="3"/>
    </row>
    <row r="289" spans="1:60">
      <c r="A289" s="23" t="s">
        <v>22</v>
      </c>
      <c r="B289" s="23" t="s">
        <v>23</v>
      </c>
      <c r="C289" s="27">
        <v>43711.635416666664</v>
      </c>
      <c r="D289" s="23">
        <v>42.85</v>
      </c>
      <c r="E289" s="27">
        <v>43712.541666666664</v>
      </c>
      <c r="F289" s="23">
        <v>42.65</v>
      </c>
      <c r="G289" s="31">
        <v>-4.7000000000000002E-3</v>
      </c>
      <c r="H289" s="23">
        <v>234.15</v>
      </c>
      <c r="I289" s="31">
        <v>4.7000000000000002E-3</v>
      </c>
      <c r="J289" s="23">
        <v>1170.7460000000001</v>
      </c>
      <c r="K289" s="23">
        <v>50166.46</v>
      </c>
      <c r="L289" s="23">
        <v>33350.269999999997</v>
      </c>
      <c r="M289" s="23">
        <v>20</v>
      </c>
      <c r="N289" s="23">
        <v>11.71</v>
      </c>
      <c r="O289" s="31">
        <v>-4.7000000000000002E-3</v>
      </c>
      <c r="P289" s="31">
        <v>1.6299999999999999E-2</v>
      </c>
      <c r="Q289" s="23" t="s">
        <v>24</v>
      </c>
      <c r="R289" s="23">
        <v>0</v>
      </c>
      <c r="S289" s="23">
        <v>43.35</v>
      </c>
      <c r="U289" s="47">
        <f>VLOOKUP(AU289,[1]expiry_dates!$B$2:$C$2894,2,FALSE)</f>
        <v>43734</v>
      </c>
      <c r="V289" s="23" t="s">
        <v>114</v>
      </c>
      <c r="W289" s="23" t="s">
        <v>23</v>
      </c>
      <c r="X289" s="49">
        <v>43711.635416666664</v>
      </c>
      <c r="Y289" s="23">
        <v>1.1499999999999999</v>
      </c>
      <c r="Z289" s="23">
        <v>43712.541666666664</v>
      </c>
      <c r="AA289" s="23">
        <v>1.1499999999999999</v>
      </c>
      <c r="AB289" s="23">
        <v>0</v>
      </c>
      <c r="AC289" s="23">
        <v>0</v>
      </c>
      <c r="AD289" s="23">
        <v>0</v>
      </c>
      <c r="AE289" s="23">
        <v>48444.6</v>
      </c>
      <c r="AF289" s="23">
        <v>55711.29</v>
      </c>
      <c r="AG289" s="23">
        <v>1142257.47</v>
      </c>
      <c r="AH289" s="23">
        <v>20</v>
      </c>
      <c r="AI289" s="23">
        <v>0</v>
      </c>
      <c r="AJ289" s="23">
        <v>-8.6999999999999994E-2</v>
      </c>
      <c r="AK289" s="23">
        <v>0.13039999999999999</v>
      </c>
      <c r="AL289" s="23" t="s">
        <v>24</v>
      </c>
      <c r="AM289" s="23">
        <v>42.85</v>
      </c>
      <c r="AN289" s="23">
        <v>26752.5</v>
      </c>
      <c r="AO289" s="23">
        <v>43.35</v>
      </c>
      <c r="AP289" s="23">
        <v>0</v>
      </c>
      <c r="AR289" s="46"/>
      <c r="AS289" s="44"/>
      <c r="AT289" s="45"/>
      <c r="AU289" s="2">
        <v>43711</v>
      </c>
      <c r="AV289" s="52">
        <v>0.13541666666666666</v>
      </c>
      <c r="AW289" s="2" t="s">
        <v>213</v>
      </c>
      <c r="AY289" s="3"/>
      <c r="BA289" s="3"/>
      <c r="BG289" s="3"/>
      <c r="BH289" s="3"/>
    </row>
    <row r="290" spans="1:60">
      <c r="A290" s="23" t="s">
        <v>22</v>
      </c>
      <c r="B290" s="23" t="s">
        <v>25</v>
      </c>
      <c r="C290" s="27">
        <v>43712.541666666664</v>
      </c>
      <c r="D290" s="23">
        <v>42.65</v>
      </c>
      <c r="E290" s="27">
        <v>43712.635416666664</v>
      </c>
      <c r="F290" s="23">
        <v>42.45</v>
      </c>
      <c r="G290" s="31">
        <v>-4.7000000000000002E-3</v>
      </c>
      <c r="H290" s="23">
        <v>-235.25</v>
      </c>
      <c r="I290" s="31">
        <v>-4.7000000000000002E-3</v>
      </c>
      <c r="J290" s="23">
        <v>1176.27</v>
      </c>
      <c r="K290" s="23">
        <v>50167.92</v>
      </c>
      <c r="L290" s="23">
        <v>33115.019999999997</v>
      </c>
      <c r="M290" s="23">
        <v>10</v>
      </c>
      <c r="N290" s="23">
        <v>-23.53</v>
      </c>
      <c r="O290" s="31">
        <v>-5.8999999999999999E-3</v>
      </c>
      <c r="P290" s="31">
        <v>9.4000000000000004E-3</v>
      </c>
      <c r="Q290" s="23" t="s">
        <v>24</v>
      </c>
      <c r="R290" s="23">
        <v>0</v>
      </c>
      <c r="S290" s="23">
        <v>42.16</v>
      </c>
      <c r="U290" s="47">
        <f>VLOOKUP(AU290,[1]expiry_dates!$B$2:$C$2894,2,FALSE)</f>
        <v>43734</v>
      </c>
      <c r="V290" s="23" t="s">
        <v>113</v>
      </c>
      <c r="W290" s="23" t="s">
        <v>23</v>
      </c>
      <c r="X290" s="49">
        <v>43712.541666666664</v>
      </c>
      <c r="Y290" s="23">
        <v>1</v>
      </c>
      <c r="Z290" s="23">
        <v>43712.635416666664</v>
      </c>
      <c r="AA290" s="23">
        <v>0.9</v>
      </c>
      <c r="AB290" s="23">
        <v>-0.1</v>
      </c>
      <c r="AC290" s="23">
        <v>5573.55</v>
      </c>
      <c r="AD290" s="23">
        <v>0.1</v>
      </c>
      <c r="AE290" s="23">
        <v>55735.51</v>
      </c>
      <c r="AF290" s="23">
        <v>55735.51</v>
      </c>
      <c r="AG290" s="23">
        <v>1147831.02</v>
      </c>
      <c r="AH290" s="23">
        <v>10</v>
      </c>
      <c r="AI290" s="23">
        <v>557.36</v>
      </c>
      <c r="AJ290" s="23">
        <v>-0.1</v>
      </c>
      <c r="AK290" s="23">
        <v>0.2</v>
      </c>
      <c r="AL290" s="23" t="s">
        <v>24</v>
      </c>
      <c r="AM290" s="23">
        <v>42.65</v>
      </c>
      <c r="AN290" s="23">
        <v>27208.5</v>
      </c>
      <c r="AO290" s="23">
        <v>42.16</v>
      </c>
      <c r="AP290" s="23">
        <v>0</v>
      </c>
      <c r="AR290" s="46"/>
      <c r="AS290" s="44"/>
      <c r="AT290" s="45"/>
      <c r="AU290" s="2">
        <v>43712</v>
      </c>
      <c r="AV290" s="52">
        <v>4.1666666666666664E-2</v>
      </c>
      <c r="AW290" s="2" t="s">
        <v>213</v>
      </c>
      <c r="AY290" s="3"/>
      <c r="BA290" s="3"/>
      <c r="BG290" s="3"/>
      <c r="BH290" s="3"/>
    </row>
    <row r="291" spans="1:60">
      <c r="A291" s="23" t="s">
        <v>22</v>
      </c>
      <c r="B291" s="23" t="s">
        <v>23</v>
      </c>
      <c r="C291" s="27">
        <v>43712.635416666664</v>
      </c>
      <c r="D291" s="23">
        <v>42.45</v>
      </c>
      <c r="E291" s="27">
        <v>43713.385416666664</v>
      </c>
      <c r="F291" s="23">
        <v>42.75</v>
      </c>
      <c r="G291" s="31">
        <v>7.1000000000000004E-3</v>
      </c>
      <c r="H291" s="23">
        <v>-354.54</v>
      </c>
      <c r="I291" s="31">
        <v>-7.1000000000000004E-3</v>
      </c>
      <c r="J291" s="23">
        <v>1181.8050000000001</v>
      </c>
      <c r="K291" s="23">
        <v>50167.64</v>
      </c>
      <c r="L291" s="23">
        <v>32760.48</v>
      </c>
      <c r="M291" s="23">
        <v>5</v>
      </c>
      <c r="N291" s="23">
        <v>-70.91</v>
      </c>
      <c r="O291" s="31">
        <v>-9.4000000000000004E-3</v>
      </c>
      <c r="P291" s="31">
        <v>1.1999999999999999E-3</v>
      </c>
      <c r="Q291" s="23" t="s">
        <v>24</v>
      </c>
      <c r="R291" s="23">
        <v>0</v>
      </c>
      <c r="S291" s="23">
        <v>43.05</v>
      </c>
      <c r="U291" s="47">
        <f>VLOOKUP(AU291,[1]expiry_dates!$B$2:$C$2894,2,FALSE)</f>
        <v>43734</v>
      </c>
      <c r="V291" s="23" t="s">
        <v>116</v>
      </c>
      <c r="W291" s="23" t="s">
        <v>23</v>
      </c>
      <c r="X291" s="49">
        <v>43712.635416666664</v>
      </c>
      <c r="Y291" s="23">
        <v>1.45</v>
      </c>
      <c r="Z291" s="23">
        <v>43713.385416666664</v>
      </c>
      <c r="AA291" s="23">
        <v>1.55</v>
      </c>
      <c r="AB291" s="23">
        <v>6.9000000000000006E-2</v>
      </c>
      <c r="AC291" s="23">
        <v>-3846</v>
      </c>
      <c r="AD291" s="23">
        <v>-6.9000000000000006E-2</v>
      </c>
      <c r="AE291" s="23">
        <v>38460.019999999997</v>
      </c>
      <c r="AF291" s="23">
        <v>55767.02</v>
      </c>
      <c r="AG291" s="23">
        <v>1143985.02</v>
      </c>
      <c r="AH291" s="23">
        <v>5</v>
      </c>
      <c r="AI291" s="23">
        <v>-769.2</v>
      </c>
      <c r="AJ291" s="23">
        <v>-0.2414</v>
      </c>
      <c r="AK291" s="23">
        <v>0</v>
      </c>
      <c r="AL291" s="23" t="s">
        <v>24</v>
      </c>
      <c r="AM291" s="23">
        <v>42.45</v>
      </c>
      <c r="AN291" s="23">
        <v>27096.25</v>
      </c>
      <c r="AO291" s="23">
        <v>43.05</v>
      </c>
      <c r="AP291" s="23">
        <v>0</v>
      </c>
      <c r="AR291" s="46"/>
      <c r="AS291" s="44"/>
      <c r="AT291" s="45"/>
      <c r="AU291" s="2">
        <v>43712</v>
      </c>
      <c r="AV291" s="52">
        <v>0.13541666666666666</v>
      </c>
      <c r="AW291" s="2" t="s">
        <v>213</v>
      </c>
      <c r="AY291" s="3"/>
      <c r="BA291" s="3"/>
      <c r="BG291" s="3"/>
      <c r="BH291" s="3"/>
    </row>
    <row r="292" spans="1:60">
      <c r="A292" s="23" t="s">
        <v>22</v>
      </c>
      <c r="B292" s="23" t="s">
        <v>25</v>
      </c>
      <c r="C292" s="27">
        <v>43713.385416666664</v>
      </c>
      <c r="D292" s="23">
        <v>42.75</v>
      </c>
      <c r="E292" s="27">
        <v>43713.46875</v>
      </c>
      <c r="F292" s="23">
        <v>42.8</v>
      </c>
      <c r="G292" s="31">
        <v>1.1999999999999999E-3</v>
      </c>
      <c r="H292" s="23">
        <v>58.67</v>
      </c>
      <c r="I292" s="31">
        <v>1.1999999999999999E-3</v>
      </c>
      <c r="J292" s="23">
        <v>1173.422</v>
      </c>
      <c r="K292" s="23">
        <v>50163.8</v>
      </c>
      <c r="L292" s="23">
        <v>32819.15</v>
      </c>
      <c r="M292" s="23">
        <v>9</v>
      </c>
      <c r="N292" s="23">
        <v>6.52</v>
      </c>
      <c r="O292" s="31">
        <v>-4.7000000000000002E-3</v>
      </c>
      <c r="P292" s="31">
        <v>1.17E-2</v>
      </c>
      <c r="Q292" s="23" t="s">
        <v>24</v>
      </c>
      <c r="R292" s="23">
        <v>0</v>
      </c>
      <c r="S292" s="23">
        <v>42.43</v>
      </c>
      <c r="U292" s="47">
        <f>VLOOKUP(AU292,[1]expiry_dates!$B$2:$C$2894,2,FALSE)</f>
        <v>43734</v>
      </c>
      <c r="V292" s="23" t="s">
        <v>135</v>
      </c>
      <c r="W292" s="23" t="s">
        <v>23</v>
      </c>
      <c r="X292" s="49">
        <v>43713.385416666664</v>
      </c>
      <c r="Y292" s="23">
        <v>0.3</v>
      </c>
      <c r="Z292" s="23">
        <v>43713.46875</v>
      </c>
      <c r="AA292" s="23">
        <v>0.35</v>
      </c>
      <c r="AB292" s="23">
        <v>0.16669999999999999</v>
      </c>
      <c r="AC292" s="23">
        <v>-9289.86</v>
      </c>
      <c r="AD292" s="23">
        <v>-0.16669999999999999</v>
      </c>
      <c r="AE292" s="23">
        <v>185797.2</v>
      </c>
      <c r="AF292" s="23">
        <v>55739.15</v>
      </c>
      <c r="AG292" s="23">
        <v>1134695.1599999999</v>
      </c>
      <c r="AH292" s="23">
        <v>9</v>
      </c>
      <c r="AI292" s="23">
        <v>-1032.21</v>
      </c>
      <c r="AJ292" s="23">
        <v>-0.16669999999999999</v>
      </c>
      <c r="AK292" s="23">
        <v>0</v>
      </c>
      <c r="AL292" s="23" t="s">
        <v>24</v>
      </c>
      <c r="AM292" s="23">
        <v>42.75</v>
      </c>
      <c r="AN292" s="23">
        <v>27141.35</v>
      </c>
      <c r="AO292" s="23">
        <v>42.43</v>
      </c>
      <c r="AP292" s="23">
        <v>0</v>
      </c>
      <c r="AR292" s="46"/>
      <c r="AS292" s="44"/>
      <c r="AT292" s="45"/>
      <c r="AU292" s="2">
        <v>43713</v>
      </c>
      <c r="AV292" s="52">
        <v>0.38541666666666669</v>
      </c>
      <c r="AW292" s="2" t="s">
        <v>212</v>
      </c>
      <c r="AY292" s="3"/>
      <c r="BA292" s="3"/>
      <c r="BG292" s="3"/>
      <c r="BH292" s="3"/>
    </row>
    <row r="293" spans="1:60">
      <c r="A293" s="23" t="s">
        <v>22</v>
      </c>
      <c r="B293" s="23" t="s">
        <v>23</v>
      </c>
      <c r="C293" s="27">
        <v>43713.46875</v>
      </c>
      <c r="D293" s="23">
        <v>42.8</v>
      </c>
      <c r="E293" s="27">
        <v>43713.552083333336</v>
      </c>
      <c r="F293" s="23">
        <v>42.95</v>
      </c>
      <c r="G293" s="31">
        <v>3.5000000000000001E-3</v>
      </c>
      <c r="H293" s="23">
        <v>-175.81</v>
      </c>
      <c r="I293" s="31">
        <v>-3.5000000000000001E-3</v>
      </c>
      <c r="J293" s="23">
        <v>1172.0519999999999</v>
      </c>
      <c r="K293" s="23">
        <v>50163.8</v>
      </c>
      <c r="L293" s="23">
        <v>32643.34</v>
      </c>
      <c r="M293" s="23">
        <v>9</v>
      </c>
      <c r="N293" s="23">
        <v>-19.53</v>
      </c>
      <c r="O293" s="31">
        <v>-3.5000000000000001E-3</v>
      </c>
      <c r="P293" s="31">
        <v>2.3E-3</v>
      </c>
      <c r="Q293" s="23" t="s">
        <v>24</v>
      </c>
      <c r="R293" s="23">
        <v>0</v>
      </c>
      <c r="S293" s="23">
        <v>43.24</v>
      </c>
      <c r="U293" s="47">
        <f>VLOOKUP(AU293,[1]expiry_dates!$B$2:$C$2894,2,FALSE)</f>
        <v>43734</v>
      </c>
      <c r="V293" s="23" t="s">
        <v>140</v>
      </c>
      <c r="W293" s="23" t="s">
        <v>23</v>
      </c>
      <c r="X293" s="49">
        <v>43713.46875</v>
      </c>
      <c r="Y293" s="23">
        <v>4.55</v>
      </c>
      <c r="Z293" s="23">
        <v>43713.552083333336</v>
      </c>
      <c r="AA293" s="23">
        <v>4.55</v>
      </c>
      <c r="AB293" s="23">
        <v>0</v>
      </c>
      <c r="AC293" s="23">
        <v>0</v>
      </c>
      <c r="AD293" s="23">
        <v>0</v>
      </c>
      <c r="AE293" s="23">
        <v>12246.14</v>
      </c>
      <c r="AF293" s="23">
        <v>55719.93</v>
      </c>
      <c r="AG293" s="23">
        <v>1134695.1599999999</v>
      </c>
      <c r="AH293" s="23">
        <v>9</v>
      </c>
      <c r="AI293" s="23">
        <v>0</v>
      </c>
      <c r="AJ293" s="23">
        <v>0</v>
      </c>
      <c r="AK293" s="23">
        <v>0</v>
      </c>
      <c r="AL293" s="23" t="s">
        <v>24</v>
      </c>
      <c r="AM293" s="23">
        <v>42.8</v>
      </c>
      <c r="AN293" s="23">
        <v>27114.7</v>
      </c>
      <c r="AO293" s="23">
        <v>43.24</v>
      </c>
      <c r="AP293" s="23">
        <v>0</v>
      </c>
      <c r="AR293" s="46"/>
      <c r="AS293" s="44"/>
      <c r="AT293" s="45"/>
      <c r="AU293" s="2">
        <v>43713</v>
      </c>
      <c r="AV293" s="52">
        <v>0.46875</v>
      </c>
      <c r="AW293" s="2" t="s">
        <v>212</v>
      </c>
      <c r="AY293" s="3"/>
      <c r="BA293" s="3"/>
      <c r="BG293" s="3"/>
      <c r="BH293" s="3"/>
    </row>
    <row r="294" spans="1:60">
      <c r="A294" s="23" t="s">
        <v>22</v>
      </c>
      <c r="B294" s="23" t="s">
        <v>25</v>
      </c>
      <c r="C294" s="27">
        <v>43713.552083333336</v>
      </c>
      <c r="D294" s="23">
        <v>42.95</v>
      </c>
      <c r="E294" s="27">
        <v>43713.635416666664</v>
      </c>
      <c r="F294" s="23">
        <v>42.8</v>
      </c>
      <c r="G294" s="31">
        <v>-3.5000000000000001E-3</v>
      </c>
      <c r="H294" s="23">
        <v>-175.19</v>
      </c>
      <c r="I294" s="31">
        <v>-3.5000000000000001E-3</v>
      </c>
      <c r="J294" s="23">
        <v>1167.951</v>
      </c>
      <c r="K294" s="23">
        <v>50163.51</v>
      </c>
      <c r="L294" s="23">
        <v>32468.15</v>
      </c>
      <c r="M294" s="23">
        <v>9</v>
      </c>
      <c r="N294" s="23">
        <v>-19.47</v>
      </c>
      <c r="O294" s="31">
        <v>-3.5000000000000001E-3</v>
      </c>
      <c r="P294" s="31">
        <v>5.7999999999999996E-3</v>
      </c>
      <c r="Q294" s="23" t="s">
        <v>24</v>
      </c>
      <c r="R294" s="23">
        <v>0</v>
      </c>
      <c r="S294" s="23">
        <v>42.7</v>
      </c>
      <c r="U294" s="47">
        <f>VLOOKUP(AU294,[1]expiry_dates!$B$2:$C$2894,2,FALSE)</f>
        <v>43734</v>
      </c>
      <c r="V294" s="23" t="s">
        <v>118</v>
      </c>
      <c r="W294" s="23" t="s">
        <v>23</v>
      </c>
      <c r="X294" s="49">
        <v>43713.552083333336</v>
      </c>
      <c r="Y294" s="23">
        <v>2</v>
      </c>
      <c r="Z294" s="23">
        <v>43713.635416666664</v>
      </c>
      <c r="AA294" s="23">
        <v>2.1</v>
      </c>
      <c r="AB294" s="23">
        <v>0.05</v>
      </c>
      <c r="AC294" s="23">
        <v>-2783.67</v>
      </c>
      <c r="AD294" s="23">
        <v>-0.05</v>
      </c>
      <c r="AE294" s="23">
        <v>27836.74</v>
      </c>
      <c r="AF294" s="23">
        <v>55673.48</v>
      </c>
      <c r="AG294" s="23">
        <v>1131911.49</v>
      </c>
      <c r="AH294" s="23">
        <v>9</v>
      </c>
      <c r="AI294" s="23">
        <v>-309.3</v>
      </c>
      <c r="AJ294" s="23">
        <v>-0.05</v>
      </c>
      <c r="AK294" s="23">
        <v>0</v>
      </c>
      <c r="AL294" s="23" t="s">
        <v>24</v>
      </c>
      <c r="AM294" s="23">
        <v>42.95</v>
      </c>
      <c r="AN294" s="23">
        <v>26928.65</v>
      </c>
      <c r="AO294" s="23">
        <v>42.7</v>
      </c>
      <c r="AP294" s="23">
        <v>0</v>
      </c>
      <c r="AR294" s="46"/>
      <c r="AS294" s="44"/>
      <c r="AT294" s="45"/>
      <c r="AU294" s="2">
        <v>43713</v>
      </c>
      <c r="AV294" s="52">
        <v>5.2083333333333336E-2</v>
      </c>
      <c r="AW294" s="2" t="s">
        <v>213</v>
      </c>
      <c r="AY294" s="3"/>
      <c r="BA294" s="3"/>
      <c r="BG294" s="3"/>
      <c r="BH294" s="3"/>
    </row>
    <row r="295" spans="1:60">
      <c r="A295" s="23" t="s">
        <v>22</v>
      </c>
      <c r="B295" s="23" t="s">
        <v>23</v>
      </c>
      <c r="C295" s="27">
        <v>43713.635416666664</v>
      </c>
      <c r="D295" s="23">
        <v>42.8</v>
      </c>
      <c r="E295" s="27">
        <v>43714.40625</v>
      </c>
      <c r="F295" s="23">
        <v>43.05</v>
      </c>
      <c r="G295" s="31">
        <v>5.7999999999999996E-3</v>
      </c>
      <c r="H295" s="23">
        <v>-293.01</v>
      </c>
      <c r="I295" s="31">
        <v>-5.7999999999999996E-3</v>
      </c>
      <c r="J295" s="23">
        <v>1172.0450000000001</v>
      </c>
      <c r="K295" s="23">
        <v>50163.51</v>
      </c>
      <c r="L295" s="23">
        <v>32175.13</v>
      </c>
      <c r="M295" s="23">
        <v>7</v>
      </c>
      <c r="N295" s="23">
        <v>-41.86</v>
      </c>
      <c r="O295" s="31">
        <v>-8.2000000000000007E-3</v>
      </c>
      <c r="P295" s="31">
        <v>2.3E-3</v>
      </c>
      <c r="Q295" s="23" t="s">
        <v>24</v>
      </c>
      <c r="R295" s="23">
        <v>0</v>
      </c>
      <c r="S295" s="23">
        <v>43.18</v>
      </c>
      <c r="U295" s="47">
        <f>VLOOKUP(AU295,[1]expiry_dates!$B$2:$C$2894,2,FALSE)</f>
        <v>43734</v>
      </c>
      <c r="V295" s="23" t="s">
        <v>114</v>
      </c>
      <c r="W295" s="23" t="s">
        <v>23</v>
      </c>
      <c r="X295" s="49">
        <v>43713.635416666664</v>
      </c>
      <c r="Y295" s="23">
        <v>1.1499999999999999</v>
      </c>
      <c r="Z295" s="23">
        <v>43714.40625</v>
      </c>
      <c r="AA295" s="23">
        <v>1.25</v>
      </c>
      <c r="AB295" s="23">
        <v>8.6999999999999994E-2</v>
      </c>
      <c r="AC295" s="23">
        <v>-4841.17</v>
      </c>
      <c r="AD295" s="23">
        <v>-8.6999999999999994E-2</v>
      </c>
      <c r="AE295" s="23">
        <v>48411.72</v>
      </c>
      <c r="AF295" s="23">
        <v>55673.48</v>
      </c>
      <c r="AG295" s="23">
        <v>1127070.32</v>
      </c>
      <c r="AH295" s="23">
        <v>7</v>
      </c>
      <c r="AI295" s="23">
        <v>-691.6</v>
      </c>
      <c r="AJ295" s="23">
        <v>-0.21740000000000001</v>
      </c>
      <c r="AK295" s="23">
        <v>0</v>
      </c>
      <c r="AL295" s="23" t="s">
        <v>24</v>
      </c>
      <c r="AM295" s="23">
        <v>42.8</v>
      </c>
      <c r="AN295" s="23">
        <v>26897.25</v>
      </c>
      <c r="AO295" s="23">
        <v>43.18</v>
      </c>
      <c r="AP295" s="23">
        <v>0</v>
      </c>
      <c r="AR295" s="46"/>
      <c r="AS295" s="44"/>
      <c r="AT295" s="45"/>
      <c r="AU295" s="2">
        <v>43713</v>
      </c>
      <c r="AV295" s="52">
        <v>0.13541666666666666</v>
      </c>
      <c r="AW295" s="2" t="s">
        <v>213</v>
      </c>
      <c r="AY295" s="3"/>
      <c r="BA295" s="3"/>
      <c r="BG295" s="3"/>
      <c r="BH295" s="3"/>
    </row>
    <row r="296" spans="1:60">
      <c r="A296" s="23" t="s">
        <v>22</v>
      </c>
      <c r="B296" s="23" t="s">
        <v>25</v>
      </c>
      <c r="C296" s="27">
        <v>43714.40625</v>
      </c>
      <c r="D296" s="23">
        <v>43.05</v>
      </c>
      <c r="E296" s="27">
        <v>43714.427083333336</v>
      </c>
      <c r="F296" s="23">
        <v>42.75</v>
      </c>
      <c r="G296" s="31">
        <v>-7.0000000000000001E-3</v>
      </c>
      <c r="H296" s="23">
        <v>-349.56</v>
      </c>
      <c r="I296" s="31">
        <v>-7.0000000000000001E-3</v>
      </c>
      <c r="J296" s="23">
        <v>1165.1980000000001</v>
      </c>
      <c r="K296" s="23">
        <v>50161.760000000002</v>
      </c>
      <c r="L296" s="23">
        <v>31825.58</v>
      </c>
      <c r="M296" s="23">
        <v>3</v>
      </c>
      <c r="N296" s="23">
        <v>-116.52</v>
      </c>
      <c r="O296" s="31">
        <v>-7.0000000000000001E-3</v>
      </c>
      <c r="P296" s="31">
        <v>2.3E-3</v>
      </c>
      <c r="Q296" s="23" t="s">
        <v>24</v>
      </c>
      <c r="R296" s="23">
        <v>0</v>
      </c>
      <c r="S296" s="23">
        <v>42.7</v>
      </c>
      <c r="U296" s="47">
        <f>VLOOKUP(AU296,[1]expiry_dates!$B$2:$C$2894,2,FALSE)</f>
        <v>43734</v>
      </c>
      <c r="V296" s="23" t="s">
        <v>118</v>
      </c>
      <c r="W296" s="23" t="s">
        <v>23</v>
      </c>
      <c r="X296" s="49">
        <v>43714.40625</v>
      </c>
      <c r="Y296" s="23">
        <v>1.85</v>
      </c>
      <c r="Z296" s="23">
        <v>43714.427083333336</v>
      </c>
      <c r="AA296" s="23">
        <v>2</v>
      </c>
      <c r="AB296" s="23">
        <v>8.1100000000000005E-2</v>
      </c>
      <c r="AC296" s="23">
        <v>-4510.97</v>
      </c>
      <c r="AD296" s="23">
        <v>-8.1100000000000005E-2</v>
      </c>
      <c r="AE296" s="23">
        <v>30073.16</v>
      </c>
      <c r="AF296" s="23">
        <v>55635.35</v>
      </c>
      <c r="AG296" s="23">
        <v>1122559.3400000001</v>
      </c>
      <c r="AH296" s="23">
        <v>3</v>
      </c>
      <c r="AI296" s="23">
        <v>-1503.66</v>
      </c>
      <c r="AJ296" s="23">
        <v>-8.1100000000000005E-2</v>
      </c>
      <c r="AK296" s="23">
        <v>8.1100000000000005E-2</v>
      </c>
      <c r="AL296" s="23" t="s">
        <v>24</v>
      </c>
      <c r="AM296" s="23">
        <v>43.05</v>
      </c>
      <c r="AN296" s="23">
        <v>27134.35</v>
      </c>
      <c r="AO296" s="23">
        <v>42.7</v>
      </c>
      <c r="AP296" s="23">
        <v>0</v>
      </c>
      <c r="AR296" s="46"/>
      <c r="AS296" s="44"/>
      <c r="AT296" s="45"/>
      <c r="AU296" s="2">
        <v>43714</v>
      </c>
      <c r="AV296" s="52">
        <v>0.40625</v>
      </c>
      <c r="AW296" s="2" t="s">
        <v>212</v>
      </c>
      <c r="AY296" s="3"/>
      <c r="BA296" s="3"/>
      <c r="BG296" s="3"/>
      <c r="BH296" s="3"/>
    </row>
    <row r="297" spans="1:60">
      <c r="A297" s="23" t="s">
        <v>22</v>
      </c>
      <c r="B297" s="23" t="s">
        <v>23</v>
      </c>
      <c r="C297" s="27">
        <v>43714.427083333336</v>
      </c>
      <c r="D297" s="23">
        <v>42.75</v>
      </c>
      <c r="E297" s="27">
        <v>43714.5</v>
      </c>
      <c r="F297" s="23">
        <v>43</v>
      </c>
      <c r="G297" s="31">
        <v>5.7999999999999996E-3</v>
      </c>
      <c r="H297" s="23">
        <v>-293.33</v>
      </c>
      <c r="I297" s="31">
        <v>-5.7999999999999996E-3</v>
      </c>
      <c r="J297" s="23">
        <v>1173.32</v>
      </c>
      <c r="K297" s="23">
        <v>50159.42</v>
      </c>
      <c r="L297" s="23">
        <v>31532.25</v>
      </c>
      <c r="M297" s="23">
        <v>8</v>
      </c>
      <c r="N297" s="23">
        <v>-36.67</v>
      </c>
      <c r="O297" s="31">
        <v>-7.0000000000000001E-3</v>
      </c>
      <c r="P297" s="31">
        <v>1.1999999999999999E-3</v>
      </c>
      <c r="Q297" s="23" t="s">
        <v>24</v>
      </c>
      <c r="R297" s="23">
        <v>0</v>
      </c>
      <c r="S297" s="23">
        <v>43.15</v>
      </c>
      <c r="U297" s="47">
        <f>VLOOKUP(AU297,[1]expiry_dates!$B$2:$C$2894,2,FALSE)</f>
        <v>43734</v>
      </c>
      <c r="V297" s="23" t="s">
        <v>114</v>
      </c>
      <c r="W297" s="23" t="s">
        <v>23</v>
      </c>
      <c r="X297" s="49">
        <v>43714.427083333336</v>
      </c>
      <c r="Y297" s="23">
        <v>1.1499999999999999</v>
      </c>
      <c r="Z297" s="23">
        <v>43714.5</v>
      </c>
      <c r="AA297" s="23">
        <v>1.35</v>
      </c>
      <c r="AB297" s="23">
        <v>0.1739</v>
      </c>
      <c r="AC297" s="23">
        <v>-9675.7099999999991</v>
      </c>
      <c r="AD297" s="23">
        <v>-0.1739</v>
      </c>
      <c r="AE297" s="23">
        <v>48378.57</v>
      </c>
      <c r="AF297" s="23">
        <v>55635.35</v>
      </c>
      <c r="AG297" s="23">
        <v>1112883.6299999999</v>
      </c>
      <c r="AH297" s="23">
        <v>8</v>
      </c>
      <c r="AI297" s="23">
        <v>-1209.46</v>
      </c>
      <c r="AJ297" s="23">
        <v>-0.1739</v>
      </c>
      <c r="AK297" s="23">
        <v>4.3499999999999997E-2</v>
      </c>
      <c r="AL297" s="23" t="s">
        <v>24</v>
      </c>
      <c r="AM297" s="23">
        <v>42.75</v>
      </c>
      <c r="AN297" s="23">
        <v>27063.599999999999</v>
      </c>
      <c r="AO297" s="23">
        <v>43.15</v>
      </c>
      <c r="AP297" s="23">
        <v>0</v>
      </c>
      <c r="AR297" s="46"/>
      <c r="AS297" s="44"/>
      <c r="AT297" s="45"/>
      <c r="AU297" s="2">
        <v>43714</v>
      </c>
      <c r="AV297" s="52">
        <v>0.42708333333333331</v>
      </c>
      <c r="AW297" s="2" t="s">
        <v>212</v>
      </c>
      <c r="AY297" s="3"/>
      <c r="BA297" s="3"/>
      <c r="BG297" s="3"/>
      <c r="BH297" s="3"/>
    </row>
    <row r="298" spans="1:60">
      <c r="A298" s="23" t="s">
        <v>22</v>
      </c>
      <c r="B298" s="23" t="s">
        <v>25</v>
      </c>
      <c r="C298" s="27">
        <v>43714.5</v>
      </c>
      <c r="D298" s="23">
        <v>43</v>
      </c>
      <c r="E298" s="27">
        <v>43714.635416666664</v>
      </c>
      <c r="F298" s="23">
        <v>42.8</v>
      </c>
      <c r="G298" s="31">
        <v>-4.7000000000000002E-3</v>
      </c>
      <c r="H298" s="23">
        <v>-233.3</v>
      </c>
      <c r="I298" s="31">
        <v>-4.7000000000000002E-3</v>
      </c>
      <c r="J298" s="23">
        <v>1166.4780000000001</v>
      </c>
      <c r="K298" s="23">
        <v>50158.54</v>
      </c>
      <c r="L298" s="23">
        <v>31298.95</v>
      </c>
      <c r="M298" s="23">
        <v>14</v>
      </c>
      <c r="N298" s="23">
        <v>-16.66</v>
      </c>
      <c r="O298" s="31">
        <v>-4.7000000000000002E-3</v>
      </c>
      <c r="P298" s="31">
        <v>2.3E-3</v>
      </c>
      <c r="Q298" s="23" t="s">
        <v>24</v>
      </c>
      <c r="R298" s="23">
        <v>0</v>
      </c>
      <c r="S298" s="23">
        <v>42.7</v>
      </c>
      <c r="U298" s="47">
        <f>VLOOKUP(AU298,[1]expiry_dates!$B$2:$C$2894,2,FALSE)</f>
        <v>43734</v>
      </c>
      <c r="V298" s="23" t="s">
        <v>115</v>
      </c>
      <c r="W298" s="23" t="s">
        <v>23</v>
      </c>
      <c r="X298" s="49">
        <v>43714.5</v>
      </c>
      <c r="Y298" s="23">
        <v>1.3</v>
      </c>
      <c r="Z298" s="23">
        <v>43714.635416666664</v>
      </c>
      <c r="AA298" s="23">
        <v>1.2</v>
      </c>
      <c r="AB298" s="23">
        <v>-7.6899999999999996E-2</v>
      </c>
      <c r="AC298" s="23">
        <v>4275.12</v>
      </c>
      <c r="AD298" s="23">
        <v>7.6899999999999996E-2</v>
      </c>
      <c r="AE298" s="23">
        <v>42751.16</v>
      </c>
      <c r="AF298" s="23">
        <v>55576.51</v>
      </c>
      <c r="AG298" s="23">
        <v>1117158.75</v>
      </c>
      <c r="AH298" s="23">
        <v>14</v>
      </c>
      <c r="AI298" s="23">
        <v>305.37</v>
      </c>
      <c r="AJ298" s="23">
        <v>-7.6899999999999996E-2</v>
      </c>
      <c r="AK298" s="23">
        <v>7.6899999999999996E-2</v>
      </c>
      <c r="AL298" s="23" t="s">
        <v>24</v>
      </c>
      <c r="AM298" s="23">
        <v>43</v>
      </c>
      <c r="AN298" s="23">
        <v>27250</v>
      </c>
      <c r="AO298" s="23">
        <v>42.7</v>
      </c>
      <c r="AP298" s="23">
        <v>0</v>
      </c>
      <c r="AR298" s="46"/>
      <c r="AS298" s="44"/>
      <c r="AT298" s="45"/>
      <c r="AU298" s="2">
        <v>43714</v>
      </c>
      <c r="AV298" s="52">
        <v>0.5</v>
      </c>
      <c r="AW298" s="2" t="s">
        <v>213</v>
      </c>
      <c r="AY298" s="3"/>
      <c r="BA298" s="3"/>
      <c r="BG298" s="3"/>
      <c r="BH298" s="3"/>
    </row>
    <row r="299" spans="1:60">
      <c r="A299" s="23" t="s">
        <v>22</v>
      </c>
      <c r="B299" s="23" t="s">
        <v>23</v>
      </c>
      <c r="C299" s="27">
        <v>43714.635416666664</v>
      </c>
      <c r="D299" s="23">
        <v>42.8</v>
      </c>
      <c r="E299" s="27">
        <v>43717.40625</v>
      </c>
      <c r="F299" s="23">
        <v>43.05</v>
      </c>
      <c r="G299" s="31">
        <v>5.7999999999999996E-3</v>
      </c>
      <c r="H299" s="23">
        <v>-292.98</v>
      </c>
      <c r="I299" s="31">
        <v>-5.7999999999999996E-3</v>
      </c>
      <c r="J299" s="23">
        <v>1171.9079999999999</v>
      </c>
      <c r="K299" s="23">
        <v>50157.66</v>
      </c>
      <c r="L299" s="23">
        <v>31005.97</v>
      </c>
      <c r="M299" s="23">
        <v>7</v>
      </c>
      <c r="N299" s="23">
        <v>-41.85</v>
      </c>
      <c r="O299" s="31">
        <v>-8.2000000000000007E-3</v>
      </c>
      <c r="P299" s="31">
        <v>5.7999999999999996E-3</v>
      </c>
      <c r="Q299" s="23" t="s">
        <v>24</v>
      </c>
      <c r="R299" s="23">
        <v>0</v>
      </c>
      <c r="S299" s="23">
        <v>43.15</v>
      </c>
      <c r="U299" s="47">
        <f>VLOOKUP(AU299,[1]expiry_dates!$B$2:$C$2894,2,FALSE)</f>
        <v>43734</v>
      </c>
      <c r="V299" s="23" t="s">
        <v>114</v>
      </c>
      <c r="W299" s="23" t="s">
        <v>23</v>
      </c>
      <c r="X299" s="49">
        <v>43714.635416666664</v>
      </c>
      <c r="Y299" s="23">
        <v>1.2</v>
      </c>
      <c r="Z299" s="23">
        <v>43717.40625</v>
      </c>
      <c r="AA299" s="23">
        <v>1.2</v>
      </c>
      <c r="AB299" s="23">
        <v>0</v>
      </c>
      <c r="AC299" s="23">
        <v>0</v>
      </c>
      <c r="AD299" s="23">
        <v>0</v>
      </c>
      <c r="AE299" s="23">
        <v>46303.68</v>
      </c>
      <c r="AF299" s="23">
        <v>55564.42</v>
      </c>
      <c r="AG299" s="23">
        <v>1117158.75</v>
      </c>
      <c r="AH299" s="23">
        <v>7</v>
      </c>
      <c r="AI299" s="23">
        <v>0</v>
      </c>
      <c r="AJ299" s="23">
        <v>-0.125</v>
      </c>
      <c r="AK299" s="23">
        <v>4.1700000000000001E-2</v>
      </c>
      <c r="AL299" s="23" t="s">
        <v>24</v>
      </c>
      <c r="AM299" s="23">
        <v>42.8</v>
      </c>
      <c r="AN299" s="23">
        <v>27235.85</v>
      </c>
      <c r="AO299" s="23">
        <v>43.15</v>
      </c>
      <c r="AP299" s="23">
        <v>0</v>
      </c>
      <c r="AR299" s="46"/>
      <c r="AS299" s="44"/>
      <c r="AT299" s="45"/>
      <c r="AU299" s="2">
        <v>43714</v>
      </c>
      <c r="AV299" s="52">
        <v>0.13541666666666666</v>
      </c>
      <c r="AW299" s="2" t="s">
        <v>213</v>
      </c>
      <c r="AY299" s="3"/>
      <c r="BA299" s="3"/>
      <c r="BG299" s="3"/>
      <c r="BH299" s="3"/>
    </row>
    <row r="300" spans="1:60">
      <c r="A300" s="23" t="s">
        <v>22</v>
      </c>
      <c r="B300" s="23" t="s">
        <v>25</v>
      </c>
      <c r="C300" s="27">
        <v>43717.40625</v>
      </c>
      <c r="D300" s="23">
        <v>43.05</v>
      </c>
      <c r="E300" s="27">
        <v>43717.479166666664</v>
      </c>
      <c r="F300" s="23">
        <v>42.95</v>
      </c>
      <c r="G300" s="31">
        <v>-2.3E-3</v>
      </c>
      <c r="H300" s="23">
        <v>-116.51</v>
      </c>
      <c r="I300" s="31">
        <v>-2.3E-3</v>
      </c>
      <c r="J300" s="23">
        <v>1165.0619999999999</v>
      </c>
      <c r="K300" s="23">
        <v>50155.91</v>
      </c>
      <c r="L300" s="23">
        <v>30889.47</v>
      </c>
      <c r="M300" s="23">
        <v>8</v>
      </c>
      <c r="N300" s="23">
        <v>-14.56</v>
      </c>
      <c r="O300" s="31">
        <v>-5.7999999999999996E-3</v>
      </c>
      <c r="P300" s="31">
        <v>4.5999999999999999E-3</v>
      </c>
      <c r="Q300" s="23" t="s">
        <v>24</v>
      </c>
      <c r="R300" s="23">
        <v>0</v>
      </c>
      <c r="S300" s="23">
        <v>42.57</v>
      </c>
      <c r="U300" s="47">
        <f>VLOOKUP(AU300,[1]expiry_dates!$B$2:$C$2894,2,FALSE)</f>
        <v>43734</v>
      </c>
      <c r="V300" s="23" t="s">
        <v>118</v>
      </c>
      <c r="W300" s="23" t="s">
        <v>23</v>
      </c>
      <c r="X300" s="49">
        <v>43717.40625</v>
      </c>
      <c r="Y300" s="23">
        <v>1.8</v>
      </c>
      <c r="Z300" s="23">
        <v>43717.479166666664</v>
      </c>
      <c r="AA300" s="23">
        <v>1.75</v>
      </c>
      <c r="AB300" s="23">
        <v>-2.7799999999999998E-2</v>
      </c>
      <c r="AC300" s="23">
        <v>1544.37</v>
      </c>
      <c r="AD300" s="23">
        <v>2.7799999999999998E-2</v>
      </c>
      <c r="AE300" s="23">
        <v>30887.43</v>
      </c>
      <c r="AF300" s="23">
        <v>55597.37</v>
      </c>
      <c r="AG300" s="23">
        <v>1118703.1200000001</v>
      </c>
      <c r="AH300" s="23">
        <v>8</v>
      </c>
      <c r="AI300" s="23">
        <v>193.05</v>
      </c>
      <c r="AJ300" s="23">
        <v>-8.3299999999999999E-2</v>
      </c>
      <c r="AK300" s="23">
        <v>2.7799999999999998E-2</v>
      </c>
      <c r="AL300" s="23" t="s">
        <v>24</v>
      </c>
      <c r="AM300" s="23">
        <v>43.05</v>
      </c>
      <c r="AN300" s="23">
        <v>27152.25</v>
      </c>
      <c r="AO300" s="23">
        <v>42.57</v>
      </c>
      <c r="AP300" s="23">
        <v>0</v>
      </c>
      <c r="AR300" s="46"/>
      <c r="AS300" s="44"/>
      <c r="AT300" s="45"/>
      <c r="AU300" s="2">
        <v>43717</v>
      </c>
      <c r="AV300" s="52">
        <v>0.40625</v>
      </c>
      <c r="AW300" s="2" t="s">
        <v>212</v>
      </c>
      <c r="AY300" s="3"/>
      <c r="BA300" s="3"/>
      <c r="BG300" s="3"/>
      <c r="BH300" s="3"/>
    </row>
    <row r="301" spans="1:60">
      <c r="A301" s="23" t="s">
        <v>22</v>
      </c>
      <c r="B301" s="23" t="s">
        <v>23</v>
      </c>
      <c r="C301" s="27">
        <v>43717.479166666664</v>
      </c>
      <c r="D301" s="23">
        <v>42.95</v>
      </c>
      <c r="E301" s="27">
        <v>43717.552083333336</v>
      </c>
      <c r="F301" s="23">
        <v>43.05</v>
      </c>
      <c r="G301" s="31">
        <v>2.3E-3</v>
      </c>
      <c r="H301" s="23">
        <v>-116.77</v>
      </c>
      <c r="I301" s="31">
        <v>-2.3E-3</v>
      </c>
      <c r="J301" s="23">
        <v>1167.7270000000001</v>
      </c>
      <c r="K301" s="23">
        <v>50153.87</v>
      </c>
      <c r="L301" s="23">
        <v>30772.69</v>
      </c>
      <c r="M301" s="23">
        <v>8</v>
      </c>
      <c r="N301" s="23">
        <v>-14.6</v>
      </c>
      <c r="O301" s="31">
        <v>-4.7000000000000002E-3</v>
      </c>
      <c r="P301" s="31">
        <v>3.5000000000000001E-3</v>
      </c>
      <c r="Q301" s="23" t="s">
        <v>24</v>
      </c>
      <c r="R301" s="23">
        <v>0</v>
      </c>
      <c r="S301" s="23">
        <v>43.25</v>
      </c>
      <c r="U301" s="47">
        <f>VLOOKUP(AU301,[1]expiry_dates!$B$2:$C$2894,2,FALSE)</f>
        <v>43734</v>
      </c>
      <c r="V301" s="23" t="s">
        <v>117</v>
      </c>
      <c r="W301" s="23" t="s">
        <v>23</v>
      </c>
      <c r="X301" s="49">
        <v>43717.479166666664</v>
      </c>
      <c r="Y301" s="23">
        <v>0.8</v>
      </c>
      <c r="Z301" s="23">
        <v>43717.552083333336</v>
      </c>
      <c r="AA301" s="23">
        <v>0.8</v>
      </c>
      <c r="AB301" s="23">
        <v>0</v>
      </c>
      <c r="AC301" s="23">
        <v>0</v>
      </c>
      <c r="AD301" s="23">
        <v>0</v>
      </c>
      <c r="AE301" s="23">
        <v>69491.89</v>
      </c>
      <c r="AF301" s="23">
        <v>55593.51</v>
      </c>
      <c r="AG301" s="23">
        <v>1118703.1200000001</v>
      </c>
      <c r="AH301" s="23">
        <v>8</v>
      </c>
      <c r="AI301" s="23">
        <v>0</v>
      </c>
      <c r="AJ301" s="23">
        <v>-0.125</v>
      </c>
      <c r="AK301" s="23">
        <v>0</v>
      </c>
      <c r="AL301" s="23" t="s">
        <v>24</v>
      </c>
      <c r="AM301" s="23">
        <v>42.95</v>
      </c>
      <c r="AN301" s="23">
        <v>27530.05</v>
      </c>
      <c r="AO301" s="23">
        <v>43.25</v>
      </c>
      <c r="AP301" s="23">
        <v>0</v>
      </c>
      <c r="AR301" s="46"/>
      <c r="AS301" s="44"/>
      <c r="AT301" s="45"/>
      <c r="AU301" s="2">
        <v>43717</v>
      </c>
      <c r="AV301" s="52">
        <v>0.47916666666666669</v>
      </c>
      <c r="AW301" s="2" t="s">
        <v>212</v>
      </c>
      <c r="AY301" s="3"/>
      <c r="BA301" s="3"/>
      <c r="BG301" s="3"/>
      <c r="BH301" s="3"/>
    </row>
    <row r="302" spans="1:60">
      <c r="A302" s="23" t="s">
        <v>22</v>
      </c>
      <c r="B302" s="23" t="s">
        <v>25</v>
      </c>
      <c r="C302" s="27">
        <v>43717.552083333336</v>
      </c>
      <c r="D302" s="23">
        <v>43.05</v>
      </c>
      <c r="E302" s="27">
        <v>43719.625</v>
      </c>
      <c r="F302" s="23">
        <v>43.7</v>
      </c>
      <c r="G302" s="31">
        <v>1.5100000000000001E-2</v>
      </c>
      <c r="H302" s="23">
        <v>757.26</v>
      </c>
      <c r="I302" s="31">
        <v>1.5100000000000001E-2</v>
      </c>
      <c r="J302" s="23">
        <v>1165.0139999999999</v>
      </c>
      <c r="K302" s="23">
        <v>50153.86</v>
      </c>
      <c r="L302" s="23">
        <v>31529.95</v>
      </c>
      <c r="M302" s="23">
        <v>36</v>
      </c>
      <c r="N302" s="23">
        <v>21.03</v>
      </c>
      <c r="O302" s="31">
        <v>-1.1999999999999999E-3</v>
      </c>
      <c r="P302" s="31">
        <v>2.5600000000000001E-2</v>
      </c>
      <c r="Q302" s="23" t="s">
        <v>24</v>
      </c>
      <c r="R302" s="23">
        <v>0</v>
      </c>
      <c r="S302" s="23">
        <v>42.8</v>
      </c>
      <c r="U302" s="47">
        <f>VLOOKUP(AU302,[1]expiry_dates!$B$2:$C$2894,2,FALSE)</f>
        <v>43734</v>
      </c>
      <c r="V302" s="23" t="s">
        <v>113</v>
      </c>
      <c r="W302" s="23" t="s">
        <v>23</v>
      </c>
      <c r="X302" s="49">
        <v>43717.552083333336</v>
      </c>
      <c r="Y302" s="23">
        <v>0.4</v>
      </c>
      <c r="Z302" s="23">
        <v>43719.625</v>
      </c>
      <c r="AA302" s="23">
        <v>0.15</v>
      </c>
      <c r="AB302" s="23">
        <v>-0.625</v>
      </c>
      <c r="AC302" s="23">
        <v>34745.949999999997</v>
      </c>
      <c r="AD302" s="23">
        <v>0.625</v>
      </c>
      <c r="AE302" s="23">
        <v>138983.79999999999</v>
      </c>
      <c r="AF302" s="23">
        <v>55593.51</v>
      </c>
      <c r="AG302" s="23">
        <v>1153449.06</v>
      </c>
      <c r="AH302" s="23">
        <v>36</v>
      </c>
      <c r="AI302" s="23">
        <v>965.17</v>
      </c>
      <c r="AJ302" s="23">
        <v>0</v>
      </c>
      <c r="AK302" s="23">
        <v>0.625</v>
      </c>
      <c r="AL302" s="23" t="s">
        <v>24</v>
      </c>
      <c r="AM302" s="23">
        <v>43.05</v>
      </c>
      <c r="AN302" s="23">
        <v>27525.1</v>
      </c>
      <c r="AO302" s="23">
        <v>42.8</v>
      </c>
      <c r="AP302" s="23">
        <v>0</v>
      </c>
      <c r="AR302" s="46"/>
      <c r="AS302" s="44"/>
      <c r="AT302" s="45"/>
      <c r="AU302" s="2">
        <v>43717</v>
      </c>
      <c r="AV302" s="52">
        <v>5.2083333333333336E-2</v>
      </c>
      <c r="AW302" s="2" t="s">
        <v>213</v>
      </c>
      <c r="AY302" s="3"/>
      <c r="BA302" s="3"/>
      <c r="BG302" s="3"/>
      <c r="BH302" s="3"/>
    </row>
    <row r="303" spans="1:60">
      <c r="A303" s="23" t="s">
        <v>22</v>
      </c>
      <c r="B303" s="23" t="s">
        <v>23</v>
      </c>
      <c r="C303" s="27">
        <v>43719.625</v>
      </c>
      <c r="D303" s="23">
        <v>43.7</v>
      </c>
      <c r="E303" s="27">
        <v>43720.385416666664</v>
      </c>
      <c r="F303" s="23">
        <v>44.2</v>
      </c>
      <c r="G303" s="31">
        <v>1.14E-2</v>
      </c>
      <c r="H303" s="23">
        <v>-573.89</v>
      </c>
      <c r="I303" s="31">
        <v>-1.14E-2</v>
      </c>
      <c r="J303" s="23">
        <v>1147.7860000000001</v>
      </c>
      <c r="K303" s="23">
        <v>50158.23</v>
      </c>
      <c r="L303" s="23">
        <v>30956.06</v>
      </c>
      <c r="M303" s="23">
        <v>6</v>
      </c>
      <c r="N303" s="23">
        <v>-95.65</v>
      </c>
      <c r="O303" s="31">
        <v>-1.14E-2</v>
      </c>
      <c r="P303" s="31">
        <v>2.3E-3</v>
      </c>
      <c r="Q303" s="23" t="s">
        <v>24</v>
      </c>
      <c r="R303" s="23">
        <v>0</v>
      </c>
      <c r="S303" s="23">
        <v>44.15</v>
      </c>
      <c r="U303" s="47">
        <f>VLOOKUP(AU303,[1]expiry_dates!$B$2:$C$2894,2,FALSE)</f>
        <v>43734</v>
      </c>
      <c r="V303" s="23" t="s">
        <v>117</v>
      </c>
      <c r="W303" s="23" t="s">
        <v>23</v>
      </c>
      <c r="X303" s="49">
        <v>43719.625</v>
      </c>
      <c r="Y303" s="23">
        <v>1.05</v>
      </c>
      <c r="Z303" s="23">
        <v>43720.385416666664</v>
      </c>
      <c r="AA303" s="23">
        <v>1.25</v>
      </c>
      <c r="AB303" s="23">
        <v>0.1905</v>
      </c>
      <c r="AC303" s="23">
        <v>-10615.71</v>
      </c>
      <c r="AD303" s="23">
        <v>-0.1905</v>
      </c>
      <c r="AE303" s="23">
        <v>53078.57</v>
      </c>
      <c r="AF303" s="23">
        <v>55732.5</v>
      </c>
      <c r="AG303" s="23">
        <v>1142833.3500000001</v>
      </c>
      <c r="AH303" s="23">
        <v>6</v>
      </c>
      <c r="AI303" s="23">
        <v>-1769.29</v>
      </c>
      <c r="AJ303" s="23">
        <v>-0.1905</v>
      </c>
      <c r="AK303" s="23">
        <v>4.7600000000000003E-2</v>
      </c>
      <c r="AL303" s="23" t="s">
        <v>24</v>
      </c>
      <c r="AM303" s="23">
        <v>43.7</v>
      </c>
      <c r="AN303" s="23">
        <v>27784.65</v>
      </c>
      <c r="AO303" s="23">
        <v>44.15</v>
      </c>
      <c r="AP303" s="23">
        <v>0</v>
      </c>
      <c r="AR303" s="46"/>
      <c r="AS303" s="44"/>
      <c r="AT303" s="45"/>
      <c r="AU303" s="2">
        <v>43719</v>
      </c>
      <c r="AV303" s="52">
        <v>0.125</v>
      </c>
      <c r="AW303" s="2" t="s">
        <v>213</v>
      </c>
      <c r="AY303" s="3"/>
      <c r="BA303" s="3"/>
      <c r="BG303" s="3"/>
      <c r="BH303" s="3"/>
    </row>
    <row r="304" spans="1:60">
      <c r="A304" s="23" t="s">
        <v>22</v>
      </c>
      <c r="B304" s="23" t="s">
        <v>25</v>
      </c>
      <c r="C304" s="27">
        <v>43720.385416666664</v>
      </c>
      <c r="D304" s="23">
        <v>44.2</v>
      </c>
      <c r="E304" s="27">
        <v>43720.427083333336</v>
      </c>
      <c r="F304" s="23">
        <v>43.55</v>
      </c>
      <c r="G304" s="31">
        <v>-1.47E-2</v>
      </c>
      <c r="H304" s="23">
        <v>-737.6</v>
      </c>
      <c r="I304" s="31">
        <v>-1.47E-2</v>
      </c>
      <c r="J304" s="23">
        <v>1134.7619999999999</v>
      </c>
      <c r="K304" s="23">
        <v>50156.5</v>
      </c>
      <c r="L304" s="23">
        <v>30218.47</v>
      </c>
      <c r="M304" s="23">
        <v>5</v>
      </c>
      <c r="N304" s="23">
        <v>-147.52000000000001</v>
      </c>
      <c r="O304" s="31">
        <v>-1.47E-2</v>
      </c>
      <c r="P304" s="31">
        <v>3.3999999999999998E-3</v>
      </c>
      <c r="Q304" s="23" t="s">
        <v>24</v>
      </c>
      <c r="R304" s="23">
        <v>0</v>
      </c>
      <c r="S304" s="23">
        <v>43.63</v>
      </c>
      <c r="U304" s="47">
        <f>VLOOKUP(AU304,[1]expiry_dates!$B$2:$C$2894,2,FALSE)</f>
        <v>43734</v>
      </c>
      <c r="V304" s="23" t="s">
        <v>113</v>
      </c>
      <c r="W304" s="23" t="s">
        <v>23</v>
      </c>
      <c r="X304" s="49">
        <v>43720.385416666664</v>
      </c>
      <c r="Y304" s="23">
        <v>0.15</v>
      </c>
      <c r="Z304" s="23">
        <v>43720.427083333336</v>
      </c>
      <c r="AA304" s="23">
        <v>0.2</v>
      </c>
      <c r="AB304" s="23">
        <v>0.33329999999999999</v>
      </c>
      <c r="AC304" s="23">
        <v>-18589.080000000002</v>
      </c>
      <c r="AD304" s="23">
        <v>-0.33329999999999999</v>
      </c>
      <c r="AE304" s="23">
        <v>371781.6</v>
      </c>
      <c r="AF304" s="23">
        <v>55767.25</v>
      </c>
      <c r="AG304" s="23">
        <v>1124244.27</v>
      </c>
      <c r="AH304" s="23">
        <v>5</v>
      </c>
      <c r="AI304" s="23">
        <v>-3717.82</v>
      </c>
      <c r="AJ304" s="23">
        <v>-0.33329999999999999</v>
      </c>
      <c r="AK304" s="23">
        <v>0</v>
      </c>
      <c r="AL304" s="23" t="s">
        <v>24</v>
      </c>
      <c r="AM304" s="23">
        <v>44.2</v>
      </c>
      <c r="AN304" s="23">
        <v>27922.65</v>
      </c>
      <c r="AO304" s="23">
        <v>43.63</v>
      </c>
      <c r="AP304" s="23">
        <v>0</v>
      </c>
      <c r="AR304" s="46"/>
      <c r="AS304" s="44"/>
      <c r="AT304" s="45"/>
      <c r="AU304" s="2">
        <v>43720</v>
      </c>
      <c r="AV304" s="52">
        <v>0.38541666666666669</v>
      </c>
      <c r="AW304" s="2" t="s">
        <v>212</v>
      </c>
      <c r="AY304" s="3"/>
      <c r="BA304" s="3"/>
      <c r="BG304" s="3"/>
      <c r="BH304" s="3"/>
    </row>
    <row r="305" spans="1:60">
      <c r="A305" s="23" t="s">
        <v>22</v>
      </c>
      <c r="B305" s="23" t="s">
        <v>23</v>
      </c>
      <c r="C305" s="27">
        <v>43720.427083333336</v>
      </c>
      <c r="D305" s="23">
        <v>43.55</v>
      </c>
      <c r="E305" s="27">
        <v>43720.53125</v>
      </c>
      <c r="F305" s="23">
        <v>43.85</v>
      </c>
      <c r="G305" s="31">
        <v>6.8999999999999999E-3</v>
      </c>
      <c r="H305" s="23">
        <v>-345.48</v>
      </c>
      <c r="I305" s="31">
        <v>-6.8999999999999999E-3</v>
      </c>
      <c r="J305" s="23">
        <v>1151.6079999999999</v>
      </c>
      <c r="K305" s="23">
        <v>50152.51</v>
      </c>
      <c r="L305" s="23">
        <v>29872.98</v>
      </c>
      <c r="M305" s="23">
        <v>11</v>
      </c>
      <c r="N305" s="23">
        <v>-31.41</v>
      </c>
      <c r="O305" s="31">
        <v>-9.1999999999999998E-3</v>
      </c>
      <c r="P305" s="31">
        <v>9.1999999999999998E-3</v>
      </c>
      <c r="Q305" s="23" t="s">
        <v>24</v>
      </c>
      <c r="R305" s="23">
        <v>0</v>
      </c>
      <c r="S305" s="23">
        <v>44.34</v>
      </c>
      <c r="U305" s="47">
        <f>VLOOKUP(AU305,[1]expiry_dates!$B$2:$C$2894,2,FALSE)</f>
        <v>43734</v>
      </c>
      <c r="V305" s="23" t="s">
        <v>117</v>
      </c>
      <c r="W305" s="23" t="s">
        <v>23</v>
      </c>
      <c r="X305" s="49">
        <v>43720.427083333336</v>
      </c>
      <c r="Y305" s="23">
        <v>1.05</v>
      </c>
      <c r="Z305" s="23">
        <v>43720.53125</v>
      </c>
      <c r="AA305" s="23">
        <v>1.1000000000000001</v>
      </c>
      <c r="AB305" s="23">
        <v>4.7600000000000003E-2</v>
      </c>
      <c r="AC305" s="23">
        <v>-2648.63</v>
      </c>
      <c r="AD305" s="23">
        <v>-4.7600000000000003E-2</v>
      </c>
      <c r="AE305" s="23">
        <v>52972.59</v>
      </c>
      <c r="AF305" s="23">
        <v>55621.22</v>
      </c>
      <c r="AG305" s="23">
        <v>1121595.6399999999</v>
      </c>
      <c r="AH305" s="23">
        <v>11</v>
      </c>
      <c r="AI305" s="23">
        <v>-240.78</v>
      </c>
      <c r="AJ305" s="23">
        <v>-4.7600000000000003E-2</v>
      </c>
      <c r="AK305" s="23">
        <v>0.1429</v>
      </c>
      <c r="AL305" s="23" t="s">
        <v>24</v>
      </c>
      <c r="AM305" s="23">
        <v>43.55</v>
      </c>
      <c r="AN305" s="23">
        <v>27973.200000000001</v>
      </c>
      <c r="AO305" s="23">
        <v>44.34</v>
      </c>
      <c r="AP305" s="23">
        <v>0</v>
      </c>
      <c r="AR305" s="46"/>
      <c r="AS305" s="44"/>
      <c r="AT305" s="45"/>
      <c r="AU305" s="2">
        <v>43720</v>
      </c>
      <c r="AV305" s="52">
        <v>0.42708333333333331</v>
      </c>
      <c r="AW305" s="2" t="s">
        <v>212</v>
      </c>
      <c r="AY305" s="3"/>
      <c r="BA305" s="3"/>
      <c r="BG305" s="3"/>
      <c r="BH305" s="3"/>
    </row>
    <row r="306" spans="1:60">
      <c r="A306" s="23" t="s">
        <v>22</v>
      </c>
      <c r="B306" s="23" t="s">
        <v>25</v>
      </c>
      <c r="C306" s="27">
        <v>43720.53125</v>
      </c>
      <c r="D306" s="23">
        <v>43.85</v>
      </c>
      <c r="E306" s="27">
        <v>43720.625</v>
      </c>
      <c r="F306" s="23">
        <v>43.05</v>
      </c>
      <c r="G306" s="31">
        <v>-1.8200000000000001E-2</v>
      </c>
      <c r="H306" s="23">
        <v>-914.94</v>
      </c>
      <c r="I306" s="31">
        <v>-1.8200000000000001E-2</v>
      </c>
      <c r="J306" s="23">
        <v>1143.67</v>
      </c>
      <c r="K306" s="23">
        <v>50149.94</v>
      </c>
      <c r="L306" s="23">
        <v>28958.05</v>
      </c>
      <c r="M306" s="23">
        <v>10</v>
      </c>
      <c r="N306" s="23">
        <v>-91.49</v>
      </c>
      <c r="O306" s="31">
        <v>-1.8200000000000001E-2</v>
      </c>
      <c r="P306" s="31">
        <v>2.3E-3</v>
      </c>
      <c r="Q306" s="23" t="s">
        <v>24</v>
      </c>
      <c r="R306" s="23">
        <v>0</v>
      </c>
      <c r="S306" s="23">
        <v>43.17</v>
      </c>
      <c r="U306" s="47">
        <f>VLOOKUP(AU306,[1]expiry_dates!$B$2:$C$2894,2,FALSE)</f>
        <v>43734</v>
      </c>
      <c r="V306" s="23" t="s">
        <v>118</v>
      </c>
      <c r="W306" s="23" t="s">
        <v>23</v>
      </c>
      <c r="X306" s="49">
        <v>43720.53125</v>
      </c>
      <c r="Y306" s="23">
        <v>0.9</v>
      </c>
      <c r="Z306" s="23">
        <v>43720.625</v>
      </c>
      <c r="AA306" s="23">
        <v>1.35</v>
      </c>
      <c r="AB306" s="23">
        <v>0.5</v>
      </c>
      <c r="AC306" s="23">
        <v>-27810.61</v>
      </c>
      <c r="AD306" s="23">
        <v>-0.5</v>
      </c>
      <c r="AE306" s="23">
        <v>61801.36</v>
      </c>
      <c r="AF306" s="23">
        <v>55621.22</v>
      </c>
      <c r="AG306" s="23">
        <v>1093785.03</v>
      </c>
      <c r="AH306" s="23">
        <v>10</v>
      </c>
      <c r="AI306" s="23">
        <v>-2781.06</v>
      </c>
      <c r="AJ306" s="23">
        <v>-0.5</v>
      </c>
      <c r="AK306" s="23">
        <v>0</v>
      </c>
      <c r="AL306" s="23" t="s">
        <v>24</v>
      </c>
      <c r="AM306" s="23">
        <v>43.85</v>
      </c>
      <c r="AN306" s="23">
        <v>28018.25</v>
      </c>
      <c r="AO306" s="23">
        <v>43.17</v>
      </c>
      <c r="AP306" s="23">
        <v>0</v>
      </c>
      <c r="AR306" s="46"/>
      <c r="AS306" s="44"/>
      <c r="AT306" s="45"/>
      <c r="AU306" s="2">
        <v>43720</v>
      </c>
      <c r="AV306" s="52">
        <v>0.53125</v>
      </c>
      <c r="AW306" s="2" t="s">
        <v>213</v>
      </c>
      <c r="AY306" s="3"/>
      <c r="BA306" s="3"/>
      <c r="BG306" s="3"/>
      <c r="BH306" s="3"/>
    </row>
    <row r="307" spans="1:60">
      <c r="A307" s="23" t="s">
        <v>22</v>
      </c>
      <c r="B307" s="23" t="s">
        <v>23</v>
      </c>
      <c r="C307" s="27">
        <v>43720.625</v>
      </c>
      <c r="D307" s="23">
        <v>43.05</v>
      </c>
      <c r="E307" s="27">
        <v>43721.5625</v>
      </c>
      <c r="F307" s="23">
        <v>42.45</v>
      </c>
      <c r="G307" s="31">
        <v>-1.3899999999999999E-2</v>
      </c>
      <c r="H307" s="23">
        <v>698.94</v>
      </c>
      <c r="I307" s="31">
        <v>1.3899999999999999E-2</v>
      </c>
      <c r="J307" s="23">
        <v>1164.896</v>
      </c>
      <c r="K307" s="23">
        <v>50148.79</v>
      </c>
      <c r="L307" s="23">
        <v>29656.98</v>
      </c>
      <c r="M307" s="23">
        <v>23</v>
      </c>
      <c r="N307" s="23">
        <v>30.39</v>
      </c>
      <c r="O307" s="31">
        <v>-1.7399999999999999E-2</v>
      </c>
      <c r="P307" s="31">
        <v>3.4799999999999998E-2</v>
      </c>
      <c r="Q307" s="23" t="s">
        <v>24</v>
      </c>
      <c r="R307" s="23">
        <v>0</v>
      </c>
      <c r="S307" s="23">
        <v>43.94</v>
      </c>
      <c r="U307" s="47">
        <f>VLOOKUP(AU307,[1]expiry_dates!$B$2:$C$2894,2,FALSE)</f>
        <v>43734</v>
      </c>
      <c r="V307" s="23" t="s">
        <v>114</v>
      </c>
      <c r="W307" s="23" t="s">
        <v>23</v>
      </c>
      <c r="X307" s="49">
        <v>43720.625</v>
      </c>
      <c r="Y307" s="23">
        <v>1.3</v>
      </c>
      <c r="Z307" s="23">
        <v>43721.5625</v>
      </c>
      <c r="AA307" s="23">
        <v>0.85</v>
      </c>
      <c r="AB307" s="23">
        <v>-0.34620000000000001</v>
      </c>
      <c r="AC307" s="23">
        <v>19238.22</v>
      </c>
      <c r="AD307" s="23">
        <v>0.34620000000000001</v>
      </c>
      <c r="AE307" s="23">
        <v>42751.6</v>
      </c>
      <c r="AF307" s="23">
        <v>55577.08</v>
      </c>
      <c r="AG307" s="23">
        <v>1113023.25</v>
      </c>
      <c r="AH307" s="23">
        <v>23</v>
      </c>
      <c r="AI307" s="23">
        <v>836.44</v>
      </c>
      <c r="AJ307" s="23">
        <v>-0.15379999999999999</v>
      </c>
      <c r="AK307" s="23">
        <v>0.46150000000000002</v>
      </c>
      <c r="AL307" s="23" t="s">
        <v>24</v>
      </c>
      <c r="AM307" s="23">
        <v>43.05</v>
      </c>
      <c r="AN307" s="23">
        <v>27795.75</v>
      </c>
      <c r="AO307" s="23">
        <v>43.94</v>
      </c>
      <c r="AP307" s="23">
        <v>0</v>
      </c>
      <c r="AR307" s="46"/>
      <c r="AS307" s="44"/>
      <c r="AT307" s="45"/>
      <c r="AU307" s="2">
        <v>43720</v>
      </c>
      <c r="AV307" s="52">
        <v>0.125</v>
      </c>
      <c r="AW307" s="2" t="s">
        <v>213</v>
      </c>
      <c r="AY307" s="3"/>
      <c r="BA307" s="3"/>
      <c r="BG307" s="3"/>
      <c r="BH307" s="3"/>
    </row>
    <row r="308" spans="1:60">
      <c r="A308" s="23" t="s">
        <v>22</v>
      </c>
      <c r="B308" s="23" t="s">
        <v>25</v>
      </c>
      <c r="C308" s="27">
        <v>43721.5625</v>
      </c>
      <c r="D308" s="23">
        <v>42.45</v>
      </c>
      <c r="E308" s="27">
        <v>43724.385416666664</v>
      </c>
      <c r="F308" s="23">
        <v>42.25</v>
      </c>
      <c r="G308" s="31">
        <v>-4.7000000000000002E-3</v>
      </c>
      <c r="H308" s="23">
        <v>-236.27</v>
      </c>
      <c r="I308" s="31">
        <v>-4.7000000000000002E-3</v>
      </c>
      <c r="J308" s="23">
        <v>1181.3630000000001</v>
      </c>
      <c r="K308" s="23">
        <v>50148.87</v>
      </c>
      <c r="L308" s="23">
        <v>29420.71</v>
      </c>
      <c r="M308" s="23">
        <v>12</v>
      </c>
      <c r="N308" s="23">
        <v>-19.690000000000001</v>
      </c>
      <c r="O308" s="31">
        <v>-8.2000000000000007E-3</v>
      </c>
      <c r="P308" s="31">
        <v>1.1999999999999999E-3</v>
      </c>
      <c r="Q308" s="23" t="s">
        <v>24</v>
      </c>
      <c r="R308" s="23">
        <v>0</v>
      </c>
      <c r="S308" s="23">
        <v>41.57</v>
      </c>
      <c r="U308" s="47">
        <f>VLOOKUP(AU308,[1]expiry_dates!$B$2:$C$2894,2,FALSE)</f>
        <v>43734</v>
      </c>
      <c r="V308" s="23" t="s">
        <v>134</v>
      </c>
      <c r="W308" s="23" t="s">
        <v>23</v>
      </c>
      <c r="X308" s="49">
        <v>43721.5625</v>
      </c>
      <c r="Y308" s="23">
        <v>0.7</v>
      </c>
      <c r="Z308" s="23">
        <v>43724.385416666664</v>
      </c>
      <c r="AA308" s="23">
        <v>0.8</v>
      </c>
      <c r="AB308" s="23">
        <v>0.1429</v>
      </c>
      <c r="AC308" s="23">
        <v>-7937.87</v>
      </c>
      <c r="AD308" s="23">
        <v>-0.1429</v>
      </c>
      <c r="AE308" s="23">
        <v>79378.740000000005</v>
      </c>
      <c r="AF308" s="23">
        <v>55565.120000000003</v>
      </c>
      <c r="AG308" s="23">
        <v>1105085.3700000001</v>
      </c>
      <c r="AH308" s="23">
        <v>12</v>
      </c>
      <c r="AI308" s="23">
        <v>-661.49</v>
      </c>
      <c r="AJ308" s="23">
        <v>-0.1429</v>
      </c>
      <c r="AK308" s="23">
        <v>7.1400000000000005E-2</v>
      </c>
      <c r="AL308" s="23" t="s">
        <v>24</v>
      </c>
      <c r="AM308" s="23">
        <v>42.45</v>
      </c>
      <c r="AN308" s="23">
        <v>27888</v>
      </c>
      <c r="AO308" s="23">
        <v>41.57</v>
      </c>
      <c r="AP308" s="23">
        <v>0</v>
      </c>
      <c r="AR308" s="46"/>
      <c r="AS308" s="44"/>
      <c r="AT308" s="45"/>
      <c r="AU308" s="2">
        <v>43721</v>
      </c>
      <c r="AV308" s="52">
        <v>6.25E-2</v>
      </c>
      <c r="AW308" s="2" t="s">
        <v>213</v>
      </c>
      <c r="AY308" s="3"/>
      <c r="BA308" s="3"/>
      <c r="BG308" s="3"/>
      <c r="BH308" s="3"/>
    </row>
    <row r="309" spans="1:60">
      <c r="A309" s="23" t="s">
        <v>22</v>
      </c>
      <c r="B309" s="23" t="s">
        <v>23</v>
      </c>
      <c r="C309" s="27">
        <v>43724.385416666664</v>
      </c>
      <c r="D309" s="23">
        <v>42.25</v>
      </c>
      <c r="E309" s="27">
        <v>43724.40625</v>
      </c>
      <c r="F309" s="23">
        <v>42.5</v>
      </c>
      <c r="G309" s="31">
        <v>5.8999999999999999E-3</v>
      </c>
      <c r="H309" s="23">
        <v>-296.72000000000003</v>
      </c>
      <c r="I309" s="31">
        <v>-5.8999999999999999E-3</v>
      </c>
      <c r="J309" s="23">
        <v>1186.893</v>
      </c>
      <c r="K309" s="23">
        <v>50146.21</v>
      </c>
      <c r="L309" s="23">
        <v>29123.99</v>
      </c>
      <c r="M309" s="23">
        <v>3</v>
      </c>
      <c r="N309" s="23">
        <v>-98.91</v>
      </c>
      <c r="O309" s="31">
        <v>-5.8999999999999999E-3</v>
      </c>
      <c r="P309" s="31">
        <v>1.0699999999999999E-2</v>
      </c>
      <c r="Q309" s="23" t="s">
        <v>24</v>
      </c>
      <c r="R309" s="23">
        <v>0</v>
      </c>
      <c r="S309" s="23">
        <v>42.47</v>
      </c>
      <c r="U309" s="47">
        <f>VLOOKUP(AU309,[1]expiry_dates!$B$2:$C$2894,2,FALSE)</f>
        <v>43734</v>
      </c>
      <c r="V309" s="23" t="s">
        <v>116</v>
      </c>
      <c r="W309" s="23" t="s">
        <v>23</v>
      </c>
      <c r="X309" s="49">
        <v>43724.385416666664</v>
      </c>
      <c r="Y309" s="23">
        <v>1.2</v>
      </c>
      <c r="Z309" s="23">
        <v>43724.40625</v>
      </c>
      <c r="AA309" s="23">
        <v>1.3</v>
      </c>
      <c r="AB309" s="23">
        <v>8.3299999999999999E-2</v>
      </c>
      <c r="AC309" s="23">
        <v>-4630.43</v>
      </c>
      <c r="AD309" s="23">
        <v>-8.3299999999999999E-2</v>
      </c>
      <c r="AE309" s="23">
        <v>46304.26</v>
      </c>
      <c r="AF309" s="23">
        <v>55565.120000000003</v>
      </c>
      <c r="AG309" s="23">
        <v>1100454.95</v>
      </c>
      <c r="AH309" s="23">
        <v>3</v>
      </c>
      <c r="AI309" s="23">
        <v>-1543.48</v>
      </c>
      <c r="AJ309" s="23">
        <v>-8.3299999999999999E-2</v>
      </c>
      <c r="AK309" s="23">
        <v>4.1700000000000001E-2</v>
      </c>
      <c r="AL309" s="23" t="s">
        <v>24</v>
      </c>
      <c r="AM309" s="23">
        <v>42.25</v>
      </c>
      <c r="AN309" s="23">
        <v>27922.400000000001</v>
      </c>
      <c r="AO309" s="23">
        <v>42.47</v>
      </c>
      <c r="AP309" s="23">
        <v>0</v>
      </c>
      <c r="AR309" s="46"/>
      <c r="AS309" s="44"/>
      <c r="AT309" s="45"/>
      <c r="AU309" s="2">
        <v>43724</v>
      </c>
      <c r="AV309" s="52">
        <v>0.38541666666666669</v>
      </c>
      <c r="AW309" s="2" t="s">
        <v>212</v>
      </c>
      <c r="AY309" s="3"/>
      <c r="BA309" s="3"/>
      <c r="BG309" s="3"/>
      <c r="BH309" s="3"/>
    </row>
    <row r="310" spans="1:60">
      <c r="A310" s="23" t="s">
        <v>22</v>
      </c>
      <c r="B310" s="23" t="s">
        <v>25</v>
      </c>
      <c r="C310" s="27">
        <v>43724.40625</v>
      </c>
      <c r="D310" s="23">
        <v>42.5</v>
      </c>
      <c r="E310" s="27">
        <v>43724.552083333336</v>
      </c>
      <c r="F310" s="23">
        <v>42.4</v>
      </c>
      <c r="G310" s="31">
        <v>-2.3999999999999998E-3</v>
      </c>
      <c r="H310" s="23">
        <v>-117.99</v>
      </c>
      <c r="I310" s="31">
        <v>-2.3999999999999998E-3</v>
      </c>
      <c r="J310" s="23">
        <v>1179.925</v>
      </c>
      <c r="K310" s="23">
        <v>50146.81</v>
      </c>
      <c r="L310" s="23">
        <v>29006</v>
      </c>
      <c r="M310" s="23">
        <v>15</v>
      </c>
      <c r="N310" s="23">
        <v>-7.87</v>
      </c>
      <c r="O310" s="31">
        <v>-7.1000000000000004E-3</v>
      </c>
      <c r="P310" s="31">
        <v>7.1000000000000004E-3</v>
      </c>
      <c r="Q310" s="23" t="s">
        <v>24</v>
      </c>
      <c r="R310" s="23">
        <v>0</v>
      </c>
      <c r="S310" s="23">
        <v>41.81</v>
      </c>
      <c r="U310" s="47">
        <f>VLOOKUP(AU310,[1]expiry_dates!$B$2:$C$2894,2,FALSE)</f>
        <v>43734</v>
      </c>
      <c r="V310" s="23" t="s">
        <v>113</v>
      </c>
      <c r="W310" s="23" t="s">
        <v>23</v>
      </c>
      <c r="X310" s="49">
        <v>43724.40625</v>
      </c>
      <c r="Y310" s="23">
        <v>0.3</v>
      </c>
      <c r="Z310" s="23">
        <v>43724.552083333336</v>
      </c>
      <c r="AA310" s="23">
        <v>0.35</v>
      </c>
      <c r="AB310" s="23">
        <v>0.16669999999999999</v>
      </c>
      <c r="AC310" s="23">
        <v>-9254.24</v>
      </c>
      <c r="AD310" s="23">
        <v>-0.16669999999999999</v>
      </c>
      <c r="AE310" s="23">
        <v>185084.79999999999</v>
      </c>
      <c r="AF310" s="23">
        <v>55525.43</v>
      </c>
      <c r="AG310" s="23">
        <v>1091200.71</v>
      </c>
      <c r="AH310" s="23">
        <v>15</v>
      </c>
      <c r="AI310" s="23">
        <v>-616.95000000000005</v>
      </c>
      <c r="AJ310" s="23">
        <v>-0.5</v>
      </c>
      <c r="AK310" s="23">
        <v>0</v>
      </c>
      <c r="AL310" s="23" t="s">
        <v>24</v>
      </c>
      <c r="AM310" s="23">
        <v>42.5</v>
      </c>
      <c r="AN310" s="23">
        <v>27933.25</v>
      </c>
      <c r="AO310" s="23">
        <v>41.81</v>
      </c>
      <c r="AP310" s="23">
        <v>0</v>
      </c>
      <c r="AR310" s="46"/>
      <c r="AS310" s="44"/>
      <c r="AT310" s="45"/>
      <c r="AU310" s="2">
        <v>43724</v>
      </c>
      <c r="AV310" s="52">
        <v>0.40625</v>
      </c>
      <c r="AW310" s="2" t="s">
        <v>212</v>
      </c>
      <c r="AY310" s="3"/>
      <c r="BA310" s="3"/>
      <c r="BG310" s="3"/>
      <c r="BH310" s="3"/>
    </row>
    <row r="311" spans="1:60">
      <c r="A311" s="23" t="s">
        <v>22</v>
      </c>
      <c r="B311" s="23" t="s">
        <v>23</v>
      </c>
      <c r="C311" s="27">
        <v>43724.552083333336</v>
      </c>
      <c r="D311" s="23">
        <v>42.4</v>
      </c>
      <c r="E311" s="27">
        <v>43724.614583333336</v>
      </c>
      <c r="F311" s="23">
        <v>42.65</v>
      </c>
      <c r="G311" s="31">
        <v>5.8999999999999999E-3</v>
      </c>
      <c r="H311" s="23">
        <v>-295.67</v>
      </c>
      <c r="I311" s="31">
        <v>-5.8999999999999999E-3</v>
      </c>
      <c r="J311" s="23">
        <v>1182.68</v>
      </c>
      <c r="K311" s="23">
        <v>50145.62</v>
      </c>
      <c r="L311" s="23">
        <v>28710.33</v>
      </c>
      <c r="M311" s="23">
        <v>7</v>
      </c>
      <c r="N311" s="23">
        <v>-42.24</v>
      </c>
      <c r="O311" s="31">
        <v>-5.8999999999999999E-3</v>
      </c>
      <c r="P311" s="31">
        <v>2.3999999999999998E-3</v>
      </c>
      <c r="Q311" s="23" t="s">
        <v>24</v>
      </c>
      <c r="R311" s="23">
        <v>0</v>
      </c>
      <c r="S311" s="23">
        <v>42.79</v>
      </c>
      <c r="U311" s="47">
        <f>VLOOKUP(AU311,[1]expiry_dates!$B$2:$C$2894,2,FALSE)</f>
        <v>43734</v>
      </c>
      <c r="V311" s="23" t="s">
        <v>114</v>
      </c>
      <c r="W311" s="23" t="s">
        <v>23</v>
      </c>
      <c r="X311" s="49">
        <v>43724.552083333336</v>
      </c>
      <c r="Y311" s="23">
        <v>0.75</v>
      </c>
      <c r="Z311" s="23">
        <v>43724.614583333336</v>
      </c>
      <c r="AA311" s="23">
        <v>0.75</v>
      </c>
      <c r="AB311" s="23">
        <v>0</v>
      </c>
      <c r="AC311" s="23">
        <v>0</v>
      </c>
      <c r="AD311" s="23">
        <v>0</v>
      </c>
      <c r="AE311" s="23">
        <v>73941.34</v>
      </c>
      <c r="AF311" s="23">
        <v>55456</v>
      </c>
      <c r="AG311" s="23">
        <v>1091200.71</v>
      </c>
      <c r="AH311" s="23">
        <v>7</v>
      </c>
      <c r="AI311" s="23">
        <v>0</v>
      </c>
      <c r="AJ311" s="23">
        <v>-0.1333</v>
      </c>
      <c r="AK311" s="23">
        <v>6.6699999999999995E-2</v>
      </c>
      <c r="AL311" s="23" t="s">
        <v>24</v>
      </c>
      <c r="AM311" s="23">
        <v>42.4</v>
      </c>
      <c r="AN311" s="23">
        <v>27860.2</v>
      </c>
      <c r="AO311" s="23">
        <v>42.79</v>
      </c>
      <c r="AP311" s="23">
        <v>0</v>
      </c>
      <c r="AR311" s="46"/>
      <c r="AS311" s="44"/>
      <c r="AT311" s="45"/>
      <c r="AU311" s="2">
        <v>43724</v>
      </c>
      <c r="AV311" s="52">
        <v>5.2083333333333336E-2</v>
      </c>
      <c r="AW311" s="2" t="s">
        <v>213</v>
      </c>
      <c r="AY311" s="3"/>
      <c r="BA311" s="3"/>
      <c r="BG311" s="3"/>
      <c r="BH311" s="3"/>
    </row>
    <row r="312" spans="1:60">
      <c r="A312" s="23" t="s">
        <v>22</v>
      </c>
      <c r="B312" s="23" t="s">
        <v>25</v>
      </c>
      <c r="C312" s="27">
        <v>43724.614583333336</v>
      </c>
      <c r="D312" s="23">
        <v>42.65</v>
      </c>
      <c r="E312" s="27">
        <v>43725.395833333336</v>
      </c>
      <c r="F312" s="23">
        <v>42.45</v>
      </c>
      <c r="G312" s="31">
        <v>-4.7000000000000002E-3</v>
      </c>
      <c r="H312" s="23">
        <v>-235.14</v>
      </c>
      <c r="I312" s="31">
        <v>-4.7000000000000002E-3</v>
      </c>
      <c r="J312" s="23">
        <v>1175.713</v>
      </c>
      <c r="K312" s="23">
        <v>50144.14</v>
      </c>
      <c r="L312" s="23">
        <v>28475.18</v>
      </c>
      <c r="M312" s="23">
        <v>8</v>
      </c>
      <c r="N312" s="23">
        <v>-29.39</v>
      </c>
      <c r="O312" s="31">
        <v>-4.7000000000000002E-3</v>
      </c>
      <c r="P312" s="31">
        <v>4.7000000000000002E-3</v>
      </c>
      <c r="Q312" s="23" t="s">
        <v>24</v>
      </c>
      <c r="R312" s="23">
        <v>0</v>
      </c>
      <c r="S312" s="23">
        <v>42.32</v>
      </c>
      <c r="U312" s="47">
        <f>VLOOKUP(AU312,[1]expiry_dates!$B$2:$C$2894,2,FALSE)</f>
        <v>43734</v>
      </c>
      <c r="V312" s="23" t="s">
        <v>134</v>
      </c>
      <c r="W312" s="23" t="s">
        <v>23</v>
      </c>
      <c r="X312" s="49">
        <v>43724.614583333336</v>
      </c>
      <c r="Y312" s="23">
        <v>0.6</v>
      </c>
      <c r="Z312" s="23">
        <v>43725.395833333336</v>
      </c>
      <c r="AA312" s="23">
        <v>0.65</v>
      </c>
      <c r="AB312" s="23">
        <v>8.3299999999999999E-2</v>
      </c>
      <c r="AC312" s="23">
        <v>-4619.79</v>
      </c>
      <c r="AD312" s="23">
        <v>-8.3299999999999999E-2</v>
      </c>
      <c r="AE312" s="23">
        <v>92395.86</v>
      </c>
      <c r="AF312" s="23">
        <v>55437.52</v>
      </c>
      <c r="AG312" s="23">
        <v>1086580.92</v>
      </c>
      <c r="AH312" s="23">
        <v>8</v>
      </c>
      <c r="AI312" s="23">
        <v>-577.47</v>
      </c>
      <c r="AJ312" s="23">
        <v>-8.3299999999999999E-2</v>
      </c>
      <c r="AK312" s="23">
        <v>0</v>
      </c>
      <c r="AL312" s="23" t="s">
        <v>24</v>
      </c>
      <c r="AM312" s="23">
        <v>42.65</v>
      </c>
      <c r="AN312" s="23">
        <v>27865.9</v>
      </c>
      <c r="AO312" s="23">
        <v>42.32</v>
      </c>
      <c r="AP312" s="23">
        <v>0</v>
      </c>
      <c r="AR312" s="46"/>
      <c r="AS312" s="44"/>
      <c r="AT312" s="45"/>
      <c r="AU312" s="2">
        <v>43724</v>
      </c>
      <c r="AV312" s="52">
        <v>0.11458333333333333</v>
      </c>
      <c r="AW312" s="2" t="s">
        <v>213</v>
      </c>
      <c r="AY312" s="3"/>
      <c r="BA312" s="3"/>
      <c r="BG312" s="3"/>
      <c r="BH312" s="3"/>
    </row>
    <row r="313" spans="1:60">
      <c r="A313" s="23" t="s">
        <v>22</v>
      </c>
      <c r="B313" s="23" t="s">
        <v>23</v>
      </c>
      <c r="C313" s="27">
        <v>43725.395833333336</v>
      </c>
      <c r="D313" s="23">
        <v>42.45</v>
      </c>
      <c r="E313" s="27">
        <v>43726.385416666664</v>
      </c>
      <c r="F313" s="23">
        <v>41.9</v>
      </c>
      <c r="G313" s="31">
        <v>-1.2999999999999999E-2</v>
      </c>
      <c r="H313" s="23">
        <v>649.66999999999996</v>
      </c>
      <c r="I313" s="31">
        <v>1.2999999999999999E-2</v>
      </c>
      <c r="J313" s="23">
        <v>1181.2239999999999</v>
      </c>
      <c r="K313" s="23">
        <v>50142.96</v>
      </c>
      <c r="L313" s="23">
        <v>29124.86</v>
      </c>
      <c r="M313" s="23">
        <v>28</v>
      </c>
      <c r="N313" s="23">
        <v>23.2</v>
      </c>
      <c r="O313" s="31">
        <v>-7.1000000000000004E-3</v>
      </c>
      <c r="P313" s="31">
        <v>2.12E-2</v>
      </c>
      <c r="Q313" s="23" t="s">
        <v>24</v>
      </c>
      <c r="R313" s="23">
        <v>0</v>
      </c>
      <c r="S313" s="23">
        <v>42.84</v>
      </c>
      <c r="U313" s="47">
        <f>VLOOKUP(AU313,[1]expiry_dates!$B$2:$C$2894,2,FALSE)</f>
        <v>43734</v>
      </c>
      <c r="V313" s="23" t="s">
        <v>116</v>
      </c>
      <c r="W313" s="23" t="s">
        <v>23</v>
      </c>
      <c r="X313" s="49">
        <v>43725.395833333336</v>
      </c>
      <c r="Y313" s="23">
        <v>1.2</v>
      </c>
      <c r="Z313" s="23">
        <v>43726.385416666664</v>
      </c>
      <c r="AA313" s="23">
        <v>0.74999990000000005</v>
      </c>
      <c r="AB313" s="23">
        <v>-0.375</v>
      </c>
      <c r="AC313" s="23">
        <v>20796</v>
      </c>
      <c r="AD313" s="23">
        <v>0.375</v>
      </c>
      <c r="AE313" s="23">
        <v>46213.34</v>
      </c>
      <c r="AF313" s="23">
        <v>55456</v>
      </c>
      <c r="AG313" s="23">
        <v>1107376.92</v>
      </c>
      <c r="AH313" s="23">
        <v>28</v>
      </c>
      <c r="AI313" s="23">
        <v>742.71</v>
      </c>
      <c r="AJ313" s="23">
        <v>-8.3299999999999999E-2</v>
      </c>
      <c r="AK313" s="23">
        <v>0.5</v>
      </c>
      <c r="AL313" s="23" t="s">
        <v>24</v>
      </c>
      <c r="AM313" s="23">
        <v>42.45</v>
      </c>
      <c r="AN313" s="23">
        <v>27779.25</v>
      </c>
      <c r="AO313" s="23">
        <v>42.84</v>
      </c>
      <c r="AP313" s="23">
        <v>0</v>
      </c>
      <c r="AR313" s="46"/>
      <c r="AS313" s="44"/>
      <c r="AT313" s="45"/>
      <c r="AU313" s="2">
        <v>43725</v>
      </c>
      <c r="AV313" s="52">
        <v>0.39583333333333331</v>
      </c>
      <c r="AW313" s="2" t="s">
        <v>212</v>
      </c>
      <c r="AY313" s="3"/>
      <c r="BA313" s="3"/>
      <c r="BG313" s="3"/>
      <c r="BH313" s="3"/>
    </row>
    <row r="314" spans="1:60">
      <c r="A314" s="23" t="s">
        <v>22</v>
      </c>
      <c r="B314" s="23" t="s">
        <v>25</v>
      </c>
      <c r="C314" s="27">
        <v>43726.385416666664</v>
      </c>
      <c r="D314" s="23">
        <v>41.9</v>
      </c>
      <c r="E314" s="27">
        <v>43726.395833333336</v>
      </c>
      <c r="F314" s="23">
        <v>41.65</v>
      </c>
      <c r="G314" s="31">
        <v>-6.0000000000000001E-3</v>
      </c>
      <c r="H314" s="23">
        <v>-299.2</v>
      </c>
      <c r="I314" s="31">
        <v>-6.0000000000000001E-3</v>
      </c>
      <c r="J314" s="23">
        <v>1196.7929999999999</v>
      </c>
      <c r="K314" s="23">
        <v>50145.62</v>
      </c>
      <c r="L314" s="23">
        <v>28825.66</v>
      </c>
      <c r="M314" s="23">
        <v>2</v>
      </c>
      <c r="N314" s="23">
        <v>-149.6</v>
      </c>
      <c r="O314" s="31">
        <v>-7.1999999999999998E-3</v>
      </c>
      <c r="P314" s="31">
        <v>7.1999999999999998E-3</v>
      </c>
      <c r="Q314" s="23" t="s">
        <v>24</v>
      </c>
      <c r="R314" s="23">
        <v>0</v>
      </c>
      <c r="S314" s="23">
        <v>41.58</v>
      </c>
      <c r="U314" s="47">
        <f>VLOOKUP(AU314,[1]expiry_dates!$B$2:$C$2894,2,FALSE)</f>
        <v>43734</v>
      </c>
      <c r="V314" s="23" t="s">
        <v>137</v>
      </c>
      <c r="W314" s="23" t="s">
        <v>23</v>
      </c>
      <c r="X314" s="49">
        <v>43726.385416666664</v>
      </c>
      <c r="Y314" s="23">
        <v>0.25</v>
      </c>
      <c r="Z314" s="23">
        <v>43726.395833333336</v>
      </c>
      <c r="AA314" s="23">
        <v>0.25</v>
      </c>
      <c r="AB314" s="23">
        <v>0</v>
      </c>
      <c r="AC314" s="23">
        <v>0</v>
      </c>
      <c r="AD314" s="23">
        <v>0</v>
      </c>
      <c r="AE314" s="23">
        <v>222240</v>
      </c>
      <c r="AF314" s="23">
        <v>55559.99</v>
      </c>
      <c r="AG314" s="23">
        <v>1107376.92</v>
      </c>
      <c r="AH314" s="23">
        <v>2</v>
      </c>
      <c r="AI314" s="23">
        <v>0</v>
      </c>
      <c r="AJ314" s="23">
        <v>0</v>
      </c>
      <c r="AK314" s="23">
        <v>0.2</v>
      </c>
      <c r="AL314" s="23" t="s">
        <v>24</v>
      </c>
      <c r="AM314" s="23">
        <v>41.9</v>
      </c>
      <c r="AN314" s="23">
        <v>27332.9</v>
      </c>
      <c r="AO314" s="23">
        <v>41.58</v>
      </c>
      <c r="AP314" s="23">
        <v>0</v>
      </c>
      <c r="AR314" s="46"/>
      <c r="AS314" s="44"/>
      <c r="AT314" s="45"/>
      <c r="AU314" s="2">
        <v>43726</v>
      </c>
      <c r="AV314" s="52">
        <v>0.38541666666666669</v>
      </c>
      <c r="AW314" s="2" t="s">
        <v>212</v>
      </c>
      <c r="AY314" s="3"/>
      <c r="BA314" s="3"/>
      <c r="BG314" s="3"/>
      <c r="BH314" s="3"/>
    </row>
    <row r="315" spans="1:60">
      <c r="A315" s="23" t="s">
        <v>22</v>
      </c>
      <c r="B315" s="23" t="s">
        <v>23</v>
      </c>
      <c r="C315" s="27">
        <v>43726.395833333336</v>
      </c>
      <c r="D315" s="23">
        <v>41.65</v>
      </c>
      <c r="E315" s="27">
        <v>43726.479166666664</v>
      </c>
      <c r="F315" s="23">
        <v>41.85</v>
      </c>
      <c r="G315" s="31">
        <v>4.7999999999999996E-3</v>
      </c>
      <c r="H315" s="23">
        <v>-240.8</v>
      </c>
      <c r="I315" s="31">
        <v>-4.7999999999999996E-3</v>
      </c>
      <c r="J315" s="23">
        <v>1203.9770000000001</v>
      </c>
      <c r="K315" s="23">
        <v>50145.63</v>
      </c>
      <c r="L315" s="23">
        <v>28584.86</v>
      </c>
      <c r="M315" s="23">
        <v>9</v>
      </c>
      <c r="N315" s="23">
        <v>-26.76</v>
      </c>
      <c r="O315" s="31">
        <v>-6.0000000000000001E-3</v>
      </c>
      <c r="P315" s="31">
        <v>9.5999999999999992E-3</v>
      </c>
      <c r="Q315" s="23" t="s">
        <v>24</v>
      </c>
      <c r="R315" s="23">
        <v>0</v>
      </c>
      <c r="S315" s="23">
        <v>42.2</v>
      </c>
      <c r="U315" s="47">
        <f>VLOOKUP(AU315,[1]expiry_dates!$B$2:$C$2894,2,FALSE)</f>
        <v>43734</v>
      </c>
      <c r="V315" s="23" t="s">
        <v>116</v>
      </c>
      <c r="W315" s="23" t="s">
        <v>23</v>
      </c>
      <c r="X315" s="49">
        <v>43726.395833333336</v>
      </c>
      <c r="Y315" s="23">
        <v>0.55000000000000004</v>
      </c>
      <c r="Z315" s="23">
        <v>43726.479166666664</v>
      </c>
      <c r="AA315" s="23">
        <v>0.6</v>
      </c>
      <c r="AB315" s="23">
        <v>9.0899999999999995E-2</v>
      </c>
      <c r="AC315" s="23">
        <v>-5048.8100000000004</v>
      </c>
      <c r="AD315" s="23">
        <v>-9.0899999999999995E-2</v>
      </c>
      <c r="AE315" s="23">
        <v>100976.1</v>
      </c>
      <c r="AF315" s="23">
        <v>55536.88</v>
      </c>
      <c r="AG315" s="23">
        <v>1102328.1100000001</v>
      </c>
      <c r="AH315" s="23">
        <v>9</v>
      </c>
      <c r="AI315" s="23">
        <v>-560.98</v>
      </c>
      <c r="AJ315" s="23">
        <v>-0.2727</v>
      </c>
      <c r="AK315" s="23">
        <v>9.0899999999999995E-2</v>
      </c>
      <c r="AL315" s="23" t="s">
        <v>24</v>
      </c>
      <c r="AM315" s="23">
        <v>41.65</v>
      </c>
      <c r="AN315" s="23">
        <v>27223.85</v>
      </c>
      <c r="AO315" s="23">
        <v>42.2</v>
      </c>
      <c r="AP315" s="23">
        <v>0</v>
      </c>
      <c r="AR315" s="46"/>
      <c r="AS315" s="44"/>
      <c r="AT315" s="45"/>
      <c r="AU315" s="2">
        <v>43726</v>
      </c>
      <c r="AV315" s="52">
        <v>0.39583333333333331</v>
      </c>
      <c r="AW315" s="2" t="s">
        <v>212</v>
      </c>
      <c r="AY315" s="3"/>
      <c r="BA315" s="3"/>
      <c r="BG315" s="3"/>
      <c r="BH315" s="3"/>
    </row>
    <row r="316" spans="1:60">
      <c r="A316" s="23" t="s">
        <v>22</v>
      </c>
      <c r="B316" s="23" t="s">
        <v>25</v>
      </c>
      <c r="C316" s="27">
        <v>43726.479166666664</v>
      </c>
      <c r="D316" s="23">
        <v>41.85</v>
      </c>
      <c r="E316" s="27">
        <v>43726.552083333336</v>
      </c>
      <c r="F316" s="23">
        <v>41.45</v>
      </c>
      <c r="G316" s="31">
        <v>-9.5999999999999992E-3</v>
      </c>
      <c r="H316" s="23">
        <v>-479.27</v>
      </c>
      <c r="I316" s="31">
        <v>-9.5999999999999992E-3</v>
      </c>
      <c r="J316" s="23">
        <v>1198.18</v>
      </c>
      <c r="K316" s="23">
        <v>50143.83</v>
      </c>
      <c r="L316" s="23">
        <v>28105.59</v>
      </c>
      <c r="M316" s="23">
        <v>8</v>
      </c>
      <c r="N316" s="23">
        <v>-59.91</v>
      </c>
      <c r="O316" s="31">
        <v>-1.1900000000000001E-2</v>
      </c>
      <c r="P316" s="31">
        <v>1.1999999999999999E-3</v>
      </c>
      <c r="Q316" s="23" t="s">
        <v>24</v>
      </c>
      <c r="R316" s="23">
        <v>0</v>
      </c>
      <c r="S316" s="23">
        <v>41.25</v>
      </c>
      <c r="U316" s="47">
        <f>VLOOKUP(AU316,[1]expiry_dates!$B$2:$C$2894,2,FALSE)</f>
        <v>43734</v>
      </c>
      <c r="V316" s="23" t="s">
        <v>137</v>
      </c>
      <c r="W316" s="23" t="s">
        <v>23</v>
      </c>
      <c r="X316" s="49">
        <v>43726.479166666664</v>
      </c>
      <c r="Y316" s="23">
        <v>0.25</v>
      </c>
      <c r="Z316" s="23">
        <v>43726.552083333336</v>
      </c>
      <c r="AA316" s="23">
        <v>0.2</v>
      </c>
      <c r="AB316" s="23">
        <v>-0.2</v>
      </c>
      <c r="AC316" s="23">
        <v>11102.33</v>
      </c>
      <c r="AD316" s="23">
        <v>0.2</v>
      </c>
      <c r="AE316" s="23">
        <v>222046.6</v>
      </c>
      <c r="AF316" s="23">
        <v>55511.64</v>
      </c>
      <c r="AG316" s="23">
        <v>1113430.44</v>
      </c>
      <c r="AH316" s="23">
        <v>8</v>
      </c>
      <c r="AI316" s="23">
        <v>1387.79</v>
      </c>
      <c r="AJ316" s="23">
        <v>0</v>
      </c>
      <c r="AK316" s="23">
        <v>0.2</v>
      </c>
      <c r="AL316" s="23" t="s">
        <v>24</v>
      </c>
      <c r="AM316" s="23">
        <v>41.85</v>
      </c>
      <c r="AN316" s="23">
        <v>27212.15</v>
      </c>
      <c r="AO316" s="23">
        <v>41.25</v>
      </c>
      <c r="AP316" s="23">
        <v>0</v>
      </c>
      <c r="AR316" s="46"/>
      <c r="AS316" s="44"/>
      <c r="AT316" s="45"/>
      <c r="AU316" s="2">
        <v>43726</v>
      </c>
      <c r="AV316" s="52">
        <v>0.47916666666666669</v>
      </c>
      <c r="AW316" s="2" t="s">
        <v>212</v>
      </c>
      <c r="AY316" s="3"/>
      <c r="BA316" s="3"/>
      <c r="BG316" s="3"/>
      <c r="BH316" s="3"/>
    </row>
    <row r="317" spans="1:60">
      <c r="A317" s="23" t="s">
        <v>22</v>
      </c>
      <c r="B317" s="23" t="s">
        <v>23</v>
      </c>
      <c r="C317" s="27">
        <v>43726.552083333336</v>
      </c>
      <c r="D317" s="23">
        <v>41.45</v>
      </c>
      <c r="E317" s="27">
        <v>43726.583333333336</v>
      </c>
      <c r="F317" s="23">
        <v>41.85</v>
      </c>
      <c r="G317" s="31">
        <v>9.7000000000000003E-3</v>
      </c>
      <c r="H317" s="23">
        <v>-483.88</v>
      </c>
      <c r="I317" s="31">
        <v>-9.7000000000000003E-3</v>
      </c>
      <c r="J317" s="23">
        <v>1209.692</v>
      </c>
      <c r="K317" s="23">
        <v>50141.73</v>
      </c>
      <c r="L317" s="23">
        <v>27621.71</v>
      </c>
      <c r="M317" s="23">
        <v>4</v>
      </c>
      <c r="N317" s="23">
        <v>-120.97</v>
      </c>
      <c r="O317" s="31">
        <v>-9.7000000000000003E-3</v>
      </c>
      <c r="P317" s="31">
        <v>1.1999999999999999E-3</v>
      </c>
      <c r="Q317" s="23" t="s">
        <v>24</v>
      </c>
      <c r="R317" s="23">
        <v>0</v>
      </c>
      <c r="S317" s="23">
        <v>41.9</v>
      </c>
      <c r="U317" s="47">
        <f>VLOOKUP(AU317,[1]expiry_dates!$B$2:$C$2894,2,FALSE)</f>
        <v>43734</v>
      </c>
      <c r="V317" s="23" t="s">
        <v>136</v>
      </c>
      <c r="W317" s="23" t="s">
        <v>23</v>
      </c>
      <c r="X317" s="49">
        <v>43726.552083333336</v>
      </c>
      <c r="Y317" s="23">
        <v>1</v>
      </c>
      <c r="Z317" s="23">
        <v>43726.583333333336</v>
      </c>
      <c r="AA317" s="23">
        <v>1</v>
      </c>
      <c r="AB317" s="23">
        <v>0</v>
      </c>
      <c r="AC317" s="23">
        <v>0</v>
      </c>
      <c r="AD317" s="23">
        <v>0</v>
      </c>
      <c r="AE317" s="23">
        <v>55567.15</v>
      </c>
      <c r="AF317" s="23">
        <v>55567.15</v>
      </c>
      <c r="AG317" s="23">
        <v>1113430.44</v>
      </c>
      <c r="AH317" s="23">
        <v>4</v>
      </c>
      <c r="AI317" s="23">
        <v>0</v>
      </c>
      <c r="AJ317" s="23">
        <v>0</v>
      </c>
      <c r="AK317" s="23">
        <v>0</v>
      </c>
      <c r="AL317" s="23" t="s">
        <v>24</v>
      </c>
      <c r="AM317" s="23">
        <v>41.45</v>
      </c>
      <c r="AN317" s="23">
        <v>27296</v>
      </c>
      <c r="AO317" s="23">
        <v>41.9</v>
      </c>
      <c r="AP317" s="23">
        <v>0</v>
      </c>
      <c r="AR317" s="46"/>
      <c r="AS317" s="44"/>
      <c r="AT317" s="45"/>
      <c r="AU317" s="2">
        <v>43726</v>
      </c>
      <c r="AV317" s="52">
        <v>5.2083333333333336E-2</v>
      </c>
      <c r="AW317" s="2" t="s">
        <v>213</v>
      </c>
      <c r="AY317" s="3"/>
      <c r="BA317" s="3"/>
      <c r="BG317" s="3"/>
      <c r="BH317" s="3"/>
    </row>
    <row r="318" spans="1:60">
      <c r="A318" s="23" t="s">
        <v>22</v>
      </c>
      <c r="B318" s="23" t="s">
        <v>25</v>
      </c>
      <c r="C318" s="27">
        <v>43726.583333333336</v>
      </c>
      <c r="D318" s="23">
        <v>41.85</v>
      </c>
      <c r="E318" s="27">
        <v>43726.635416666664</v>
      </c>
      <c r="F318" s="23">
        <v>41.4</v>
      </c>
      <c r="G318" s="31">
        <v>-1.0800000000000001E-2</v>
      </c>
      <c r="H318" s="23">
        <v>-539.13</v>
      </c>
      <c r="I318" s="31">
        <v>-1.0800000000000001E-2</v>
      </c>
      <c r="J318" s="23">
        <v>1198.0650000000001</v>
      </c>
      <c r="K318" s="23">
        <v>50139.02</v>
      </c>
      <c r="L318" s="23">
        <v>27082.59</v>
      </c>
      <c r="M318" s="23">
        <v>6</v>
      </c>
      <c r="N318" s="23">
        <v>-89.85</v>
      </c>
      <c r="O318" s="31">
        <v>-1.0800000000000001E-2</v>
      </c>
      <c r="P318" s="31">
        <v>0</v>
      </c>
      <c r="Q318" s="23" t="s">
        <v>24</v>
      </c>
      <c r="R318" s="23">
        <v>0</v>
      </c>
      <c r="S318" s="23">
        <v>41.4</v>
      </c>
      <c r="U318" s="47">
        <f>VLOOKUP(AU318,[1]expiry_dates!$B$2:$C$2894,2,FALSE)</f>
        <v>43734</v>
      </c>
      <c r="V318" s="23" t="s">
        <v>134</v>
      </c>
      <c r="W318" s="23" t="s">
        <v>23</v>
      </c>
      <c r="X318" s="49">
        <v>43726.583333333336</v>
      </c>
      <c r="Y318" s="23">
        <v>0.8</v>
      </c>
      <c r="Z318" s="23">
        <v>43726.635416666664</v>
      </c>
      <c r="AA318" s="23">
        <v>0.9</v>
      </c>
      <c r="AB318" s="23">
        <v>0.125</v>
      </c>
      <c r="AC318" s="23">
        <v>-6945.89</v>
      </c>
      <c r="AD318" s="23">
        <v>-0.125</v>
      </c>
      <c r="AE318" s="23">
        <v>69458.94</v>
      </c>
      <c r="AF318" s="23">
        <v>55567.15</v>
      </c>
      <c r="AG318" s="23">
        <v>1106484.54</v>
      </c>
      <c r="AH318" s="23">
        <v>6</v>
      </c>
      <c r="AI318" s="23">
        <v>-1157.6500000000001</v>
      </c>
      <c r="AJ318" s="23">
        <v>-0.125</v>
      </c>
      <c r="AK318" s="23">
        <v>0</v>
      </c>
      <c r="AL318" s="23" t="s">
        <v>24</v>
      </c>
      <c r="AM318" s="23">
        <v>41.85</v>
      </c>
      <c r="AN318" s="23">
        <v>27290.75</v>
      </c>
      <c r="AO318" s="23">
        <v>41.4</v>
      </c>
      <c r="AP318" s="23">
        <v>0</v>
      </c>
      <c r="AR318" s="46"/>
      <c r="AS318" s="44"/>
      <c r="AT318" s="45"/>
      <c r="AU318" s="2">
        <v>43726</v>
      </c>
      <c r="AV318" s="52">
        <v>8.3333333333333329E-2</v>
      </c>
      <c r="AW318" s="2" t="s">
        <v>213</v>
      </c>
      <c r="AY318" s="3"/>
      <c r="BA318" s="3"/>
      <c r="BG318" s="3"/>
      <c r="BH318" s="3"/>
    </row>
    <row r="319" spans="1:60">
      <c r="A319" s="23" t="s">
        <v>22</v>
      </c>
      <c r="B319" s="23" t="s">
        <v>23</v>
      </c>
      <c r="C319" s="27">
        <v>43726.635416666664</v>
      </c>
      <c r="D319" s="23">
        <v>41.4</v>
      </c>
      <c r="E319" s="27">
        <v>43728.4375</v>
      </c>
      <c r="F319" s="23">
        <v>41</v>
      </c>
      <c r="G319" s="31">
        <v>-9.7000000000000003E-3</v>
      </c>
      <c r="H319" s="23">
        <v>484.41</v>
      </c>
      <c r="I319" s="31">
        <v>9.7000000000000003E-3</v>
      </c>
      <c r="J319" s="23">
        <v>1211.029</v>
      </c>
      <c r="K319" s="23">
        <v>50136.61</v>
      </c>
      <c r="L319" s="23">
        <v>27567</v>
      </c>
      <c r="M319" s="23">
        <v>38</v>
      </c>
      <c r="N319" s="23">
        <v>12.75</v>
      </c>
      <c r="O319" s="31">
        <v>-6.0000000000000001E-3</v>
      </c>
      <c r="P319" s="31">
        <v>2.6599999999999999E-2</v>
      </c>
      <c r="Q319" s="23" t="s">
        <v>24</v>
      </c>
      <c r="R319" s="23">
        <v>0</v>
      </c>
      <c r="S319" s="23">
        <v>41.83</v>
      </c>
      <c r="U319" s="47">
        <f>VLOOKUP(AU319,[1]expiry_dates!$B$2:$C$2894,2,FALSE)</f>
        <v>43734</v>
      </c>
      <c r="V319" s="23" t="s">
        <v>116</v>
      </c>
      <c r="W319" s="23" t="s">
        <v>23</v>
      </c>
      <c r="X319" s="49">
        <v>43726.635416666664</v>
      </c>
      <c r="Y319" s="23">
        <v>0.55000000000000004</v>
      </c>
      <c r="Z319" s="23">
        <v>43728.4375</v>
      </c>
      <c r="AA319" s="23">
        <v>0.35</v>
      </c>
      <c r="AB319" s="23">
        <v>-0.36359999999999998</v>
      </c>
      <c r="AC319" s="23">
        <v>20193.61</v>
      </c>
      <c r="AD319" s="23">
        <v>0.36359999999999998</v>
      </c>
      <c r="AE319" s="23">
        <v>100968</v>
      </c>
      <c r="AF319" s="23">
        <v>55532.42</v>
      </c>
      <c r="AG319" s="23">
        <v>1126678.1499999999</v>
      </c>
      <c r="AH319" s="23">
        <v>38</v>
      </c>
      <c r="AI319" s="23">
        <v>531.41</v>
      </c>
      <c r="AJ319" s="23">
        <v>-9.0899999999999995E-2</v>
      </c>
      <c r="AK319" s="23">
        <v>0.45450000000000002</v>
      </c>
      <c r="AL319" s="23" t="s">
        <v>24</v>
      </c>
      <c r="AM319" s="23">
        <v>41.4</v>
      </c>
      <c r="AN319" s="23">
        <v>27163</v>
      </c>
      <c r="AO319" s="23">
        <v>41.83</v>
      </c>
      <c r="AP319" s="23">
        <v>0</v>
      </c>
      <c r="AR319" s="46"/>
      <c r="AS319" s="44"/>
      <c r="AT319" s="45"/>
      <c r="AU319" s="2">
        <v>43726</v>
      </c>
      <c r="AV319" s="52">
        <v>0.13541666666666666</v>
      </c>
      <c r="AW319" s="2" t="s">
        <v>213</v>
      </c>
      <c r="AY319" s="3"/>
      <c r="BA319" s="3"/>
      <c r="BG319" s="3"/>
      <c r="BH319" s="3"/>
    </row>
    <row r="320" spans="1:60">
      <c r="A320" s="23" t="s">
        <v>22</v>
      </c>
      <c r="B320" s="23" t="s">
        <v>25</v>
      </c>
      <c r="C320" s="27">
        <v>43728.4375</v>
      </c>
      <c r="D320" s="23">
        <v>41</v>
      </c>
      <c r="E320" s="27">
        <v>43731.4375</v>
      </c>
      <c r="F320" s="23">
        <v>43.15</v>
      </c>
      <c r="G320" s="31">
        <v>5.2400000000000002E-2</v>
      </c>
      <c r="H320" s="23">
        <v>2629.32</v>
      </c>
      <c r="I320" s="31">
        <v>5.2400000000000002E-2</v>
      </c>
      <c r="J320" s="23">
        <v>1222.94</v>
      </c>
      <c r="K320" s="23">
        <v>50140.56</v>
      </c>
      <c r="L320" s="23">
        <v>30196.32</v>
      </c>
      <c r="M320" s="23">
        <v>29</v>
      </c>
      <c r="N320" s="23">
        <v>90.67</v>
      </c>
      <c r="O320" s="31">
        <v>-1.0999999999999999E-2</v>
      </c>
      <c r="P320" s="31">
        <v>8.6599999999999996E-2</v>
      </c>
      <c r="Q320" s="23" t="s">
        <v>24</v>
      </c>
      <c r="R320" s="23">
        <v>0</v>
      </c>
      <c r="S320" s="23">
        <v>40.31</v>
      </c>
      <c r="U320" s="47">
        <f>VLOOKUP(AU320,[1]expiry_dates!$B$2:$C$2894,2,FALSE)</f>
        <v>43734</v>
      </c>
      <c r="V320" s="23" t="s">
        <v>134</v>
      </c>
      <c r="W320" s="23" t="s">
        <v>23</v>
      </c>
      <c r="X320" s="49">
        <v>43728.4375</v>
      </c>
      <c r="Y320" s="23">
        <v>1</v>
      </c>
      <c r="Z320" s="23">
        <v>43731.4375</v>
      </c>
      <c r="AA320" s="23">
        <v>0.15</v>
      </c>
      <c r="AB320" s="23">
        <v>-0.85</v>
      </c>
      <c r="AC320" s="23">
        <v>47309.84</v>
      </c>
      <c r="AD320" s="23">
        <v>0.85</v>
      </c>
      <c r="AE320" s="23">
        <v>55658.63</v>
      </c>
      <c r="AF320" s="23">
        <v>55658.63</v>
      </c>
      <c r="AG320" s="23">
        <v>1173987.99</v>
      </c>
      <c r="AH320" s="23">
        <v>29</v>
      </c>
      <c r="AI320" s="23">
        <v>1631.37</v>
      </c>
      <c r="AJ320" s="23">
        <v>-0.1</v>
      </c>
      <c r="AK320" s="23">
        <v>0.9</v>
      </c>
      <c r="AL320" s="23" t="s">
        <v>24</v>
      </c>
      <c r="AM320" s="23">
        <v>41</v>
      </c>
      <c r="AN320" s="23">
        <v>27017.7</v>
      </c>
      <c r="AO320" s="23">
        <v>40.31</v>
      </c>
      <c r="AP320" s="23">
        <v>0</v>
      </c>
      <c r="AR320" s="46"/>
      <c r="AS320" s="44"/>
      <c r="AT320" s="45"/>
      <c r="AU320" s="2">
        <v>43728</v>
      </c>
      <c r="AV320" s="52">
        <v>0.4375</v>
      </c>
      <c r="AW320" s="2" t="s">
        <v>212</v>
      </c>
      <c r="AY320" s="3"/>
      <c r="BA320" s="3"/>
      <c r="BG320" s="3"/>
      <c r="BH320" s="3"/>
    </row>
    <row r="321" spans="1:60">
      <c r="A321" s="23" t="s">
        <v>22</v>
      </c>
      <c r="B321" s="23" t="s">
        <v>23</v>
      </c>
      <c r="C321" s="27">
        <v>43731.4375</v>
      </c>
      <c r="D321" s="23">
        <v>43.15</v>
      </c>
      <c r="E321" s="27">
        <v>43731.53125</v>
      </c>
      <c r="F321" s="23">
        <v>43.85</v>
      </c>
      <c r="G321" s="31">
        <v>1.6199999999999999E-2</v>
      </c>
      <c r="H321" s="23">
        <v>-813.58</v>
      </c>
      <c r="I321" s="31">
        <v>-1.6199999999999999E-2</v>
      </c>
      <c r="J321" s="23">
        <v>1162.2619999999999</v>
      </c>
      <c r="K321" s="23">
        <v>50151.59</v>
      </c>
      <c r="L321" s="23">
        <v>29382.74</v>
      </c>
      <c r="M321" s="23">
        <v>10</v>
      </c>
      <c r="N321" s="23">
        <v>-81.36</v>
      </c>
      <c r="O321" s="31">
        <v>-1.6199999999999999E-2</v>
      </c>
      <c r="P321" s="31">
        <v>3.5000000000000001E-3</v>
      </c>
      <c r="Q321" s="23" t="s">
        <v>24</v>
      </c>
      <c r="R321" s="23">
        <v>0</v>
      </c>
      <c r="S321" s="23">
        <v>44.55</v>
      </c>
      <c r="U321" s="47">
        <f>VLOOKUP(AU321,[1]expiry_dates!$B$2:$C$2894,2,FALSE)</f>
        <v>43734</v>
      </c>
      <c r="V321" s="23" t="s">
        <v>116</v>
      </c>
      <c r="W321" s="23" t="s">
        <v>23</v>
      </c>
      <c r="X321" s="49">
        <v>43731.4375</v>
      </c>
      <c r="Y321" s="23">
        <v>1.3</v>
      </c>
      <c r="Z321" s="23">
        <v>43731.53125</v>
      </c>
      <c r="AA321" s="23">
        <v>2.0499999999999998</v>
      </c>
      <c r="AB321" s="23">
        <v>0.57689999999999997</v>
      </c>
      <c r="AC321" s="23">
        <v>-32240.69</v>
      </c>
      <c r="AD321" s="23">
        <v>-0.57689999999999997</v>
      </c>
      <c r="AE321" s="23">
        <v>42987.58</v>
      </c>
      <c r="AF321" s="23">
        <v>55883.86</v>
      </c>
      <c r="AG321" s="23">
        <v>1141747.3</v>
      </c>
      <c r="AH321" s="23">
        <v>10</v>
      </c>
      <c r="AI321" s="23">
        <v>-3224.07</v>
      </c>
      <c r="AJ321" s="23">
        <v>-0.57689999999999997</v>
      </c>
      <c r="AK321" s="23">
        <v>7.6899999999999996E-2</v>
      </c>
      <c r="AL321" s="23" t="s">
        <v>24</v>
      </c>
      <c r="AM321" s="23">
        <v>43.15</v>
      </c>
      <c r="AN321" s="23">
        <v>30044.2</v>
      </c>
      <c r="AO321" s="23">
        <v>44.55</v>
      </c>
      <c r="AP321" s="23">
        <v>0</v>
      </c>
      <c r="AR321" s="46"/>
      <c r="AS321" s="44"/>
      <c r="AT321" s="45"/>
      <c r="AU321" s="2">
        <v>43731</v>
      </c>
      <c r="AV321" s="52">
        <v>0.4375</v>
      </c>
      <c r="AW321" s="2" t="s">
        <v>212</v>
      </c>
      <c r="AY321" s="3"/>
      <c r="BA321" s="3"/>
      <c r="BG321" s="3"/>
      <c r="BH321" s="3"/>
    </row>
    <row r="322" spans="1:60">
      <c r="A322" s="23" t="s">
        <v>22</v>
      </c>
      <c r="B322" s="23" t="s">
        <v>25</v>
      </c>
      <c r="C322" s="27">
        <v>43731.53125</v>
      </c>
      <c r="D322" s="23">
        <v>43.85</v>
      </c>
      <c r="E322" s="27">
        <v>43731.614583333336</v>
      </c>
      <c r="F322" s="23">
        <v>43.45</v>
      </c>
      <c r="G322" s="31">
        <v>-9.1000000000000004E-3</v>
      </c>
      <c r="H322" s="23">
        <v>-457.45</v>
      </c>
      <c r="I322" s="31">
        <v>-9.1000000000000004E-3</v>
      </c>
      <c r="J322" s="23">
        <v>1143.634</v>
      </c>
      <c r="K322" s="23">
        <v>50148.37</v>
      </c>
      <c r="L322" s="23">
        <v>28925.279999999999</v>
      </c>
      <c r="M322" s="23">
        <v>9</v>
      </c>
      <c r="N322" s="23">
        <v>-50.83</v>
      </c>
      <c r="O322" s="31">
        <v>-9.1000000000000004E-3</v>
      </c>
      <c r="P322" s="31">
        <v>1.03E-2</v>
      </c>
      <c r="Q322" s="23" t="s">
        <v>24</v>
      </c>
      <c r="R322" s="23">
        <v>0</v>
      </c>
      <c r="S322" s="23">
        <v>43.05</v>
      </c>
      <c r="U322" s="47">
        <f>VLOOKUP(AU322,[1]expiry_dates!$B$2:$C$2894,2,FALSE)</f>
        <v>43734</v>
      </c>
      <c r="V322" s="23" t="s">
        <v>118</v>
      </c>
      <c r="W322" s="23" t="s">
        <v>23</v>
      </c>
      <c r="X322" s="49">
        <v>43731.53125</v>
      </c>
      <c r="Y322" s="23">
        <v>0.4</v>
      </c>
      <c r="Z322" s="23">
        <v>43731.614583333336</v>
      </c>
      <c r="AA322" s="23">
        <v>0.45</v>
      </c>
      <c r="AB322" s="23">
        <v>0.125</v>
      </c>
      <c r="AC322" s="23">
        <v>-6986.43</v>
      </c>
      <c r="AD322" s="23">
        <v>-0.125</v>
      </c>
      <c r="AE322" s="23">
        <v>139728.6</v>
      </c>
      <c r="AF322" s="23">
        <v>55891.43</v>
      </c>
      <c r="AG322" s="23">
        <v>1134760.8700000001</v>
      </c>
      <c r="AH322" s="23">
        <v>9</v>
      </c>
      <c r="AI322" s="23">
        <v>-776.27</v>
      </c>
      <c r="AJ322" s="23">
        <v>-0.25</v>
      </c>
      <c r="AK322" s="23">
        <v>0.5</v>
      </c>
      <c r="AL322" s="23" t="s">
        <v>24</v>
      </c>
      <c r="AM322" s="23">
        <v>43.85</v>
      </c>
      <c r="AN322" s="23">
        <v>30638.3</v>
      </c>
      <c r="AO322" s="23">
        <v>43.05</v>
      </c>
      <c r="AP322" s="23">
        <v>0</v>
      </c>
      <c r="AR322" s="46"/>
      <c r="AS322" s="44"/>
      <c r="AT322" s="45"/>
      <c r="AU322" s="2">
        <v>43731</v>
      </c>
      <c r="AV322" s="52">
        <v>0.53125</v>
      </c>
      <c r="AW322" s="2" t="s">
        <v>213</v>
      </c>
      <c r="AY322" s="3"/>
      <c r="BA322" s="3"/>
      <c r="BG322" s="3"/>
      <c r="BH322" s="3"/>
    </row>
    <row r="323" spans="1:60">
      <c r="A323" s="23" t="s">
        <v>22</v>
      </c>
      <c r="B323" s="23" t="s">
        <v>23</v>
      </c>
      <c r="C323" s="27">
        <v>43731.614583333336</v>
      </c>
      <c r="D323" s="23">
        <v>43.45</v>
      </c>
      <c r="E323" s="27">
        <v>43732.510416666664</v>
      </c>
      <c r="F323" s="23">
        <v>43.3</v>
      </c>
      <c r="G323" s="31">
        <v>-3.5000000000000001E-3</v>
      </c>
      <c r="H323" s="23">
        <v>173.12</v>
      </c>
      <c r="I323" s="31">
        <v>3.5000000000000001E-3</v>
      </c>
      <c r="J323" s="23">
        <v>1154.116</v>
      </c>
      <c r="K323" s="23">
        <v>50146.34</v>
      </c>
      <c r="L323" s="23">
        <v>29098.400000000001</v>
      </c>
      <c r="M323" s="23">
        <v>20</v>
      </c>
      <c r="N323" s="23">
        <v>8.66</v>
      </c>
      <c r="O323" s="31">
        <v>-1.04E-2</v>
      </c>
      <c r="P323" s="31">
        <v>1.61E-2</v>
      </c>
      <c r="Q323" s="23" t="s">
        <v>24</v>
      </c>
      <c r="R323" s="23">
        <v>0</v>
      </c>
      <c r="S323" s="23">
        <v>44.28</v>
      </c>
      <c r="U323" s="47">
        <f>VLOOKUP(AU323,[1]expiry_dates!$B$2:$C$2894,2,FALSE)</f>
        <v>43734</v>
      </c>
      <c r="V323" s="23" t="s">
        <v>117</v>
      </c>
      <c r="W323" s="23" t="s">
        <v>23</v>
      </c>
      <c r="X323" s="49">
        <v>43731.614583333336</v>
      </c>
      <c r="Y323" s="23">
        <v>0.65</v>
      </c>
      <c r="Z323" s="23">
        <v>43732.510416666664</v>
      </c>
      <c r="AA323" s="23">
        <v>0.45</v>
      </c>
      <c r="AB323" s="23">
        <v>-0.30769999999999997</v>
      </c>
      <c r="AC323" s="23">
        <v>17130.400000000001</v>
      </c>
      <c r="AD323" s="23">
        <v>0.30769999999999997</v>
      </c>
      <c r="AE323" s="23">
        <v>85652.01</v>
      </c>
      <c r="AF323" s="23">
        <v>55673.8</v>
      </c>
      <c r="AG323" s="23">
        <v>1151891.28</v>
      </c>
      <c r="AH323" s="23">
        <v>20</v>
      </c>
      <c r="AI323" s="23">
        <v>856.52</v>
      </c>
      <c r="AJ323" s="23">
        <v>-0.3846</v>
      </c>
      <c r="AK323" s="23">
        <v>0.53849999999999998</v>
      </c>
      <c r="AL323" s="23" t="s">
        <v>24</v>
      </c>
      <c r="AM323" s="23">
        <v>43.45</v>
      </c>
      <c r="AN323" s="23">
        <v>30635.05</v>
      </c>
      <c r="AO323" s="23">
        <v>44.28</v>
      </c>
      <c r="AP323" s="23">
        <v>0</v>
      </c>
      <c r="AR323" s="46"/>
      <c r="AS323" s="44"/>
      <c r="AT323" s="45"/>
      <c r="AU323" s="2">
        <v>43731</v>
      </c>
      <c r="AV323" s="52">
        <v>0.11458333333333333</v>
      </c>
      <c r="AW323" s="2" t="s">
        <v>213</v>
      </c>
      <c r="AY323" s="3"/>
      <c r="BA323" s="3"/>
      <c r="BG323" s="3"/>
      <c r="BH323" s="3"/>
    </row>
    <row r="324" spans="1:60">
      <c r="A324" s="23" t="s">
        <v>22</v>
      </c>
      <c r="B324" s="23" t="s">
        <v>25</v>
      </c>
      <c r="C324" s="27">
        <v>43732.510416666664</v>
      </c>
      <c r="D324" s="23">
        <v>43.3</v>
      </c>
      <c r="E324" s="27">
        <v>43732.552083333336</v>
      </c>
      <c r="F324" s="23">
        <v>42.9</v>
      </c>
      <c r="G324" s="31">
        <v>-9.1999999999999998E-3</v>
      </c>
      <c r="H324" s="23">
        <v>-463.24</v>
      </c>
      <c r="I324" s="31">
        <v>-9.1999999999999998E-3</v>
      </c>
      <c r="J324" s="23">
        <v>1158.1079999999999</v>
      </c>
      <c r="K324" s="23">
        <v>50146.07</v>
      </c>
      <c r="L324" s="23">
        <v>28635.16</v>
      </c>
      <c r="M324" s="23">
        <v>5</v>
      </c>
      <c r="N324" s="23">
        <v>-92.65</v>
      </c>
      <c r="O324" s="31">
        <v>-9.1999999999999998E-3</v>
      </c>
      <c r="P324" s="31">
        <v>3.5000000000000001E-3</v>
      </c>
      <c r="Q324" s="23" t="s">
        <v>24</v>
      </c>
      <c r="R324" s="23">
        <v>0</v>
      </c>
      <c r="S324" s="23">
        <v>42.76</v>
      </c>
      <c r="U324" s="47">
        <f>VLOOKUP(AU324,[1]expiry_dates!$B$2:$C$2894,2,FALSE)</f>
        <v>43734</v>
      </c>
      <c r="V324" s="23" t="s">
        <v>115</v>
      </c>
      <c r="W324" s="23" t="s">
        <v>23</v>
      </c>
      <c r="X324" s="49">
        <v>43732.510416666664</v>
      </c>
      <c r="Y324" s="23">
        <v>0.15</v>
      </c>
      <c r="Z324" s="23">
        <v>43732.552083333336</v>
      </c>
      <c r="AA324" s="23">
        <v>0.2</v>
      </c>
      <c r="AB324" s="23">
        <v>0.33329999999999999</v>
      </c>
      <c r="AC324" s="23">
        <v>-18593.62</v>
      </c>
      <c r="AD324" s="23">
        <v>-0.33329999999999999</v>
      </c>
      <c r="AE324" s="23">
        <v>371872.4</v>
      </c>
      <c r="AF324" s="23">
        <v>55780.87</v>
      </c>
      <c r="AG324" s="23">
        <v>1133297.6499999999</v>
      </c>
      <c r="AH324" s="23">
        <v>5</v>
      </c>
      <c r="AI324" s="23">
        <v>-3718.72</v>
      </c>
      <c r="AJ324" s="23">
        <v>-0.33329999999999999</v>
      </c>
      <c r="AK324" s="23">
        <v>0</v>
      </c>
      <c r="AL324" s="23" t="s">
        <v>24</v>
      </c>
      <c r="AM324" s="23">
        <v>43.3</v>
      </c>
      <c r="AN324" s="23">
        <v>30118.55</v>
      </c>
      <c r="AO324" s="23">
        <v>42.76</v>
      </c>
      <c r="AP324" s="23">
        <v>0</v>
      </c>
      <c r="AR324" s="46"/>
      <c r="AS324" s="44"/>
      <c r="AT324" s="45"/>
      <c r="AU324" s="2">
        <v>43732</v>
      </c>
      <c r="AV324" s="52">
        <v>0.51041666666666663</v>
      </c>
      <c r="AW324" s="2" t="s">
        <v>213</v>
      </c>
      <c r="AY324" s="3"/>
      <c r="BA324" s="3"/>
      <c r="BG324" s="3"/>
      <c r="BH324" s="3"/>
    </row>
    <row r="325" spans="1:60">
      <c r="A325" s="23" t="s">
        <v>22</v>
      </c>
      <c r="B325" s="23" t="s">
        <v>23</v>
      </c>
      <c r="C325" s="27">
        <v>43732.552083333336</v>
      </c>
      <c r="D325" s="23">
        <v>42.9</v>
      </c>
      <c r="E325" s="27">
        <v>43733.40625</v>
      </c>
      <c r="F325" s="23">
        <v>43.1</v>
      </c>
      <c r="G325" s="31">
        <v>4.7000000000000002E-3</v>
      </c>
      <c r="H325" s="23">
        <v>-233.77</v>
      </c>
      <c r="I325" s="31">
        <v>-4.7000000000000002E-3</v>
      </c>
      <c r="J325" s="23">
        <v>1168.845</v>
      </c>
      <c r="K325" s="23">
        <v>50143.46</v>
      </c>
      <c r="L325" s="23">
        <v>28401.39</v>
      </c>
      <c r="M325" s="23">
        <v>15</v>
      </c>
      <c r="N325" s="23">
        <v>-15.58</v>
      </c>
      <c r="O325" s="31">
        <v>-4.7000000000000002E-3</v>
      </c>
      <c r="P325" s="31">
        <v>1.4E-2</v>
      </c>
      <c r="Q325" s="23" t="s">
        <v>24</v>
      </c>
      <c r="R325" s="23">
        <v>0</v>
      </c>
      <c r="S325" s="23">
        <v>43.42</v>
      </c>
      <c r="U325" s="47">
        <f>VLOOKUP(AU325,[1]expiry_dates!$B$2:$C$2894,2,FALSE)</f>
        <v>43734</v>
      </c>
      <c r="V325" s="23" t="s">
        <v>114</v>
      </c>
      <c r="W325" s="23" t="s">
        <v>23</v>
      </c>
      <c r="X325" s="49">
        <v>43732.552083333336</v>
      </c>
      <c r="Y325" s="23">
        <v>0.55000000000000004</v>
      </c>
      <c r="Z325" s="23">
        <v>43733.40625</v>
      </c>
      <c r="AA325" s="23">
        <v>0.6</v>
      </c>
      <c r="AB325" s="23">
        <v>9.0899999999999995E-2</v>
      </c>
      <c r="AC325" s="23">
        <v>-5060.59</v>
      </c>
      <c r="AD325" s="23">
        <v>-9.0899999999999995E-2</v>
      </c>
      <c r="AE325" s="23">
        <v>101211.8</v>
      </c>
      <c r="AF325" s="23">
        <v>55666.49</v>
      </c>
      <c r="AG325" s="23">
        <v>1128237.06</v>
      </c>
      <c r="AH325" s="23">
        <v>15</v>
      </c>
      <c r="AI325" s="23">
        <v>-337.37</v>
      </c>
      <c r="AJ325" s="23">
        <v>-9.0899999999999995E-2</v>
      </c>
      <c r="AK325" s="23">
        <v>0.2727</v>
      </c>
      <c r="AL325" s="23" t="s">
        <v>24</v>
      </c>
      <c r="AM325" s="23">
        <v>42.9</v>
      </c>
      <c r="AN325" s="23">
        <v>30039.9</v>
      </c>
      <c r="AO325" s="23">
        <v>43.42</v>
      </c>
      <c r="AP325" s="23">
        <v>0</v>
      </c>
      <c r="AR325" s="46"/>
      <c r="AS325" s="44"/>
      <c r="AT325" s="45"/>
      <c r="AU325" s="2">
        <v>43732</v>
      </c>
      <c r="AV325" s="52">
        <v>5.2083333333333336E-2</v>
      </c>
      <c r="AW325" s="2" t="s">
        <v>213</v>
      </c>
      <c r="AY325" s="3"/>
      <c r="BA325" s="3"/>
      <c r="BG325" s="3"/>
      <c r="BH325" s="3"/>
    </row>
    <row r="326" spans="1:60">
      <c r="A326" s="23" t="s">
        <v>22</v>
      </c>
      <c r="B326" s="23" t="s">
        <v>25</v>
      </c>
      <c r="C326" s="27">
        <v>43733.40625</v>
      </c>
      <c r="D326" s="23">
        <v>43.1</v>
      </c>
      <c r="E326" s="27">
        <v>43733.489583333336</v>
      </c>
      <c r="F326" s="23">
        <v>42.8</v>
      </c>
      <c r="G326" s="31">
        <v>-7.0000000000000001E-3</v>
      </c>
      <c r="H326" s="23">
        <v>-349.04</v>
      </c>
      <c r="I326" s="31">
        <v>-7.0000000000000001E-3</v>
      </c>
      <c r="J326" s="23">
        <v>1163.4549999999999</v>
      </c>
      <c r="K326" s="23">
        <v>50144.93</v>
      </c>
      <c r="L326" s="23">
        <v>28052.35</v>
      </c>
      <c r="M326" s="23">
        <v>9</v>
      </c>
      <c r="N326" s="23">
        <v>-38.78</v>
      </c>
      <c r="O326" s="31">
        <v>-1.2800000000000001E-2</v>
      </c>
      <c r="P326" s="31">
        <v>2.3E-3</v>
      </c>
      <c r="Q326" s="23" t="s">
        <v>24</v>
      </c>
      <c r="R326" s="23">
        <v>0</v>
      </c>
      <c r="S326" s="23">
        <v>42.3</v>
      </c>
      <c r="U326" s="47">
        <f>VLOOKUP(AU326,[1]expiry_dates!$B$2:$C$2894,2,FALSE)</f>
        <v>43734</v>
      </c>
      <c r="V326" s="23" t="s">
        <v>118</v>
      </c>
      <c r="W326" s="23" t="s">
        <v>23</v>
      </c>
      <c r="X326" s="49">
        <v>43733.40625</v>
      </c>
      <c r="Y326" s="23">
        <v>0.55000000000000004</v>
      </c>
      <c r="Z326" s="23">
        <v>43733.489583333336</v>
      </c>
      <c r="AA326" s="23">
        <v>0.65</v>
      </c>
      <c r="AB326" s="23">
        <v>0.18179999999999999</v>
      </c>
      <c r="AC326" s="23">
        <v>-10134.98</v>
      </c>
      <c r="AD326" s="23">
        <v>-0.18179999999999999</v>
      </c>
      <c r="AE326" s="23">
        <v>101349.8</v>
      </c>
      <c r="AF326" s="23">
        <v>55742.400000000001</v>
      </c>
      <c r="AG326" s="23">
        <v>1118102.08</v>
      </c>
      <c r="AH326" s="23">
        <v>9</v>
      </c>
      <c r="AI326" s="23">
        <v>-1126.1099999999999</v>
      </c>
      <c r="AJ326" s="23">
        <v>-0.36359999999999998</v>
      </c>
      <c r="AK326" s="23">
        <v>0</v>
      </c>
      <c r="AL326" s="23" t="s">
        <v>24</v>
      </c>
      <c r="AM326" s="23">
        <v>43.1</v>
      </c>
      <c r="AN326" s="23">
        <v>29827.3</v>
      </c>
      <c r="AO326" s="23">
        <v>42.3</v>
      </c>
      <c r="AP326" s="23">
        <v>0</v>
      </c>
      <c r="AR326" s="46"/>
      <c r="AS326" s="44"/>
      <c r="AT326" s="45"/>
      <c r="AU326" s="2">
        <v>43733</v>
      </c>
      <c r="AV326" s="52">
        <v>0.40625</v>
      </c>
      <c r="AW326" s="2" t="s">
        <v>212</v>
      </c>
      <c r="AY326" s="3"/>
      <c r="BA326" s="3"/>
      <c r="BG326" s="3"/>
      <c r="BH326" s="3"/>
    </row>
    <row r="327" spans="1:60">
      <c r="A327" s="23" t="s">
        <v>22</v>
      </c>
      <c r="B327" s="23" t="s">
        <v>23</v>
      </c>
      <c r="C327" s="27">
        <v>43733.489583333336</v>
      </c>
      <c r="D327" s="23">
        <v>42.8</v>
      </c>
      <c r="E327" s="27">
        <v>43733.552083333336</v>
      </c>
      <c r="F327" s="23">
        <v>42.85</v>
      </c>
      <c r="G327" s="31">
        <v>1.1999999999999999E-3</v>
      </c>
      <c r="H327" s="23">
        <v>-58.57</v>
      </c>
      <c r="I327" s="31">
        <v>-1.1999999999999999E-3</v>
      </c>
      <c r="J327" s="23">
        <v>1171.4880000000001</v>
      </c>
      <c r="K327" s="23">
        <v>50139.68</v>
      </c>
      <c r="L327" s="23">
        <v>27993.78</v>
      </c>
      <c r="M327" s="23">
        <v>7</v>
      </c>
      <c r="N327" s="23">
        <v>-8.3699999999999992</v>
      </c>
      <c r="O327" s="31">
        <v>-4.7000000000000002E-3</v>
      </c>
      <c r="P327" s="31">
        <v>4.7000000000000002E-3</v>
      </c>
      <c r="Q327" s="23" t="s">
        <v>24</v>
      </c>
      <c r="R327" s="23">
        <v>0</v>
      </c>
      <c r="S327" s="23">
        <v>43.19</v>
      </c>
      <c r="U327" s="47">
        <f>VLOOKUP(AU327,[1]expiry_dates!$B$2:$C$2894,2,FALSE)</f>
        <v>43734</v>
      </c>
      <c r="V327" s="23" t="s">
        <v>114</v>
      </c>
      <c r="W327" s="23" t="s">
        <v>23</v>
      </c>
      <c r="X327" s="49">
        <v>43733.489583333336</v>
      </c>
      <c r="Y327" s="23">
        <v>0.35</v>
      </c>
      <c r="Z327" s="23">
        <v>43733.552083333336</v>
      </c>
      <c r="AA327" s="23">
        <v>0.4</v>
      </c>
      <c r="AB327" s="23">
        <v>0.1429</v>
      </c>
      <c r="AC327" s="23">
        <v>-7945.12</v>
      </c>
      <c r="AD327" s="23">
        <v>-0.1429</v>
      </c>
      <c r="AE327" s="23">
        <v>158902.39999999999</v>
      </c>
      <c r="AF327" s="23">
        <v>55615.85</v>
      </c>
      <c r="AG327" s="23">
        <v>1110156.96</v>
      </c>
      <c r="AH327" s="23">
        <v>7</v>
      </c>
      <c r="AI327" s="23">
        <v>-1135.02</v>
      </c>
      <c r="AJ327" s="23">
        <v>-0.28570000000000001</v>
      </c>
      <c r="AK327" s="23">
        <v>0</v>
      </c>
      <c r="AL327" s="23" t="s">
        <v>24</v>
      </c>
      <c r="AM327" s="23">
        <v>42.8</v>
      </c>
      <c r="AN327" s="23">
        <v>29711.200000000001</v>
      </c>
      <c r="AO327" s="23">
        <v>43.19</v>
      </c>
      <c r="AP327" s="23">
        <v>0</v>
      </c>
      <c r="AR327" s="46"/>
      <c r="AS327" s="44"/>
      <c r="AT327" s="45"/>
      <c r="AU327" s="2">
        <v>43733</v>
      </c>
      <c r="AV327" s="52">
        <v>0.48958333333333331</v>
      </c>
      <c r="AW327" s="2" t="s">
        <v>212</v>
      </c>
      <c r="AY327" s="3"/>
      <c r="BA327" s="3"/>
      <c r="BG327" s="3"/>
      <c r="BH327" s="3"/>
    </row>
    <row r="328" spans="1:60">
      <c r="A328" s="23" t="s">
        <v>22</v>
      </c>
      <c r="B328" s="23" t="s">
        <v>25</v>
      </c>
      <c r="C328" s="27">
        <v>43733.552083333336</v>
      </c>
      <c r="D328" s="23">
        <v>42.85</v>
      </c>
      <c r="E328" s="27">
        <v>43734.541666666664</v>
      </c>
      <c r="F328" s="23">
        <v>43.6</v>
      </c>
      <c r="G328" s="31">
        <v>1.7500000000000002E-2</v>
      </c>
      <c r="H328" s="23">
        <v>877.59</v>
      </c>
      <c r="I328" s="31">
        <v>1.7500000000000002E-2</v>
      </c>
      <c r="J328" s="23">
        <v>1170.114</v>
      </c>
      <c r="K328" s="23">
        <v>50139.38</v>
      </c>
      <c r="L328" s="23">
        <v>28871.360000000001</v>
      </c>
      <c r="M328" s="23">
        <v>28</v>
      </c>
      <c r="N328" s="23">
        <v>31.34</v>
      </c>
      <c r="O328" s="31">
        <v>-1.1999999999999999E-3</v>
      </c>
      <c r="P328" s="31">
        <v>3.3799999999999997E-2</v>
      </c>
      <c r="Q328" s="23" t="s">
        <v>24</v>
      </c>
      <c r="R328" s="23">
        <v>0</v>
      </c>
      <c r="S328" s="23">
        <v>42.62</v>
      </c>
      <c r="U328" s="47">
        <f>VLOOKUP(AU328,[1]expiry_dates!$B$2:$C$2894,2,FALSE)</f>
        <v>43734</v>
      </c>
      <c r="V328" s="23" t="s">
        <v>113</v>
      </c>
      <c r="W328" s="23" t="s">
        <v>23</v>
      </c>
      <c r="X328" s="49">
        <v>43733.552083333336</v>
      </c>
      <c r="Y328" s="23">
        <v>0.05</v>
      </c>
      <c r="Z328" s="23">
        <v>43734.541666666664</v>
      </c>
      <c r="AA328" s="23">
        <v>0.05</v>
      </c>
      <c r="AB328" s="23">
        <v>0</v>
      </c>
      <c r="AC328" s="23">
        <v>0</v>
      </c>
      <c r="AD328" s="23">
        <v>0</v>
      </c>
      <c r="AE328" s="23">
        <v>1110221</v>
      </c>
      <c r="AF328" s="23">
        <v>55511.06</v>
      </c>
      <c r="AG328" s="23">
        <v>1110156.96</v>
      </c>
      <c r="AH328" s="23">
        <v>28</v>
      </c>
      <c r="AI328" s="23">
        <v>0</v>
      </c>
      <c r="AJ328" s="23">
        <v>0</v>
      </c>
      <c r="AK328" s="23">
        <v>0</v>
      </c>
      <c r="AL328" s="23" t="s">
        <v>24</v>
      </c>
      <c r="AM328" s="23">
        <v>42.85</v>
      </c>
      <c r="AN328" s="23">
        <v>29598.35</v>
      </c>
      <c r="AO328" s="23">
        <v>42.62</v>
      </c>
      <c r="AP328" s="23">
        <v>0</v>
      </c>
      <c r="AR328" s="46"/>
      <c r="AS328" s="44"/>
      <c r="AT328" s="45"/>
      <c r="AU328" s="2">
        <v>43733</v>
      </c>
      <c r="AV328" s="52">
        <v>5.2083333333333336E-2</v>
      </c>
      <c r="AW328" s="2" t="s">
        <v>213</v>
      </c>
      <c r="AY328" s="3"/>
      <c r="BA328" s="3"/>
      <c r="BG328" s="3"/>
      <c r="BH328" s="3"/>
    </row>
    <row r="329" spans="1:60">
      <c r="A329" s="23" t="s">
        <v>22</v>
      </c>
      <c r="B329" s="23" t="s">
        <v>23</v>
      </c>
      <c r="C329" s="27">
        <v>43734.541666666664</v>
      </c>
      <c r="D329" s="23">
        <v>43.6</v>
      </c>
      <c r="E329" s="27">
        <v>43734.614583333336</v>
      </c>
      <c r="F329" s="23">
        <v>43.95</v>
      </c>
      <c r="G329" s="31">
        <v>8.0000000000000002E-3</v>
      </c>
      <c r="H329" s="23">
        <v>-402.54</v>
      </c>
      <c r="I329" s="31">
        <v>-8.0000000000000002E-3</v>
      </c>
      <c r="J329" s="23">
        <v>1150.127</v>
      </c>
      <c r="K329" s="23">
        <v>50145.53</v>
      </c>
      <c r="L329" s="23">
        <v>28468.82</v>
      </c>
      <c r="M329" s="23">
        <v>8</v>
      </c>
      <c r="N329" s="23">
        <v>-50.32</v>
      </c>
      <c r="O329" s="31">
        <v>-9.1999999999999998E-3</v>
      </c>
      <c r="P329" s="31">
        <v>4.5999999999999999E-3</v>
      </c>
      <c r="Q329" s="23" t="s">
        <v>24</v>
      </c>
      <c r="R329" s="23">
        <v>0</v>
      </c>
      <c r="S329" s="23">
        <v>44.28</v>
      </c>
      <c r="U329" s="47">
        <f>VLOOKUP(AU329,[1]expiry_dates!$B$2:$C$2894,2,FALSE)</f>
        <v>43734</v>
      </c>
      <c r="V329" s="23" t="s">
        <v>117</v>
      </c>
      <c r="W329" s="23" t="s">
        <v>23</v>
      </c>
      <c r="X329" s="49">
        <v>43734.541666666664</v>
      </c>
      <c r="Y329" s="23">
        <v>0.2</v>
      </c>
      <c r="Z329" s="23">
        <v>43734.614583333336</v>
      </c>
      <c r="AA329" s="23">
        <v>0.15</v>
      </c>
      <c r="AB329" s="23">
        <v>-0.25</v>
      </c>
      <c r="AC329" s="23">
        <v>13887.7</v>
      </c>
      <c r="AD329" s="23">
        <v>0.25</v>
      </c>
      <c r="AE329" s="23">
        <v>277753.90000000002</v>
      </c>
      <c r="AF329" s="23">
        <v>55550.78</v>
      </c>
      <c r="AG329" s="23">
        <v>1124044.6599999999</v>
      </c>
      <c r="AH329" s="23">
        <v>8</v>
      </c>
      <c r="AI329" s="23">
        <v>1735.96</v>
      </c>
      <c r="AJ329" s="23">
        <v>-0.25</v>
      </c>
      <c r="AK329" s="23">
        <v>0.25</v>
      </c>
      <c r="AL329" s="23" t="s">
        <v>24</v>
      </c>
      <c r="AM329" s="23">
        <v>43.6</v>
      </c>
      <c r="AN329" s="23">
        <v>29993.4</v>
      </c>
      <c r="AO329" s="23">
        <v>44.28</v>
      </c>
      <c r="AP329" s="23">
        <v>0</v>
      </c>
      <c r="AR329" s="46"/>
      <c r="AS329" s="44"/>
      <c r="AT329" s="45"/>
      <c r="AU329" s="2">
        <v>43734</v>
      </c>
      <c r="AV329" s="52">
        <v>4.1666666666666664E-2</v>
      </c>
      <c r="AW329" s="2" t="s">
        <v>213</v>
      </c>
      <c r="AY329" s="3"/>
      <c r="BA329" s="3"/>
      <c r="BG329" s="3"/>
      <c r="BH329" s="3"/>
    </row>
    <row r="330" spans="1:60">
      <c r="A330" s="23" t="s">
        <v>22</v>
      </c>
      <c r="B330" s="23" t="s">
        <v>25</v>
      </c>
      <c r="C330" s="27">
        <v>43734.614583333336</v>
      </c>
      <c r="D330" s="23">
        <v>43.95</v>
      </c>
      <c r="E330" s="27">
        <v>43734.635416666664</v>
      </c>
      <c r="F330" s="23">
        <v>43.45</v>
      </c>
      <c r="G330" s="31">
        <v>-1.14E-2</v>
      </c>
      <c r="H330" s="23">
        <v>-570.45000000000005</v>
      </c>
      <c r="I330" s="31">
        <v>-1.14E-2</v>
      </c>
      <c r="J330" s="23">
        <v>1140.902</v>
      </c>
      <c r="K330" s="23">
        <v>50142.63</v>
      </c>
      <c r="L330" s="23">
        <v>27898.37</v>
      </c>
      <c r="M330" s="23">
        <v>3</v>
      </c>
      <c r="N330" s="23">
        <v>-190.15</v>
      </c>
      <c r="O330" s="31">
        <v>-1.14E-2</v>
      </c>
      <c r="P330" s="31">
        <v>1.1000000000000001E-3</v>
      </c>
      <c r="Q330" s="23" t="s">
        <v>24</v>
      </c>
      <c r="R330" s="23">
        <v>0</v>
      </c>
      <c r="S330" s="23">
        <v>43.41</v>
      </c>
      <c r="U330" s="47">
        <f>VLOOKUP(AU330,[1]expiry_dates!$B$2:$C$2894,2,FALSE)</f>
        <v>43734</v>
      </c>
      <c r="V330" s="23" t="s">
        <v>118</v>
      </c>
      <c r="W330" s="23" t="s">
        <v>23</v>
      </c>
      <c r="X330" s="49">
        <v>43734.614583333336</v>
      </c>
      <c r="Y330" s="23">
        <v>0.05</v>
      </c>
      <c r="Z330" s="23">
        <v>43734.635416666664</v>
      </c>
      <c r="AA330" s="23">
        <v>0.1</v>
      </c>
      <c r="AB330" s="23">
        <v>1</v>
      </c>
      <c r="AC330" s="23">
        <v>-55481.34</v>
      </c>
      <c r="AD330" s="23">
        <v>-1</v>
      </c>
      <c r="AE330" s="23">
        <v>1109627</v>
      </c>
      <c r="AF330" s="23">
        <v>55481.34</v>
      </c>
      <c r="AG330" s="23">
        <v>1068563.31</v>
      </c>
      <c r="AH330" s="23">
        <v>3</v>
      </c>
      <c r="AI330" s="23">
        <v>-18493.78</v>
      </c>
      <c r="AJ330" s="23">
        <v>-1</v>
      </c>
      <c r="AK330" s="23">
        <v>0</v>
      </c>
      <c r="AL330" s="23" t="s">
        <v>24</v>
      </c>
      <c r="AM330" s="23">
        <v>43.95</v>
      </c>
      <c r="AN330" s="23">
        <v>30048.1</v>
      </c>
      <c r="AO330" s="23">
        <v>43.41</v>
      </c>
      <c r="AP330" s="23">
        <v>0</v>
      </c>
      <c r="AR330" s="46"/>
      <c r="AS330" s="44"/>
      <c r="AT330" s="45"/>
      <c r="AU330" s="2">
        <v>43734</v>
      </c>
      <c r="AV330" s="52">
        <v>0.11458333333333333</v>
      </c>
      <c r="AW330" s="2" t="s">
        <v>213</v>
      </c>
      <c r="AY330" s="3"/>
      <c r="BA330" s="3"/>
      <c r="BG330" s="3"/>
      <c r="BH330" s="3"/>
    </row>
    <row r="331" spans="1:60">
      <c r="A331" s="23" t="s">
        <v>22</v>
      </c>
      <c r="B331" s="23" t="s">
        <v>23</v>
      </c>
      <c r="C331" s="27">
        <v>43734.635416666664</v>
      </c>
      <c r="D331" s="23">
        <v>43.45</v>
      </c>
      <c r="E331" s="27">
        <v>43734.6875</v>
      </c>
      <c r="F331" s="23">
        <v>43.6</v>
      </c>
      <c r="G331" s="31">
        <v>3.5000000000000001E-3</v>
      </c>
      <c r="H331" s="23">
        <v>-173.09</v>
      </c>
      <c r="I331" s="31">
        <v>-3.5000000000000001E-3</v>
      </c>
      <c r="J331" s="23">
        <v>1153.9649999999999</v>
      </c>
      <c r="K331" s="23">
        <v>50139.78</v>
      </c>
      <c r="L331" s="23">
        <v>27725.27</v>
      </c>
      <c r="M331" s="23">
        <v>3</v>
      </c>
      <c r="N331" s="23">
        <v>-57.7</v>
      </c>
      <c r="O331" s="31">
        <v>-3.5000000000000001E-3</v>
      </c>
      <c r="P331" s="31">
        <v>6.8999999999999999E-3</v>
      </c>
      <c r="Q331" s="23" t="s">
        <v>24</v>
      </c>
      <c r="R331" s="23">
        <v>0</v>
      </c>
      <c r="S331" s="23">
        <v>43.97</v>
      </c>
      <c r="U331" s="47">
        <f>VLOOKUP(AU331,[1]expiry_dates!$B$2:$C$2894,2,FALSE)</f>
        <v>43734</v>
      </c>
      <c r="V331" s="23" t="s">
        <v>114</v>
      </c>
      <c r="W331" s="23" t="s">
        <v>23</v>
      </c>
      <c r="X331" s="49">
        <v>43734.635416666664</v>
      </c>
      <c r="Y331" s="23">
        <v>0.15</v>
      </c>
      <c r="Z331" s="23">
        <v>43734.6875</v>
      </c>
      <c r="AA331" s="23">
        <v>0.15</v>
      </c>
      <c r="AB331" s="23">
        <v>0</v>
      </c>
      <c r="AC331" s="23">
        <v>0</v>
      </c>
      <c r="AD331" s="23">
        <v>0</v>
      </c>
      <c r="AE331" s="23">
        <v>370801.5</v>
      </c>
      <c r="AF331" s="23">
        <v>55620.22</v>
      </c>
      <c r="AG331" s="23">
        <v>1068563.31</v>
      </c>
      <c r="AH331" s="23">
        <v>3</v>
      </c>
      <c r="AI331" s="23">
        <v>0</v>
      </c>
      <c r="AJ331" s="23">
        <v>-1</v>
      </c>
      <c r="AK331" s="23">
        <v>0.66669999999999996</v>
      </c>
      <c r="AL331" s="23" t="s">
        <v>24</v>
      </c>
      <c r="AM331" s="23">
        <v>43.45</v>
      </c>
      <c r="AN331" s="23">
        <v>30042.35</v>
      </c>
      <c r="AO331" s="23">
        <v>43.97</v>
      </c>
      <c r="AP331" s="23">
        <v>0</v>
      </c>
      <c r="AR331" s="46"/>
      <c r="AS331" s="44"/>
      <c r="AT331" s="45"/>
      <c r="AU331" s="2">
        <v>43734</v>
      </c>
      <c r="AV331" s="52">
        <v>0.13541666666666666</v>
      </c>
      <c r="AW331" s="2" t="s">
        <v>213</v>
      </c>
      <c r="AY331" s="3"/>
      <c r="BA331" s="3"/>
      <c r="BG331" s="3"/>
      <c r="BH331" s="3"/>
    </row>
    <row r="332" spans="1:60">
      <c r="A332" s="23" t="s">
        <v>22</v>
      </c>
      <c r="B332" s="23" t="s">
        <v>23</v>
      </c>
      <c r="C332" s="27">
        <v>43735.385416666664</v>
      </c>
      <c r="D332" s="23">
        <v>43.2</v>
      </c>
      <c r="E332" s="27">
        <v>43735.572916666664</v>
      </c>
      <c r="F332" s="23">
        <v>43.05</v>
      </c>
      <c r="G332" s="31">
        <v>-3.5000000000000001E-3</v>
      </c>
      <c r="H332" s="23">
        <v>174.09</v>
      </c>
      <c r="I332" s="31">
        <v>3.5000000000000001E-3</v>
      </c>
      <c r="J332" s="23">
        <v>1160.616</v>
      </c>
      <c r="K332" s="23">
        <v>50138.63</v>
      </c>
      <c r="L332" s="23">
        <v>27899.360000000001</v>
      </c>
      <c r="M332" s="23">
        <v>19</v>
      </c>
      <c r="N332" s="23">
        <v>9.16</v>
      </c>
      <c r="O332" s="31">
        <v>-1.04E-2</v>
      </c>
      <c r="P332" s="31">
        <v>1.2699999999999999E-2</v>
      </c>
      <c r="Q332" s="23" t="s">
        <v>24</v>
      </c>
      <c r="R332" s="23">
        <v>0</v>
      </c>
      <c r="S332" s="23">
        <v>43.86</v>
      </c>
      <c r="U332" s="47">
        <f>VLOOKUP(AU332,[1]expiry_dates!$B$2:$C$2894,2,FALSE)</f>
        <v>43769</v>
      </c>
      <c r="V332" s="23" t="s">
        <v>114</v>
      </c>
      <c r="W332" s="23" t="s">
        <v>23</v>
      </c>
      <c r="X332" s="49">
        <v>43735.385416666664</v>
      </c>
      <c r="Y332" s="23">
        <v>1.85</v>
      </c>
      <c r="Z332" s="23">
        <v>43735.572916666664</v>
      </c>
      <c r="AA332" s="23">
        <v>1.7</v>
      </c>
      <c r="AB332" s="23">
        <v>-8.1100000000000005E-2</v>
      </c>
      <c r="AC332" s="23">
        <v>4487.26</v>
      </c>
      <c r="AD332" s="23">
        <v>8.1100000000000005E-2</v>
      </c>
      <c r="AE332" s="23">
        <v>29915.040000000001</v>
      </c>
      <c r="AF332" s="23">
        <v>55342.82</v>
      </c>
      <c r="AG332" s="23">
        <v>1073050.57</v>
      </c>
      <c r="AH332" s="23">
        <v>19</v>
      </c>
      <c r="AI332" s="23">
        <v>236.17</v>
      </c>
      <c r="AJ332" s="23">
        <v>-2.7E-2</v>
      </c>
      <c r="AK332" s="23">
        <v>0.18920000000000001</v>
      </c>
      <c r="AL332" s="23" t="s">
        <v>24</v>
      </c>
      <c r="AM332" s="23">
        <v>43.2</v>
      </c>
      <c r="AN332" s="23">
        <v>30006.3</v>
      </c>
      <c r="AO332" s="23">
        <v>43.86</v>
      </c>
      <c r="AP332" s="23">
        <v>0</v>
      </c>
      <c r="AR332" s="46"/>
      <c r="AS332" s="44"/>
      <c r="AT332" s="45"/>
      <c r="AU332" s="2">
        <v>43735</v>
      </c>
      <c r="AV332" s="52">
        <v>0.38541666666666669</v>
      </c>
      <c r="AW332" s="2" t="s">
        <v>212</v>
      </c>
      <c r="AY332" s="3"/>
      <c r="BA332" s="3"/>
      <c r="BG332" s="3"/>
      <c r="BH332" s="3"/>
    </row>
    <row r="333" spans="1:60">
      <c r="A333" s="23" t="s">
        <v>22</v>
      </c>
      <c r="B333" s="23" t="s">
        <v>25</v>
      </c>
      <c r="C333" s="27">
        <v>43735.572916666664</v>
      </c>
      <c r="D333" s="23">
        <v>43.05</v>
      </c>
      <c r="E333" s="27">
        <v>43735.625</v>
      </c>
      <c r="F333" s="23">
        <v>42.5</v>
      </c>
      <c r="G333" s="31">
        <v>-1.2800000000000001E-2</v>
      </c>
      <c r="H333" s="23">
        <v>-640.58000000000004</v>
      </c>
      <c r="I333" s="31">
        <v>-1.2800000000000001E-2</v>
      </c>
      <c r="J333" s="23">
        <v>1164.6869999999999</v>
      </c>
      <c r="K333" s="23">
        <v>50139.79</v>
      </c>
      <c r="L333" s="23">
        <v>27258.79</v>
      </c>
      <c r="M333" s="23">
        <v>6</v>
      </c>
      <c r="N333" s="23">
        <v>-106.76</v>
      </c>
      <c r="O333" s="31">
        <v>-1.2800000000000001E-2</v>
      </c>
      <c r="P333" s="31">
        <v>2.3E-3</v>
      </c>
      <c r="Q333" s="23" t="s">
        <v>24</v>
      </c>
      <c r="R333" s="23">
        <v>0</v>
      </c>
      <c r="S333" s="23">
        <v>42.66</v>
      </c>
      <c r="U333" s="47">
        <f>VLOOKUP(AU333,[1]expiry_dates!$B$2:$C$2894,2,FALSE)</f>
        <v>43769</v>
      </c>
      <c r="V333" s="23" t="s">
        <v>113</v>
      </c>
      <c r="W333" s="23" t="s">
        <v>23</v>
      </c>
      <c r="X333" s="49">
        <v>43735.572916666664</v>
      </c>
      <c r="Y333" s="23">
        <v>0.9</v>
      </c>
      <c r="Z333" s="23">
        <v>43735.625</v>
      </c>
      <c r="AA333" s="23">
        <v>1.05</v>
      </c>
      <c r="AB333" s="23">
        <v>0.16669999999999999</v>
      </c>
      <c r="AC333" s="23">
        <v>-9227.5400000000009</v>
      </c>
      <c r="AD333" s="23">
        <v>-0.16669999999999999</v>
      </c>
      <c r="AE333" s="23">
        <v>61516.95</v>
      </c>
      <c r="AF333" s="23">
        <v>55365.25</v>
      </c>
      <c r="AG333" s="23">
        <v>1063823.03</v>
      </c>
      <c r="AH333" s="23">
        <v>6</v>
      </c>
      <c r="AI333" s="23">
        <v>-1537.92</v>
      </c>
      <c r="AJ333" s="23">
        <v>-0.16669999999999999</v>
      </c>
      <c r="AK333" s="23">
        <v>5.5599999999999997E-2</v>
      </c>
      <c r="AL333" s="23" t="s">
        <v>24</v>
      </c>
      <c r="AM333" s="23">
        <v>43.05</v>
      </c>
      <c r="AN333" s="23">
        <v>30072.799999999999</v>
      </c>
      <c r="AO333" s="23">
        <v>42.66</v>
      </c>
      <c r="AP333" s="23">
        <v>0</v>
      </c>
      <c r="AR333" s="46"/>
      <c r="AS333" s="44"/>
      <c r="AT333" s="45"/>
      <c r="AU333" s="2">
        <v>43735</v>
      </c>
      <c r="AV333" s="52">
        <v>7.2916666666666671E-2</v>
      </c>
      <c r="AW333" s="2" t="s">
        <v>213</v>
      </c>
      <c r="AY333" s="3"/>
      <c r="BA333" s="3"/>
      <c r="BG333" s="3"/>
      <c r="BH333" s="3"/>
    </row>
    <row r="334" spans="1:60">
      <c r="A334" s="23" t="s">
        <v>22</v>
      </c>
      <c r="B334" s="23" t="s">
        <v>23</v>
      </c>
      <c r="C334" s="27">
        <v>43735.625</v>
      </c>
      <c r="D334" s="23">
        <v>42.5</v>
      </c>
      <c r="E334" s="27">
        <v>43738.59375</v>
      </c>
      <c r="F334" s="23">
        <v>41.3</v>
      </c>
      <c r="G334" s="31">
        <v>-2.8199999999999999E-2</v>
      </c>
      <c r="H334" s="23">
        <v>1415.68</v>
      </c>
      <c r="I334" s="31">
        <v>2.8199999999999999E-2</v>
      </c>
      <c r="J334" s="23">
        <v>1179.732</v>
      </c>
      <c r="K334" s="23">
        <v>50138.62</v>
      </c>
      <c r="L334" s="23">
        <v>28674.47</v>
      </c>
      <c r="M334" s="23">
        <v>26</v>
      </c>
      <c r="N334" s="23">
        <v>54.45</v>
      </c>
      <c r="O334" s="31">
        <v>-1.06E-2</v>
      </c>
      <c r="P334" s="31">
        <v>7.2900000000000006E-2</v>
      </c>
      <c r="Q334" s="23" t="s">
        <v>24</v>
      </c>
      <c r="R334" s="23">
        <v>0</v>
      </c>
      <c r="S334" s="23">
        <v>43.14</v>
      </c>
      <c r="U334" s="47">
        <f>VLOOKUP(AU334,[1]expiry_dates!$B$2:$C$2894,2,FALSE)</f>
        <v>43769</v>
      </c>
      <c r="V334" s="23" t="s">
        <v>114</v>
      </c>
      <c r="W334" s="23" t="s">
        <v>23</v>
      </c>
      <c r="X334" s="49">
        <v>43735.625</v>
      </c>
      <c r="Y334" s="23">
        <v>1.5</v>
      </c>
      <c r="Z334" s="23">
        <v>43738.59375</v>
      </c>
      <c r="AA334" s="23">
        <v>1</v>
      </c>
      <c r="AB334" s="23">
        <v>-0.33329999999999999</v>
      </c>
      <c r="AC334" s="23">
        <v>18449.96</v>
      </c>
      <c r="AD334" s="23">
        <v>0.33329999999999999</v>
      </c>
      <c r="AE334" s="23">
        <v>36899.910000000003</v>
      </c>
      <c r="AF334" s="23">
        <v>55349.87</v>
      </c>
      <c r="AG334" s="23">
        <v>1082272.98</v>
      </c>
      <c r="AH334" s="23">
        <v>26</v>
      </c>
      <c r="AI334" s="23">
        <v>709.61</v>
      </c>
      <c r="AJ334" s="23">
        <v>-3.3300000000000003E-2</v>
      </c>
      <c r="AK334" s="23">
        <v>0.6</v>
      </c>
      <c r="AL334" s="23" t="s">
        <v>24</v>
      </c>
      <c r="AM334" s="23">
        <v>42.5</v>
      </c>
      <c r="AN334" s="23">
        <v>29874.85</v>
      </c>
      <c r="AO334" s="23">
        <v>43.14</v>
      </c>
      <c r="AP334" s="23">
        <v>0</v>
      </c>
      <c r="AR334" s="46"/>
      <c r="AS334" s="44"/>
      <c r="AT334" s="45"/>
      <c r="AU334" s="2">
        <v>43735</v>
      </c>
      <c r="AV334" s="52">
        <v>0.125</v>
      </c>
      <c r="AW334" s="2" t="s">
        <v>213</v>
      </c>
      <c r="AY334" s="3"/>
      <c r="BA334" s="3"/>
      <c r="BG334" s="3"/>
      <c r="BH334" s="3"/>
    </row>
    <row r="335" spans="1:60">
      <c r="A335" s="23" t="s">
        <v>22</v>
      </c>
      <c r="B335" s="23" t="s">
        <v>25</v>
      </c>
      <c r="C335" s="27">
        <v>43738.59375</v>
      </c>
      <c r="D335" s="23">
        <v>41.3</v>
      </c>
      <c r="E335" s="27">
        <v>43739.385416666664</v>
      </c>
      <c r="F335" s="23">
        <v>39.950000000000003</v>
      </c>
      <c r="G335" s="31">
        <v>-3.27E-2</v>
      </c>
      <c r="H335" s="23">
        <v>-1639.17</v>
      </c>
      <c r="I335" s="31">
        <v>-3.27E-2</v>
      </c>
      <c r="J335" s="23">
        <v>1214.1969999999999</v>
      </c>
      <c r="K335" s="23">
        <v>50146.32</v>
      </c>
      <c r="L335" s="23">
        <v>27035.3</v>
      </c>
      <c r="M335" s="23">
        <v>9</v>
      </c>
      <c r="N335" s="23">
        <v>-182.13</v>
      </c>
      <c r="O335" s="31">
        <v>-3.27E-2</v>
      </c>
      <c r="P335" s="31">
        <v>6.1000000000000004E-3</v>
      </c>
      <c r="Q335" s="23" t="s">
        <v>24</v>
      </c>
      <c r="R335" s="23">
        <v>0</v>
      </c>
      <c r="S335" s="23">
        <v>39.479999999999997</v>
      </c>
      <c r="U335" s="47">
        <f>VLOOKUP(AU335,[1]expiry_dates!$B$2:$C$2894,2,FALSE)</f>
        <v>43769</v>
      </c>
      <c r="V335" s="23" t="s">
        <v>134</v>
      </c>
      <c r="W335" s="23" t="s">
        <v>23</v>
      </c>
      <c r="X335" s="49">
        <v>43738.59375</v>
      </c>
      <c r="Y335" s="23">
        <v>2.95</v>
      </c>
      <c r="Z335" s="23">
        <v>43739.385416666664</v>
      </c>
      <c r="AA335" s="23">
        <v>4</v>
      </c>
      <c r="AB335" s="23">
        <v>0.35589999999999999</v>
      </c>
      <c r="AC335" s="23">
        <v>-19732.54</v>
      </c>
      <c r="AD335" s="23">
        <v>-0.35589999999999999</v>
      </c>
      <c r="AE335" s="23">
        <v>18792.89</v>
      </c>
      <c r="AF335" s="23">
        <v>55439.040000000001</v>
      </c>
      <c r="AG335" s="23">
        <v>1062540.44</v>
      </c>
      <c r="AH335" s="23">
        <v>9</v>
      </c>
      <c r="AI335" s="23">
        <v>-2192.5</v>
      </c>
      <c r="AJ335" s="23">
        <v>-0.35589999999999999</v>
      </c>
      <c r="AK335" s="23">
        <v>5.0799999999999998E-2</v>
      </c>
      <c r="AL335" s="23" t="s">
        <v>24</v>
      </c>
      <c r="AM335" s="23">
        <v>41.3</v>
      </c>
      <c r="AN335" s="23">
        <v>29320.2</v>
      </c>
      <c r="AO335" s="23">
        <v>39.479999999999997</v>
      </c>
      <c r="AP335" s="23">
        <v>0</v>
      </c>
      <c r="AR335" s="46"/>
      <c r="AS335" s="44"/>
      <c r="AT335" s="45"/>
      <c r="AU335" s="2">
        <v>43738</v>
      </c>
      <c r="AV335" s="52">
        <v>9.375E-2</v>
      </c>
      <c r="AW335" s="2" t="s">
        <v>213</v>
      </c>
      <c r="AY335" s="3"/>
      <c r="BA335" s="3"/>
      <c r="BG335" s="3"/>
      <c r="BH335" s="3"/>
    </row>
    <row r="336" spans="1:60">
      <c r="A336" s="23" t="s">
        <v>22</v>
      </c>
      <c r="B336" s="23" t="s">
        <v>23</v>
      </c>
      <c r="C336" s="27">
        <v>43739.385416666664</v>
      </c>
      <c r="D336" s="23">
        <v>39.950000000000003</v>
      </c>
      <c r="E336" s="27">
        <v>43739.614583333336</v>
      </c>
      <c r="F336" s="23">
        <v>38.700000000000003</v>
      </c>
      <c r="G336" s="31">
        <v>-3.1300000000000001E-2</v>
      </c>
      <c r="H336" s="23">
        <v>1568.73</v>
      </c>
      <c r="I336" s="31">
        <v>3.1300000000000001E-2</v>
      </c>
      <c r="J336" s="23">
        <v>1254.9860000000001</v>
      </c>
      <c r="K336" s="23">
        <v>50136.7</v>
      </c>
      <c r="L336" s="23">
        <v>28604.03</v>
      </c>
      <c r="M336" s="23">
        <v>23</v>
      </c>
      <c r="N336" s="23">
        <v>68.209999999999994</v>
      </c>
      <c r="O336" s="31">
        <v>-1.8800000000000001E-2</v>
      </c>
      <c r="P336" s="31">
        <v>9.3899999999999997E-2</v>
      </c>
      <c r="Q336" s="23" t="s">
        <v>24</v>
      </c>
      <c r="R336" s="23">
        <v>0</v>
      </c>
      <c r="S336" s="23">
        <v>41.52</v>
      </c>
      <c r="U336" s="47">
        <f>VLOOKUP(AU336,[1]expiry_dates!$B$2:$C$2894,2,FALSE)</f>
        <v>43769</v>
      </c>
      <c r="V336" s="23" t="s">
        <v>139</v>
      </c>
      <c r="W336" s="23" t="s">
        <v>23</v>
      </c>
      <c r="X336" s="49">
        <v>43739.385416666664</v>
      </c>
      <c r="Y336" s="23">
        <v>1.5</v>
      </c>
      <c r="Z336" s="23">
        <v>43739.614583333336</v>
      </c>
      <c r="AA336" s="23">
        <v>1.25</v>
      </c>
      <c r="AB336" s="23">
        <v>-0.16669999999999999</v>
      </c>
      <c r="AC336" s="23">
        <v>9218.7800000000007</v>
      </c>
      <c r="AD336" s="23">
        <v>0.16669999999999999</v>
      </c>
      <c r="AE336" s="23">
        <v>36875.14</v>
      </c>
      <c r="AF336" s="23">
        <v>55312.7</v>
      </c>
      <c r="AG336" s="23">
        <v>1071759.23</v>
      </c>
      <c r="AH336" s="23">
        <v>23</v>
      </c>
      <c r="AI336" s="23">
        <v>400.82</v>
      </c>
      <c r="AJ336" s="23">
        <v>-0.1333</v>
      </c>
      <c r="AK336" s="23">
        <v>0.5333</v>
      </c>
      <c r="AL336" s="23" t="s">
        <v>24</v>
      </c>
      <c r="AM336" s="23">
        <v>39.950000000000003</v>
      </c>
      <c r="AN336" s="23">
        <v>29442.799999999999</v>
      </c>
      <c r="AO336" s="23">
        <v>41.52</v>
      </c>
      <c r="AP336" s="23">
        <v>0</v>
      </c>
      <c r="AR336" s="46"/>
      <c r="AS336" s="44"/>
      <c r="AT336" s="45"/>
      <c r="AU336" s="2">
        <v>43739</v>
      </c>
      <c r="AV336" s="52">
        <v>0.38541666666666669</v>
      </c>
      <c r="AW336" s="2" t="s">
        <v>212</v>
      </c>
      <c r="AY336" s="3"/>
      <c r="BA336" s="3"/>
      <c r="BG336" s="3"/>
      <c r="BH336" s="3"/>
    </row>
    <row r="337" spans="1:60">
      <c r="A337" s="23" t="s">
        <v>22</v>
      </c>
      <c r="B337" s="23" t="s">
        <v>25</v>
      </c>
      <c r="C337" s="27">
        <v>43739.614583333336</v>
      </c>
      <c r="D337" s="23">
        <v>38.700000000000003</v>
      </c>
      <c r="E337" s="27">
        <v>43741.385416666664</v>
      </c>
      <c r="F337" s="23">
        <v>36.950000000000003</v>
      </c>
      <c r="G337" s="31">
        <v>-4.5199999999999997E-2</v>
      </c>
      <c r="H337" s="23">
        <v>-2267.61</v>
      </c>
      <c r="I337" s="31">
        <v>-4.5199999999999997E-2</v>
      </c>
      <c r="J337" s="23">
        <v>1295.7739999999999</v>
      </c>
      <c r="K337" s="23">
        <v>50146.47</v>
      </c>
      <c r="L337" s="23">
        <v>26336.43</v>
      </c>
      <c r="M337" s="23">
        <v>7</v>
      </c>
      <c r="N337" s="23">
        <v>-323.94</v>
      </c>
      <c r="O337" s="31">
        <v>-4.5199999999999997E-2</v>
      </c>
      <c r="P337" s="31">
        <v>1.1599999999999999E-2</v>
      </c>
      <c r="Q337" s="23" t="s">
        <v>24</v>
      </c>
      <c r="R337" s="23">
        <v>0</v>
      </c>
      <c r="S337" s="23">
        <v>36.25</v>
      </c>
      <c r="U337" s="47">
        <f>VLOOKUP(AU337,[1]expiry_dates!$B$2:$C$2894,2,FALSE)</f>
        <v>43769</v>
      </c>
      <c r="V337" s="23" t="s">
        <v>137</v>
      </c>
      <c r="W337" s="23" t="s">
        <v>23</v>
      </c>
      <c r="X337" s="49">
        <v>43739.614583333336</v>
      </c>
      <c r="Y337" s="23">
        <v>4.8499999999999996</v>
      </c>
      <c r="Z337" s="23">
        <v>43741.385416666664</v>
      </c>
      <c r="AA337" s="23">
        <v>5.35</v>
      </c>
      <c r="AB337" s="23">
        <v>0.1031</v>
      </c>
      <c r="AC337" s="23">
        <v>-5710.89</v>
      </c>
      <c r="AD337" s="23">
        <v>-0.1031</v>
      </c>
      <c r="AE337" s="23">
        <v>11421.79</v>
      </c>
      <c r="AF337" s="23">
        <v>55395.67</v>
      </c>
      <c r="AG337" s="23">
        <v>1066048.33</v>
      </c>
      <c r="AH337" s="23">
        <v>7</v>
      </c>
      <c r="AI337" s="23">
        <v>-815.84</v>
      </c>
      <c r="AJ337" s="23">
        <v>-0.1031</v>
      </c>
      <c r="AK337" s="23">
        <v>5.1499999999999997E-2</v>
      </c>
      <c r="AL337" s="23" t="s">
        <v>24</v>
      </c>
      <c r="AM337" s="23">
        <v>38.700000000000003</v>
      </c>
      <c r="AN337" s="23">
        <v>28664.55</v>
      </c>
      <c r="AO337" s="23">
        <v>36.25</v>
      </c>
      <c r="AP337" s="23">
        <v>0</v>
      </c>
      <c r="AR337" s="46"/>
      <c r="AS337" s="44"/>
      <c r="AT337" s="45"/>
      <c r="AU337" s="2">
        <v>43739</v>
      </c>
      <c r="AV337" s="52">
        <v>0.11458333333333333</v>
      </c>
      <c r="AW337" s="2" t="s">
        <v>213</v>
      </c>
      <c r="AY337" s="3"/>
      <c r="BA337" s="3"/>
      <c r="BG337" s="3"/>
      <c r="BH337" s="3"/>
    </row>
    <row r="338" spans="1:60">
      <c r="A338" s="23" t="s">
        <v>22</v>
      </c>
      <c r="B338" s="23" t="s">
        <v>23</v>
      </c>
      <c r="C338" s="27">
        <v>43741.385416666664</v>
      </c>
      <c r="D338" s="23">
        <v>36.950000000000003</v>
      </c>
      <c r="E338" s="27">
        <v>43741.510416666664</v>
      </c>
      <c r="F338" s="23">
        <v>37.799999999999997</v>
      </c>
      <c r="G338" s="31">
        <v>2.3E-2</v>
      </c>
      <c r="H338" s="23">
        <v>-1153.3900000000001</v>
      </c>
      <c r="I338" s="31">
        <v>-2.3E-2</v>
      </c>
      <c r="J338" s="23">
        <v>1356.9280000000001</v>
      </c>
      <c r="K338" s="23">
        <v>50138.48</v>
      </c>
      <c r="L338" s="23">
        <v>25183.040000000001</v>
      </c>
      <c r="M338" s="23">
        <v>13</v>
      </c>
      <c r="N338" s="23">
        <v>-88.72</v>
      </c>
      <c r="O338" s="31">
        <v>-2.8400000000000002E-2</v>
      </c>
      <c r="P338" s="31">
        <v>1.89E-2</v>
      </c>
      <c r="Q338" s="23" t="s">
        <v>24</v>
      </c>
      <c r="R338" s="23">
        <v>0</v>
      </c>
      <c r="S338" s="23">
        <v>39.04</v>
      </c>
      <c r="U338" s="47">
        <f>VLOOKUP(AU338,[1]expiry_dates!$B$2:$C$2894,2,FALSE)</f>
        <v>43769</v>
      </c>
      <c r="V338" s="23" t="s">
        <v>144</v>
      </c>
      <c r="W338" s="23" t="s">
        <v>23</v>
      </c>
      <c r="X338" s="49">
        <v>43741.385416666664</v>
      </c>
      <c r="Y338" s="23">
        <v>1.9</v>
      </c>
      <c r="Z338" s="23">
        <v>43741.510416666664</v>
      </c>
      <c r="AA338" s="23">
        <v>1.65</v>
      </c>
      <c r="AB338" s="23">
        <v>-0.13159999999999999</v>
      </c>
      <c r="AC338" s="23">
        <v>7285.93</v>
      </c>
      <c r="AD338" s="23">
        <v>0.13159999999999999</v>
      </c>
      <c r="AE338" s="23">
        <v>29143.72</v>
      </c>
      <c r="AF338" s="23">
        <v>55373.07</v>
      </c>
      <c r="AG338" s="23">
        <v>1073334.27</v>
      </c>
      <c r="AH338" s="23">
        <v>13</v>
      </c>
      <c r="AI338" s="23">
        <v>560.46</v>
      </c>
      <c r="AJ338" s="23">
        <v>-2.63E-2</v>
      </c>
      <c r="AK338" s="23">
        <v>0.1842</v>
      </c>
      <c r="AL338" s="23" t="s">
        <v>24</v>
      </c>
      <c r="AM338" s="23">
        <v>36.950000000000003</v>
      </c>
      <c r="AN338" s="23">
        <v>28493.05</v>
      </c>
      <c r="AO338" s="23">
        <v>39.04</v>
      </c>
      <c r="AP338" s="23">
        <v>0</v>
      </c>
      <c r="AR338" s="46"/>
      <c r="AS338" s="44"/>
      <c r="AT338" s="45"/>
      <c r="AU338" s="2">
        <v>43741</v>
      </c>
      <c r="AV338" s="52">
        <v>0.38541666666666669</v>
      </c>
      <c r="AW338" s="2" t="s">
        <v>212</v>
      </c>
      <c r="AY338" s="3"/>
      <c r="BA338" s="3"/>
      <c r="BG338" s="3"/>
      <c r="BH338" s="3"/>
    </row>
    <row r="339" spans="1:60">
      <c r="A339" s="23" t="s">
        <v>22</v>
      </c>
      <c r="B339" s="23" t="s">
        <v>25</v>
      </c>
      <c r="C339" s="27">
        <v>43741.510416666664</v>
      </c>
      <c r="D339" s="23">
        <v>37.799999999999997</v>
      </c>
      <c r="E339" s="27">
        <v>43741.5625</v>
      </c>
      <c r="F339" s="23">
        <v>36.75</v>
      </c>
      <c r="G339" s="31">
        <v>-2.7799999999999998E-2</v>
      </c>
      <c r="H339" s="23">
        <v>-1392.46</v>
      </c>
      <c r="I339" s="31">
        <v>-2.7799999999999998E-2</v>
      </c>
      <c r="J339" s="23">
        <v>1326.154</v>
      </c>
      <c r="K339" s="23">
        <v>50128.63</v>
      </c>
      <c r="L339" s="23">
        <v>23790.58</v>
      </c>
      <c r="M339" s="23">
        <v>6</v>
      </c>
      <c r="N339" s="23">
        <v>-232.08</v>
      </c>
      <c r="O339" s="31">
        <v>-2.7799999999999998E-2</v>
      </c>
      <c r="P339" s="31">
        <v>2.5999999999999999E-3</v>
      </c>
      <c r="Q339" s="23" t="s">
        <v>24</v>
      </c>
      <c r="R339" s="23">
        <v>0</v>
      </c>
      <c r="S339" s="23">
        <v>36.31</v>
      </c>
      <c r="U339" s="47">
        <f>VLOOKUP(AU339,[1]expiry_dates!$B$2:$C$2894,2,FALSE)</f>
        <v>43769</v>
      </c>
      <c r="V339" s="23" t="s">
        <v>142</v>
      </c>
      <c r="W339" s="23" t="s">
        <v>23</v>
      </c>
      <c r="X339" s="49">
        <v>43741.510416666664</v>
      </c>
      <c r="Y339" s="23">
        <v>2.8</v>
      </c>
      <c r="Z339" s="23">
        <v>43741.5625</v>
      </c>
      <c r="AA339" s="23">
        <v>3.05</v>
      </c>
      <c r="AB339" s="23">
        <v>8.9300000000000004E-2</v>
      </c>
      <c r="AC339" s="23">
        <v>-4942.8</v>
      </c>
      <c r="AD339" s="23">
        <v>-8.9300000000000004E-2</v>
      </c>
      <c r="AE339" s="23">
        <v>19771.21</v>
      </c>
      <c r="AF339" s="23">
        <v>55359.38</v>
      </c>
      <c r="AG339" s="23">
        <v>1068391.46</v>
      </c>
      <c r="AH339" s="23">
        <v>6</v>
      </c>
      <c r="AI339" s="23">
        <v>-823.8</v>
      </c>
      <c r="AJ339" s="23">
        <v>-8.9300000000000004E-2</v>
      </c>
      <c r="AK339" s="23">
        <v>0</v>
      </c>
      <c r="AL339" s="23" t="s">
        <v>24</v>
      </c>
      <c r="AM339" s="23">
        <v>37.799999999999997</v>
      </c>
      <c r="AN339" s="23">
        <v>28658.7</v>
      </c>
      <c r="AO339" s="23">
        <v>36.31</v>
      </c>
      <c r="AP339" s="23">
        <v>0</v>
      </c>
      <c r="AR339" s="46"/>
      <c r="AS339" s="44"/>
      <c r="AT339" s="45"/>
      <c r="AU339" s="2">
        <v>43741</v>
      </c>
      <c r="AV339" s="52">
        <v>0.51041666666666663</v>
      </c>
      <c r="AW339" s="2" t="s">
        <v>213</v>
      </c>
      <c r="AY339" s="3"/>
      <c r="BA339" s="3"/>
      <c r="BG339" s="3"/>
      <c r="BH339" s="3"/>
    </row>
    <row r="340" spans="1:60">
      <c r="A340" s="23" t="s">
        <v>22</v>
      </c>
      <c r="B340" s="23" t="s">
        <v>23</v>
      </c>
      <c r="C340" s="27">
        <v>43741.5625</v>
      </c>
      <c r="D340" s="23">
        <v>36.75</v>
      </c>
      <c r="E340" s="27">
        <v>43742.385416666664</v>
      </c>
      <c r="F340" s="23">
        <v>37.700000000000003</v>
      </c>
      <c r="G340" s="31">
        <v>2.5899999999999999E-2</v>
      </c>
      <c r="H340" s="23">
        <v>-1295.6400000000001</v>
      </c>
      <c r="I340" s="31">
        <v>-2.5899999999999999E-2</v>
      </c>
      <c r="J340" s="23">
        <v>1363.835</v>
      </c>
      <c r="K340" s="23">
        <v>50120.95</v>
      </c>
      <c r="L340" s="23">
        <v>22494.93</v>
      </c>
      <c r="M340" s="23">
        <v>12</v>
      </c>
      <c r="N340" s="23">
        <v>-107.97</v>
      </c>
      <c r="O340" s="31">
        <v>-2.5899999999999999E-2</v>
      </c>
      <c r="P340" s="31">
        <v>5.4000000000000003E-3</v>
      </c>
      <c r="Q340" s="23" t="s">
        <v>24</v>
      </c>
      <c r="R340" s="23">
        <v>0</v>
      </c>
      <c r="S340" s="23">
        <v>37.869999999999997</v>
      </c>
      <c r="U340" s="47">
        <f>VLOOKUP(AU340,[1]expiry_dates!$B$2:$C$2894,2,FALSE)</f>
        <v>43769</v>
      </c>
      <c r="V340" s="23" t="s">
        <v>145</v>
      </c>
      <c r="W340" s="23" t="s">
        <v>23</v>
      </c>
      <c r="X340" s="49">
        <v>43741.5625</v>
      </c>
      <c r="Y340" s="23">
        <v>1.7</v>
      </c>
      <c r="Z340" s="23">
        <v>43742.385416666664</v>
      </c>
      <c r="AA340" s="23">
        <v>2.25</v>
      </c>
      <c r="AB340" s="23">
        <v>0.32350000000000001</v>
      </c>
      <c r="AC340" s="23">
        <v>-17904.75</v>
      </c>
      <c r="AD340" s="23">
        <v>-0.32350000000000001</v>
      </c>
      <c r="AE340" s="23">
        <v>32554.09</v>
      </c>
      <c r="AF340" s="23">
        <v>55341.96</v>
      </c>
      <c r="AG340" s="23">
        <v>1050486.71</v>
      </c>
      <c r="AH340" s="23">
        <v>12</v>
      </c>
      <c r="AI340" s="23">
        <v>-1492.06</v>
      </c>
      <c r="AJ340" s="23">
        <v>-0.38240000000000002</v>
      </c>
      <c r="AK340" s="23">
        <v>0</v>
      </c>
      <c r="AL340" s="23" t="s">
        <v>24</v>
      </c>
      <c r="AM340" s="23">
        <v>36.75</v>
      </c>
      <c r="AN340" s="23">
        <v>28393.05</v>
      </c>
      <c r="AO340" s="23">
        <v>37.869999999999997</v>
      </c>
      <c r="AP340" s="23">
        <v>0</v>
      </c>
      <c r="AR340" s="46"/>
      <c r="AS340" s="44"/>
      <c r="AT340" s="45"/>
      <c r="AU340" s="2">
        <v>43741</v>
      </c>
      <c r="AV340" s="52">
        <v>6.25E-2</v>
      </c>
      <c r="AW340" s="2" t="s">
        <v>213</v>
      </c>
      <c r="AY340" s="3"/>
      <c r="BA340" s="3"/>
      <c r="BG340" s="3"/>
      <c r="BH340" s="3"/>
    </row>
    <row r="341" spans="1:60">
      <c r="A341" s="23" t="s">
        <v>22</v>
      </c>
      <c r="B341" s="23" t="s">
        <v>25</v>
      </c>
      <c r="C341" s="27">
        <v>43742.385416666664</v>
      </c>
      <c r="D341" s="23">
        <v>37.700000000000003</v>
      </c>
      <c r="E341" s="27">
        <v>43742.479166666664</v>
      </c>
      <c r="F341" s="23">
        <v>37.299999999999997</v>
      </c>
      <c r="G341" s="31">
        <v>-1.06E-2</v>
      </c>
      <c r="H341" s="23">
        <v>-531.72</v>
      </c>
      <c r="I341" s="31">
        <v>-1.06E-2</v>
      </c>
      <c r="J341" s="23">
        <v>1329.298</v>
      </c>
      <c r="K341" s="23">
        <v>50114.52</v>
      </c>
      <c r="L341" s="23">
        <v>21963.21</v>
      </c>
      <c r="M341" s="23">
        <v>10</v>
      </c>
      <c r="N341" s="23">
        <v>-53.17</v>
      </c>
      <c r="O341" s="31">
        <v>-2.12E-2</v>
      </c>
      <c r="P341" s="31">
        <v>1.06E-2</v>
      </c>
      <c r="Q341" s="23" t="s">
        <v>24</v>
      </c>
      <c r="R341" s="23">
        <v>0</v>
      </c>
      <c r="S341" s="23">
        <v>36.630000000000003</v>
      </c>
      <c r="U341" s="47">
        <f>VLOOKUP(AU341,[1]expiry_dates!$B$2:$C$2894,2,FALSE)</f>
        <v>43769</v>
      </c>
      <c r="V341" s="23" t="s">
        <v>138</v>
      </c>
      <c r="W341" s="23" t="s">
        <v>23</v>
      </c>
      <c r="X341" s="49">
        <v>43742.385416666664</v>
      </c>
      <c r="Y341" s="23">
        <v>0.45</v>
      </c>
      <c r="Z341" s="23">
        <v>43742.479166666664</v>
      </c>
      <c r="AA341" s="23">
        <v>0.45</v>
      </c>
      <c r="AB341" s="23">
        <v>0</v>
      </c>
      <c r="AC341" s="23">
        <v>0</v>
      </c>
      <c r="AD341" s="23">
        <v>0</v>
      </c>
      <c r="AE341" s="23">
        <v>122873.60000000001</v>
      </c>
      <c r="AF341" s="23">
        <v>55293.13</v>
      </c>
      <c r="AG341" s="23">
        <v>1050486.71</v>
      </c>
      <c r="AH341" s="23">
        <v>10</v>
      </c>
      <c r="AI341" s="23">
        <v>0</v>
      </c>
      <c r="AJ341" s="23">
        <v>-0.1111</v>
      </c>
      <c r="AK341" s="23">
        <v>0.1111</v>
      </c>
      <c r="AL341" s="23" t="s">
        <v>24</v>
      </c>
      <c r="AM341" s="23">
        <v>37.700000000000003</v>
      </c>
      <c r="AN341" s="23">
        <v>28620.55</v>
      </c>
      <c r="AO341" s="23">
        <v>36.630000000000003</v>
      </c>
      <c r="AP341" s="23">
        <v>0</v>
      </c>
      <c r="AR341" s="46"/>
      <c r="AS341" s="44"/>
      <c r="AT341" s="45"/>
      <c r="AU341" s="2">
        <v>43742</v>
      </c>
      <c r="AV341" s="52">
        <v>0.38541666666666669</v>
      </c>
      <c r="AW341" s="2" t="s">
        <v>212</v>
      </c>
      <c r="AY341" s="3"/>
      <c r="BA341" s="3"/>
      <c r="BG341" s="3"/>
      <c r="BH341" s="3"/>
    </row>
    <row r="342" spans="1:60">
      <c r="A342" s="23" t="s">
        <v>22</v>
      </c>
      <c r="B342" s="23" t="s">
        <v>23</v>
      </c>
      <c r="C342" s="27">
        <v>43742.479166666664</v>
      </c>
      <c r="D342" s="23">
        <v>37.299999999999997</v>
      </c>
      <c r="E342" s="27">
        <v>43742.59375</v>
      </c>
      <c r="F342" s="23">
        <v>37.450000000000003</v>
      </c>
      <c r="G342" s="31">
        <v>4.0000000000000001E-3</v>
      </c>
      <c r="H342" s="23">
        <v>-201.52</v>
      </c>
      <c r="I342" s="31">
        <v>-4.0000000000000001E-3</v>
      </c>
      <c r="J342" s="23">
        <v>1343.4359999999999</v>
      </c>
      <c r="K342" s="23">
        <v>50110.15</v>
      </c>
      <c r="L342" s="23">
        <v>21761.7</v>
      </c>
      <c r="M342" s="23">
        <v>12</v>
      </c>
      <c r="N342" s="23">
        <v>-16.79</v>
      </c>
      <c r="O342" s="31">
        <v>-8.0000000000000002E-3</v>
      </c>
      <c r="P342" s="31">
        <v>1.0699999999999999E-2</v>
      </c>
      <c r="Q342" s="23" t="s">
        <v>24</v>
      </c>
      <c r="R342" s="23">
        <v>0</v>
      </c>
      <c r="S342" s="23">
        <v>38.08</v>
      </c>
      <c r="U342" s="47">
        <f>VLOOKUP(AU342,[1]expiry_dates!$B$2:$C$2894,2,FALSE)</f>
        <v>43769</v>
      </c>
      <c r="V342" s="23" t="s">
        <v>144</v>
      </c>
      <c r="W342" s="23" t="s">
        <v>23</v>
      </c>
      <c r="X342" s="49">
        <v>43742.479166666664</v>
      </c>
      <c r="Y342" s="23">
        <v>1.8</v>
      </c>
      <c r="Z342" s="23">
        <v>43742.59375</v>
      </c>
      <c r="AA342" s="23">
        <v>1.75</v>
      </c>
      <c r="AB342" s="23">
        <v>-2.7799999999999998E-2</v>
      </c>
      <c r="AC342" s="23">
        <v>1534.79</v>
      </c>
      <c r="AD342" s="23">
        <v>2.7799999999999998E-2</v>
      </c>
      <c r="AE342" s="23">
        <v>30695.8</v>
      </c>
      <c r="AF342" s="23">
        <v>55252.43</v>
      </c>
      <c r="AG342" s="23">
        <v>1052021.5</v>
      </c>
      <c r="AH342" s="23">
        <v>12</v>
      </c>
      <c r="AI342" s="23">
        <v>127.9</v>
      </c>
      <c r="AJ342" s="23">
        <v>0</v>
      </c>
      <c r="AK342" s="23">
        <v>8.3299999999999999E-2</v>
      </c>
      <c r="AL342" s="23" t="s">
        <v>24</v>
      </c>
      <c r="AM342" s="23">
        <v>37.299999999999997</v>
      </c>
      <c r="AN342" s="23">
        <v>28462</v>
      </c>
      <c r="AO342" s="23">
        <v>38.08</v>
      </c>
      <c r="AP342" s="23">
        <v>0</v>
      </c>
      <c r="AR342" s="46"/>
      <c r="AS342" s="44"/>
      <c r="AT342" s="45"/>
      <c r="AU342" s="2">
        <v>43742</v>
      </c>
      <c r="AV342" s="52">
        <v>0.47916666666666669</v>
      </c>
      <c r="AW342" s="2" t="s">
        <v>212</v>
      </c>
      <c r="AY342" s="3"/>
      <c r="BA342" s="3"/>
      <c r="BG342" s="3"/>
      <c r="BH342" s="3"/>
    </row>
    <row r="343" spans="1:60">
      <c r="A343" s="23" t="s">
        <v>22</v>
      </c>
      <c r="B343" s="23" t="s">
        <v>25</v>
      </c>
      <c r="C343" s="27">
        <v>43742.59375</v>
      </c>
      <c r="D343" s="23">
        <v>37.450000000000003</v>
      </c>
      <c r="E343" s="27">
        <v>43745.385416666664</v>
      </c>
      <c r="F343" s="23">
        <v>37.450000000000003</v>
      </c>
      <c r="G343" s="31">
        <v>0</v>
      </c>
      <c r="H343" s="23">
        <v>0</v>
      </c>
      <c r="I343" s="31">
        <v>0</v>
      </c>
      <c r="J343" s="23">
        <v>1338.01</v>
      </c>
      <c r="K343" s="23">
        <v>50108.47</v>
      </c>
      <c r="L343" s="23">
        <v>21761.7</v>
      </c>
      <c r="M343" s="23">
        <v>9</v>
      </c>
      <c r="N343" s="23">
        <v>0</v>
      </c>
      <c r="O343" s="31">
        <v>-1.2999999999999999E-3</v>
      </c>
      <c r="P343" s="31">
        <v>2.5399999999999999E-2</v>
      </c>
      <c r="Q343" s="23" t="s">
        <v>24</v>
      </c>
      <c r="R343" s="23">
        <v>0</v>
      </c>
      <c r="S343" s="23">
        <v>36.94</v>
      </c>
      <c r="U343" s="47">
        <f>VLOOKUP(AU343,[1]expiry_dates!$B$2:$C$2894,2,FALSE)</f>
        <v>43769</v>
      </c>
      <c r="V343" s="23" t="s">
        <v>135</v>
      </c>
      <c r="W343" s="23" t="s">
        <v>23</v>
      </c>
      <c r="X343" s="49">
        <v>43742.59375</v>
      </c>
      <c r="Y343" s="23">
        <v>3.05</v>
      </c>
      <c r="Z343" s="23">
        <v>43745.385416666664</v>
      </c>
      <c r="AA343" s="23">
        <v>2.65</v>
      </c>
      <c r="AB343" s="23">
        <v>-0.13109999999999999</v>
      </c>
      <c r="AC343" s="23">
        <v>7249.24</v>
      </c>
      <c r="AD343" s="23">
        <v>0.13109999999999999</v>
      </c>
      <c r="AE343" s="23">
        <v>18123.099999999999</v>
      </c>
      <c r="AF343" s="23">
        <v>55275.45</v>
      </c>
      <c r="AG343" s="23">
        <v>1059270.74</v>
      </c>
      <c r="AH343" s="23">
        <v>9</v>
      </c>
      <c r="AI343" s="23">
        <v>805.47</v>
      </c>
      <c r="AJ343" s="23">
        <v>-0.13109999999999999</v>
      </c>
      <c r="AK343" s="23">
        <v>0.19670000000000001</v>
      </c>
      <c r="AL343" s="23" t="s">
        <v>24</v>
      </c>
      <c r="AM343" s="23">
        <v>37.450000000000003</v>
      </c>
      <c r="AN343" s="23">
        <v>27765.15</v>
      </c>
      <c r="AO343" s="23">
        <v>36.94</v>
      </c>
      <c r="AP343" s="23">
        <v>0</v>
      </c>
      <c r="AR343" s="46"/>
      <c r="AS343" s="44"/>
      <c r="AT343" s="45"/>
      <c r="AU343" s="2">
        <v>43742</v>
      </c>
      <c r="AV343" s="52">
        <v>9.375E-2</v>
      </c>
      <c r="AW343" s="2" t="s">
        <v>213</v>
      </c>
      <c r="AY343" s="3"/>
      <c r="BA343" s="3"/>
      <c r="BG343" s="3"/>
      <c r="BH343" s="3"/>
    </row>
    <row r="344" spans="1:60">
      <c r="A344" s="23" t="s">
        <v>22</v>
      </c>
      <c r="B344" s="23" t="s">
        <v>23</v>
      </c>
      <c r="C344" s="27">
        <v>43745.385416666664</v>
      </c>
      <c r="D344" s="23">
        <v>37.450000000000003</v>
      </c>
      <c r="E344" s="27">
        <v>43745.572916666664</v>
      </c>
      <c r="F344" s="23">
        <v>37.299999999999997</v>
      </c>
      <c r="G344" s="31">
        <v>-4.0000000000000001E-3</v>
      </c>
      <c r="H344" s="23">
        <v>200.72</v>
      </c>
      <c r="I344" s="31">
        <v>4.0000000000000001E-3</v>
      </c>
      <c r="J344" s="23">
        <v>1338.162</v>
      </c>
      <c r="K344" s="23">
        <v>50114.16</v>
      </c>
      <c r="L344" s="23">
        <v>21962.42</v>
      </c>
      <c r="M344" s="23">
        <v>19</v>
      </c>
      <c r="N344" s="23">
        <v>10.56</v>
      </c>
      <c r="O344" s="31">
        <v>-3.0700000000000002E-2</v>
      </c>
      <c r="P344" s="31">
        <v>2.5399999999999999E-2</v>
      </c>
      <c r="Q344" s="23" t="s">
        <v>24</v>
      </c>
      <c r="R344" s="23">
        <v>0</v>
      </c>
      <c r="S344" s="23">
        <v>38.6</v>
      </c>
      <c r="U344" s="47">
        <f>VLOOKUP(AU344,[1]expiry_dates!$B$2:$C$2894,2,FALSE)</f>
        <v>43769</v>
      </c>
      <c r="V344" s="23" t="s">
        <v>140</v>
      </c>
      <c r="W344" s="23" t="s">
        <v>23</v>
      </c>
      <c r="X344" s="49">
        <v>43745.385416666664</v>
      </c>
      <c r="Y344" s="23">
        <v>1.05</v>
      </c>
      <c r="Z344" s="23">
        <v>43745.572916666664</v>
      </c>
      <c r="AA344" s="23">
        <v>1.05</v>
      </c>
      <c r="AB344" s="23">
        <v>0</v>
      </c>
      <c r="AC344" s="23">
        <v>0</v>
      </c>
      <c r="AD344" s="23">
        <v>0</v>
      </c>
      <c r="AE344" s="23">
        <v>52658.879999999997</v>
      </c>
      <c r="AF344" s="23">
        <v>55291.82</v>
      </c>
      <c r="AG344" s="23">
        <v>1059270.74</v>
      </c>
      <c r="AH344" s="23">
        <v>19</v>
      </c>
      <c r="AI344" s="23">
        <v>0</v>
      </c>
      <c r="AJ344" s="23">
        <v>-0.23810000000000001</v>
      </c>
      <c r="AK344" s="23">
        <v>0.23810000000000001</v>
      </c>
      <c r="AL344" s="23" t="s">
        <v>24</v>
      </c>
      <c r="AM344" s="23">
        <v>37.450000000000003</v>
      </c>
      <c r="AN344" s="23">
        <v>27684.5</v>
      </c>
      <c r="AO344" s="23">
        <v>38.6</v>
      </c>
      <c r="AP344" s="23">
        <v>0</v>
      </c>
      <c r="AR344" s="46"/>
      <c r="AS344" s="44"/>
      <c r="AT344" s="45"/>
      <c r="AU344" s="2">
        <v>43745</v>
      </c>
      <c r="AV344" s="52">
        <v>0.38541666666666669</v>
      </c>
      <c r="AW344" s="2" t="s">
        <v>212</v>
      </c>
      <c r="AY344" s="3"/>
      <c r="BA344" s="3"/>
      <c r="BG344" s="3"/>
      <c r="BH344" s="3"/>
    </row>
    <row r="345" spans="1:60">
      <c r="A345" s="23" t="s">
        <v>22</v>
      </c>
      <c r="B345" s="23" t="s">
        <v>25</v>
      </c>
      <c r="C345" s="27">
        <v>43745.572916666664</v>
      </c>
      <c r="D345" s="23">
        <v>37.299999999999997</v>
      </c>
      <c r="E345" s="27">
        <v>43748.385416666664</v>
      </c>
      <c r="F345" s="23">
        <v>38.1</v>
      </c>
      <c r="G345" s="31">
        <v>2.1399999999999999E-2</v>
      </c>
      <c r="H345" s="23">
        <v>1074.76</v>
      </c>
      <c r="I345" s="31">
        <v>2.1399999999999999E-2</v>
      </c>
      <c r="J345" s="23">
        <v>1343.4449999999999</v>
      </c>
      <c r="K345" s="23">
        <v>50110.48</v>
      </c>
      <c r="L345" s="23">
        <v>23037.18</v>
      </c>
      <c r="M345" s="23">
        <v>39</v>
      </c>
      <c r="N345" s="23">
        <v>27.56</v>
      </c>
      <c r="O345" s="31">
        <v>-5.4000000000000003E-3</v>
      </c>
      <c r="P345" s="31">
        <v>4.02E-2</v>
      </c>
      <c r="Q345" s="23" t="s">
        <v>24</v>
      </c>
      <c r="R345" s="23">
        <v>0</v>
      </c>
      <c r="S345" s="23">
        <v>36.54</v>
      </c>
      <c r="U345" s="47">
        <f>VLOOKUP(AU345,[1]expiry_dates!$B$2:$C$2894,2,FALSE)</f>
        <v>43769</v>
      </c>
      <c r="V345" s="23" t="s">
        <v>146</v>
      </c>
      <c r="W345" s="23" t="s">
        <v>23</v>
      </c>
      <c r="X345" s="49">
        <v>43745.572916666664</v>
      </c>
      <c r="Y345" s="23">
        <v>1.3</v>
      </c>
      <c r="Z345" s="23">
        <v>43748.385416666664</v>
      </c>
      <c r="AA345" s="23">
        <v>0.65</v>
      </c>
      <c r="AB345" s="23">
        <v>-0.5</v>
      </c>
      <c r="AC345" s="23">
        <v>27654.76</v>
      </c>
      <c r="AD345" s="23">
        <v>0.5</v>
      </c>
      <c r="AE345" s="23">
        <v>42545.79</v>
      </c>
      <c r="AF345" s="23">
        <v>55309.52</v>
      </c>
      <c r="AG345" s="23">
        <v>1086925.5</v>
      </c>
      <c r="AH345" s="23">
        <v>39</v>
      </c>
      <c r="AI345" s="23">
        <v>709.1</v>
      </c>
      <c r="AJ345" s="23">
        <v>-3.85E-2</v>
      </c>
      <c r="AK345" s="23">
        <v>0.57689999999999997</v>
      </c>
      <c r="AL345" s="23" t="s">
        <v>24</v>
      </c>
      <c r="AM345" s="23">
        <v>37.299999999999997</v>
      </c>
      <c r="AN345" s="23">
        <v>28062.95</v>
      </c>
      <c r="AO345" s="23">
        <v>36.54</v>
      </c>
      <c r="AP345" s="23">
        <v>0</v>
      </c>
      <c r="AR345" s="46"/>
      <c r="AS345" s="44"/>
      <c r="AT345" s="45"/>
      <c r="AU345" s="2">
        <v>43745</v>
      </c>
      <c r="AV345" s="52">
        <v>7.2916666666666671E-2</v>
      </c>
      <c r="AW345" s="2" t="s">
        <v>213</v>
      </c>
      <c r="AY345" s="3"/>
      <c r="BA345" s="3"/>
      <c r="BG345" s="3"/>
      <c r="BH345" s="3"/>
    </row>
    <row r="346" spans="1:60">
      <c r="A346" s="23" t="s">
        <v>22</v>
      </c>
      <c r="B346" s="23" t="s">
        <v>23</v>
      </c>
      <c r="C346" s="27">
        <v>43748.385416666664</v>
      </c>
      <c r="D346" s="23">
        <v>38.1</v>
      </c>
      <c r="E346" s="27">
        <v>43749.385416666664</v>
      </c>
      <c r="F346" s="23">
        <v>37.35</v>
      </c>
      <c r="G346" s="31">
        <v>-1.9699999999999999E-2</v>
      </c>
      <c r="H346" s="23">
        <v>986.52</v>
      </c>
      <c r="I346" s="31">
        <v>1.9699999999999999E-2</v>
      </c>
      <c r="J346" s="23">
        <v>1315.3589999999999</v>
      </c>
      <c r="K346" s="23">
        <v>50115.18</v>
      </c>
      <c r="L346" s="23">
        <v>24023.7</v>
      </c>
      <c r="M346" s="23">
        <v>29</v>
      </c>
      <c r="N346" s="23">
        <v>34.020000000000003</v>
      </c>
      <c r="O346" s="31">
        <v>-7.9000000000000008E-3</v>
      </c>
      <c r="P346" s="31">
        <v>4.07E-2</v>
      </c>
      <c r="Q346" s="23" t="s">
        <v>24</v>
      </c>
      <c r="R346" s="23">
        <v>0</v>
      </c>
      <c r="S346" s="23">
        <v>38.76</v>
      </c>
      <c r="U346" s="47">
        <f>VLOOKUP(AU346,[1]expiry_dates!$B$2:$C$2894,2,FALSE)</f>
        <v>43769</v>
      </c>
      <c r="V346" s="23" t="s">
        <v>144</v>
      </c>
      <c r="W346" s="23" t="s">
        <v>23</v>
      </c>
      <c r="X346" s="49">
        <v>43748.385416666664</v>
      </c>
      <c r="Y346" s="23">
        <v>1.35</v>
      </c>
      <c r="Z346" s="23">
        <v>43749.385416666664</v>
      </c>
      <c r="AA346" s="23">
        <v>1.2</v>
      </c>
      <c r="AB346" s="23">
        <v>-0.1111</v>
      </c>
      <c r="AC346" s="23">
        <v>6159.4</v>
      </c>
      <c r="AD346" s="23">
        <v>0.1111</v>
      </c>
      <c r="AE346" s="23">
        <v>41062.69</v>
      </c>
      <c r="AF346" s="23">
        <v>55434.63</v>
      </c>
      <c r="AG346" s="23">
        <v>1093084.9099999999</v>
      </c>
      <c r="AH346" s="23">
        <v>29</v>
      </c>
      <c r="AI346" s="23">
        <v>212.39</v>
      </c>
      <c r="AJ346" s="23">
        <v>-7.4099999999999999E-2</v>
      </c>
      <c r="AK346" s="23">
        <v>0.22220000000000001</v>
      </c>
      <c r="AL346" s="23" t="s">
        <v>24</v>
      </c>
      <c r="AM346" s="23">
        <v>38.1</v>
      </c>
      <c r="AN346" s="23">
        <v>28396.55</v>
      </c>
      <c r="AO346" s="23">
        <v>38.76</v>
      </c>
      <c r="AP346" s="23">
        <v>0</v>
      </c>
      <c r="AR346" s="46"/>
      <c r="AS346" s="44"/>
      <c r="AT346" s="45"/>
      <c r="AU346" s="2">
        <v>43748</v>
      </c>
      <c r="AV346" s="52">
        <v>0.38541666666666669</v>
      </c>
      <c r="AW346" s="2" t="s">
        <v>212</v>
      </c>
      <c r="AY346" s="3"/>
      <c r="BA346" s="3"/>
      <c r="BG346" s="3"/>
      <c r="BH346" s="3"/>
    </row>
    <row r="347" spans="1:60">
      <c r="A347" s="23" t="s">
        <v>22</v>
      </c>
      <c r="B347" s="23" t="s">
        <v>25</v>
      </c>
      <c r="C347" s="27">
        <v>43749.385416666664</v>
      </c>
      <c r="D347" s="23">
        <v>37.35</v>
      </c>
      <c r="E347" s="27">
        <v>43749.5</v>
      </c>
      <c r="F347" s="23">
        <v>37.200000000000003</v>
      </c>
      <c r="G347" s="31">
        <v>-4.0000000000000001E-3</v>
      </c>
      <c r="H347" s="23">
        <v>-201.29</v>
      </c>
      <c r="I347" s="31">
        <v>-4.0000000000000001E-3</v>
      </c>
      <c r="J347" s="23">
        <v>1341.931</v>
      </c>
      <c r="K347" s="23">
        <v>50121.11</v>
      </c>
      <c r="L347" s="23">
        <v>23822.41</v>
      </c>
      <c r="M347" s="23">
        <v>12</v>
      </c>
      <c r="N347" s="23">
        <v>-16.77</v>
      </c>
      <c r="O347" s="31">
        <v>-5.4000000000000003E-3</v>
      </c>
      <c r="P347" s="31">
        <v>1.0699999999999999E-2</v>
      </c>
      <c r="Q347" s="23" t="s">
        <v>24</v>
      </c>
      <c r="R347" s="23">
        <v>0</v>
      </c>
      <c r="S347" s="23">
        <v>36.590000000000003</v>
      </c>
      <c r="U347" s="47">
        <f>VLOOKUP(AU347,[1]expiry_dates!$B$2:$C$2894,2,FALSE)</f>
        <v>43769</v>
      </c>
      <c r="V347" s="23" t="s">
        <v>142</v>
      </c>
      <c r="W347" s="23" t="s">
        <v>23</v>
      </c>
      <c r="X347" s="49">
        <v>43749.385416666664</v>
      </c>
      <c r="Y347" s="23">
        <v>2.25</v>
      </c>
      <c r="Z347" s="23">
        <v>43749.5</v>
      </c>
      <c r="AA347" s="23">
        <v>2.7</v>
      </c>
      <c r="AB347" s="23">
        <v>0.2</v>
      </c>
      <c r="AC347" s="23">
        <v>-11093.08</v>
      </c>
      <c r="AD347" s="23">
        <v>-0.2</v>
      </c>
      <c r="AE347" s="23">
        <v>24651.3</v>
      </c>
      <c r="AF347" s="23">
        <v>55465.42</v>
      </c>
      <c r="AG347" s="23">
        <v>1081991.82</v>
      </c>
      <c r="AH347" s="23">
        <v>12</v>
      </c>
      <c r="AI347" s="23">
        <v>-924.42</v>
      </c>
      <c r="AJ347" s="23">
        <v>-0.28889999999999999</v>
      </c>
      <c r="AK347" s="23">
        <v>0.1111</v>
      </c>
      <c r="AL347" s="23" t="s">
        <v>24</v>
      </c>
      <c r="AM347" s="23">
        <v>37.35</v>
      </c>
      <c r="AN347" s="23">
        <v>28478.799999999999</v>
      </c>
      <c r="AO347" s="23">
        <v>36.590000000000003</v>
      </c>
      <c r="AP347" s="23">
        <v>0</v>
      </c>
      <c r="AR347" s="46"/>
      <c r="AS347" s="44"/>
      <c r="AT347" s="45"/>
      <c r="AU347" s="2">
        <v>43749</v>
      </c>
      <c r="AV347" s="52">
        <v>0.38541666666666669</v>
      </c>
      <c r="AW347" s="2" t="s">
        <v>212</v>
      </c>
      <c r="AY347" s="3"/>
      <c r="BA347" s="3"/>
      <c r="BG347" s="3"/>
      <c r="BH347" s="3"/>
    </row>
    <row r="348" spans="1:60">
      <c r="A348" s="23" t="s">
        <v>22</v>
      </c>
      <c r="B348" s="23" t="s">
        <v>23</v>
      </c>
      <c r="C348" s="27">
        <v>43749.5</v>
      </c>
      <c r="D348" s="23">
        <v>37.200000000000003</v>
      </c>
      <c r="E348" s="27">
        <v>43749.583333333336</v>
      </c>
      <c r="F348" s="23">
        <v>37.6</v>
      </c>
      <c r="G348" s="31">
        <v>1.0800000000000001E-2</v>
      </c>
      <c r="H348" s="23">
        <v>-538.91999999999996</v>
      </c>
      <c r="I348" s="31">
        <v>-1.0800000000000001E-2</v>
      </c>
      <c r="J348" s="23">
        <v>1347.306</v>
      </c>
      <c r="K348" s="23">
        <v>50119.78</v>
      </c>
      <c r="L348" s="23">
        <v>23283.49</v>
      </c>
      <c r="M348" s="23">
        <v>9</v>
      </c>
      <c r="N348" s="23">
        <v>-59.88</v>
      </c>
      <c r="O348" s="31">
        <v>-1.0800000000000001E-2</v>
      </c>
      <c r="P348" s="31">
        <v>2.7000000000000001E-3</v>
      </c>
      <c r="Q348" s="23" t="s">
        <v>24</v>
      </c>
      <c r="R348" s="23">
        <v>0</v>
      </c>
      <c r="S348" s="23">
        <v>37.75</v>
      </c>
      <c r="U348" s="47">
        <f>VLOOKUP(AU348,[1]expiry_dates!$B$2:$C$2894,2,FALSE)</f>
        <v>43769</v>
      </c>
      <c r="V348" s="23" t="s">
        <v>145</v>
      </c>
      <c r="W348" s="23" t="s">
        <v>23</v>
      </c>
      <c r="X348" s="49">
        <v>43749.5</v>
      </c>
      <c r="Y348" s="23">
        <v>1.4</v>
      </c>
      <c r="Z348" s="23">
        <v>43749.583333333336</v>
      </c>
      <c r="AA348" s="23">
        <v>1.35</v>
      </c>
      <c r="AB348" s="23">
        <v>-3.5700000000000003E-2</v>
      </c>
      <c r="AC348" s="23">
        <v>1978.93</v>
      </c>
      <c r="AD348" s="23">
        <v>3.5700000000000003E-2</v>
      </c>
      <c r="AE348" s="23">
        <v>39578.54</v>
      </c>
      <c r="AF348" s="23">
        <v>55409.96</v>
      </c>
      <c r="AG348" s="23">
        <v>1083970.75</v>
      </c>
      <c r="AH348" s="23">
        <v>9</v>
      </c>
      <c r="AI348" s="23">
        <v>219.88</v>
      </c>
      <c r="AJ348" s="23">
        <v>0</v>
      </c>
      <c r="AK348" s="23">
        <v>7.1400000000000005E-2</v>
      </c>
      <c r="AL348" s="23" t="s">
        <v>24</v>
      </c>
      <c r="AM348" s="23">
        <v>37.200000000000003</v>
      </c>
      <c r="AN348" s="23">
        <v>27912.75</v>
      </c>
      <c r="AO348" s="23">
        <v>37.75</v>
      </c>
      <c r="AP348" s="23">
        <v>0</v>
      </c>
      <c r="AR348" s="46"/>
      <c r="AS348" s="44"/>
      <c r="AT348" s="45"/>
      <c r="AU348" s="2">
        <v>43749</v>
      </c>
      <c r="AV348" s="52">
        <v>0.5</v>
      </c>
      <c r="AW348" s="2" t="s">
        <v>213</v>
      </c>
      <c r="AY348" s="3"/>
      <c r="BA348" s="3"/>
      <c r="BG348" s="3"/>
      <c r="BH348" s="3"/>
    </row>
    <row r="349" spans="1:60">
      <c r="A349" s="23" t="s">
        <v>22</v>
      </c>
      <c r="B349" s="23" t="s">
        <v>25</v>
      </c>
      <c r="C349" s="27">
        <v>43749.583333333336</v>
      </c>
      <c r="D349" s="23">
        <v>37.6</v>
      </c>
      <c r="E349" s="27">
        <v>43752.614583333336</v>
      </c>
      <c r="F349" s="23">
        <v>37.799999999999997</v>
      </c>
      <c r="G349" s="31">
        <v>5.3E-3</v>
      </c>
      <c r="H349" s="23">
        <v>266.58999999999997</v>
      </c>
      <c r="I349" s="31">
        <v>5.3E-3</v>
      </c>
      <c r="J349" s="23">
        <v>1332.9280000000001</v>
      </c>
      <c r="K349" s="23">
        <v>50118.11</v>
      </c>
      <c r="L349" s="23">
        <v>23550.07</v>
      </c>
      <c r="M349" s="23">
        <v>32</v>
      </c>
      <c r="N349" s="23">
        <v>8.33</v>
      </c>
      <c r="O349" s="31">
        <v>-8.0000000000000002E-3</v>
      </c>
      <c r="P349" s="31">
        <v>1.8599999999999998E-2</v>
      </c>
      <c r="Q349" s="23" t="s">
        <v>24</v>
      </c>
      <c r="R349" s="23">
        <v>0</v>
      </c>
      <c r="S349" s="23">
        <v>37.11</v>
      </c>
      <c r="U349" s="47">
        <f>VLOOKUP(AU349,[1]expiry_dates!$B$2:$C$2894,2,FALSE)</f>
        <v>43769</v>
      </c>
      <c r="V349" s="23" t="s">
        <v>147</v>
      </c>
      <c r="W349" s="23" t="s">
        <v>23</v>
      </c>
      <c r="X349" s="49">
        <v>43749.583333333336</v>
      </c>
      <c r="Y349" s="23">
        <v>0.65</v>
      </c>
      <c r="Z349" s="23">
        <v>43752.614583333336</v>
      </c>
      <c r="AA349" s="23">
        <v>0.35</v>
      </c>
      <c r="AB349" s="23">
        <v>-0.46150000000000002</v>
      </c>
      <c r="AC349" s="23">
        <v>25578.400000000001</v>
      </c>
      <c r="AD349" s="23">
        <v>0.46150000000000002</v>
      </c>
      <c r="AE349" s="23">
        <v>85261.32</v>
      </c>
      <c r="AF349" s="23">
        <v>55419.86</v>
      </c>
      <c r="AG349" s="23">
        <v>1109549.1399999999</v>
      </c>
      <c r="AH349" s="23">
        <v>32</v>
      </c>
      <c r="AI349" s="23">
        <v>799.32</v>
      </c>
      <c r="AJ349" s="23">
        <v>-0.15379999999999999</v>
      </c>
      <c r="AK349" s="23">
        <v>0.61539999999999995</v>
      </c>
      <c r="AL349" s="23" t="s">
        <v>24</v>
      </c>
      <c r="AM349" s="23">
        <v>37.6</v>
      </c>
      <c r="AN349" s="23">
        <v>28129.7</v>
      </c>
      <c r="AO349" s="23">
        <v>37.11</v>
      </c>
      <c r="AP349" s="23">
        <v>0</v>
      </c>
      <c r="AR349" s="46"/>
      <c r="AS349" s="44"/>
      <c r="AT349" s="45"/>
      <c r="AU349" s="2">
        <v>43749</v>
      </c>
      <c r="AV349" s="52">
        <v>8.3333333333333329E-2</v>
      </c>
      <c r="AW349" s="2" t="s">
        <v>213</v>
      </c>
      <c r="AY349" s="3"/>
      <c r="BA349" s="3"/>
      <c r="BG349" s="3"/>
      <c r="BH349" s="3"/>
    </row>
    <row r="350" spans="1:60">
      <c r="A350" s="23" t="s">
        <v>22</v>
      </c>
      <c r="B350" s="23" t="s">
        <v>23</v>
      </c>
      <c r="C350" s="27">
        <v>43752.614583333336</v>
      </c>
      <c r="D350" s="23">
        <v>37.799999999999997</v>
      </c>
      <c r="E350" s="27">
        <v>43753.395833333336</v>
      </c>
      <c r="F350" s="23">
        <v>38.049999999999997</v>
      </c>
      <c r="G350" s="31">
        <v>6.6E-3</v>
      </c>
      <c r="H350" s="23">
        <v>-331.49</v>
      </c>
      <c r="I350" s="31">
        <v>-6.6E-3</v>
      </c>
      <c r="J350" s="23">
        <v>1325.9459999999999</v>
      </c>
      <c r="K350" s="23">
        <v>50120.75</v>
      </c>
      <c r="L350" s="23">
        <v>23218.59</v>
      </c>
      <c r="M350" s="23">
        <v>8</v>
      </c>
      <c r="N350" s="23">
        <v>-41.44</v>
      </c>
      <c r="O350" s="31">
        <v>-1.1900000000000001E-2</v>
      </c>
      <c r="P350" s="31">
        <v>6.6E-3</v>
      </c>
      <c r="Q350" s="23" t="s">
        <v>24</v>
      </c>
      <c r="R350" s="23">
        <v>0</v>
      </c>
      <c r="S350" s="23">
        <v>38.29</v>
      </c>
      <c r="U350" s="47">
        <f>VLOOKUP(AU350,[1]expiry_dates!$B$2:$C$2894,2,FALSE)</f>
        <v>43769</v>
      </c>
      <c r="V350" s="23" t="s">
        <v>140</v>
      </c>
      <c r="W350" s="23" t="s">
        <v>23</v>
      </c>
      <c r="X350" s="49">
        <v>43752.614583333336</v>
      </c>
      <c r="Y350" s="23">
        <v>0.85</v>
      </c>
      <c r="Z350" s="23">
        <v>43753.395833333336</v>
      </c>
      <c r="AA350" s="23">
        <v>0.9</v>
      </c>
      <c r="AB350" s="23">
        <v>5.8799999999999998E-2</v>
      </c>
      <c r="AC350" s="23">
        <v>-3270.02</v>
      </c>
      <c r="AD350" s="23">
        <v>-5.8799999999999998E-2</v>
      </c>
      <c r="AE350" s="23">
        <v>65400.44</v>
      </c>
      <c r="AF350" s="23">
        <v>55590.38</v>
      </c>
      <c r="AG350" s="23">
        <v>1106279.1200000001</v>
      </c>
      <c r="AH350" s="23">
        <v>8</v>
      </c>
      <c r="AI350" s="23">
        <v>-408.75</v>
      </c>
      <c r="AJ350" s="23">
        <v>-5.8799999999999998E-2</v>
      </c>
      <c r="AK350" s="23">
        <v>5.8799999999999998E-2</v>
      </c>
      <c r="AL350" s="23" t="s">
        <v>24</v>
      </c>
      <c r="AM350" s="23">
        <v>37.799999999999997</v>
      </c>
      <c r="AN350" s="23">
        <v>28289.15</v>
      </c>
      <c r="AO350" s="23">
        <v>38.29</v>
      </c>
      <c r="AP350" s="23">
        <v>0</v>
      </c>
      <c r="AR350" s="46"/>
      <c r="AS350" s="44"/>
      <c r="AT350" s="45"/>
      <c r="AU350" s="2">
        <v>43752</v>
      </c>
      <c r="AV350" s="52">
        <v>0.11458333333333333</v>
      </c>
      <c r="AW350" s="2" t="s">
        <v>213</v>
      </c>
      <c r="AY350" s="3"/>
      <c r="BA350" s="3"/>
      <c r="BG350" s="3"/>
      <c r="BH350" s="3"/>
    </row>
    <row r="351" spans="1:60">
      <c r="A351" s="23" t="s">
        <v>22</v>
      </c>
      <c r="B351" s="23" t="s">
        <v>25</v>
      </c>
      <c r="C351" s="27">
        <v>43753.395833333336</v>
      </c>
      <c r="D351" s="23">
        <v>38.049999999999997</v>
      </c>
      <c r="E351" s="27">
        <v>43753.5</v>
      </c>
      <c r="F351" s="23">
        <v>37.950000000000003</v>
      </c>
      <c r="G351" s="31">
        <v>-2.5999999999999999E-3</v>
      </c>
      <c r="H351" s="23">
        <v>-131.71</v>
      </c>
      <c r="I351" s="31">
        <v>-2.5999999999999999E-3</v>
      </c>
      <c r="J351" s="23">
        <v>1317.12</v>
      </c>
      <c r="K351" s="23">
        <v>50116.43</v>
      </c>
      <c r="L351" s="23">
        <v>23086.87</v>
      </c>
      <c r="M351" s="23">
        <v>11</v>
      </c>
      <c r="N351" s="23">
        <v>-11.97</v>
      </c>
      <c r="O351" s="31">
        <v>-5.3E-3</v>
      </c>
      <c r="P351" s="31">
        <v>1.0500000000000001E-2</v>
      </c>
      <c r="Q351" s="23" t="s">
        <v>24</v>
      </c>
      <c r="R351" s="23">
        <v>0</v>
      </c>
      <c r="S351" s="23">
        <v>37.56</v>
      </c>
      <c r="U351" s="47">
        <f>VLOOKUP(AU351,[1]expiry_dates!$B$2:$C$2894,2,FALSE)</f>
        <v>43769</v>
      </c>
      <c r="V351" s="23" t="s">
        <v>146</v>
      </c>
      <c r="W351" s="23" t="s">
        <v>23</v>
      </c>
      <c r="X351" s="49">
        <v>43753.395833333336</v>
      </c>
      <c r="Y351" s="23">
        <v>0.5</v>
      </c>
      <c r="Z351" s="23">
        <v>43753.5</v>
      </c>
      <c r="AA351" s="23">
        <v>0.45</v>
      </c>
      <c r="AB351" s="23">
        <v>-0.1</v>
      </c>
      <c r="AC351" s="23">
        <v>5553.14</v>
      </c>
      <c r="AD351" s="23">
        <v>0.1</v>
      </c>
      <c r="AE351" s="23">
        <v>111062.8</v>
      </c>
      <c r="AF351" s="23">
        <v>55531.39</v>
      </c>
      <c r="AG351" s="23">
        <v>1111832.26</v>
      </c>
      <c r="AH351" s="23">
        <v>11</v>
      </c>
      <c r="AI351" s="23">
        <v>504.83</v>
      </c>
      <c r="AJ351" s="23">
        <v>-0.1</v>
      </c>
      <c r="AK351" s="23">
        <v>0.1</v>
      </c>
      <c r="AL351" s="23" t="s">
        <v>24</v>
      </c>
      <c r="AM351" s="23">
        <v>38.049999999999997</v>
      </c>
      <c r="AN351" s="23">
        <v>28304.400000000001</v>
      </c>
      <c r="AO351" s="23">
        <v>37.56</v>
      </c>
      <c r="AP351" s="23">
        <v>0</v>
      </c>
      <c r="AR351" s="46"/>
      <c r="AS351" s="44"/>
      <c r="AT351" s="45"/>
      <c r="AU351" s="2">
        <v>43753</v>
      </c>
      <c r="AV351" s="52">
        <v>0.39583333333333331</v>
      </c>
      <c r="AW351" s="2" t="s">
        <v>212</v>
      </c>
      <c r="AY351" s="3"/>
      <c r="BA351" s="3"/>
      <c r="BG351" s="3"/>
      <c r="BH351" s="3"/>
    </row>
    <row r="352" spans="1:60">
      <c r="A352" s="23" t="s">
        <v>22</v>
      </c>
      <c r="B352" s="23" t="s">
        <v>23</v>
      </c>
      <c r="C352" s="27">
        <v>43753.5</v>
      </c>
      <c r="D352" s="23">
        <v>37.950000000000003</v>
      </c>
      <c r="E352" s="27">
        <v>43753.59375</v>
      </c>
      <c r="F352" s="23">
        <v>38.35</v>
      </c>
      <c r="G352" s="31">
        <v>1.0500000000000001E-2</v>
      </c>
      <c r="H352" s="23">
        <v>-528.23</v>
      </c>
      <c r="I352" s="31">
        <v>-1.0500000000000001E-2</v>
      </c>
      <c r="J352" s="23">
        <v>1320.5650000000001</v>
      </c>
      <c r="K352" s="23">
        <v>50115.44</v>
      </c>
      <c r="L352" s="23">
        <v>22558.65</v>
      </c>
      <c r="M352" s="23">
        <v>10</v>
      </c>
      <c r="N352" s="23">
        <v>-52.82</v>
      </c>
      <c r="O352" s="31">
        <v>-1.0500000000000001E-2</v>
      </c>
      <c r="P352" s="31">
        <v>5.3E-3</v>
      </c>
      <c r="Q352" s="23" t="s">
        <v>24</v>
      </c>
      <c r="R352" s="23">
        <v>0</v>
      </c>
      <c r="S352" s="23">
        <v>38.42</v>
      </c>
      <c r="U352" s="47">
        <f>VLOOKUP(AU352,[1]expiry_dates!$B$2:$C$2894,2,FALSE)</f>
        <v>43769</v>
      </c>
      <c r="V352" s="23" t="s">
        <v>141</v>
      </c>
      <c r="W352" s="23" t="s">
        <v>23</v>
      </c>
      <c r="X352" s="49">
        <v>43753.5</v>
      </c>
      <c r="Y352" s="23">
        <v>0.6</v>
      </c>
      <c r="Z352" s="23">
        <v>43753.59375</v>
      </c>
      <c r="AA352" s="23">
        <v>0.7</v>
      </c>
      <c r="AB352" s="23">
        <v>0.16669999999999999</v>
      </c>
      <c r="AC352" s="23">
        <v>-9259.86</v>
      </c>
      <c r="AD352" s="23">
        <v>-0.16669999999999999</v>
      </c>
      <c r="AE352" s="23">
        <v>92598.6</v>
      </c>
      <c r="AF352" s="23">
        <v>55559.16</v>
      </c>
      <c r="AG352" s="23">
        <v>1102572.3999999999</v>
      </c>
      <c r="AH352" s="23">
        <v>10</v>
      </c>
      <c r="AI352" s="23">
        <v>-925.99</v>
      </c>
      <c r="AJ352" s="23">
        <v>-0.16669999999999999</v>
      </c>
      <c r="AK352" s="23">
        <v>0</v>
      </c>
      <c r="AL352" s="23" t="s">
        <v>24</v>
      </c>
      <c r="AM352" s="23">
        <v>37.950000000000003</v>
      </c>
      <c r="AN352" s="23">
        <v>28428.35</v>
      </c>
      <c r="AO352" s="23">
        <v>38.42</v>
      </c>
      <c r="AP352" s="23">
        <v>0</v>
      </c>
      <c r="AR352" s="46"/>
      <c r="AS352" s="44"/>
      <c r="AT352" s="45"/>
      <c r="AU352" s="2">
        <v>43753</v>
      </c>
      <c r="AV352" s="52">
        <v>0.5</v>
      </c>
      <c r="AW352" s="2" t="s">
        <v>213</v>
      </c>
      <c r="AY352" s="3"/>
      <c r="BA352" s="3"/>
      <c r="BG352" s="3"/>
      <c r="BH352" s="3"/>
    </row>
    <row r="353" spans="1:60">
      <c r="A353" s="23" t="s">
        <v>22</v>
      </c>
      <c r="B353" s="23" t="s">
        <v>25</v>
      </c>
      <c r="C353" s="27">
        <v>43753.59375</v>
      </c>
      <c r="D353" s="23">
        <v>38.35</v>
      </c>
      <c r="E353" s="27">
        <v>43755.385416666664</v>
      </c>
      <c r="F353" s="23">
        <v>38.9</v>
      </c>
      <c r="G353" s="31">
        <v>1.43E-2</v>
      </c>
      <c r="H353" s="23">
        <v>718.72</v>
      </c>
      <c r="I353" s="31">
        <v>1.43E-2</v>
      </c>
      <c r="J353" s="23">
        <v>1306.7570000000001</v>
      </c>
      <c r="K353" s="23">
        <v>50114.11</v>
      </c>
      <c r="L353" s="23">
        <v>23277.360000000001</v>
      </c>
      <c r="M353" s="23">
        <v>37</v>
      </c>
      <c r="N353" s="23">
        <v>19.420000000000002</v>
      </c>
      <c r="O353" s="31">
        <v>-6.4999999999999997E-3</v>
      </c>
      <c r="P353" s="31">
        <v>0.03</v>
      </c>
      <c r="Q353" s="23" t="s">
        <v>24</v>
      </c>
      <c r="R353" s="23">
        <v>0</v>
      </c>
      <c r="S353" s="23">
        <v>37.770000000000003</v>
      </c>
      <c r="U353" s="47">
        <f>VLOOKUP(AU353,[1]expiry_dates!$B$2:$C$2894,2,FALSE)</f>
        <v>43769</v>
      </c>
      <c r="V353" s="23" t="s">
        <v>148</v>
      </c>
      <c r="W353" s="23" t="s">
        <v>23</v>
      </c>
      <c r="X353" s="49">
        <v>43753.59375</v>
      </c>
      <c r="Y353" s="23">
        <v>0.6</v>
      </c>
      <c r="Z353" s="23">
        <v>43755.385416666664</v>
      </c>
      <c r="AA353" s="23">
        <v>0.35</v>
      </c>
      <c r="AB353" s="23">
        <v>-0.41670000000000001</v>
      </c>
      <c r="AC353" s="23">
        <v>23140</v>
      </c>
      <c r="AD353" s="23">
        <v>0.41670000000000001</v>
      </c>
      <c r="AE353" s="23">
        <v>92560.02</v>
      </c>
      <c r="AF353" s="23">
        <v>55536.01</v>
      </c>
      <c r="AG353" s="23">
        <v>1125712.4099999999</v>
      </c>
      <c r="AH353" s="23">
        <v>37</v>
      </c>
      <c r="AI353" s="23">
        <v>625.41</v>
      </c>
      <c r="AJ353" s="23">
        <v>-8.3299999999999999E-2</v>
      </c>
      <c r="AK353" s="23">
        <v>0.41670000000000001</v>
      </c>
      <c r="AL353" s="23" t="s">
        <v>24</v>
      </c>
      <c r="AM353" s="23">
        <v>38.35</v>
      </c>
      <c r="AN353" s="23">
        <v>28662.1</v>
      </c>
      <c r="AO353" s="23">
        <v>37.770000000000003</v>
      </c>
      <c r="AP353" s="23">
        <v>0</v>
      </c>
      <c r="AR353" s="46"/>
      <c r="AS353" s="44"/>
      <c r="AT353" s="45"/>
      <c r="AU353" s="2">
        <v>43753</v>
      </c>
      <c r="AV353" s="52">
        <v>9.375E-2</v>
      </c>
      <c r="AW353" s="2" t="s">
        <v>213</v>
      </c>
      <c r="AY353" s="3"/>
      <c r="BA353" s="3"/>
      <c r="BG353" s="3"/>
      <c r="BH353" s="3"/>
    </row>
    <row r="354" spans="1:60">
      <c r="A354" s="23" t="s">
        <v>22</v>
      </c>
      <c r="B354" s="23" t="s">
        <v>23</v>
      </c>
      <c r="C354" s="27">
        <v>43755.385416666664</v>
      </c>
      <c r="D354" s="23">
        <v>38.9</v>
      </c>
      <c r="E354" s="27">
        <v>43755.5</v>
      </c>
      <c r="F354" s="23">
        <v>39.049999999999997</v>
      </c>
      <c r="G354" s="31">
        <v>3.8999999999999998E-3</v>
      </c>
      <c r="H354" s="23">
        <v>-193.27</v>
      </c>
      <c r="I354" s="31">
        <v>-3.8999999999999998E-3</v>
      </c>
      <c r="J354" s="23">
        <v>1288.44</v>
      </c>
      <c r="K354" s="23">
        <v>50120.3</v>
      </c>
      <c r="L354" s="23">
        <v>23084.1</v>
      </c>
      <c r="M354" s="23">
        <v>12</v>
      </c>
      <c r="N354" s="23">
        <v>-16.11</v>
      </c>
      <c r="O354" s="31">
        <v>-1.67E-2</v>
      </c>
      <c r="P354" s="31">
        <v>7.7000000000000002E-3</v>
      </c>
      <c r="Q354" s="23" t="s">
        <v>24</v>
      </c>
      <c r="R354" s="23">
        <v>0</v>
      </c>
      <c r="S354" s="23">
        <v>39.549999999999997</v>
      </c>
      <c r="U354" s="47">
        <f>VLOOKUP(AU354,[1]expiry_dates!$B$2:$C$2894,2,FALSE)</f>
        <v>43769</v>
      </c>
      <c r="V354" s="23" t="s">
        <v>141</v>
      </c>
      <c r="W354" s="23" t="s">
        <v>23</v>
      </c>
      <c r="X354" s="49">
        <v>43755.385416666664</v>
      </c>
      <c r="Y354" s="23">
        <v>0.7</v>
      </c>
      <c r="Z354" s="23">
        <v>43755.5</v>
      </c>
      <c r="AA354" s="23">
        <v>0.8</v>
      </c>
      <c r="AB354" s="23">
        <v>0.1429</v>
      </c>
      <c r="AC354" s="23">
        <v>-7946.94</v>
      </c>
      <c r="AD354" s="23">
        <v>-0.1429</v>
      </c>
      <c r="AE354" s="23">
        <v>79469.38</v>
      </c>
      <c r="AF354" s="23">
        <v>55628.56</v>
      </c>
      <c r="AG354" s="23">
        <v>1117765.47</v>
      </c>
      <c r="AH354" s="23">
        <v>12</v>
      </c>
      <c r="AI354" s="23">
        <v>-662.24</v>
      </c>
      <c r="AJ354" s="23">
        <v>-0.21429999999999999</v>
      </c>
      <c r="AK354" s="23">
        <v>0.1429</v>
      </c>
      <c r="AL354" s="23" t="s">
        <v>24</v>
      </c>
      <c r="AM354" s="23">
        <v>38.9</v>
      </c>
      <c r="AN354" s="23">
        <v>28598.05</v>
      </c>
      <c r="AO354" s="23">
        <v>39.549999999999997</v>
      </c>
      <c r="AP354" s="23">
        <v>0</v>
      </c>
      <c r="AR354" s="46"/>
      <c r="AS354" s="44"/>
      <c r="AT354" s="45"/>
      <c r="AU354" s="2">
        <v>43755</v>
      </c>
      <c r="AV354" s="52">
        <v>0.38541666666666669</v>
      </c>
      <c r="AW354" s="2" t="s">
        <v>212</v>
      </c>
      <c r="AY354" s="3"/>
      <c r="BA354" s="3"/>
      <c r="BG354" s="3"/>
      <c r="BH354" s="3"/>
    </row>
    <row r="355" spans="1:60">
      <c r="A355" s="23" t="s">
        <v>22</v>
      </c>
      <c r="B355" s="23" t="s">
        <v>25</v>
      </c>
      <c r="C355" s="27">
        <v>43755.5</v>
      </c>
      <c r="D355" s="23">
        <v>39.049999999999997</v>
      </c>
      <c r="E355" s="27">
        <v>43756.447916666664</v>
      </c>
      <c r="F355" s="23">
        <v>40.35</v>
      </c>
      <c r="G355" s="31">
        <v>3.3300000000000003E-2</v>
      </c>
      <c r="H355" s="23">
        <v>1668.36</v>
      </c>
      <c r="I355" s="31">
        <v>3.3300000000000003E-2</v>
      </c>
      <c r="J355" s="23">
        <v>1283.357</v>
      </c>
      <c r="K355" s="23">
        <v>50115.1</v>
      </c>
      <c r="L355" s="23">
        <v>24752.46</v>
      </c>
      <c r="M355" s="23">
        <v>24</v>
      </c>
      <c r="N355" s="23">
        <v>69.52</v>
      </c>
      <c r="O355" s="31">
        <v>-3.8E-3</v>
      </c>
      <c r="P355" s="31">
        <v>4.1000000000000002E-2</v>
      </c>
      <c r="Q355" s="23" t="s">
        <v>24</v>
      </c>
      <c r="R355" s="23">
        <v>0</v>
      </c>
      <c r="S355" s="23">
        <v>38.630000000000003</v>
      </c>
      <c r="U355" s="47">
        <f>VLOOKUP(AU355,[1]expiry_dates!$B$2:$C$2894,2,FALSE)</f>
        <v>43769</v>
      </c>
      <c r="V355" s="23" t="s">
        <v>143</v>
      </c>
      <c r="W355" s="23" t="s">
        <v>23</v>
      </c>
      <c r="X355" s="49">
        <v>43755.5</v>
      </c>
      <c r="Y355" s="23">
        <v>0.5</v>
      </c>
      <c r="Z355" s="23">
        <v>43756.447916666664</v>
      </c>
      <c r="AA355" s="23">
        <v>0.15</v>
      </c>
      <c r="AB355" s="23">
        <v>-0.7</v>
      </c>
      <c r="AC355" s="23">
        <v>38926.089999999997</v>
      </c>
      <c r="AD355" s="23">
        <v>0.7</v>
      </c>
      <c r="AE355" s="23">
        <v>111217.4</v>
      </c>
      <c r="AF355" s="23">
        <v>55608.7</v>
      </c>
      <c r="AG355" s="23">
        <v>1156691.55</v>
      </c>
      <c r="AH355" s="23">
        <v>24</v>
      </c>
      <c r="AI355" s="23">
        <v>1621.92</v>
      </c>
      <c r="AJ355" s="23">
        <v>0</v>
      </c>
      <c r="AK355" s="23">
        <v>0.7</v>
      </c>
      <c r="AL355" s="23" t="s">
        <v>24</v>
      </c>
      <c r="AM355" s="23">
        <v>39.049999999999997</v>
      </c>
      <c r="AN355" s="23">
        <v>28660.75</v>
      </c>
      <c r="AO355" s="23">
        <v>38.630000000000003</v>
      </c>
      <c r="AP355" s="23">
        <v>0</v>
      </c>
      <c r="AR355" s="46"/>
      <c r="AS355" s="44"/>
      <c r="AT355" s="45"/>
      <c r="AU355" s="2">
        <v>43755</v>
      </c>
      <c r="AV355" s="52">
        <v>0.5</v>
      </c>
      <c r="AW355" s="2" t="s">
        <v>213</v>
      </c>
      <c r="AY355" s="3"/>
      <c r="BA355" s="3"/>
      <c r="BG355" s="3"/>
      <c r="BH355" s="3"/>
    </row>
    <row r="356" spans="1:60">
      <c r="A356" s="23" t="s">
        <v>22</v>
      </c>
      <c r="B356" s="23" t="s">
        <v>23</v>
      </c>
      <c r="C356" s="27">
        <v>43756.447916666664</v>
      </c>
      <c r="D356" s="23">
        <v>40.35</v>
      </c>
      <c r="E356" s="27">
        <v>43756.489583333336</v>
      </c>
      <c r="F356" s="23">
        <v>40.4</v>
      </c>
      <c r="G356" s="31">
        <v>1.1999999999999999E-3</v>
      </c>
      <c r="H356" s="23">
        <v>-62.11</v>
      </c>
      <c r="I356" s="31">
        <v>-1.1999999999999999E-3</v>
      </c>
      <c r="J356" s="23">
        <v>1242.145</v>
      </c>
      <c r="K356" s="23">
        <v>50120.55</v>
      </c>
      <c r="L356" s="23">
        <v>24690.35</v>
      </c>
      <c r="M356" s="23">
        <v>5</v>
      </c>
      <c r="N356" s="23">
        <v>-12.42</v>
      </c>
      <c r="O356" s="31">
        <v>-5.0000000000000001E-3</v>
      </c>
      <c r="P356" s="31">
        <v>1.8599999999999998E-2</v>
      </c>
      <c r="Q356" s="23" t="s">
        <v>24</v>
      </c>
      <c r="R356" s="23">
        <v>0</v>
      </c>
      <c r="S356" s="23">
        <v>40.61</v>
      </c>
      <c r="U356" s="47">
        <f>VLOOKUP(AU356,[1]expiry_dates!$B$2:$C$2894,2,FALSE)</f>
        <v>43769</v>
      </c>
      <c r="V356" s="23" t="s">
        <v>139</v>
      </c>
      <c r="W356" s="23" t="s">
        <v>23</v>
      </c>
      <c r="X356" s="49">
        <v>43756.447916666664</v>
      </c>
      <c r="Y356" s="23">
        <v>1.1499999999999999</v>
      </c>
      <c r="Z356" s="23">
        <v>43756.489583333336</v>
      </c>
      <c r="AA356" s="23">
        <v>1.1499999999999999</v>
      </c>
      <c r="AB356" s="23">
        <v>0</v>
      </c>
      <c r="AC356" s="23">
        <v>0</v>
      </c>
      <c r="AD356" s="23">
        <v>0</v>
      </c>
      <c r="AE356" s="23">
        <v>48483.18</v>
      </c>
      <c r="AF356" s="23">
        <v>55755.66</v>
      </c>
      <c r="AG356" s="23">
        <v>1156691.55</v>
      </c>
      <c r="AH356" s="23">
        <v>5</v>
      </c>
      <c r="AI356" s="23">
        <v>0</v>
      </c>
      <c r="AJ356" s="23">
        <v>-0.13039999999999999</v>
      </c>
      <c r="AK356" s="23">
        <v>0.26090000000000002</v>
      </c>
      <c r="AL356" s="23" t="s">
        <v>24</v>
      </c>
      <c r="AM356" s="23">
        <v>40.35</v>
      </c>
      <c r="AN356" s="23">
        <v>29031.200000000001</v>
      </c>
      <c r="AO356" s="23">
        <v>40.61</v>
      </c>
      <c r="AP356" s="23">
        <v>0</v>
      </c>
      <c r="AR356" s="46"/>
      <c r="AS356" s="44"/>
      <c r="AT356" s="45"/>
      <c r="AU356" s="2">
        <v>43756</v>
      </c>
      <c r="AV356" s="52">
        <v>0.44791666666666669</v>
      </c>
      <c r="AW356" s="2" t="s">
        <v>212</v>
      </c>
      <c r="AY356" s="3"/>
      <c r="BA356" s="3"/>
      <c r="BG356" s="3"/>
      <c r="BH356" s="3"/>
    </row>
    <row r="357" spans="1:60">
      <c r="A357" s="23" t="s">
        <v>22</v>
      </c>
      <c r="B357" s="23" t="s">
        <v>25</v>
      </c>
      <c r="C357" s="27">
        <v>43756.489583333336</v>
      </c>
      <c r="D357" s="23">
        <v>40.4</v>
      </c>
      <c r="E357" s="27">
        <v>43756.625</v>
      </c>
      <c r="F357" s="23">
        <v>39.65</v>
      </c>
      <c r="G357" s="31">
        <v>-1.8599999999999998E-2</v>
      </c>
      <c r="H357" s="23">
        <v>-930.51</v>
      </c>
      <c r="I357" s="31">
        <v>-1.8599999999999998E-2</v>
      </c>
      <c r="J357" s="23">
        <v>1240.6790000000001</v>
      </c>
      <c r="K357" s="23">
        <v>50123.45</v>
      </c>
      <c r="L357" s="23">
        <v>23759.85</v>
      </c>
      <c r="M357" s="23">
        <v>14</v>
      </c>
      <c r="N357" s="23">
        <v>-66.459999999999994</v>
      </c>
      <c r="O357" s="31">
        <v>-1.8599999999999998E-2</v>
      </c>
      <c r="P357" s="31">
        <v>3.7000000000000002E-3</v>
      </c>
      <c r="Q357" s="23" t="s">
        <v>24</v>
      </c>
      <c r="R357" s="23">
        <v>0</v>
      </c>
      <c r="S357" s="23">
        <v>39.619999999999997</v>
      </c>
      <c r="U357" s="47">
        <f>VLOOKUP(AU357,[1]expiry_dates!$B$2:$C$2894,2,FALSE)</f>
        <v>43769</v>
      </c>
      <c r="V357" s="23" t="s">
        <v>113</v>
      </c>
      <c r="W357" s="23" t="s">
        <v>23</v>
      </c>
      <c r="X357" s="49">
        <v>43756.489583333336</v>
      </c>
      <c r="Y357" s="23">
        <v>1.35</v>
      </c>
      <c r="Z357" s="23">
        <v>43756.625</v>
      </c>
      <c r="AA357" s="23">
        <v>1.6</v>
      </c>
      <c r="AB357" s="23">
        <v>0.1852</v>
      </c>
      <c r="AC357" s="23">
        <v>-10330.27</v>
      </c>
      <c r="AD357" s="23">
        <v>-0.1852</v>
      </c>
      <c r="AE357" s="23">
        <v>41321.08</v>
      </c>
      <c r="AF357" s="23">
        <v>55783.46</v>
      </c>
      <c r="AG357" s="23">
        <v>1146361.29</v>
      </c>
      <c r="AH357" s="23">
        <v>14</v>
      </c>
      <c r="AI357" s="23">
        <v>-737.88</v>
      </c>
      <c r="AJ357" s="23">
        <v>-0.1852</v>
      </c>
      <c r="AK357" s="23">
        <v>0.1111</v>
      </c>
      <c r="AL357" s="23" t="s">
        <v>24</v>
      </c>
      <c r="AM357" s="23">
        <v>40.4</v>
      </c>
      <c r="AN357" s="23">
        <v>29057.55</v>
      </c>
      <c r="AO357" s="23">
        <v>39.619999999999997</v>
      </c>
      <c r="AP357" s="23">
        <v>0</v>
      </c>
      <c r="AR357" s="46"/>
      <c r="AS357" s="44"/>
      <c r="AT357" s="45"/>
      <c r="AU357" s="2">
        <v>43756</v>
      </c>
      <c r="AV357" s="52">
        <v>0.48958333333333331</v>
      </c>
      <c r="AW357" s="2" t="s">
        <v>212</v>
      </c>
      <c r="AY357" s="3"/>
      <c r="BA357" s="3"/>
      <c r="BG357" s="3"/>
      <c r="BH357" s="3"/>
    </row>
    <row r="358" spans="1:60">
      <c r="A358" s="23" t="s">
        <v>22</v>
      </c>
      <c r="B358" s="23" t="s">
        <v>23</v>
      </c>
      <c r="C358" s="27">
        <v>43756.625</v>
      </c>
      <c r="D358" s="23">
        <v>39.65</v>
      </c>
      <c r="E358" s="27">
        <v>43760.395833333336</v>
      </c>
      <c r="F358" s="23">
        <v>40.200000000000003</v>
      </c>
      <c r="G358" s="31">
        <v>1.3899999999999999E-2</v>
      </c>
      <c r="H358" s="23">
        <v>-695.26</v>
      </c>
      <c r="I358" s="31">
        <v>-1.3899999999999999E-2</v>
      </c>
      <c r="J358" s="23">
        <v>1264.1079999999999</v>
      </c>
      <c r="K358" s="23">
        <v>50121.9</v>
      </c>
      <c r="L358" s="23">
        <v>23064.59</v>
      </c>
      <c r="M358" s="23">
        <v>7</v>
      </c>
      <c r="N358" s="23">
        <v>-99.32</v>
      </c>
      <c r="O358" s="31">
        <v>-1.6400000000000001E-2</v>
      </c>
      <c r="P358" s="31">
        <v>3.8E-3</v>
      </c>
      <c r="Q358" s="23" t="s">
        <v>24</v>
      </c>
      <c r="R358" s="23">
        <v>0</v>
      </c>
      <c r="S358" s="23">
        <v>40.520000000000003</v>
      </c>
      <c r="U358" s="47">
        <f>VLOOKUP(AU358,[1]expiry_dates!$B$2:$C$2894,2,FALSE)</f>
        <v>43769</v>
      </c>
      <c r="V358" s="23" t="s">
        <v>139</v>
      </c>
      <c r="W358" s="23" t="s">
        <v>23</v>
      </c>
      <c r="X358" s="49">
        <v>43756.625</v>
      </c>
      <c r="Y358" s="23">
        <v>1</v>
      </c>
      <c r="Z358" s="23">
        <v>43760.395833333336</v>
      </c>
      <c r="AA358" s="23">
        <v>1.1000000000000001</v>
      </c>
      <c r="AB358" s="23">
        <v>0.1</v>
      </c>
      <c r="AC358" s="23">
        <v>-5575.25</v>
      </c>
      <c r="AD358" s="23">
        <v>-0.1</v>
      </c>
      <c r="AE358" s="23">
        <v>55752.47</v>
      </c>
      <c r="AF358" s="23">
        <v>55752.47</v>
      </c>
      <c r="AG358" s="23">
        <v>1140786.04</v>
      </c>
      <c r="AH358" s="23">
        <v>7</v>
      </c>
      <c r="AI358" s="23">
        <v>-796.46</v>
      </c>
      <c r="AJ358" s="23">
        <v>-0.25</v>
      </c>
      <c r="AK358" s="23">
        <v>0.05</v>
      </c>
      <c r="AL358" s="23" t="s">
        <v>24</v>
      </c>
      <c r="AM358" s="23">
        <v>39.65</v>
      </c>
      <c r="AN358" s="23">
        <v>29128.65</v>
      </c>
      <c r="AO358" s="23">
        <v>40.520000000000003</v>
      </c>
      <c r="AP358" s="23">
        <v>0</v>
      </c>
      <c r="AR358" s="46"/>
      <c r="AS358" s="44"/>
      <c r="AT358" s="45"/>
      <c r="AU358" s="2">
        <v>43756</v>
      </c>
      <c r="AV358" s="52">
        <v>0.125</v>
      </c>
      <c r="AW358" s="2" t="s">
        <v>213</v>
      </c>
      <c r="AY358" s="3"/>
      <c r="BA358" s="3"/>
      <c r="BG358" s="3"/>
      <c r="BH358" s="3"/>
    </row>
    <row r="359" spans="1:60">
      <c r="A359" s="23" t="s">
        <v>22</v>
      </c>
      <c r="B359" s="23" t="s">
        <v>25</v>
      </c>
      <c r="C359" s="27">
        <v>43760.395833333336</v>
      </c>
      <c r="D359" s="23">
        <v>40.200000000000003</v>
      </c>
      <c r="E359" s="27">
        <v>43760.541666666664</v>
      </c>
      <c r="F359" s="23">
        <v>40.1</v>
      </c>
      <c r="G359" s="31">
        <v>-2.5000000000000001E-3</v>
      </c>
      <c r="H359" s="23">
        <v>-124.66</v>
      </c>
      <c r="I359" s="31">
        <v>-2.5000000000000001E-3</v>
      </c>
      <c r="J359" s="23">
        <v>1246.634</v>
      </c>
      <c r="K359" s="23">
        <v>50114.69</v>
      </c>
      <c r="L359" s="23">
        <v>22939.919999999998</v>
      </c>
      <c r="M359" s="23">
        <v>15</v>
      </c>
      <c r="N359" s="23">
        <v>-8.31</v>
      </c>
      <c r="O359" s="31">
        <v>-7.4999999999999997E-3</v>
      </c>
      <c r="P359" s="31">
        <v>6.1999999999999998E-3</v>
      </c>
      <c r="Q359" s="23" t="s">
        <v>24</v>
      </c>
      <c r="R359" s="23">
        <v>0</v>
      </c>
      <c r="S359" s="23">
        <v>39.54</v>
      </c>
      <c r="U359" s="47">
        <f>VLOOKUP(AU359,[1]expiry_dates!$B$2:$C$2894,2,FALSE)</f>
        <v>43769</v>
      </c>
      <c r="V359" s="23" t="s">
        <v>137</v>
      </c>
      <c r="W359" s="23" t="s">
        <v>23</v>
      </c>
      <c r="X359" s="49">
        <v>43760.395833333336</v>
      </c>
      <c r="Y359" s="23">
        <v>0.9</v>
      </c>
      <c r="Z359" s="23">
        <v>43760.541666666664</v>
      </c>
      <c r="AA359" s="23">
        <v>0.85</v>
      </c>
      <c r="AB359" s="23">
        <v>-5.5599999999999997E-2</v>
      </c>
      <c r="AC359" s="23">
        <v>3093.89</v>
      </c>
      <c r="AD359" s="23">
        <v>5.5599999999999997E-2</v>
      </c>
      <c r="AE359" s="23">
        <v>61877.77</v>
      </c>
      <c r="AF359" s="23">
        <v>55689.99</v>
      </c>
      <c r="AG359" s="23">
        <v>1143879.93</v>
      </c>
      <c r="AH359" s="23">
        <v>15</v>
      </c>
      <c r="AI359" s="23">
        <v>206.26</v>
      </c>
      <c r="AJ359" s="23">
        <v>-0.1111</v>
      </c>
      <c r="AK359" s="23">
        <v>0.1111</v>
      </c>
      <c r="AL359" s="23" t="s">
        <v>24</v>
      </c>
      <c r="AM359" s="23">
        <v>40.200000000000003</v>
      </c>
      <c r="AN359" s="23">
        <v>29403.7</v>
      </c>
      <c r="AO359" s="23">
        <v>39.54</v>
      </c>
      <c r="AP359" s="23">
        <v>0</v>
      </c>
      <c r="AR359" s="46"/>
      <c r="AS359" s="44"/>
      <c r="AT359" s="45"/>
      <c r="AU359" s="2">
        <v>43760</v>
      </c>
      <c r="AV359" s="52">
        <v>0.39583333333333331</v>
      </c>
      <c r="AW359" s="2" t="s">
        <v>212</v>
      </c>
      <c r="AY359" s="3"/>
      <c r="BA359" s="3"/>
      <c r="BG359" s="3"/>
      <c r="BH359" s="3"/>
    </row>
    <row r="360" spans="1:60">
      <c r="A360" s="23" t="s">
        <v>22</v>
      </c>
      <c r="B360" s="23" t="s">
        <v>23</v>
      </c>
      <c r="C360" s="27">
        <v>43760.541666666664</v>
      </c>
      <c r="D360" s="23">
        <v>40.1</v>
      </c>
      <c r="E360" s="27">
        <v>43761.479166666664</v>
      </c>
      <c r="F360" s="23">
        <v>39.450000000000003</v>
      </c>
      <c r="G360" s="31">
        <v>-1.6199999999999999E-2</v>
      </c>
      <c r="H360" s="23">
        <v>812.35</v>
      </c>
      <c r="I360" s="31">
        <v>1.6199999999999999E-2</v>
      </c>
      <c r="J360" s="23">
        <v>1249.7660000000001</v>
      </c>
      <c r="K360" s="23">
        <v>50115.63</v>
      </c>
      <c r="L360" s="23">
        <v>23752.27</v>
      </c>
      <c r="M360" s="23">
        <v>23</v>
      </c>
      <c r="N360" s="23">
        <v>35.32</v>
      </c>
      <c r="O360" s="31">
        <v>-3.7000000000000002E-3</v>
      </c>
      <c r="P360" s="31">
        <v>3.9899999999999998E-2</v>
      </c>
      <c r="Q360" s="23" t="s">
        <v>24</v>
      </c>
      <c r="R360" s="23">
        <v>0</v>
      </c>
      <c r="S360" s="23">
        <v>40.450000000000003</v>
      </c>
      <c r="U360" s="47">
        <f>VLOOKUP(AU360,[1]expiry_dates!$B$2:$C$2894,2,FALSE)</f>
        <v>43769</v>
      </c>
      <c r="V360" s="23" t="s">
        <v>139</v>
      </c>
      <c r="W360" s="23" t="s">
        <v>23</v>
      </c>
      <c r="X360" s="49">
        <v>43760.541666666664</v>
      </c>
      <c r="Y360" s="23">
        <v>1.1499999999999999</v>
      </c>
      <c r="Z360" s="23">
        <v>43761.479166666664</v>
      </c>
      <c r="AA360" s="23">
        <v>0.80000009999999999</v>
      </c>
      <c r="AB360" s="23">
        <v>-0.30430000000000001</v>
      </c>
      <c r="AC360" s="23">
        <v>16958.080000000002</v>
      </c>
      <c r="AD360" s="23">
        <v>0.30430000000000001</v>
      </c>
      <c r="AE360" s="23">
        <v>48451.65</v>
      </c>
      <c r="AF360" s="23">
        <v>55719.4</v>
      </c>
      <c r="AG360" s="23">
        <v>1160838.01</v>
      </c>
      <c r="AH360" s="23">
        <v>23</v>
      </c>
      <c r="AI360" s="23">
        <v>737.31</v>
      </c>
      <c r="AJ360" s="23">
        <v>0</v>
      </c>
      <c r="AK360" s="23">
        <v>0.4783</v>
      </c>
      <c r="AL360" s="23" t="s">
        <v>24</v>
      </c>
      <c r="AM360" s="23">
        <v>40.1</v>
      </c>
      <c r="AN360" s="23">
        <v>29594.05</v>
      </c>
      <c r="AO360" s="23">
        <v>40.450000000000003</v>
      </c>
      <c r="AP360" s="23">
        <v>0</v>
      </c>
      <c r="AR360" s="46"/>
      <c r="AS360" s="44"/>
      <c r="AT360" s="45"/>
      <c r="AU360" s="2">
        <v>43760</v>
      </c>
      <c r="AV360" s="52">
        <v>4.1666666666666664E-2</v>
      </c>
      <c r="AW360" s="2" t="s">
        <v>213</v>
      </c>
      <c r="AY360" s="3"/>
      <c r="BA360" s="3"/>
      <c r="BG360" s="3"/>
      <c r="BH360" s="3"/>
    </row>
    <row r="361" spans="1:60">
      <c r="A361" s="23" t="s">
        <v>22</v>
      </c>
      <c r="B361" s="23" t="s">
        <v>25</v>
      </c>
      <c r="C361" s="27">
        <v>43761.479166666664</v>
      </c>
      <c r="D361" s="23">
        <v>39.450000000000003</v>
      </c>
      <c r="E361" s="27">
        <v>43762.458333333336</v>
      </c>
      <c r="F361" s="23">
        <v>39.65</v>
      </c>
      <c r="G361" s="31">
        <v>5.1000000000000004E-3</v>
      </c>
      <c r="H361" s="23">
        <v>254.09</v>
      </c>
      <c r="I361" s="31">
        <v>5.1000000000000004E-3</v>
      </c>
      <c r="J361" s="23">
        <v>1270.4690000000001</v>
      </c>
      <c r="K361" s="23">
        <v>50120.01</v>
      </c>
      <c r="L361" s="23">
        <v>24006.36</v>
      </c>
      <c r="M361" s="23">
        <v>27</v>
      </c>
      <c r="N361" s="23">
        <v>9.41</v>
      </c>
      <c r="O361" s="31">
        <v>-5.1000000000000004E-3</v>
      </c>
      <c r="P361" s="31">
        <v>2.0299999999999999E-2</v>
      </c>
      <c r="Q361" s="23" t="s">
        <v>24</v>
      </c>
      <c r="R361" s="23">
        <v>0</v>
      </c>
      <c r="S361" s="23">
        <v>38.5</v>
      </c>
      <c r="U361" s="47">
        <f>VLOOKUP(AU361,[1]expiry_dates!$B$2:$C$2894,2,FALSE)</f>
        <v>43769</v>
      </c>
      <c r="V361" s="23" t="s">
        <v>137</v>
      </c>
      <c r="W361" s="23" t="s">
        <v>23</v>
      </c>
      <c r="X361" s="49">
        <v>43761.479166666664</v>
      </c>
      <c r="Y361" s="23">
        <v>1.3</v>
      </c>
      <c r="Z361" s="23">
        <v>43762.458333333336</v>
      </c>
      <c r="AA361" s="23">
        <v>1.05</v>
      </c>
      <c r="AB361" s="23">
        <v>-0.1923</v>
      </c>
      <c r="AC361" s="23">
        <v>10731.58</v>
      </c>
      <c r="AD361" s="23">
        <v>0.1923</v>
      </c>
      <c r="AE361" s="23">
        <v>42926.3</v>
      </c>
      <c r="AF361" s="23">
        <v>55804.19</v>
      </c>
      <c r="AG361" s="23">
        <v>1171569.58</v>
      </c>
      <c r="AH361" s="23">
        <v>27</v>
      </c>
      <c r="AI361" s="23">
        <v>397.47</v>
      </c>
      <c r="AJ361" s="23">
        <v>-7.6899999999999996E-2</v>
      </c>
      <c r="AK361" s="23">
        <v>0.46150000000000002</v>
      </c>
      <c r="AL361" s="23" t="s">
        <v>24</v>
      </c>
      <c r="AM361" s="23">
        <v>39.450000000000003</v>
      </c>
      <c r="AN361" s="23">
        <v>29595.15</v>
      </c>
      <c r="AO361" s="23">
        <v>38.5</v>
      </c>
      <c r="AP361" s="23">
        <v>0</v>
      </c>
      <c r="AR361" s="46"/>
      <c r="AS361" s="44"/>
      <c r="AT361" s="45"/>
      <c r="AU361" s="2">
        <v>43761</v>
      </c>
      <c r="AV361" s="52">
        <v>0.47916666666666669</v>
      </c>
      <c r="AW361" s="2" t="s">
        <v>212</v>
      </c>
      <c r="AY361" s="3"/>
      <c r="BA361" s="3"/>
      <c r="BG361" s="3"/>
      <c r="BH361" s="3"/>
    </row>
    <row r="362" spans="1:60">
      <c r="A362" s="23" t="s">
        <v>22</v>
      </c>
      <c r="B362" s="23" t="s">
        <v>23</v>
      </c>
      <c r="C362" s="27">
        <v>43762.458333333336</v>
      </c>
      <c r="D362" s="23">
        <v>39.65</v>
      </c>
      <c r="E362" s="27">
        <v>43762.604166666664</v>
      </c>
      <c r="F362" s="23">
        <v>39.4</v>
      </c>
      <c r="G362" s="31">
        <v>-6.3E-3</v>
      </c>
      <c r="H362" s="23">
        <v>316.02</v>
      </c>
      <c r="I362" s="31">
        <v>6.3E-3</v>
      </c>
      <c r="J362" s="23">
        <v>1264.085</v>
      </c>
      <c r="K362" s="23">
        <v>50120.98</v>
      </c>
      <c r="L362" s="23">
        <v>24322.39</v>
      </c>
      <c r="M362" s="23">
        <v>15</v>
      </c>
      <c r="N362" s="23">
        <v>21.07</v>
      </c>
      <c r="O362" s="31">
        <v>-1.1299999999999999E-2</v>
      </c>
      <c r="P362" s="31">
        <v>3.5299999999999998E-2</v>
      </c>
      <c r="Q362" s="23" t="s">
        <v>24</v>
      </c>
      <c r="R362" s="23">
        <v>0</v>
      </c>
      <c r="S362" s="23">
        <v>40.25</v>
      </c>
      <c r="U362" s="47">
        <f>VLOOKUP(AU362,[1]expiry_dates!$B$2:$C$2894,2,FALSE)</f>
        <v>43769</v>
      </c>
      <c r="V362" s="23" t="s">
        <v>139</v>
      </c>
      <c r="W362" s="23" t="s">
        <v>23</v>
      </c>
      <c r="X362" s="49">
        <v>43762.458333333336</v>
      </c>
      <c r="Y362" s="23">
        <v>0.85</v>
      </c>
      <c r="Z362" s="23">
        <v>43762.604166666664</v>
      </c>
      <c r="AA362" s="23">
        <v>0.7</v>
      </c>
      <c r="AB362" s="23">
        <v>-0.17649999999999999</v>
      </c>
      <c r="AC362" s="23">
        <v>9861.06</v>
      </c>
      <c r="AD362" s="23">
        <v>0.17649999999999999</v>
      </c>
      <c r="AE362" s="23">
        <v>65740.37</v>
      </c>
      <c r="AF362" s="23">
        <v>55879.31</v>
      </c>
      <c r="AG362" s="23">
        <v>1181430.6399999999</v>
      </c>
      <c r="AH362" s="23">
        <v>15</v>
      </c>
      <c r="AI362" s="23">
        <v>657.4</v>
      </c>
      <c r="AJ362" s="23">
        <v>-0.23530000000000001</v>
      </c>
      <c r="AK362" s="23">
        <v>0.4118</v>
      </c>
      <c r="AL362" s="23" t="s">
        <v>24</v>
      </c>
      <c r="AM362" s="23">
        <v>39.65</v>
      </c>
      <c r="AN362" s="23">
        <v>29311.05</v>
      </c>
      <c r="AO362" s="23">
        <v>40.25</v>
      </c>
      <c r="AP362" s="23">
        <v>0</v>
      </c>
      <c r="AR362" s="46"/>
      <c r="AS362" s="44"/>
      <c r="AT362" s="45"/>
      <c r="AU362" s="2">
        <v>43762</v>
      </c>
      <c r="AV362" s="52">
        <v>0.45833333333333331</v>
      </c>
      <c r="AW362" s="2" t="s">
        <v>212</v>
      </c>
      <c r="AY362" s="3"/>
      <c r="BA362" s="3"/>
      <c r="BG362" s="3"/>
      <c r="BH362" s="3"/>
    </row>
    <row r="363" spans="1:60">
      <c r="A363" s="23" t="s">
        <v>22</v>
      </c>
      <c r="B363" s="23" t="s">
        <v>25</v>
      </c>
      <c r="C363" s="27">
        <v>43762.604166666664</v>
      </c>
      <c r="D363" s="23">
        <v>39.4</v>
      </c>
      <c r="E363" s="27">
        <v>43763.583333333336</v>
      </c>
      <c r="F363" s="23">
        <v>41.15</v>
      </c>
      <c r="G363" s="31">
        <v>4.4400000000000002E-2</v>
      </c>
      <c r="H363" s="23">
        <v>2226.34</v>
      </c>
      <c r="I363" s="31">
        <v>4.4400000000000002E-2</v>
      </c>
      <c r="J363" s="23">
        <v>1272.194</v>
      </c>
      <c r="K363" s="23">
        <v>50124.45</v>
      </c>
      <c r="L363" s="23">
        <v>26548.73</v>
      </c>
      <c r="M363" s="23">
        <v>27</v>
      </c>
      <c r="N363" s="23">
        <v>82.46</v>
      </c>
      <c r="O363" s="31">
        <v>-2.1600000000000001E-2</v>
      </c>
      <c r="P363" s="31">
        <v>6.6000000000000003E-2</v>
      </c>
      <c r="Q363" s="23" t="s">
        <v>24</v>
      </c>
      <c r="R363" s="23">
        <v>0</v>
      </c>
      <c r="S363" s="23">
        <v>38.25</v>
      </c>
      <c r="U363" s="47">
        <f>VLOOKUP(AU363,[1]expiry_dates!$B$2:$C$2894,2,FALSE)</f>
        <v>43769</v>
      </c>
      <c r="V363" s="23" t="s">
        <v>137</v>
      </c>
      <c r="W363" s="23" t="s">
        <v>23</v>
      </c>
      <c r="X363" s="49">
        <v>43762.604166666664</v>
      </c>
      <c r="Y363" s="23">
        <v>1.4</v>
      </c>
      <c r="Z363" s="23">
        <v>43763.583333333336</v>
      </c>
      <c r="AA363" s="23">
        <v>0.15</v>
      </c>
      <c r="AB363" s="23">
        <v>-0.89290000000000003</v>
      </c>
      <c r="AC363" s="23">
        <v>49931.78</v>
      </c>
      <c r="AD363" s="23">
        <v>0.89290000000000003</v>
      </c>
      <c r="AE363" s="23">
        <v>39945.42</v>
      </c>
      <c r="AF363" s="23">
        <v>55923.59</v>
      </c>
      <c r="AG363" s="23">
        <v>1231362.4099999999</v>
      </c>
      <c r="AH363" s="23">
        <v>27</v>
      </c>
      <c r="AI363" s="23">
        <v>1849.33</v>
      </c>
      <c r="AJ363" s="23">
        <v>-0.35709999999999997</v>
      </c>
      <c r="AK363" s="23">
        <v>0.92859999999999998</v>
      </c>
      <c r="AL363" s="23" t="s">
        <v>24</v>
      </c>
      <c r="AM363" s="23">
        <v>39.4</v>
      </c>
      <c r="AN363" s="23">
        <v>29191.25</v>
      </c>
      <c r="AO363" s="23">
        <v>38.25</v>
      </c>
      <c r="AP363" s="23">
        <v>0</v>
      </c>
      <c r="AR363" s="46"/>
      <c r="AS363" s="44"/>
      <c r="AT363" s="45"/>
      <c r="AU363" s="2">
        <v>43762</v>
      </c>
      <c r="AV363" s="52">
        <v>0.10416666666666667</v>
      </c>
      <c r="AW363" s="2" t="s">
        <v>213</v>
      </c>
      <c r="AY363" s="3"/>
      <c r="BA363" s="3"/>
      <c r="BG363" s="3"/>
      <c r="BH363" s="3"/>
    </row>
    <row r="364" spans="1:60">
      <c r="A364" s="23" t="s">
        <v>22</v>
      </c>
      <c r="B364" s="23" t="s">
        <v>23</v>
      </c>
      <c r="C364" s="27">
        <v>43763.583333333336</v>
      </c>
      <c r="D364" s="23">
        <v>41.15</v>
      </c>
      <c r="E364" s="27">
        <v>43767.385416666664</v>
      </c>
      <c r="F364" s="23">
        <v>41.25</v>
      </c>
      <c r="G364" s="31">
        <v>2.3999999999999998E-3</v>
      </c>
      <c r="H364" s="23">
        <v>-121.83</v>
      </c>
      <c r="I364" s="31">
        <v>-2.3999999999999998E-3</v>
      </c>
      <c r="J364" s="23">
        <v>1218.2619999999999</v>
      </c>
      <c r="K364" s="23">
        <v>50131.47</v>
      </c>
      <c r="L364" s="23">
        <v>26426.9</v>
      </c>
      <c r="M364" s="23">
        <v>16</v>
      </c>
      <c r="N364" s="23">
        <v>-7.61</v>
      </c>
      <c r="O364" s="31">
        <v>-1.9400000000000001E-2</v>
      </c>
      <c r="P364" s="31">
        <v>1.5800000000000002E-2</v>
      </c>
      <c r="Q364" s="23" t="s">
        <v>24</v>
      </c>
      <c r="R364" s="23">
        <v>0</v>
      </c>
      <c r="S364" s="23">
        <v>41.95</v>
      </c>
      <c r="U364" s="47">
        <f>VLOOKUP(AU364,[1]expiry_dates!$B$2:$C$2894,2,FALSE)</f>
        <v>43769</v>
      </c>
      <c r="V364" s="23" t="s">
        <v>136</v>
      </c>
      <c r="W364" s="23" t="s">
        <v>23</v>
      </c>
      <c r="X364" s="49">
        <v>43763.583333333336</v>
      </c>
      <c r="Y364" s="23">
        <v>0.75</v>
      </c>
      <c r="Z364" s="23">
        <v>43767.385416666664</v>
      </c>
      <c r="AA364" s="23">
        <v>0.6</v>
      </c>
      <c r="AB364" s="23">
        <v>-0.2</v>
      </c>
      <c r="AC364" s="23">
        <v>11229.37</v>
      </c>
      <c r="AD364" s="23">
        <v>0.2</v>
      </c>
      <c r="AE364" s="23">
        <v>74862.44</v>
      </c>
      <c r="AF364" s="23">
        <v>56146.83</v>
      </c>
      <c r="AG364" s="23">
        <v>1242591.78</v>
      </c>
      <c r="AH364" s="23">
        <v>16</v>
      </c>
      <c r="AI364" s="23">
        <v>701.84</v>
      </c>
      <c r="AJ364" s="23">
        <v>-6.6699999999999995E-2</v>
      </c>
      <c r="AK364" s="23">
        <v>0.26669999999999999</v>
      </c>
      <c r="AL364" s="23" t="s">
        <v>24</v>
      </c>
      <c r="AM364" s="23">
        <v>41.15</v>
      </c>
      <c r="AN364" s="23">
        <v>29260</v>
      </c>
      <c r="AO364" s="23">
        <v>41.95</v>
      </c>
      <c r="AP364" s="23">
        <v>0</v>
      </c>
      <c r="AR364" s="46"/>
      <c r="AS364" s="44"/>
      <c r="AT364" s="45"/>
      <c r="AU364" s="2">
        <v>43763</v>
      </c>
      <c r="AV364" s="52">
        <v>8.3333333333333329E-2</v>
      </c>
      <c r="AW364" s="2" t="s">
        <v>213</v>
      </c>
      <c r="AY364" s="3"/>
      <c r="BA364" s="3"/>
      <c r="BG364" s="3"/>
      <c r="BH364" s="3"/>
    </row>
    <row r="365" spans="1:60">
      <c r="A365" s="23" t="s">
        <v>22</v>
      </c>
      <c r="B365" s="23" t="s">
        <v>25</v>
      </c>
      <c r="C365" s="27">
        <v>43767.385416666664</v>
      </c>
      <c r="D365" s="23">
        <v>41.25</v>
      </c>
      <c r="E365" s="27">
        <v>43767.614583333336</v>
      </c>
      <c r="F365" s="23">
        <v>41.8</v>
      </c>
      <c r="G365" s="31">
        <v>1.3299999999999999E-2</v>
      </c>
      <c r="H365" s="23">
        <v>668.37</v>
      </c>
      <c r="I365" s="31">
        <v>1.3299999999999999E-2</v>
      </c>
      <c r="J365" s="23">
        <v>1215.221</v>
      </c>
      <c r="K365" s="23">
        <v>50127.87</v>
      </c>
      <c r="L365" s="23">
        <v>27095.27</v>
      </c>
      <c r="M365" s="23">
        <v>23</v>
      </c>
      <c r="N365" s="23">
        <v>29.06</v>
      </c>
      <c r="O365" s="31">
        <v>-4.7999999999999996E-3</v>
      </c>
      <c r="P365" s="31">
        <v>2.5499999999999998E-2</v>
      </c>
      <c r="Q365" s="23" t="s">
        <v>24</v>
      </c>
      <c r="R365" s="23">
        <v>0</v>
      </c>
      <c r="S365" s="23">
        <v>40.89</v>
      </c>
      <c r="U365" s="47">
        <f>VLOOKUP(AU365,[1]expiry_dates!$B$2:$C$2894,2,FALSE)</f>
        <v>43769</v>
      </c>
      <c r="V365" s="23" t="s">
        <v>134</v>
      </c>
      <c r="W365" s="23" t="s">
        <v>23</v>
      </c>
      <c r="X365" s="49">
        <v>43767.385416666664</v>
      </c>
      <c r="Y365" s="23">
        <v>0.65</v>
      </c>
      <c r="Z365" s="23">
        <v>43767.614583333336</v>
      </c>
      <c r="AA365" s="23">
        <v>0.3</v>
      </c>
      <c r="AB365" s="23">
        <v>-0.53849999999999998</v>
      </c>
      <c r="AC365" s="23">
        <v>30268.52</v>
      </c>
      <c r="AD365" s="23">
        <v>0.53849999999999998</v>
      </c>
      <c r="AE365" s="23">
        <v>86481.48</v>
      </c>
      <c r="AF365" s="23">
        <v>56212.959999999999</v>
      </c>
      <c r="AG365" s="23">
        <v>1272860.3</v>
      </c>
      <c r="AH365" s="23">
        <v>23</v>
      </c>
      <c r="AI365" s="23">
        <v>1316.02</v>
      </c>
      <c r="AJ365" s="23">
        <v>-0.15379999999999999</v>
      </c>
      <c r="AK365" s="23">
        <v>0.76919999999999999</v>
      </c>
      <c r="AL365" s="23" t="s">
        <v>24</v>
      </c>
      <c r="AM365" s="23">
        <v>41.25</v>
      </c>
      <c r="AN365" s="23">
        <v>29462.95</v>
      </c>
      <c r="AO365" s="23">
        <v>40.89</v>
      </c>
      <c r="AP365" s="23">
        <v>0</v>
      </c>
      <c r="AR365" s="46"/>
      <c r="AS365" s="44"/>
      <c r="AT365" s="45"/>
      <c r="AU365" s="2">
        <v>43767</v>
      </c>
      <c r="AV365" s="52">
        <v>0.38541666666666669</v>
      </c>
      <c r="AW365" s="2" t="s">
        <v>212</v>
      </c>
      <c r="AY365" s="3"/>
      <c r="BA365" s="3"/>
      <c r="BG365" s="3"/>
      <c r="BH365" s="3"/>
    </row>
    <row r="366" spans="1:60">
      <c r="A366" s="23" t="s">
        <v>22</v>
      </c>
      <c r="B366" s="23" t="s">
        <v>23</v>
      </c>
      <c r="C366" s="27">
        <v>43767.614583333336</v>
      </c>
      <c r="D366" s="23">
        <v>41.8</v>
      </c>
      <c r="E366" s="27">
        <v>43768.385416666664</v>
      </c>
      <c r="F366" s="23">
        <v>42.05</v>
      </c>
      <c r="G366" s="31">
        <v>6.0000000000000001E-3</v>
      </c>
      <c r="H366" s="23">
        <v>-299.86</v>
      </c>
      <c r="I366" s="31">
        <v>-6.0000000000000001E-3</v>
      </c>
      <c r="J366" s="23">
        <v>1199.421</v>
      </c>
      <c r="K366" s="23">
        <v>50135.78</v>
      </c>
      <c r="L366" s="23">
        <v>26795.42</v>
      </c>
      <c r="M366" s="23">
        <v>7</v>
      </c>
      <c r="N366" s="23">
        <v>-42.84</v>
      </c>
      <c r="O366" s="31">
        <v>-6.0000000000000001E-3</v>
      </c>
      <c r="P366" s="31">
        <v>4.7999999999999996E-3</v>
      </c>
      <c r="Q366" s="23" t="s">
        <v>24</v>
      </c>
      <c r="R366" s="23">
        <v>0</v>
      </c>
      <c r="S366" s="23">
        <v>42.3</v>
      </c>
      <c r="U366" s="47">
        <f>VLOOKUP(AU366,[1]expiry_dates!$B$2:$C$2894,2,FALSE)</f>
        <v>43769</v>
      </c>
      <c r="V366" s="23" t="s">
        <v>116</v>
      </c>
      <c r="W366" s="23" t="s">
        <v>23</v>
      </c>
      <c r="X366" s="49">
        <v>43767.614583333336</v>
      </c>
      <c r="Y366" s="23">
        <v>0.5</v>
      </c>
      <c r="Z366" s="23">
        <v>43768.385416666664</v>
      </c>
      <c r="AA366" s="23">
        <v>0.6</v>
      </c>
      <c r="AB366" s="23">
        <v>0.2</v>
      </c>
      <c r="AC366" s="23">
        <v>-11277.18</v>
      </c>
      <c r="AD366" s="23">
        <v>-0.2</v>
      </c>
      <c r="AE366" s="23">
        <v>112771.8</v>
      </c>
      <c r="AF366" s="23">
        <v>56385.919999999998</v>
      </c>
      <c r="AG366" s="23">
        <v>1261583.1100000001</v>
      </c>
      <c r="AH366" s="23">
        <v>7</v>
      </c>
      <c r="AI366" s="23">
        <v>-1611.03</v>
      </c>
      <c r="AJ366" s="23">
        <v>-0.2</v>
      </c>
      <c r="AK366" s="23">
        <v>0.1</v>
      </c>
      <c r="AL366" s="23" t="s">
        <v>24</v>
      </c>
      <c r="AM366" s="23">
        <v>41.8</v>
      </c>
      <c r="AN366" s="23">
        <v>29873.200000000001</v>
      </c>
      <c r="AO366" s="23">
        <v>42.3</v>
      </c>
      <c r="AP366" s="23">
        <v>0</v>
      </c>
      <c r="AR366" s="46"/>
      <c r="AS366" s="44"/>
      <c r="AT366" s="45"/>
      <c r="AU366" s="2">
        <v>43767</v>
      </c>
      <c r="AV366" s="52">
        <v>0.11458333333333333</v>
      </c>
      <c r="AW366" s="2" t="s">
        <v>213</v>
      </c>
      <c r="AY366" s="3"/>
      <c r="BA366" s="3"/>
      <c r="BG366" s="3"/>
      <c r="BH366" s="3"/>
    </row>
    <row r="367" spans="1:60">
      <c r="A367" s="23" t="s">
        <v>22</v>
      </c>
      <c r="B367" s="23" t="s">
        <v>25</v>
      </c>
      <c r="C367" s="27">
        <v>43768.385416666664</v>
      </c>
      <c r="D367" s="23">
        <v>42.05</v>
      </c>
      <c r="E367" s="27">
        <v>43768.583333333336</v>
      </c>
      <c r="F367" s="23">
        <v>42.75</v>
      </c>
      <c r="G367" s="31">
        <v>1.66E-2</v>
      </c>
      <c r="H367" s="23">
        <v>834.6</v>
      </c>
      <c r="I367" s="31">
        <v>1.66E-2</v>
      </c>
      <c r="J367" s="23">
        <v>1192.29</v>
      </c>
      <c r="K367" s="23">
        <v>50135.77</v>
      </c>
      <c r="L367" s="23">
        <v>27630.02</v>
      </c>
      <c r="M367" s="23">
        <v>20</v>
      </c>
      <c r="N367" s="23">
        <v>41.73</v>
      </c>
      <c r="O367" s="31">
        <v>-1.1900000000000001E-2</v>
      </c>
      <c r="P367" s="31">
        <v>3.2099999999999997E-2</v>
      </c>
      <c r="Q367" s="23" t="s">
        <v>24</v>
      </c>
      <c r="R367" s="23">
        <v>0</v>
      </c>
      <c r="S367" s="23">
        <v>41.55</v>
      </c>
      <c r="U367" s="47">
        <f>VLOOKUP(AU367,[1]expiry_dates!$B$2:$C$2894,2,FALSE)</f>
        <v>43769</v>
      </c>
      <c r="V367" s="23" t="s">
        <v>115</v>
      </c>
      <c r="W367" s="23" t="s">
        <v>23</v>
      </c>
      <c r="X367" s="49">
        <v>43768.385416666664</v>
      </c>
      <c r="Y367" s="23">
        <v>0.55000000000000004</v>
      </c>
      <c r="Z367" s="23">
        <v>43768.583333333336</v>
      </c>
      <c r="AA367" s="23">
        <v>0.15</v>
      </c>
      <c r="AB367" s="23">
        <v>-0.72729999999999995</v>
      </c>
      <c r="AC367" s="23">
        <v>40992.22</v>
      </c>
      <c r="AD367" s="23">
        <v>0.72729999999999995</v>
      </c>
      <c r="AE367" s="23">
        <v>102480.5</v>
      </c>
      <c r="AF367" s="23">
        <v>56364.3</v>
      </c>
      <c r="AG367" s="23">
        <v>1302575.33</v>
      </c>
      <c r="AH367" s="23">
        <v>20</v>
      </c>
      <c r="AI367" s="23">
        <v>2049.61</v>
      </c>
      <c r="AJ367" s="23">
        <v>-9.0899999999999995E-2</v>
      </c>
      <c r="AK367" s="23">
        <v>0.81820000000000004</v>
      </c>
      <c r="AL367" s="23" t="s">
        <v>24</v>
      </c>
      <c r="AM367" s="23">
        <v>42.05</v>
      </c>
      <c r="AN367" s="23">
        <v>29952.15</v>
      </c>
      <c r="AO367" s="23">
        <v>41.55</v>
      </c>
      <c r="AP367" s="23">
        <v>0</v>
      </c>
      <c r="AR367" s="46"/>
      <c r="AS367" s="44"/>
      <c r="AT367" s="45"/>
      <c r="AU367" s="2">
        <v>43768</v>
      </c>
      <c r="AV367" s="52">
        <v>0.38541666666666669</v>
      </c>
      <c r="AW367" s="2" t="s">
        <v>212</v>
      </c>
      <c r="AY367" s="3"/>
      <c r="BA367" s="3"/>
      <c r="BG367" s="3"/>
      <c r="BH367" s="3"/>
    </row>
    <row r="368" spans="1:60">
      <c r="A368" s="23" t="s">
        <v>22</v>
      </c>
      <c r="B368" s="23" t="s">
        <v>23</v>
      </c>
      <c r="C368" s="27">
        <v>43768.583333333336</v>
      </c>
      <c r="D368" s="23">
        <v>42.75</v>
      </c>
      <c r="E368" s="27">
        <v>43769.385416666664</v>
      </c>
      <c r="F368" s="23">
        <v>43.15</v>
      </c>
      <c r="G368" s="31">
        <v>9.4000000000000004E-3</v>
      </c>
      <c r="H368" s="23">
        <v>-469.12</v>
      </c>
      <c r="I368" s="31">
        <v>-9.4000000000000004E-3</v>
      </c>
      <c r="J368" s="23">
        <v>1172.808</v>
      </c>
      <c r="K368" s="23">
        <v>50137.55</v>
      </c>
      <c r="L368" s="23">
        <v>27160.89</v>
      </c>
      <c r="M368" s="23">
        <v>10</v>
      </c>
      <c r="N368" s="23">
        <v>-46.91</v>
      </c>
      <c r="O368" s="31">
        <v>-9.4000000000000004E-3</v>
      </c>
      <c r="P368" s="31">
        <v>9.4000000000000004E-3</v>
      </c>
      <c r="Q368" s="23" t="s">
        <v>24</v>
      </c>
      <c r="R368" s="23">
        <v>0</v>
      </c>
      <c r="S368" s="23">
        <v>43.37</v>
      </c>
      <c r="U368" s="47">
        <f>VLOOKUP(AU368,[1]expiry_dates!$B$2:$C$2894,2,FALSE)</f>
        <v>43769</v>
      </c>
      <c r="V368" s="23" t="s">
        <v>114</v>
      </c>
      <c r="W368" s="23" t="s">
        <v>23</v>
      </c>
      <c r="X368" s="49">
        <v>43768.583333333336</v>
      </c>
      <c r="Y368" s="23">
        <v>0.35</v>
      </c>
      <c r="Z368" s="23">
        <v>43769.385416666664</v>
      </c>
      <c r="AA368" s="23">
        <v>0.45</v>
      </c>
      <c r="AB368" s="23">
        <v>0.28570000000000001</v>
      </c>
      <c r="AC368" s="23">
        <v>-16139.22</v>
      </c>
      <c r="AD368" s="23">
        <v>-0.28570000000000001</v>
      </c>
      <c r="AE368" s="23">
        <v>161392.20000000001</v>
      </c>
      <c r="AF368" s="23">
        <v>56487.26</v>
      </c>
      <c r="AG368" s="23">
        <v>1286436.1100000001</v>
      </c>
      <c r="AH368" s="23">
        <v>10</v>
      </c>
      <c r="AI368" s="23">
        <v>-1613.92</v>
      </c>
      <c r="AJ368" s="23">
        <v>-0.28570000000000001</v>
      </c>
      <c r="AK368" s="23">
        <v>0.28570000000000001</v>
      </c>
      <c r="AL368" s="23" t="s">
        <v>24</v>
      </c>
      <c r="AM368" s="23">
        <v>42.75</v>
      </c>
      <c r="AN368" s="23">
        <v>30044.85</v>
      </c>
      <c r="AO368" s="23">
        <v>43.37</v>
      </c>
      <c r="AP368" s="23">
        <v>0</v>
      </c>
      <c r="AR368" s="46"/>
      <c r="AS368" s="44"/>
      <c r="AT368" s="45"/>
      <c r="AU368" s="2">
        <v>43768</v>
      </c>
      <c r="AV368" s="52">
        <v>8.3333333333333329E-2</v>
      </c>
      <c r="AW368" s="2" t="s">
        <v>213</v>
      </c>
      <c r="AY368" s="3"/>
      <c r="BA368" s="3"/>
      <c r="BG368" s="3"/>
      <c r="BH368" s="3"/>
    </row>
    <row r="369" spans="1:60">
      <c r="A369" s="23" t="s">
        <v>22</v>
      </c>
      <c r="B369" s="23" t="s">
        <v>25</v>
      </c>
      <c r="C369" s="27">
        <v>43769.385416666664</v>
      </c>
      <c r="D369" s="23">
        <v>43.15</v>
      </c>
      <c r="E369" s="27">
        <v>43769.6875</v>
      </c>
      <c r="F369" s="23">
        <v>44.65</v>
      </c>
      <c r="G369" s="31">
        <v>3.4799999999999998E-2</v>
      </c>
      <c r="H369" s="23">
        <v>1742.92</v>
      </c>
      <c r="I369" s="31">
        <v>3.4799999999999998E-2</v>
      </c>
      <c r="J369" s="23">
        <v>1161.943</v>
      </c>
      <c r="K369" s="23">
        <v>50137.86</v>
      </c>
      <c r="L369" s="23">
        <v>28903.81</v>
      </c>
      <c r="M369" s="23">
        <v>27</v>
      </c>
      <c r="N369" s="23">
        <v>64.55</v>
      </c>
      <c r="O369" s="31">
        <v>-1.04E-2</v>
      </c>
      <c r="P369" s="31">
        <v>4.2900000000000001E-2</v>
      </c>
      <c r="Q369" s="23" t="s">
        <v>24</v>
      </c>
      <c r="R369" s="23">
        <v>0</v>
      </c>
      <c r="S369" s="23">
        <v>42.38</v>
      </c>
      <c r="U369" s="47">
        <f>VLOOKUP(AU369,[1]expiry_dates!$B$2:$C$2894,2,FALSE)</f>
        <v>43769</v>
      </c>
      <c r="V369" s="23" t="s">
        <v>118</v>
      </c>
      <c r="W369" s="23" t="s">
        <v>23</v>
      </c>
      <c r="X369" s="49">
        <v>43769.385416666664</v>
      </c>
      <c r="Y369" s="23">
        <v>0.25</v>
      </c>
      <c r="Z369" s="23">
        <v>43769.6875</v>
      </c>
      <c r="AA369" s="23">
        <v>0.05</v>
      </c>
      <c r="AB369" s="23">
        <v>-0.8</v>
      </c>
      <c r="AC369" s="23">
        <v>45242.58</v>
      </c>
      <c r="AD369" s="23">
        <v>0.8</v>
      </c>
      <c r="AE369" s="23">
        <v>226212.9</v>
      </c>
      <c r="AF369" s="23">
        <v>56553.23</v>
      </c>
      <c r="AG369" s="23">
        <v>1331678.69</v>
      </c>
      <c r="AH369" s="23">
        <v>27</v>
      </c>
      <c r="AI369" s="23">
        <v>1675.65</v>
      </c>
      <c r="AJ369" s="23">
        <v>-0.4</v>
      </c>
      <c r="AK369" s="23">
        <v>0.8</v>
      </c>
      <c r="AL369" s="23" t="s">
        <v>24</v>
      </c>
      <c r="AM369" s="23">
        <v>43.15</v>
      </c>
      <c r="AN369" s="23">
        <v>30232.1</v>
      </c>
      <c r="AO369" s="23">
        <v>42.38</v>
      </c>
      <c r="AP369" s="23">
        <v>0</v>
      </c>
      <c r="AR369" s="46"/>
      <c r="AS369" s="44"/>
      <c r="AT369" s="45"/>
      <c r="AU369" s="2">
        <v>43769</v>
      </c>
      <c r="AV369" s="52">
        <v>0.38541666666666669</v>
      </c>
      <c r="AW369" s="2" t="s">
        <v>212</v>
      </c>
      <c r="AY369" s="3"/>
      <c r="BA369" s="3"/>
      <c r="BG369" s="3"/>
      <c r="BH369" s="3"/>
    </row>
    <row r="370" spans="1:60">
      <c r="A370" s="23" t="s">
        <v>22</v>
      </c>
      <c r="B370" s="23" t="s">
        <v>25</v>
      </c>
      <c r="C370" s="27">
        <v>43770.385416666664</v>
      </c>
      <c r="D370" s="23">
        <v>44.85</v>
      </c>
      <c r="E370" s="27">
        <v>43770.4375</v>
      </c>
      <c r="F370" s="23">
        <v>44.3</v>
      </c>
      <c r="G370" s="31">
        <v>-1.23E-2</v>
      </c>
      <c r="H370" s="23">
        <v>-614.92999999999995</v>
      </c>
      <c r="I370" s="31">
        <v>-1.23E-2</v>
      </c>
      <c r="J370" s="23">
        <v>1118.05</v>
      </c>
      <c r="K370" s="23">
        <v>50144.52</v>
      </c>
      <c r="L370" s="23">
        <v>28288.880000000001</v>
      </c>
      <c r="M370" s="23">
        <v>6</v>
      </c>
      <c r="N370" s="23">
        <v>-102.49</v>
      </c>
      <c r="O370" s="31">
        <v>-1.78E-2</v>
      </c>
      <c r="P370" s="31">
        <v>1.23E-2</v>
      </c>
      <c r="Q370" s="23" t="s">
        <v>24</v>
      </c>
      <c r="R370" s="23">
        <v>0</v>
      </c>
      <c r="S370" s="23">
        <v>44.05</v>
      </c>
      <c r="U370" s="47">
        <f>VLOOKUP(AU370,[1]expiry_dates!$B$2:$C$2894,2,FALSE)</f>
        <v>43797</v>
      </c>
      <c r="V370" s="23" t="s">
        <v>134</v>
      </c>
      <c r="W370" s="23" t="s">
        <v>23</v>
      </c>
      <c r="X370" s="49">
        <v>43770.385416666664</v>
      </c>
      <c r="Y370" s="23">
        <v>1.1000000000000001</v>
      </c>
      <c r="Z370" s="23">
        <v>43770.4375</v>
      </c>
      <c r="AA370" s="23">
        <v>1.1499999999999999</v>
      </c>
      <c r="AB370" s="23">
        <v>4.5499999999999999E-2</v>
      </c>
      <c r="AC370" s="23">
        <v>-2575.38</v>
      </c>
      <c r="AD370" s="23">
        <v>-4.5499999999999999E-2</v>
      </c>
      <c r="AE370" s="23">
        <v>51507.63</v>
      </c>
      <c r="AF370" s="23">
        <v>56658.39</v>
      </c>
      <c r="AG370" s="23">
        <v>1329103.31</v>
      </c>
      <c r="AH370" s="23">
        <v>6</v>
      </c>
      <c r="AI370" s="23">
        <v>-429.23</v>
      </c>
      <c r="AJ370" s="23">
        <v>-4.5499999999999999E-2</v>
      </c>
      <c r="AK370" s="23">
        <v>0.13639999999999999</v>
      </c>
      <c r="AL370" s="23" t="s">
        <v>24</v>
      </c>
      <c r="AM370" s="23">
        <v>44.85</v>
      </c>
      <c r="AN370" s="23">
        <v>30190.9</v>
      </c>
      <c r="AO370" s="23">
        <v>44.05</v>
      </c>
      <c r="AP370" s="23">
        <v>0</v>
      </c>
      <c r="AR370" s="46"/>
      <c r="AS370" s="44"/>
      <c r="AT370" s="45"/>
      <c r="AU370" s="2">
        <v>43770</v>
      </c>
      <c r="AV370" s="52">
        <v>0.38541666666666669</v>
      </c>
      <c r="AW370" s="2" t="s">
        <v>212</v>
      </c>
      <c r="AY370" s="3"/>
      <c r="BA370" s="3"/>
      <c r="BG370" s="3"/>
      <c r="BH370" s="3"/>
    </row>
    <row r="371" spans="1:60">
      <c r="A371" s="23" t="s">
        <v>22</v>
      </c>
      <c r="B371" s="23" t="s">
        <v>23</v>
      </c>
      <c r="C371" s="27">
        <v>43770.4375</v>
      </c>
      <c r="D371" s="23">
        <v>44.3</v>
      </c>
      <c r="E371" s="27">
        <v>43773.385416666664</v>
      </c>
      <c r="F371" s="23">
        <v>44.4</v>
      </c>
      <c r="G371" s="31">
        <v>2.3E-3</v>
      </c>
      <c r="H371" s="23">
        <v>-113.19</v>
      </c>
      <c r="I371" s="31">
        <v>-2.3E-3</v>
      </c>
      <c r="J371" s="23">
        <v>1131.924</v>
      </c>
      <c r="K371" s="23">
        <v>50144.24</v>
      </c>
      <c r="L371" s="23">
        <v>28175.69</v>
      </c>
      <c r="M371" s="23">
        <v>24</v>
      </c>
      <c r="N371" s="23">
        <v>-4.72</v>
      </c>
      <c r="O371" s="31">
        <v>-1.24E-2</v>
      </c>
      <c r="P371" s="31">
        <v>1.24E-2</v>
      </c>
      <c r="Q371" s="23" t="s">
        <v>24</v>
      </c>
      <c r="R371" s="23">
        <v>0</v>
      </c>
      <c r="S371" s="23">
        <v>45.4</v>
      </c>
      <c r="U371" s="47">
        <f>VLOOKUP(AU371,[1]expiry_dates!$B$2:$C$2894,2,FALSE)</f>
        <v>43797</v>
      </c>
      <c r="V371" s="23" t="s">
        <v>117</v>
      </c>
      <c r="W371" s="23" t="s">
        <v>23</v>
      </c>
      <c r="X371" s="49">
        <v>43770.4375</v>
      </c>
      <c r="Y371" s="23">
        <v>1.5</v>
      </c>
      <c r="Z371" s="23">
        <v>43773.385416666664</v>
      </c>
      <c r="AA371" s="23">
        <v>1.7</v>
      </c>
      <c r="AB371" s="23">
        <v>0.1333</v>
      </c>
      <c r="AC371" s="23">
        <v>-7552.74</v>
      </c>
      <c r="AD371" s="23">
        <v>-0.1333</v>
      </c>
      <c r="AE371" s="23">
        <v>37763.68</v>
      </c>
      <c r="AF371" s="23">
        <v>56645.52</v>
      </c>
      <c r="AG371" s="23">
        <v>1321550.58</v>
      </c>
      <c r="AH371" s="23">
        <v>24</v>
      </c>
      <c r="AI371" s="23">
        <v>-314.7</v>
      </c>
      <c r="AJ371" s="23">
        <v>-0.1333</v>
      </c>
      <c r="AK371" s="23">
        <v>0.1</v>
      </c>
      <c r="AL371" s="23" t="s">
        <v>24</v>
      </c>
      <c r="AM371" s="23">
        <v>44.3</v>
      </c>
      <c r="AN371" s="23">
        <v>30148.6</v>
      </c>
      <c r="AO371" s="23">
        <v>45.4</v>
      </c>
      <c r="AP371" s="23">
        <v>0</v>
      </c>
      <c r="AR371" s="46"/>
      <c r="AS371" s="44"/>
      <c r="AT371" s="45"/>
      <c r="AU371" s="2">
        <v>43770</v>
      </c>
      <c r="AV371" s="52">
        <v>0.4375</v>
      </c>
      <c r="AW371" s="2" t="s">
        <v>212</v>
      </c>
      <c r="AY371" s="3"/>
      <c r="BA371" s="3"/>
      <c r="BG371" s="3"/>
      <c r="BH371" s="3"/>
    </row>
    <row r="372" spans="1:60">
      <c r="A372" s="23" t="s">
        <v>22</v>
      </c>
      <c r="B372" s="23" t="s">
        <v>25</v>
      </c>
      <c r="C372" s="27">
        <v>43773.385416666664</v>
      </c>
      <c r="D372" s="23">
        <v>44.4</v>
      </c>
      <c r="E372" s="27">
        <v>43773.46875</v>
      </c>
      <c r="F372" s="23">
        <v>44.05</v>
      </c>
      <c r="G372" s="31">
        <v>-7.9000000000000008E-3</v>
      </c>
      <c r="H372" s="23">
        <v>-395.26</v>
      </c>
      <c r="I372" s="31">
        <v>-7.9000000000000008E-3</v>
      </c>
      <c r="J372" s="23">
        <v>1129.318</v>
      </c>
      <c r="K372" s="23">
        <v>50141.73</v>
      </c>
      <c r="L372" s="23">
        <v>27780.43</v>
      </c>
      <c r="M372" s="23">
        <v>9</v>
      </c>
      <c r="N372" s="23">
        <v>-43.92</v>
      </c>
      <c r="O372" s="31">
        <v>-1.35E-2</v>
      </c>
      <c r="P372" s="31">
        <v>1.5800000000000002E-2</v>
      </c>
      <c r="Q372" s="23" t="s">
        <v>24</v>
      </c>
      <c r="R372" s="23">
        <v>0</v>
      </c>
      <c r="S372" s="23">
        <v>43.75</v>
      </c>
      <c r="U372" s="47">
        <f>VLOOKUP(AU372,[1]expiry_dates!$B$2:$C$2894,2,FALSE)</f>
        <v>43797</v>
      </c>
      <c r="V372" s="23" t="s">
        <v>115</v>
      </c>
      <c r="W372" s="23" t="s">
        <v>23</v>
      </c>
      <c r="X372" s="49">
        <v>43773.385416666664</v>
      </c>
      <c r="Y372" s="23">
        <v>1.2</v>
      </c>
      <c r="Z372" s="23">
        <v>43773.46875</v>
      </c>
      <c r="AA372" s="23">
        <v>1.35</v>
      </c>
      <c r="AB372" s="23">
        <v>0.125</v>
      </c>
      <c r="AC372" s="23">
        <v>-7080.69</v>
      </c>
      <c r="AD372" s="23">
        <v>-0.125</v>
      </c>
      <c r="AE372" s="23">
        <v>47204.59</v>
      </c>
      <c r="AF372" s="23">
        <v>56645.52</v>
      </c>
      <c r="AG372" s="23">
        <v>1314469.8899999999</v>
      </c>
      <c r="AH372" s="23">
        <v>9</v>
      </c>
      <c r="AI372" s="23">
        <v>-786.74</v>
      </c>
      <c r="AJ372" s="23">
        <v>-0.125</v>
      </c>
      <c r="AK372" s="23">
        <v>0.20830000000000001</v>
      </c>
      <c r="AL372" s="23" t="s">
        <v>24</v>
      </c>
      <c r="AM372" s="23">
        <v>44.4</v>
      </c>
      <c r="AN372" s="23">
        <v>30564.5</v>
      </c>
      <c r="AO372" s="23">
        <v>43.75</v>
      </c>
      <c r="AP372" s="23">
        <v>0</v>
      </c>
      <c r="AR372" s="46"/>
      <c r="AS372" s="44"/>
      <c r="AT372" s="45"/>
      <c r="AU372" s="2">
        <v>43773</v>
      </c>
      <c r="AV372" s="52">
        <v>0.38541666666666669</v>
      </c>
      <c r="AW372" s="2" t="s">
        <v>212</v>
      </c>
      <c r="AY372" s="3"/>
      <c r="BA372" s="3"/>
      <c r="BG372" s="3"/>
      <c r="BH372" s="3"/>
    </row>
    <row r="373" spans="1:60">
      <c r="A373" s="23" t="s">
        <v>22</v>
      </c>
      <c r="B373" s="23" t="s">
        <v>23</v>
      </c>
      <c r="C373" s="27">
        <v>43773.46875</v>
      </c>
      <c r="D373" s="23">
        <v>44.05</v>
      </c>
      <c r="E373" s="27">
        <v>43775.5</v>
      </c>
      <c r="F373" s="23">
        <v>42.55</v>
      </c>
      <c r="G373" s="31">
        <v>-3.4099999999999998E-2</v>
      </c>
      <c r="H373" s="23">
        <v>1707.4</v>
      </c>
      <c r="I373" s="31">
        <v>3.4099999999999998E-2</v>
      </c>
      <c r="J373" s="23">
        <v>1138.2660000000001</v>
      </c>
      <c r="K373" s="23">
        <v>50140.59</v>
      </c>
      <c r="L373" s="23">
        <v>29487.83</v>
      </c>
      <c r="M373" s="23">
        <v>60</v>
      </c>
      <c r="N373" s="23">
        <v>28.46</v>
      </c>
      <c r="O373" s="31">
        <v>-9.1000000000000004E-3</v>
      </c>
      <c r="P373" s="31">
        <v>4.5400000000000003E-2</v>
      </c>
      <c r="Q373" s="23" t="s">
        <v>24</v>
      </c>
      <c r="R373" s="23">
        <v>0</v>
      </c>
      <c r="S373" s="23">
        <v>45.08</v>
      </c>
      <c r="U373" s="47">
        <f>VLOOKUP(AU373,[1]expiry_dates!$B$2:$C$2894,2,FALSE)</f>
        <v>43797</v>
      </c>
      <c r="V373" s="23" t="s">
        <v>117</v>
      </c>
      <c r="W373" s="23" t="s">
        <v>23</v>
      </c>
      <c r="X373" s="49">
        <v>43773.46875</v>
      </c>
      <c r="Y373" s="23">
        <v>1.65</v>
      </c>
      <c r="Z373" s="23">
        <v>43775.5</v>
      </c>
      <c r="AA373" s="23">
        <v>1.1499999999999999</v>
      </c>
      <c r="AB373" s="23">
        <v>-0.30299999999999999</v>
      </c>
      <c r="AC373" s="23">
        <v>17157.439999999999</v>
      </c>
      <c r="AD373" s="23">
        <v>0.30299999999999999</v>
      </c>
      <c r="AE373" s="23">
        <v>34314.879999999997</v>
      </c>
      <c r="AF373" s="23">
        <v>56619.55</v>
      </c>
      <c r="AG373" s="23">
        <v>1331627.33</v>
      </c>
      <c r="AH373" s="23">
        <v>60</v>
      </c>
      <c r="AI373" s="23">
        <v>285.95999999999998</v>
      </c>
      <c r="AJ373" s="23">
        <v>-0.1212</v>
      </c>
      <c r="AK373" s="23">
        <v>0.42420000000000002</v>
      </c>
      <c r="AL373" s="23" t="s">
        <v>24</v>
      </c>
      <c r="AM373" s="23">
        <v>44.05</v>
      </c>
      <c r="AN373" s="23">
        <v>30515.75</v>
      </c>
      <c r="AO373" s="23">
        <v>45.08</v>
      </c>
      <c r="AP373" s="23">
        <v>0</v>
      </c>
      <c r="AR373" s="46"/>
      <c r="AS373" s="44"/>
      <c r="AT373" s="45"/>
      <c r="AU373" s="2">
        <v>43773</v>
      </c>
      <c r="AV373" s="52">
        <v>0.46875</v>
      </c>
      <c r="AW373" s="2" t="s">
        <v>212</v>
      </c>
      <c r="AY373" s="3"/>
      <c r="BA373" s="3"/>
      <c r="BG373" s="3"/>
      <c r="BH373" s="3"/>
    </row>
    <row r="374" spans="1:60">
      <c r="A374" s="23" t="s">
        <v>22</v>
      </c>
      <c r="B374" s="23" t="s">
        <v>25</v>
      </c>
      <c r="C374" s="27">
        <v>43775.5</v>
      </c>
      <c r="D374" s="23">
        <v>42.55</v>
      </c>
      <c r="E374" s="27">
        <v>43775.625</v>
      </c>
      <c r="F374" s="23">
        <v>42.45</v>
      </c>
      <c r="G374" s="31">
        <v>-2.3999999999999998E-3</v>
      </c>
      <c r="H374" s="23">
        <v>-117.86</v>
      </c>
      <c r="I374" s="31">
        <v>-2.3999999999999998E-3</v>
      </c>
      <c r="J374" s="23">
        <v>1178.567</v>
      </c>
      <c r="K374" s="23">
        <v>50148.01</v>
      </c>
      <c r="L374" s="23">
        <v>29369.97</v>
      </c>
      <c r="M374" s="23">
        <v>13</v>
      </c>
      <c r="N374" s="23">
        <v>-9.07</v>
      </c>
      <c r="O374" s="31">
        <v>-3.5000000000000001E-3</v>
      </c>
      <c r="P374" s="31">
        <v>7.1000000000000004E-3</v>
      </c>
      <c r="Q374" s="23" t="s">
        <v>24</v>
      </c>
      <c r="R374" s="23">
        <v>0</v>
      </c>
      <c r="S374" s="23">
        <v>42.06</v>
      </c>
      <c r="U374" s="47">
        <f>VLOOKUP(AU374,[1]expiry_dates!$B$2:$C$2894,2,FALSE)</f>
        <v>43797</v>
      </c>
      <c r="V374" s="23" t="s">
        <v>113</v>
      </c>
      <c r="W374" s="23" t="s">
        <v>23</v>
      </c>
      <c r="X374" s="49">
        <v>43775.5</v>
      </c>
      <c r="Y374" s="23">
        <v>0.7</v>
      </c>
      <c r="Z374" s="23">
        <v>43775.625</v>
      </c>
      <c r="AA374" s="23">
        <v>0.7</v>
      </c>
      <c r="AB374" s="23">
        <v>0</v>
      </c>
      <c r="AC374" s="23">
        <v>0</v>
      </c>
      <c r="AD374" s="23">
        <v>0</v>
      </c>
      <c r="AE374" s="23">
        <v>80940.2</v>
      </c>
      <c r="AF374" s="23">
        <v>56658.14</v>
      </c>
      <c r="AG374" s="23">
        <v>1331627.33</v>
      </c>
      <c r="AH374" s="23">
        <v>13</v>
      </c>
      <c r="AI374" s="23">
        <v>0</v>
      </c>
      <c r="AJ374" s="23">
        <v>-7.1400000000000005E-2</v>
      </c>
      <c r="AK374" s="23">
        <v>7.1400000000000005E-2</v>
      </c>
      <c r="AL374" s="23" t="s">
        <v>24</v>
      </c>
      <c r="AM374" s="23">
        <v>42.55</v>
      </c>
      <c r="AN374" s="23">
        <v>30483</v>
      </c>
      <c r="AO374" s="23">
        <v>42.06</v>
      </c>
      <c r="AP374" s="23">
        <v>0</v>
      </c>
      <c r="AR374" s="46"/>
      <c r="AS374" s="44"/>
      <c r="AT374" s="45"/>
      <c r="AU374" s="2">
        <v>43775</v>
      </c>
      <c r="AV374" s="52">
        <v>0.5</v>
      </c>
      <c r="AW374" s="2" t="s">
        <v>213</v>
      </c>
      <c r="AY374" s="3"/>
      <c r="BA374" s="3"/>
      <c r="BG374" s="3"/>
      <c r="BH374" s="3"/>
    </row>
    <row r="375" spans="1:60">
      <c r="A375" s="23" t="s">
        <v>22</v>
      </c>
      <c r="B375" s="23" t="s">
        <v>23</v>
      </c>
      <c r="C375" s="27">
        <v>43775.625</v>
      </c>
      <c r="D375" s="23">
        <v>42.45</v>
      </c>
      <c r="E375" s="27">
        <v>43776.385416666664</v>
      </c>
      <c r="F375" s="23">
        <v>42.8</v>
      </c>
      <c r="G375" s="31">
        <v>8.2000000000000007E-3</v>
      </c>
      <c r="H375" s="23">
        <v>-413.47</v>
      </c>
      <c r="I375" s="31">
        <v>-8.2000000000000007E-3</v>
      </c>
      <c r="J375" s="23">
        <v>1181.3430000000001</v>
      </c>
      <c r="K375" s="23">
        <v>50148.03</v>
      </c>
      <c r="L375" s="23">
        <v>28956.5</v>
      </c>
      <c r="M375" s="23">
        <v>6</v>
      </c>
      <c r="N375" s="23">
        <v>-68.91</v>
      </c>
      <c r="O375" s="31">
        <v>-1.06E-2</v>
      </c>
      <c r="P375" s="31">
        <v>1.1999999999999999E-3</v>
      </c>
      <c r="Q375" s="23" t="s">
        <v>24</v>
      </c>
      <c r="R375" s="23">
        <v>0</v>
      </c>
      <c r="S375" s="23">
        <v>42.85</v>
      </c>
      <c r="U375" s="47">
        <f>VLOOKUP(AU375,[1]expiry_dates!$B$2:$C$2894,2,FALSE)</f>
        <v>43797</v>
      </c>
      <c r="V375" s="23" t="s">
        <v>116</v>
      </c>
      <c r="W375" s="23" t="s">
        <v>23</v>
      </c>
      <c r="X375" s="49">
        <v>43775.625</v>
      </c>
      <c r="Y375" s="23">
        <v>1.9</v>
      </c>
      <c r="Z375" s="23">
        <v>43776.385416666664</v>
      </c>
      <c r="AA375" s="23">
        <v>1.8</v>
      </c>
      <c r="AB375" s="23">
        <v>-5.2600000000000001E-2</v>
      </c>
      <c r="AC375" s="23">
        <v>2982.01</v>
      </c>
      <c r="AD375" s="23">
        <v>5.2600000000000001E-2</v>
      </c>
      <c r="AE375" s="23">
        <v>29820.07</v>
      </c>
      <c r="AF375" s="23">
        <v>56658.14</v>
      </c>
      <c r="AG375" s="23">
        <v>1334609.3400000001</v>
      </c>
      <c r="AH375" s="23">
        <v>6</v>
      </c>
      <c r="AI375" s="23">
        <v>497</v>
      </c>
      <c r="AJ375" s="23">
        <v>0</v>
      </c>
      <c r="AK375" s="23">
        <v>5.2600000000000001E-2</v>
      </c>
      <c r="AL375" s="23" t="s">
        <v>24</v>
      </c>
      <c r="AM375" s="23">
        <v>42.45</v>
      </c>
      <c r="AN375" s="23">
        <v>30594.9</v>
      </c>
      <c r="AO375" s="23">
        <v>42.85</v>
      </c>
      <c r="AP375" s="23">
        <v>0</v>
      </c>
      <c r="AR375" s="46"/>
      <c r="AS375" s="44"/>
      <c r="AT375" s="45"/>
      <c r="AU375" s="2">
        <v>43775</v>
      </c>
      <c r="AV375" s="52">
        <v>0.125</v>
      </c>
      <c r="AW375" s="2" t="s">
        <v>213</v>
      </c>
      <c r="AY375" s="3"/>
      <c r="BA375" s="3"/>
      <c r="BG375" s="3"/>
      <c r="BH375" s="3"/>
    </row>
    <row r="376" spans="1:60">
      <c r="A376" s="23" t="s">
        <v>22</v>
      </c>
      <c r="B376" s="23" t="s">
        <v>25</v>
      </c>
      <c r="C376" s="27">
        <v>43776.385416666664</v>
      </c>
      <c r="D376" s="23">
        <v>42.8</v>
      </c>
      <c r="E376" s="27">
        <v>43776.416666666664</v>
      </c>
      <c r="F376" s="23">
        <v>42.55</v>
      </c>
      <c r="G376" s="31">
        <v>-5.7999999999999996E-3</v>
      </c>
      <c r="H376" s="23">
        <v>-292.89999999999998</v>
      </c>
      <c r="I376" s="31">
        <v>-5.7999999999999996E-3</v>
      </c>
      <c r="J376" s="23">
        <v>1171.5930000000001</v>
      </c>
      <c r="K376" s="23">
        <v>50144.19</v>
      </c>
      <c r="L376" s="23">
        <v>28663.599999999999</v>
      </c>
      <c r="M376" s="23">
        <v>4</v>
      </c>
      <c r="N376" s="23">
        <v>-73.22</v>
      </c>
      <c r="O376" s="31">
        <v>-7.0000000000000001E-3</v>
      </c>
      <c r="P376" s="31">
        <v>7.0000000000000001E-3</v>
      </c>
      <c r="Q376" s="23" t="s">
        <v>24</v>
      </c>
      <c r="R376" s="23">
        <v>0</v>
      </c>
      <c r="S376" s="23">
        <v>42.43</v>
      </c>
      <c r="U376" s="47">
        <f>VLOOKUP(AU376,[1]expiry_dates!$B$2:$C$2894,2,FALSE)</f>
        <v>43797</v>
      </c>
      <c r="V376" s="23" t="s">
        <v>113</v>
      </c>
      <c r="W376" s="23" t="s">
        <v>23</v>
      </c>
      <c r="X376" s="49">
        <v>43776.385416666664</v>
      </c>
      <c r="Y376" s="23">
        <v>0.75</v>
      </c>
      <c r="Z376" s="23">
        <v>43776.416666666664</v>
      </c>
      <c r="AA376" s="23">
        <v>0.7</v>
      </c>
      <c r="AB376" s="23">
        <v>-6.6699999999999995E-2</v>
      </c>
      <c r="AC376" s="23">
        <v>3778.2</v>
      </c>
      <c r="AD376" s="23">
        <v>6.6699999999999995E-2</v>
      </c>
      <c r="AE376" s="23">
        <v>75564.06</v>
      </c>
      <c r="AF376" s="23">
        <v>56673.05</v>
      </c>
      <c r="AG376" s="23">
        <v>1338387.54</v>
      </c>
      <c r="AH376" s="23">
        <v>4</v>
      </c>
      <c r="AI376" s="23">
        <v>944.55</v>
      </c>
      <c r="AJ376" s="23">
        <v>0</v>
      </c>
      <c r="AK376" s="23">
        <v>0.26669999999999999</v>
      </c>
      <c r="AL376" s="23" t="s">
        <v>24</v>
      </c>
      <c r="AM376" s="23">
        <v>42.8</v>
      </c>
      <c r="AN376" s="23">
        <v>30736.05</v>
      </c>
      <c r="AO376" s="23">
        <v>42.43</v>
      </c>
      <c r="AP376" s="23">
        <v>0</v>
      </c>
      <c r="AR376" s="46"/>
      <c r="AS376" s="44"/>
      <c r="AT376" s="45"/>
      <c r="AU376" s="2">
        <v>43776</v>
      </c>
      <c r="AV376" s="52">
        <v>0.38541666666666669</v>
      </c>
      <c r="AW376" s="2" t="s">
        <v>212</v>
      </c>
      <c r="AY376" s="3"/>
      <c r="BA376" s="3"/>
      <c r="BG376" s="3"/>
      <c r="BH376" s="3"/>
    </row>
    <row r="377" spans="1:60">
      <c r="A377" s="23" t="s">
        <v>22</v>
      </c>
      <c r="B377" s="23" t="s">
        <v>23</v>
      </c>
      <c r="C377" s="27">
        <v>43776.416666666664</v>
      </c>
      <c r="D377" s="23">
        <v>42.55</v>
      </c>
      <c r="E377" s="27">
        <v>43776.5</v>
      </c>
      <c r="F377" s="23">
        <v>42.8</v>
      </c>
      <c r="G377" s="31">
        <v>5.8999999999999999E-3</v>
      </c>
      <c r="H377" s="23">
        <v>-294.61</v>
      </c>
      <c r="I377" s="31">
        <v>-5.8999999999999999E-3</v>
      </c>
      <c r="J377" s="23">
        <v>1178.4490000000001</v>
      </c>
      <c r="K377" s="23">
        <v>50143.02</v>
      </c>
      <c r="L377" s="23">
        <v>28368.99</v>
      </c>
      <c r="M377" s="23">
        <v>9</v>
      </c>
      <c r="N377" s="23">
        <v>-32.729999999999997</v>
      </c>
      <c r="O377" s="31">
        <v>-7.1000000000000004E-3</v>
      </c>
      <c r="P377" s="31">
        <v>4.7000000000000002E-3</v>
      </c>
      <c r="Q377" s="23" t="s">
        <v>24</v>
      </c>
      <c r="R377" s="23">
        <v>0</v>
      </c>
      <c r="S377" s="23">
        <v>43.08</v>
      </c>
      <c r="U377" s="47">
        <f>VLOOKUP(AU377,[1]expiry_dates!$B$2:$C$2894,2,FALSE)</f>
        <v>43797</v>
      </c>
      <c r="V377" s="23" t="s">
        <v>114</v>
      </c>
      <c r="W377" s="23" t="s">
        <v>23</v>
      </c>
      <c r="X377" s="49">
        <v>43776.416666666664</v>
      </c>
      <c r="Y377" s="23">
        <v>1.4</v>
      </c>
      <c r="Z377" s="23">
        <v>43776.5</v>
      </c>
      <c r="AA377" s="23">
        <v>1.45</v>
      </c>
      <c r="AB377" s="23">
        <v>3.5700000000000003E-2</v>
      </c>
      <c r="AC377" s="23">
        <v>-2024.71</v>
      </c>
      <c r="AD377" s="23">
        <v>-3.5700000000000003E-2</v>
      </c>
      <c r="AE377" s="23">
        <v>40494.239999999998</v>
      </c>
      <c r="AF377" s="23">
        <v>56691.94</v>
      </c>
      <c r="AG377" s="23">
        <v>1336362.83</v>
      </c>
      <c r="AH377" s="23">
        <v>9</v>
      </c>
      <c r="AI377" s="23">
        <v>-224.97</v>
      </c>
      <c r="AJ377" s="23">
        <v>-3.5700000000000003E-2</v>
      </c>
      <c r="AK377" s="23">
        <v>7.1400000000000005E-2</v>
      </c>
      <c r="AL377" s="23" t="s">
        <v>24</v>
      </c>
      <c r="AM377" s="23">
        <v>42.55</v>
      </c>
      <c r="AN377" s="23">
        <v>30603.4</v>
      </c>
      <c r="AO377" s="23">
        <v>43.08</v>
      </c>
      <c r="AP377" s="23">
        <v>0</v>
      </c>
      <c r="AR377" s="46"/>
      <c r="AS377" s="44"/>
      <c r="AT377" s="45"/>
      <c r="AU377" s="2">
        <v>43776</v>
      </c>
      <c r="AV377" s="52">
        <v>0.41666666666666669</v>
      </c>
      <c r="AW377" s="2" t="s">
        <v>212</v>
      </c>
      <c r="AY377" s="3"/>
      <c r="BA377" s="3"/>
      <c r="BG377" s="3"/>
      <c r="BH377" s="3"/>
    </row>
    <row r="378" spans="1:60">
      <c r="A378" s="23" t="s">
        <v>22</v>
      </c>
      <c r="B378" s="23" t="s">
        <v>25</v>
      </c>
      <c r="C378" s="27">
        <v>43776.5</v>
      </c>
      <c r="D378" s="23">
        <v>42.8</v>
      </c>
      <c r="E378" s="27">
        <v>43776.520833333336</v>
      </c>
      <c r="F378" s="23">
        <v>42.3</v>
      </c>
      <c r="G378" s="31">
        <v>-1.17E-2</v>
      </c>
      <c r="H378" s="23">
        <v>-585.78</v>
      </c>
      <c r="I378" s="31">
        <v>-1.17E-2</v>
      </c>
      <c r="J378" s="23">
        <v>1171.559</v>
      </c>
      <c r="K378" s="23">
        <v>50142.73</v>
      </c>
      <c r="L378" s="23">
        <v>27783.21</v>
      </c>
      <c r="M378" s="23">
        <v>3</v>
      </c>
      <c r="N378" s="23">
        <v>-195.26</v>
      </c>
      <c r="O378" s="31">
        <v>-1.17E-2</v>
      </c>
      <c r="P378" s="31">
        <v>1.1999999999999999E-3</v>
      </c>
      <c r="Q378" s="23" t="s">
        <v>24</v>
      </c>
      <c r="R378" s="23">
        <v>0</v>
      </c>
      <c r="S378" s="23">
        <v>42.36</v>
      </c>
      <c r="U378" s="47">
        <f>VLOOKUP(AU378,[1]expiry_dates!$B$2:$C$2894,2,FALSE)</f>
        <v>43797</v>
      </c>
      <c r="V378" s="23" t="s">
        <v>134</v>
      </c>
      <c r="W378" s="23" t="s">
        <v>23</v>
      </c>
      <c r="X378" s="49">
        <v>43776.5</v>
      </c>
      <c r="Y378" s="23">
        <v>0.95</v>
      </c>
      <c r="Z378" s="23">
        <v>43776.520833333336</v>
      </c>
      <c r="AA378" s="23">
        <v>0.95</v>
      </c>
      <c r="AB378" s="23">
        <v>0</v>
      </c>
      <c r="AC378" s="23">
        <v>0</v>
      </c>
      <c r="AD378" s="23">
        <v>0</v>
      </c>
      <c r="AE378" s="23">
        <v>59675.73</v>
      </c>
      <c r="AF378" s="23">
        <v>56691.94</v>
      </c>
      <c r="AG378" s="23">
        <v>1336362.83</v>
      </c>
      <c r="AH378" s="23">
        <v>3</v>
      </c>
      <c r="AI378" s="23">
        <v>0</v>
      </c>
      <c r="AJ378" s="23">
        <v>0</v>
      </c>
      <c r="AK378" s="23">
        <v>0</v>
      </c>
      <c r="AL378" s="23" t="s">
        <v>24</v>
      </c>
      <c r="AM378" s="23">
        <v>42.8</v>
      </c>
      <c r="AN378" s="23">
        <v>30662.799999999999</v>
      </c>
      <c r="AO378" s="23">
        <v>42.36</v>
      </c>
      <c r="AP378" s="23">
        <v>0</v>
      </c>
      <c r="AR378" s="46"/>
      <c r="AS378" s="44"/>
      <c r="AT378" s="45"/>
      <c r="AU378" s="2">
        <v>43776</v>
      </c>
      <c r="AV378" s="52">
        <v>0.5</v>
      </c>
      <c r="AW378" s="2" t="s">
        <v>213</v>
      </c>
      <c r="AY378" s="3"/>
      <c r="BA378" s="3"/>
      <c r="BG378" s="3"/>
      <c r="BH378" s="3"/>
    </row>
    <row r="379" spans="1:60">
      <c r="A379" s="23" t="s">
        <v>22</v>
      </c>
      <c r="B379" s="23" t="s">
        <v>23</v>
      </c>
      <c r="C379" s="27">
        <v>43776.520833333336</v>
      </c>
      <c r="D379" s="23">
        <v>42.3</v>
      </c>
      <c r="E379" s="27">
        <v>43776.572916666664</v>
      </c>
      <c r="F379" s="23">
        <v>42.75</v>
      </c>
      <c r="G379" s="31">
        <v>1.06E-2</v>
      </c>
      <c r="H379" s="23">
        <v>-533.41</v>
      </c>
      <c r="I379" s="31">
        <v>-1.06E-2</v>
      </c>
      <c r="J379" s="23">
        <v>1185.3589999999999</v>
      </c>
      <c r="K379" s="23">
        <v>50140.68</v>
      </c>
      <c r="L379" s="23">
        <v>27249.8</v>
      </c>
      <c r="M379" s="23">
        <v>6</v>
      </c>
      <c r="N379" s="23">
        <v>-88.9</v>
      </c>
      <c r="O379" s="31">
        <v>-1.06E-2</v>
      </c>
      <c r="P379" s="31">
        <v>2.3999999999999998E-3</v>
      </c>
      <c r="Q379" s="23" t="s">
        <v>24</v>
      </c>
      <c r="R379" s="23">
        <v>0</v>
      </c>
      <c r="S379" s="23">
        <v>42.84</v>
      </c>
      <c r="U379" s="47">
        <f>VLOOKUP(AU379,[1]expiry_dates!$B$2:$C$2894,2,FALSE)</f>
        <v>43797</v>
      </c>
      <c r="V379" s="23" t="s">
        <v>116</v>
      </c>
      <c r="W379" s="23" t="s">
        <v>23</v>
      </c>
      <c r="X379" s="49">
        <v>43776.520833333336</v>
      </c>
      <c r="Y379" s="23">
        <v>1.65</v>
      </c>
      <c r="Z379" s="23">
        <v>43776.572916666664</v>
      </c>
      <c r="AA379" s="23">
        <v>1.85</v>
      </c>
      <c r="AB379" s="23">
        <v>0.1212</v>
      </c>
      <c r="AC379" s="23">
        <v>-6870.52</v>
      </c>
      <c r="AD379" s="23">
        <v>-0.1212</v>
      </c>
      <c r="AE379" s="23">
        <v>34352.61</v>
      </c>
      <c r="AF379" s="23">
        <v>56681.81</v>
      </c>
      <c r="AG379" s="23">
        <v>1329492.3</v>
      </c>
      <c r="AH379" s="23">
        <v>6</v>
      </c>
      <c r="AI379" s="23">
        <v>-1145.0899999999999</v>
      </c>
      <c r="AJ379" s="23">
        <v>-0.1212</v>
      </c>
      <c r="AK379" s="23">
        <v>0</v>
      </c>
      <c r="AL379" s="23" t="s">
        <v>24</v>
      </c>
      <c r="AM379" s="23">
        <v>42.3</v>
      </c>
      <c r="AN379" s="23">
        <v>30505.05</v>
      </c>
      <c r="AO379" s="23">
        <v>42.84</v>
      </c>
      <c r="AP379" s="23">
        <v>0</v>
      </c>
      <c r="AR379" s="46"/>
      <c r="AS379" s="44"/>
      <c r="AT379" s="45"/>
      <c r="AU379" s="2">
        <v>43776</v>
      </c>
      <c r="AV379" s="52">
        <v>0.52083333333333337</v>
      </c>
      <c r="AW379" s="2" t="s">
        <v>213</v>
      </c>
      <c r="AY379" s="3"/>
      <c r="BA379" s="3"/>
      <c r="BG379" s="3"/>
      <c r="BH379" s="3"/>
    </row>
    <row r="380" spans="1:60">
      <c r="A380" s="23" t="s">
        <v>22</v>
      </c>
      <c r="B380" s="23" t="s">
        <v>25</v>
      </c>
      <c r="C380" s="27">
        <v>43776.572916666664</v>
      </c>
      <c r="D380" s="23">
        <v>42.75</v>
      </c>
      <c r="E380" s="27">
        <v>43776.614583333336</v>
      </c>
      <c r="F380" s="23">
        <v>42.4</v>
      </c>
      <c r="G380" s="31">
        <v>-8.2000000000000007E-3</v>
      </c>
      <c r="H380" s="23">
        <v>-410.48</v>
      </c>
      <c r="I380" s="31">
        <v>-8.2000000000000007E-3</v>
      </c>
      <c r="J380" s="23">
        <v>1172.799</v>
      </c>
      <c r="K380" s="23">
        <v>50137.14</v>
      </c>
      <c r="L380" s="23">
        <v>26839.32</v>
      </c>
      <c r="M380" s="23">
        <v>5</v>
      </c>
      <c r="N380" s="23">
        <v>-82.1</v>
      </c>
      <c r="O380" s="31">
        <v>-8.2000000000000007E-3</v>
      </c>
      <c r="P380" s="31">
        <v>1.1999999999999999E-3</v>
      </c>
      <c r="Q380" s="23" t="s">
        <v>24</v>
      </c>
      <c r="R380" s="23">
        <v>0</v>
      </c>
      <c r="S380" s="23">
        <v>42.2</v>
      </c>
      <c r="U380" s="47">
        <f>VLOOKUP(AU380,[1]expiry_dates!$B$2:$C$2894,2,FALSE)</f>
        <v>43797</v>
      </c>
      <c r="V380" s="23" t="s">
        <v>115</v>
      </c>
      <c r="W380" s="23" t="s">
        <v>23</v>
      </c>
      <c r="X380" s="49">
        <v>43776.572916666664</v>
      </c>
      <c r="Y380" s="23">
        <v>1.4</v>
      </c>
      <c r="Z380" s="23">
        <v>43776.614583333336</v>
      </c>
      <c r="AA380" s="23">
        <v>1.5</v>
      </c>
      <c r="AB380" s="23">
        <v>7.1400000000000005E-2</v>
      </c>
      <c r="AC380" s="23">
        <v>-4047.47</v>
      </c>
      <c r="AD380" s="23">
        <v>-7.1400000000000005E-2</v>
      </c>
      <c r="AE380" s="23">
        <v>40474.74</v>
      </c>
      <c r="AF380" s="23">
        <v>56664.639999999999</v>
      </c>
      <c r="AG380" s="23">
        <v>1325444.83</v>
      </c>
      <c r="AH380" s="23">
        <v>5</v>
      </c>
      <c r="AI380" s="23">
        <v>-809.49</v>
      </c>
      <c r="AJ380" s="23">
        <v>-7.1400000000000005E-2</v>
      </c>
      <c r="AK380" s="23">
        <v>0</v>
      </c>
      <c r="AL380" s="23" t="s">
        <v>24</v>
      </c>
      <c r="AM380" s="23">
        <v>42.75</v>
      </c>
      <c r="AN380" s="23">
        <v>30661.9</v>
      </c>
      <c r="AO380" s="23">
        <v>42.2</v>
      </c>
      <c r="AP380" s="23">
        <v>0</v>
      </c>
      <c r="AR380" s="46"/>
      <c r="AS380" s="44"/>
      <c r="AT380" s="45"/>
      <c r="AU380" s="2">
        <v>43776</v>
      </c>
      <c r="AV380" s="52">
        <v>7.2916666666666671E-2</v>
      </c>
      <c r="AW380" s="2" t="s">
        <v>213</v>
      </c>
      <c r="AY380" s="3"/>
      <c r="BA380" s="3"/>
      <c r="BG380" s="3"/>
      <c r="BH380" s="3"/>
    </row>
    <row r="381" spans="1:60">
      <c r="A381" s="23" t="s">
        <v>22</v>
      </c>
      <c r="B381" s="23" t="s">
        <v>23</v>
      </c>
      <c r="C381" s="27">
        <v>43776.614583333336</v>
      </c>
      <c r="D381" s="23">
        <v>42.4</v>
      </c>
      <c r="E381" s="27">
        <v>43777.510416666664</v>
      </c>
      <c r="F381" s="23">
        <v>42.4</v>
      </c>
      <c r="G381" s="31">
        <v>0</v>
      </c>
      <c r="H381" s="23">
        <v>0</v>
      </c>
      <c r="I381" s="31">
        <v>0</v>
      </c>
      <c r="J381" s="23">
        <v>1182.431</v>
      </c>
      <c r="K381" s="23">
        <v>50135.08</v>
      </c>
      <c r="L381" s="23">
        <v>26839.32</v>
      </c>
      <c r="M381" s="23">
        <v>19</v>
      </c>
      <c r="N381" s="23">
        <v>0</v>
      </c>
      <c r="O381" s="31">
        <v>-7.1000000000000004E-3</v>
      </c>
      <c r="P381" s="31">
        <v>9.4000000000000004E-3</v>
      </c>
      <c r="Q381" s="23" t="s">
        <v>24</v>
      </c>
      <c r="R381" s="23">
        <v>0</v>
      </c>
      <c r="S381" s="23">
        <v>42.8</v>
      </c>
      <c r="U381" s="47">
        <f>VLOOKUP(AU381,[1]expiry_dates!$B$2:$C$2894,2,FALSE)</f>
        <v>43797</v>
      </c>
      <c r="V381" s="23" t="s">
        <v>117</v>
      </c>
      <c r="W381" s="23" t="s">
        <v>23</v>
      </c>
      <c r="X381" s="49">
        <v>43776.614583333336</v>
      </c>
      <c r="Y381" s="23">
        <v>1.05</v>
      </c>
      <c r="Z381" s="23">
        <v>43777.510416666664</v>
      </c>
      <c r="AA381" s="23">
        <v>0.95</v>
      </c>
      <c r="AB381" s="23">
        <v>-9.5200000000000007E-2</v>
      </c>
      <c r="AC381" s="23">
        <v>5395</v>
      </c>
      <c r="AD381" s="23">
        <v>9.5200000000000007E-2</v>
      </c>
      <c r="AE381" s="23">
        <v>53949.96</v>
      </c>
      <c r="AF381" s="23">
        <v>56647.46</v>
      </c>
      <c r="AG381" s="23">
        <v>1330839.83</v>
      </c>
      <c r="AH381" s="23">
        <v>19</v>
      </c>
      <c r="AI381" s="23">
        <v>283.95</v>
      </c>
      <c r="AJ381" s="23">
        <v>-4.7600000000000003E-2</v>
      </c>
      <c r="AK381" s="23">
        <v>0.1905</v>
      </c>
      <c r="AL381" s="23" t="s">
        <v>24</v>
      </c>
      <c r="AM381" s="23">
        <v>42.4</v>
      </c>
      <c r="AN381" s="23">
        <v>30652.45</v>
      </c>
      <c r="AO381" s="23">
        <v>42.8</v>
      </c>
      <c r="AP381" s="23">
        <v>0</v>
      </c>
      <c r="AR381" s="46"/>
      <c r="AS381" s="44"/>
      <c r="AT381" s="45"/>
      <c r="AU381" s="2">
        <v>43776</v>
      </c>
      <c r="AV381" s="52">
        <v>0.11458333333333333</v>
      </c>
      <c r="AW381" s="2" t="s">
        <v>213</v>
      </c>
      <c r="AY381" s="3"/>
      <c r="BA381" s="3"/>
      <c r="BG381" s="3"/>
      <c r="BH381" s="3"/>
    </row>
    <row r="382" spans="1:60">
      <c r="A382" s="23" t="s">
        <v>22</v>
      </c>
      <c r="B382" s="23" t="s">
        <v>25</v>
      </c>
      <c r="C382" s="27">
        <v>43777.510416666664</v>
      </c>
      <c r="D382" s="23">
        <v>42.4</v>
      </c>
      <c r="E382" s="27">
        <v>43777.604166666664</v>
      </c>
      <c r="F382" s="23">
        <v>42.3</v>
      </c>
      <c r="G382" s="31">
        <v>-2.3999999999999998E-3</v>
      </c>
      <c r="H382" s="23">
        <v>-118.24</v>
      </c>
      <c r="I382" s="31">
        <v>-2.3999999999999998E-3</v>
      </c>
      <c r="J382" s="23">
        <v>1182.4169999999999</v>
      </c>
      <c r="K382" s="23">
        <v>50134.49</v>
      </c>
      <c r="L382" s="23">
        <v>26721.08</v>
      </c>
      <c r="M382" s="23">
        <v>10</v>
      </c>
      <c r="N382" s="23">
        <v>-11.82</v>
      </c>
      <c r="O382" s="31">
        <v>-3.5000000000000001E-3</v>
      </c>
      <c r="P382" s="31">
        <v>1.6500000000000001E-2</v>
      </c>
      <c r="Q382" s="23" t="s">
        <v>24</v>
      </c>
      <c r="R382" s="23">
        <v>0</v>
      </c>
      <c r="S382" s="23">
        <v>42.01</v>
      </c>
      <c r="U382" s="47">
        <f>VLOOKUP(AU382,[1]expiry_dates!$B$2:$C$2894,2,FALSE)</f>
        <v>43797</v>
      </c>
      <c r="V382" s="23" t="s">
        <v>137</v>
      </c>
      <c r="W382" s="23" t="s">
        <v>23</v>
      </c>
      <c r="X382" s="49">
        <v>43777.510416666664</v>
      </c>
      <c r="Y382" s="23">
        <v>0.45</v>
      </c>
      <c r="Z382" s="23">
        <v>43777.604166666664</v>
      </c>
      <c r="AA382" s="23">
        <v>0.4</v>
      </c>
      <c r="AB382" s="23">
        <v>-0.1111</v>
      </c>
      <c r="AC382" s="23">
        <v>6296.41</v>
      </c>
      <c r="AD382" s="23">
        <v>0.1111</v>
      </c>
      <c r="AE382" s="23">
        <v>125928.2</v>
      </c>
      <c r="AF382" s="23">
        <v>56667.69</v>
      </c>
      <c r="AG382" s="23">
        <v>1337136.24</v>
      </c>
      <c r="AH382" s="23">
        <v>10</v>
      </c>
      <c r="AI382" s="23">
        <v>629.64</v>
      </c>
      <c r="AJ382" s="23">
        <v>0</v>
      </c>
      <c r="AK382" s="23">
        <v>0.22220000000000001</v>
      </c>
      <c r="AL382" s="23" t="s">
        <v>24</v>
      </c>
      <c r="AM382" s="23">
        <v>42.4</v>
      </c>
      <c r="AN382" s="23">
        <v>30968.95</v>
      </c>
      <c r="AO382" s="23">
        <v>42.01</v>
      </c>
      <c r="AP382" s="23">
        <v>0</v>
      </c>
      <c r="AR382" s="46"/>
      <c r="AS382" s="44"/>
      <c r="AT382" s="45"/>
      <c r="AU382" s="2">
        <v>43777</v>
      </c>
      <c r="AV382" s="52">
        <v>0.51041666666666663</v>
      </c>
      <c r="AW382" s="2" t="s">
        <v>213</v>
      </c>
      <c r="AY382" s="3"/>
      <c r="BA382" s="3"/>
      <c r="BG382" s="3"/>
      <c r="BH382" s="3"/>
    </row>
    <row r="383" spans="1:60">
      <c r="A383" s="23" t="s">
        <v>22</v>
      </c>
      <c r="B383" s="23" t="s">
        <v>23</v>
      </c>
      <c r="C383" s="27">
        <v>43777.604166666664</v>
      </c>
      <c r="D383" s="23">
        <v>42.3</v>
      </c>
      <c r="E383" s="27">
        <v>43780.395833333336</v>
      </c>
      <c r="F383" s="23">
        <v>42.5</v>
      </c>
      <c r="G383" s="31">
        <v>4.7000000000000002E-3</v>
      </c>
      <c r="H383" s="23">
        <v>-237.05</v>
      </c>
      <c r="I383" s="31">
        <v>-4.7000000000000002E-3</v>
      </c>
      <c r="J383" s="23">
        <v>1185.2270000000001</v>
      </c>
      <c r="K383" s="23">
        <v>50135.08</v>
      </c>
      <c r="L383" s="23">
        <v>26484.03</v>
      </c>
      <c r="M383" s="23">
        <v>9</v>
      </c>
      <c r="N383" s="23">
        <v>-26.34</v>
      </c>
      <c r="O383" s="31">
        <v>-1.06E-2</v>
      </c>
      <c r="P383" s="31">
        <v>7.1000000000000004E-3</v>
      </c>
      <c r="Q383" s="23" t="s">
        <v>24</v>
      </c>
      <c r="R383" s="23">
        <v>0</v>
      </c>
      <c r="S383" s="23">
        <v>43.1</v>
      </c>
      <c r="U383" s="47">
        <f>VLOOKUP(AU383,[1]expiry_dates!$B$2:$C$2894,2,FALSE)</f>
        <v>43797</v>
      </c>
      <c r="V383" s="23" t="s">
        <v>114</v>
      </c>
      <c r="W383" s="23" t="s">
        <v>23</v>
      </c>
      <c r="X383" s="49">
        <v>43777.604166666664</v>
      </c>
      <c r="Y383" s="23">
        <v>1.3</v>
      </c>
      <c r="Z383" s="23">
        <v>43780.395833333336</v>
      </c>
      <c r="AA383" s="23">
        <v>1.3</v>
      </c>
      <c r="AB383" s="23">
        <v>0</v>
      </c>
      <c r="AC383" s="23">
        <v>0</v>
      </c>
      <c r="AD383" s="23">
        <v>0</v>
      </c>
      <c r="AE383" s="23">
        <v>43628.59</v>
      </c>
      <c r="AF383" s="23">
        <v>56717.16</v>
      </c>
      <c r="AG383" s="23">
        <v>1337136.24</v>
      </c>
      <c r="AH383" s="23">
        <v>9</v>
      </c>
      <c r="AI383" s="23">
        <v>0</v>
      </c>
      <c r="AJ383" s="23">
        <v>-7.6899999999999996E-2</v>
      </c>
      <c r="AK383" s="23">
        <v>0.1154</v>
      </c>
      <c r="AL383" s="23" t="s">
        <v>24</v>
      </c>
      <c r="AM383" s="23">
        <v>42.3</v>
      </c>
      <c r="AN383" s="23">
        <v>30926.9</v>
      </c>
      <c r="AO383" s="23">
        <v>43.1</v>
      </c>
      <c r="AP383" s="23">
        <v>0</v>
      </c>
      <c r="AR383" s="46"/>
      <c r="AS383" s="44"/>
      <c r="AT383" s="45"/>
      <c r="AU383" s="2">
        <v>43777</v>
      </c>
      <c r="AV383" s="52">
        <v>0.10416666666666667</v>
      </c>
      <c r="AW383" s="2" t="s">
        <v>213</v>
      </c>
      <c r="AY383" s="3"/>
      <c r="BA383" s="3"/>
      <c r="BG383" s="3"/>
      <c r="BH383" s="3"/>
    </row>
    <row r="384" spans="1:60">
      <c r="A384" s="23" t="s">
        <v>22</v>
      </c>
      <c r="B384" s="23" t="s">
        <v>25</v>
      </c>
      <c r="C384" s="27">
        <v>43780.395833333336</v>
      </c>
      <c r="D384" s="23">
        <v>42.5</v>
      </c>
      <c r="E384" s="27">
        <v>43780.489583333336</v>
      </c>
      <c r="F384" s="23">
        <v>42.15</v>
      </c>
      <c r="G384" s="31">
        <v>-8.2000000000000007E-3</v>
      </c>
      <c r="H384" s="23">
        <v>-412.86</v>
      </c>
      <c r="I384" s="31">
        <v>-8.2000000000000007E-3</v>
      </c>
      <c r="J384" s="23">
        <v>1179.607</v>
      </c>
      <c r="K384" s="23">
        <v>50133.31</v>
      </c>
      <c r="L384" s="23">
        <v>26071.17</v>
      </c>
      <c r="M384" s="23">
        <v>10</v>
      </c>
      <c r="N384" s="23">
        <v>-41.29</v>
      </c>
      <c r="O384" s="31">
        <v>-8.2000000000000007E-3</v>
      </c>
      <c r="P384" s="31">
        <v>8.2000000000000007E-3</v>
      </c>
      <c r="Q384" s="23" t="s">
        <v>24</v>
      </c>
      <c r="R384" s="23">
        <v>0</v>
      </c>
      <c r="S384" s="23">
        <v>42.03</v>
      </c>
      <c r="U384" s="47">
        <f>VLOOKUP(AU384,[1]expiry_dates!$B$2:$C$2894,2,FALSE)</f>
        <v>43797</v>
      </c>
      <c r="V384" s="23" t="s">
        <v>134</v>
      </c>
      <c r="W384" s="23" t="s">
        <v>23</v>
      </c>
      <c r="X384" s="49">
        <v>43780.395833333336</v>
      </c>
      <c r="Y384" s="23">
        <v>1.05</v>
      </c>
      <c r="Z384" s="23">
        <v>43780.489583333336</v>
      </c>
      <c r="AA384" s="23">
        <v>1.1499999999999999</v>
      </c>
      <c r="AB384" s="23">
        <v>9.5200000000000007E-2</v>
      </c>
      <c r="AC384" s="23">
        <v>-5399.68</v>
      </c>
      <c r="AD384" s="23">
        <v>-9.5200000000000007E-2</v>
      </c>
      <c r="AE384" s="23">
        <v>53996.75</v>
      </c>
      <c r="AF384" s="23">
        <v>56696.59</v>
      </c>
      <c r="AG384" s="23">
        <v>1331736.56</v>
      </c>
      <c r="AH384" s="23">
        <v>10</v>
      </c>
      <c r="AI384" s="23">
        <v>-539.97</v>
      </c>
      <c r="AJ384" s="23">
        <v>-9.5200000000000007E-2</v>
      </c>
      <c r="AK384" s="23">
        <v>0</v>
      </c>
      <c r="AL384" s="23" t="s">
        <v>24</v>
      </c>
      <c r="AM384" s="23">
        <v>42.5</v>
      </c>
      <c r="AN384" s="23">
        <v>30871.75</v>
      </c>
      <c r="AO384" s="23">
        <v>42.03</v>
      </c>
      <c r="AP384" s="23">
        <v>0</v>
      </c>
      <c r="AR384" s="46"/>
      <c r="AS384" s="44"/>
      <c r="AT384" s="45"/>
      <c r="AU384" s="2">
        <v>43780</v>
      </c>
      <c r="AV384" s="52">
        <v>0.39583333333333331</v>
      </c>
      <c r="AW384" s="2" t="s">
        <v>212</v>
      </c>
      <c r="AY384" s="3"/>
      <c r="BA384" s="3"/>
      <c r="BG384" s="3"/>
      <c r="BH384" s="3"/>
    </row>
    <row r="385" spans="1:60">
      <c r="A385" s="23" t="s">
        <v>22</v>
      </c>
      <c r="B385" s="23" t="s">
        <v>23</v>
      </c>
      <c r="C385" s="27">
        <v>43780.489583333336</v>
      </c>
      <c r="D385" s="23">
        <v>42.15</v>
      </c>
      <c r="E385" s="27">
        <v>43780.59375</v>
      </c>
      <c r="F385" s="23">
        <v>42.45</v>
      </c>
      <c r="G385" s="31">
        <v>7.1000000000000004E-3</v>
      </c>
      <c r="H385" s="23">
        <v>-356.81</v>
      </c>
      <c r="I385" s="31">
        <v>-7.1000000000000004E-3</v>
      </c>
      <c r="J385" s="23">
        <v>1189.3599999999999</v>
      </c>
      <c r="K385" s="23">
        <v>50131.54</v>
      </c>
      <c r="L385" s="23">
        <v>25714.36</v>
      </c>
      <c r="M385" s="23">
        <v>11</v>
      </c>
      <c r="N385" s="23">
        <v>-32.44</v>
      </c>
      <c r="O385" s="31">
        <v>-8.3000000000000001E-3</v>
      </c>
      <c r="P385" s="31">
        <v>1.1999999999999999E-3</v>
      </c>
      <c r="Q385" s="23" t="s">
        <v>24</v>
      </c>
      <c r="R385" s="23">
        <v>0</v>
      </c>
      <c r="S385" s="23">
        <v>42.82</v>
      </c>
      <c r="U385" s="47">
        <f>VLOOKUP(AU385,[1]expiry_dates!$B$2:$C$2894,2,FALSE)</f>
        <v>43797</v>
      </c>
      <c r="V385" s="23" t="s">
        <v>114</v>
      </c>
      <c r="W385" s="23" t="s">
        <v>23</v>
      </c>
      <c r="X385" s="49">
        <v>43780.489583333336</v>
      </c>
      <c r="Y385" s="23">
        <v>1.2</v>
      </c>
      <c r="Z385" s="23">
        <v>43780.59375</v>
      </c>
      <c r="AA385" s="23">
        <v>1.25</v>
      </c>
      <c r="AB385" s="23">
        <v>4.1700000000000001E-2</v>
      </c>
      <c r="AC385" s="23">
        <v>-2361.9</v>
      </c>
      <c r="AD385" s="23">
        <v>-4.1700000000000001E-2</v>
      </c>
      <c r="AE385" s="23">
        <v>47238.07</v>
      </c>
      <c r="AF385" s="23">
        <v>56685.68</v>
      </c>
      <c r="AG385" s="23">
        <v>1329374.6599999999</v>
      </c>
      <c r="AH385" s="23">
        <v>11</v>
      </c>
      <c r="AI385" s="23">
        <v>-214.72</v>
      </c>
      <c r="AJ385" s="23">
        <v>-4.1700000000000001E-2</v>
      </c>
      <c r="AK385" s="23">
        <v>4.1700000000000001E-2</v>
      </c>
      <c r="AL385" s="23" t="s">
        <v>24</v>
      </c>
      <c r="AM385" s="23">
        <v>42.15</v>
      </c>
      <c r="AN385" s="23">
        <v>30856.15</v>
      </c>
      <c r="AO385" s="23">
        <v>42.82</v>
      </c>
      <c r="AP385" s="23">
        <v>0</v>
      </c>
      <c r="AR385" s="46"/>
      <c r="AS385" s="44"/>
      <c r="AT385" s="45"/>
      <c r="AU385" s="2">
        <v>43780</v>
      </c>
      <c r="AV385" s="52">
        <v>0.48958333333333331</v>
      </c>
      <c r="AW385" s="2" t="s">
        <v>212</v>
      </c>
      <c r="AY385" s="3"/>
      <c r="BA385" s="3"/>
      <c r="BG385" s="3"/>
      <c r="BH385" s="3"/>
    </row>
    <row r="386" spans="1:60">
      <c r="A386" s="23" t="s">
        <v>22</v>
      </c>
      <c r="B386" s="23" t="s">
        <v>25</v>
      </c>
      <c r="C386" s="27">
        <v>43780.59375</v>
      </c>
      <c r="D386" s="23">
        <v>42.45</v>
      </c>
      <c r="E386" s="27">
        <v>43782.40625</v>
      </c>
      <c r="F386" s="23">
        <v>42.4</v>
      </c>
      <c r="G386" s="31">
        <v>-1.1999999999999999E-3</v>
      </c>
      <c r="H386" s="23">
        <v>-59.04</v>
      </c>
      <c r="I386" s="31">
        <v>-1.1999999999999999E-3</v>
      </c>
      <c r="J386" s="23">
        <v>1180.8779999999999</v>
      </c>
      <c r="K386" s="23">
        <v>50128.27</v>
      </c>
      <c r="L386" s="23">
        <v>25655.32</v>
      </c>
      <c r="M386" s="23">
        <v>11</v>
      </c>
      <c r="N386" s="23">
        <v>-5.37</v>
      </c>
      <c r="O386" s="31">
        <v>-3.5000000000000001E-3</v>
      </c>
      <c r="P386" s="31">
        <v>5.8999999999999999E-3</v>
      </c>
      <c r="Q386" s="23" t="s">
        <v>24</v>
      </c>
      <c r="R386" s="23">
        <v>0</v>
      </c>
      <c r="S386" s="23">
        <v>42.1</v>
      </c>
      <c r="U386" s="47">
        <f>VLOOKUP(AU386,[1]expiry_dates!$B$2:$C$2894,2,FALSE)</f>
        <v>43797</v>
      </c>
      <c r="V386" s="23" t="s">
        <v>143</v>
      </c>
      <c r="W386" s="23" t="s">
        <v>23</v>
      </c>
      <c r="X386" s="49">
        <v>43780.59375</v>
      </c>
      <c r="Y386" s="23">
        <v>0.1</v>
      </c>
      <c r="Z386" s="23">
        <v>43782.40625</v>
      </c>
      <c r="AA386" s="23">
        <v>0.1</v>
      </c>
      <c r="AB386" s="23">
        <v>0</v>
      </c>
      <c r="AC386" s="23">
        <v>0</v>
      </c>
      <c r="AD386" s="23">
        <v>0</v>
      </c>
      <c r="AE386" s="23">
        <v>566468.80000000005</v>
      </c>
      <c r="AF386" s="23">
        <v>56646.879999999997</v>
      </c>
      <c r="AG386" s="23">
        <v>1329374.6599999999</v>
      </c>
      <c r="AH386" s="23">
        <v>11</v>
      </c>
      <c r="AI386" s="23">
        <v>0</v>
      </c>
      <c r="AJ386" s="23">
        <v>0</v>
      </c>
      <c r="AK386" s="23">
        <v>0</v>
      </c>
      <c r="AL386" s="23" t="s">
        <v>24</v>
      </c>
      <c r="AM386" s="23">
        <v>42.45</v>
      </c>
      <c r="AN386" s="23">
        <v>30974.75</v>
      </c>
      <c r="AO386" s="23">
        <v>42.1</v>
      </c>
      <c r="AP386" s="23">
        <v>0</v>
      </c>
      <c r="AR386" s="46"/>
      <c r="AS386" s="44"/>
      <c r="AT386" s="45"/>
      <c r="AU386" s="2">
        <v>43780</v>
      </c>
      <c r="AV386" s="52">
        <v>9.375E-2</v>
      </c>
      <c r="AW386" s="2" t="s">
        <v>213</v>
      </c>
      <c r="AY386" s="3"/>
      <c r="BA386" s="3"/>
      <c r="BG386" s="3"/>
      <c r="BH386" s="3"/>
    </row>
    <row r="387" spans="1:60">
      <c r="A387" s="23" t="s">
        <v>22</v>
      </c>
      <c r="B387" s="23" t="s">
        <v>23</v>
      </c>
      <c r="C387" s="27">
        <v>43782.40625</v>
      </c>
      <c r="D387" s="23">
        <v>42.4</v>
      </c>
      <c r="E387" s="27">
        <v>43782.427083333336</v>
      </c>
      <c r="F387" s="23">
        <v>42.7</v>
      </c>
      <c r="G387" s="31">
        <v>7.1000000000000004E-3</v>
      </c>
      <c r="H387" s="23">
        <v>-354.68</v>
      </c>
      <c r="I387" s="31">
        <v>-7.1000000000000004E-3</v>
      </c>
      <c r="J387" s="23">
        <v>1182.271</v>
      </c>
      <c r="K387" s="23">
        <v>50128.28</v>
      </c>
      <c r="L387" s="23">
        <v>25300.639999999999</v>
      </c>
      <c r="M387" s="23">
        <v>3</v>
      </c>
      <c r="N387" s="23">
        <v>-118.23</v>
      </c>
      <c r="O387" s="31">
        <v>-7.1000000000000004E-3</v>
      </c>
      <c r="P387" s="31">
        <v>4.7000000000000002E-3</v>
      </c>
      <c r="Q387" s="23" t="s">
        <v>24</v>
      </c>
      <c r="R387" s="23">
        <v>0</v>
      </c>
      <c r="S387" s="23">
        <v>42.68</v>
      </c>
      <c r="U387" s="47">
        <f>VLOOKUP(AU387,[1]expiry_dates!$B$2:$C$2894,2,FALSE)</f>
        <v>43797</v>
      </c>
      <c r="V387" s="23" t="s">
        <v>114</v>
      </c>
      <c r="W387" s="23" t="s">
        <v>23</v>
      </c>
      <c r="X387" s="49">
        <v>43782.40625</v>
      </c>
      <c r="Y387" s="23">
        <v>1.1499999999999999</v>
      </c>
      <c r="Z387" s="23">
        <v>43782.427083333336</v>
      </c>
      <c r="AA387" s="23">
        <v>1.3</v>
      </c>
      <c r="AB387" s="23">
        <v>0.13039999999999999</v>
      </c>
      <c r="AC387" s="23">
        <v>-7388.72</v>
      </c>
      <c r="AD387" s="23">
        <v>-0.13039999999999999</v>
      </c>
      <c r="AE387" s="23">
        <v>49258.15</v>
      </c>
      <c r="AF387" s="23">
        <v>56646.879999999997</v>
      </c>
      <c r="AG387" s="23">
        <v>1321985.94</v>
      </c>
      <c r="AH387" s="23">
        <v>3</v>
      </c>
      <c r="AI387" s="23">
        <v>-2462.91</v>
      </c>
      <c r="AJ387" s="23">
        <v>-0.13039999999999999</v>
      </c>
      <c r="AK387" s="23">
        <v>0</v>
      </c>
      <c r="AL387" s="23" t="s">
        <v>24</v>
      </c>
      <c r="AM387" s="23">
        <v>42.4</v>
      </c>
      <c r="AN387" s="23">
        <v>31074.55</v>
      </c>
      <c r="AO387" s="23">
        <v>42.68</v>
      </c>
      <c r="AP387" s="23">
        <v>0</v>
      </c>
      <c r="AR387" s="46"/>
      <c r="AS387" s="44"/>
      <c r="AT387" s="45"/>
      <c r="AU387" s="2">
        <v>43782</v>
      </c>
      <c r="AV387" s="52">
        <v>0.40625</v>
      </c>
      <c r="AW387" s="2" t="s">
        <v>212</v>
      </c>
      <c r="AY387" s="3"/>
      <c r="BA387" s="3"/>
      <c r="BG387" s="3"/>
      <c r="BH387" s="3"/>
    </row>
    <row r="388" spans="1:60">
      <c r="A388" s="23" t="s">
        <v>22</v>
      </c>
      <c r="B388" s="23" t="s">
        <v>25</v>
      </c>
      <c r="C388" s="27">
        <v>43782.427083333336</v>
      </c>
      <c r="D388" s="23">
        <v>42.7</v>
      </c>
      <c r="E388" s="27">
        <v>43782.489583333336</v>
      </c>
      <c r="F388" s="23">
        <v>42.4</v>
      </c>
      <c r="G388" s="31">
        <v>-7.0000000000000001E-3</v>
      </c>
      <c r="H388" s="23">
        <v>-352.19</v>
      </c>
      <c r="I388" s="31">
        <v>-7.0000000000000001E-3</v>
      </c>
      <c r="J388" s="23">
        <v>1173.95</v>
      </c>
      <c r="K388" s="23">
        <v>50127.68</v>
      </c>
      <c r="L388" s="23">
        <v>24948.45</v>
      </c>
      <c r="M388" s="23">
        <v>7</v>
      </c>
      <c r="N388" s="23">
        <v>-50.31</v>
      </c>
      <c r="O388" s="31">
        <v>-8.2000000000000007E-3</v>
      </c>
      <c r="P388" s="31">
        <v>0</v>
      </c>
      <c r="Q388" s="23" t="s">
        <v>24</v>
      </c>
      <c r="R388" s="23">
        <v>0</v>
      </c>
      <c r="S388" s="23">
        <v>42.21</v>
      </c>
      <c r="U388" s="47">
        <f>VLOOKUP(AU388,[1]expiry_dates!$B$2:$C$2894,2,FALSE)</f>
        <v>43797</v>
      </c>
      <c r="V388" s="23" t="s">
        <v>113</v>
      </c>
      <c r="W388" s="23" t="s">
        <v>23</v>
      </c>
      <c r="X388" s="49">
        <v>43782.427083333336</v>
      </c>
      <c r="Y388" s="23">
        <v>0.5</v>
      </c>
      <c r="Z388" s="23">
        <v>43782.489583333336</v>
      </c>
      <c r="AA388" s="23">
        <v>0.55000000000000004</v>
      </c>
      <c r="AB388" s="23">
        <v>0.1</v>
      </c>
      <c r="AC388" s="23">
        <v>-5664.69</v>
      </c>
      <c r="AD388" s="23">
        <v>-0.1</v>
      </c>
      <c r="AE388" s="23">
        <v>113293.8</v>
      </c>
      <c r="AF388" s="23">
        <v>56646.879999999997</v>
      </c>
      <c r="AG388" s="23">
        <v>1316321.25</v>
      </c>
      <c r="AH388" s="23">
        <v>7</v>
      </c>
      <c r="AI388" s="23">
        <v>-809.24</v>
      </c>
      <c r="AJ388" s="23">
        <v>-0.1</v>
      </c>
      <c r="AK388" s="23">
        <v>0</v>
      </c>
      <c r="AL388" s="23" t="s">
        <v>24</v>
      </c>
      <c r="AM388" s="23">
        <v>42.7</v>
      </c>
      <c r="AN388" s="23">
        <v>31005.75</v>
      </c>
      <c r="AO388" s="23">
        <v>42.21</v>
      </c>
      <c r="AP388" s="23">
        <v>0</v>
      </c>
      <c r="AR388" s="46"/>
      <c r="AS388" s="44"/>
      <c r="AT388" s="45"/>
      <c r="AU388" s="2">
        <v>43782</v>
      </c>
      <c r="AV388" s="52">
        <v>0.42708333333333331</v>
      </c>
      <c r="AW388" s="2" t="s">
        <v>212</v>
      </c>
      <c r="AY388" s="3"/>
      <c r="BA388" s="3"/>
      <c r="BG388" s="3"/>
      <c r="BH388" s="3"/>
    </row>
    <row r="389" spans="1:60">
      <c r="A389" s="23" t="s">
        <v>22</v>
      </c>
      <c r="B389" s="23" t="s">
        <v>23</v>
      </c>
      <c r="C389" s="27">
        <v>43782.489583333336</v>
      </c>
      <c r="D389" s="23">
        <v>42.4</v>
      </c>
      <c r="E389" s="27">
        <v>43783.447916666664</v>
      </c>
      <c r="F389" s="23">
        <v>41.9</v>
      </c>
      <c r="G389" s="31">
        <v>-1.18E-2</v>
      </c>
      <c r="H389" s="23">
        <v>591.1</v>
      </c>
      <c r="I389" s="31">
        <v>1.18E-2</v>
      </c>
      <c r="J389" s="23">
        <v>1182.194</v>
      </c>
      <c r="K389" s="23">
        <v>50125.04</v>
      </c>
      <c r="L389" s="23">
        <v>25539.55</v>
      </c>
      <c r="M389" s="23">
        <v>25</v>
      </c>
      <c r="N389" s="23">
        <v>23.64</v>
      </c>
      <c r="O389" s="31">
        <v>-1.1999999999999999E-3</v>
      </c>
      <c r="P389" s="31">
        <v>3.5400000000000001E-2</v>
      </c>
      <c r="Q389" s="23" t="s">
        <v>24</v>
      </c>
      <c r="R389" s="23">
        <v>0</v>
      </c>
      <c r="S389" s="23">
        <v>42.7</v>
      </c>
      <c r="U389" s="47">
        <f>VLOOKUP(AU389,[1]expiry_dates!$B$2:$C$2894,2,FALSE)</f>
        <v>43797</v>
      </c>
      <c r="V389" s="23" t="s">
        <v>136</v>
      </c>
      <c r="W389" s="23" t="s">
        <v>23</v>
      </c>
      <c r="X389" s="49">
        <v>43782.489583333336</v>
      </c>
      <c r="Y389" s="23">
        <v>2.1</v>
      </c>
      <c r="Z389" s="23">
        <v>43783.447916666664</v>
      </c>
      <c r="AA389" s="23">
        <v>1.55</v>
      </c>
      <c r="AB389" s="23">
        <v>-0.26190000000000002</v>
      </c>
      <c r="AC389" s="23">
        <v>14818.99</v>
      </c>
      <c r="AD389" s="23">
        <v>0.26190000000000002</v>
      </c>
      <c r="AE389" s="23">
        <v>26943.62</v>
      </c>
      <c r="AF389" s="23">
        <v>56581.61</v>
      </c>
      <c r="AG389" s="23">
        <v>1331140.24</v>
      </c>
      <c r="AH389" s="23">
        <v>25</v>
      </c>
      <c r="AI389" s="23">
        <v>592.76</v>
      </c>
      <c r="AJ389" s="23">
        <v>0</v>
      </c>
      <c r="AK389" s="23">
        <v>0.42859999999999998</v>
      </c>
      <c r="AL389" s="23" t="s">
        <v>24</v>
      </c>
      <c r="AM389" s="23">
        <v>42.4</v>
      </c>
      <c r="AN389" s="23">
        <v>30878.3</v>
      </c>
      <c r="AO389" s="23">
        <v>42.7</v>
      </c>
      <c r="AP389" s="23">
        <v>0</v>
      </c>
      <c r="AR389" s="46"/>
      <c r="AS389" s="44"/>
      <c r="AT389" s="45"/>
      <c r="AU389" s="2">
        <v>43782</v>
      </c>
      <c r="AV389" s="52">
        <v>0.48958333333333331</v>
      </c>
      <c r="AW389" s="2" t="s">
        <v>212</v>
      </c>
      <c r="AY389" s="3"/>
      <c r="BA389" s="3"/>
      <c r="BG389" s="3"/>
      <c r="BH389" s="3"/>
    </row>
    <row r="390" spans="1:60">
      <c r="A390" s="23" t="s">
        <v>22</v>
      </c>
      <c r="B390" s="23" t="s">
        <v>25</v>
      </c>
      <c r="C390" s="27">
        <v>43783.447916666664</v>
      </c>
      <c r="D390" s="23">
        <v>41.9</v>
      </c>
      <c r="E390" s="27">
        <v>43783.510416666664</v>
      </c>
      <c r="F390" s="23">
        <v>41.3</v>
      </c>
      <c r="G390" s="31">
        <v>-1.43E-2</v>
      </c>
      <c r="H390" s="23">
        <v>-717.83</v>
      </c>
      <c r="I390" s="31">
        <v>-1.43E-2</v>
      </c>
      <c r="J390" s="23">
        <v>1196.386</v>
      </c>
      <c r="K390" s="23">
        <v>50128.59</v>
      </c>
      <c r="L390" s="23">
        <v>24821.72</v>
      </c>
      <c r="M390" s="23">
        <v>7</v>
      </c>
      <c r="N390" s="23">
        <v>-102.55</v>
      </c>
      <c r="O390" s="31">
        <v>-1.43E-2</v>
      </c>
      <c r="P390" s="31">
        <v>1.1999999999999999E-3</v>
      </c>
      <c r="Q390" s="23" t="s">
        <v>24</v>
      </c>
      <c r="R390" s="23">
        <v>0</v>
      </c>
      <c r="S390" s="23">
        <v>40.9</v>
      </c>
      <c r="U390" s="47">
        <f>VLOOKUP(AU390,[1]expiry_dates!$B$2:$C$2894,2,FALSE)</f>
        <v>43797</v>
      </c>
      <c r="V390" s="23" t="s">
        <v>134</v>
      </c>
      <c r="W390" s="23" t="s">
        <v>23</v>
      </c>
      <c r="X390" s="49">
        <v>43783.447916666664</v>
      </c>
      <c r="Y390" s="23">
        <v>0.95</v>
      </c>
      <c r="Z390" s="23">
        <v>43783.510416666664</v>
      </c>
      <c r="AA390" s="23">
        <v>1.1000000000000001</v>
      </c>
      <c r="AB390" s="23">
        <v>0.15790000000000001</v>
      </c>
      <c r="AC390" s="23">
        <v>-8948.83</v>
      </c>
      <c r="AD390" s="23">
        <v>-0.15790000000000001</v>
      </c>
      <c r="AE390" s="23">
        <v>59658.85</v>
      </c>
      <c r="AF390" s="23">
        <v>56675.91</v>
      </c>
      <c r="AG390" s="23">
        <v>1322191.4099999999</v>
      </c>
      <c r="AH390" s="23">
        <v>7</v>
      </c>
      <c r="AI390" s="23">
        <v>-1278.4000000000001</v>
      </c>
      <c r="AJ390" s="23">
        <v>-0.15790000000000001</v>
      </c>
      <c r="AK390" s="23">
        <v>5.2600000000000001E-2</v>
      </c>
      <c r="AL390" s="23" t="s">
        <v>24</v>
      </c>
      <c r="AM390" s="23">
        <v>41.9</v>
      </c>
      <c r="AN390" s="23">
        <v>30666.75</v>
      </c>
      <c r="AO390" s="23">
        <v>40.9</v>
      </c>
      <c r="AP390" s="23">
        <v>0</v>
      </c>
      <c r="AR390" s="46"/>
      <c r="AS390" s="44"/>
      <c r="AT390" s="45"/>
      <c r="AU390" s="2">
        <v>43783</v>
      </c>
      <c r="AV390" s="52">
        <v>0.44791666666666669</v>
      </c>
      <c r="AW390" s="2" t="s">
        <v>212</v>
      </c>
      <c r="AY390" s="3"/>
      <c r="BA390" s="3"/>
      <c r="BG390" s="3"/>
      <c r="BH390" s="3"/>
    </row>
    <row r="391" spans="1:60">
      <c r="A391" s="23" t="s">
        <v>22</v>
      </c>
      <c r="B391" s="23" t="s">
        <v>23</v>
      </c>
      <c r="C391" s="27">
        <v>43783.510416666664</v>
      </c>
      <c r="D391" s="23">
        <v>41.3</v>
      </c>
      <c r="E391" s="27">
        <v>43783.583333333336</v>
      </c>
      <c r="F391" s="23">
        <v>41.65</v>
      </c>
      <c r="G391" s="31">
        <v>8.5000000000000006E-3</v>
      </c>
      <c r="H391" s="23">
        <v>-424.79</v>
      </c>
      <c r="I391" s="31">
        <v>-8.5000000000000006E-3</v>
      </c>
      <c r="J391" s="23">
        <v>1213.681</v>
      </c>
      <c r="K391" s="23">
        <v>50125</v>
      </c>
      <c r="L391" s="23">
        <v>24396.93</v>
      </c>
      <c r="M391" s="23">
        <v>8</v>
      </c>
      <c r="N391" s="23">
        <v>-53.1</v>
      </c>
      <c r="O391" s="31">
        <v>-8.5000000000000006E-3</v>
      </c>
      <c r="P391" s="31">
        <v>4.7999999999999996E-3</v>
      </c>
      <c r="Q391" s="23" t="s">
        <v>24</v>
      </c>
      <c r="R391" s="23">
        <v>0</v>
      </c>
      <c r="S391" s="23">
        <v>41.93</v>
      </c>
      <c r="U391" s="47">
        <f>VLOOKUP(AU391,[1]expiry_dates!$B$2:$C$2894,2,FALSE)</f>
        <v>43797</v>
      </c>
      <c r="V391" s="23" t="s">
        <v>136</v>
      </c>
      <c r="W391" s="23" t="s">
        <v>23</v>
      </c>
      <c r="X391" s="49">
        <v>43783.510416666664</v>
      </c>
      <c r="Y391" s="23">
        <v>1.25</v>
      </c>
      <c r="Z391" s="23">
        <v>43783.583333333336</v>
      </c>
      <c r="AA391" s="23">
        <v>1.5</v>
      </c>
      <c r="AB391" s="23">
        <v>0.2</v>
      </c>
      <c r="AC391" s="23">
        <v>-11325.17</v>
      </c>
      <c r="AD391" s="23">
        <v>-0.2</v>
      </c>
      <c r="AE391" s="23">
        <v>45300.7</v>
      </c>
      <c r="AF391" s="23">
        <v>56625.88</v>
      </c>
      <c r="AG391" s="23">
        <v>1310866.24</v>
      </c>
      <c r="AH391" s="23">
        <v>8</v>
      </c>
      <c r="AI391" s="23">
        <v>-1415.65</v>
      </c>
      <c r="AJ391" s="23">
        <v>-0.2</v>
      </c>
      <c r="AK391" s="23">
        <v>0.04</v>
      </c>
      <c r="AL391" s="23" t="s">
        <v>24</v>
      </c>
      <c r="AM391" s="23">
        <v>41.3</v>
      </c>
      <c r="AN391" s="23">
        <v>30502.45</v>
      </c>
      <c r="AO391" s="23">
        <v>41.93</v>
      </c>
      <c r="AP391" s="23">
        <v>0</v>
      </c>
      <c r="AR391" s="46"/>
      <c r="AS391" s="44"/>
      <c r="AT391" s="45"/>
      <c r="AU391" s="2">
        <v>43783</v>
      </c>
      <c r="AV391" s="52">
        <v>0.51041666666666663</v>
      </c>
      <c r="AW391" s="2" t="s">
        <v>213</v>
      </c>
      <c r="AY391" s="3"/>
      <c r="BA391" s="3"/>
      <c r="BG391" s="3"/>
      <c r="BH391" s="3"/>
    </row>
    <row r="392" spans="1:60">
      <c r="A392" s="23" t="s">
        <v>22</v>
      </c>
      <c r="B392" s="23" t="s">
        <v>25</v>
      </c>
      <c r="C392" s="27">
        <v>43783.583333333336</v>
      </c>
      <c r="D392" s="23">
        <v>41.65</v>
      </c>
      <c r="E392" s="27">
        <v>43784.479166666664</v>
      </c>
      <c r="F392" s="23">
        <v>41.9</v>
      </c>
      <c r="G392" s="31">
        <v>6.0000000000000001E-3</v>
      </c>
      <c r="H392" s="23">
        <v>300.85000000000002</v>
      </c>
      <c r="I392" s="31">
        <v>6.0000000000000001E-3</v>
      </c>
      <c r="J392" s="23">
        <v>1203.4159999999999</v>
      </c>
      <c r="K392" s="23">
        <v>50122.29</v>
      </c>
      <c r="L392" s="23">
        <v>24697.78</v>
      </c>
      <c r="M392" s="23">
        <v>19</v>
      </c>
      <c r="N392" s="23">
        <v>15.83</v>
      </c>
      <c r="O392" s="31">
        <v>-8.3999999999999995E-3</v>
      </c>
      <c r="P392" s="31">
        <v>1.7999999999999999E-2</v>
      </c>
      <c r="Q392" s="23" t="s">
        <v>24</v>
      </c>
      <c r="R392" s="23">
        <v>0</v>
      </c>
      <c r="S392" s="23">
        <v>41.12</v>
      </c>
      <c r="U392" s="47">
        <f>VLOOKUP(AU392,[1]expiry_dates!$B$2:$C$2894,2,FALSE)</f>
        <v>43797</v>
      </c>
      <c r="V392" s="23" t="s">
        <v>115</v>
      </c>
      <c r="W392" s="23" t="s">
        <v>23</v>
      </c>
      <c r="X392" s="49">
        <v>43783.583333333336</v>
      </c>
      <c r="Y392" s="23">
        <v>1.55</v>
      </c>
      <c r="Z392" s="23">
        <v>43784.479166666664</v>
      </c>
      <c r="AA392" s="23">
        <v>1.1499999999999999</v>
      </c>
      <c r="AB392" s="23">
        <v>-0.2581</v>
      </c>
      <c r="AC392" s="23">
        <v>14594.67</v>
      </c>
      <c r="AD392" s="23">
        <v>0.2581</v>
      </c>
      <c r="AE392" s="23">
        <v>36486.67</v>
      </c>
      <c r="AF392" s="23">
        <v>56554.33</v>
      </c>
      <c r="AG392" s="23">
        <v>1325460.9099999999</v>
      </c>
      <c r="AH392" s="23">
        <v>19</v>
      </c>
      <c r="AI392" s="23">
        <v>768.14</v>
      </c>
      <c r="AJ392" s="23">
        <v>0</v>
      </c>
      <c r="AK392" s="23">
        <v>0.3226</v>
      </c>
      <c r="AL392" s="23" t="s">
        <v>24</v>
      </c>
      <c r="AM392" s="23">
        <v>41.65</v>
      </c>
      <c r="AN392" s="23">
        <v>30668.15</v>
      </c>
      <c r="AO392" s="23">
        <v>41.12</v>
      </c>
      <c r="AP392" s="23">
        <v>0</v>
      </c>
      <c r="AR392" s="46"/>
      <c r="AS392" s="44"/>
      <c r="AT392" s="45"/>
      <c r="AU392" s="2">
        <v>43783</v>
      </c>
      <c r="AV392" s="52">
        <v>8.3333333333333329E-2</v>
      </c>
      <c r="AW392" s="2" t="s">
        <v>213</v>
      </c>
      <c r="AY392" s="3"/>
      <c r="BA392" s="3"/>
      <c r="BG392" s="3"/>
      <c r="BH392" s="3"/>
    </row>
    <row r="393" spans="1:60">
      <c r="A393" s="23" t="s">
        <v>22</v>
      </c>
      <c r="B393" s="23" t="s">
        <v>23</v>
      </c>
      <c r="C393" s="27">
        <v>43784.479166666664</v>
      </c>
      <c r="D393" s="23">
        <v>41.9</v>
      </c>
      <c r="E393" s="27">
        <v>43784.5625</v>
      </c>
      <c r="F393" s="23">
        <v>42.15</v>
      </c>
      <c r="G393" s="31">
        <v>6.0000000000000001E-3</v>
      </c>
      <c r="H393" s="23">
        <v>-299.07</v>
      </c>
      <c r="I393" s="31">
        <v>-6.0000000000000001E-3</v>
      </c>
      <c r="J393" s="23">
        <v>1196.2719999999999</v>
      </c>
      <c r="K393" s="23">
        <v>50123.79</v>
      </c>
      <c r="L393" s="23">
        <v>24398.71</v>
      </c>
      <c r="M393" s="23">
        <v>9</v>
      </c>
      <c r="N393" s="23">
        <v>-33.229999999999997</v>
      </c>
      <c r="O393" s="31">
        <v>-6.0000000000000001E-3</v>
      </c>
      <c r="P393" s="31">
        <v>2.3999999999999998E-3</v>
      </c>
      <c r="Q393" s="23" t="s">
        <v>24</v>
      </c>
      <c r="R393" s="23">
        <v>0</v>
      </c>
      <c r="S393" s="23">
        <v>42.4</v>
      </c>
      <c r="U393" s="47">
        <f>VLOOKUP(AU393,[1]expiry_dates!$B$2:$C$2894,2,FALSE)</f>
        <v>43797</v>
      </c>
      <c r="V393" s="23" t="s">
        <v>114</v>
      </c>
      <c r="W393" s="23" t="s">
        <v>23</v>
      </c>
      <c r="X393" s="49">
        <v>43784.479166666664</v>
      </c>
      <c r="Y393" s="23">
        <v>0.8</v>
      </c>
      <c r="Z393" s="23">
        <v>43784.5625</v>
      </c>
      <c r="AA393" s="23">
        <v>0.9</v>
      </c>
      <c r="AB393" s="23">
        <v>0.125</v>
      </c>
      <c r="AC393" s="23">
        <v>-7078.41</v>
      </c>
      <c r="AD393" s="23">
        <v>-0.125</v>
      </c>
      <c r="AE393" s="23">
        <v>70784.13</v>
      </c>
      <c r="AF393" s="23">
        <v>56627.31</v>
      </c>
      <c r="AG393" s="23">
        <v>1318382.49</v>
      </c>
      <c r="AH393" s="23">
        <v>9</v>
      </c>
      <c r="AI393" s="23">
        <v>-786.49</v>
      </c>
      <c r="AJ393" s="23">
        <v>-0.125</v>
      </c>
      <c r="AK393" s="23">
        <v>0</v>
      </c>
      <c r="AL393" s="23" t="s">
        <v>24</v>
      </c>
      <c r="AM393" s="23">
        <v>41.9</v>
      </c>
      <c r="AN393" s="23">
        <v>31000.05</v>
      </c>
      <c r="AO393" s="23">
        <v>42.4</v>
      </c>
      <c r="AP393" s="23">
        <v>0</v>
      </c>
      <c r="AR393" s="46"/>
      <c r="AS393" s="44"/>
      <c r="AT393" s="45"/>
      <c r="AU393" s="2">
        <v>43784</v>
      </c>
      <c r="AV393" s="52">
        <v>0.47916666666666669</v>
      </c>
      <c r="AW393" s="2" t="s">
        <v>212</v>
      </c>
      <c r="AY393" s="3"/>
      <c r="BA393" s="3"/>
      <c r="BG393" s="3"/>
      <c r="BH393" s="3"/>
    </row>
    <row r="394" spans="1:60">
      <c r="A394" s="23" t="s">
        <v>22</v>
      </c>
      <c r="B394" s="23" t="s">
        <v>25</v>
      </c>
      <c r="C394" s="27">
        <v>43784.5625</v>
      </c>
      <c r="D394" s="23">
        <v>42.15</v>
      </c>
      <c r="E394" s="27">
        <v>43787.479166666664</v>
      </c>
      <c r="F394" s="23">
        <v>42.6</v>
      </c>
      <c r="G394" s="31">
        <v>1.0699999999999999E-2</v>
      </c>
      <c r="H394" s="23">
        <v>535.12</v>
      </c>
      <c r="I394" s="31">
        <v>1.0699999999999999E-2</v>
      </c>
      <c r="J394" s="23">
        <v>1189.162</v>
      </c>
      <c r="K394" s="23">
        <v>50123.19</v>
      </c>
      <c r="L394" s="23">
        <v>24933.84</v>
      </c>
      <c r="M394" s="23">
        <v>21</v>
      </c>
      <c r="N394" s="23">
        <v>25.48</v>
      </c>
      <c r="O394" s="31">
        <v>-4.7000000000000002E-3</v>
      </c>
      <c r="P394" s="31">
        <v>2.6100000000000002E-2</v>
      </c>
      <c r="Q394" s="23" t="s">
        <v>24</v>
      </c>
      <c r="R394" s="23">
        <v>0</v>
      </c>
      <c r="S394" s="23">
        <v>41.8</v>
      </c>
      <c r="U394" s="47">
        <f>VLOOKUP(AU394,[1]expiry_dates!$B$2:$C$2894,2,FALSE)</f>
        <v>43797</v>
      </c>
      <c r="V394" s="23" t="s">
        <v>115</v>
      </c>
      <c r="W394" s="23" t="s">
        <v>23</v>
      </c>
      <c r="X394" s="49">
        <v>43784.5625</v>
      </c>
      <c r="Y394" s="23">
        <v>1.1000000000000001</v>
      </c>
      <c r="Z394" s="23">
        <v>43787.479166666664</v>
      </c>
      <c r="AA394" s="23">
        <v>0.80000009999999999</v>
      </c>
      <c r="AB394" s="23">
        <v>-0.2727</v>
      </c>
      <c r="AC394" s="23">
        <v>15443.81</v>
      </c>
      <c r="AD394" s="23">
        <v>0.2727</v>
      </c>
      <c r="AE394" s="23">
        <v>51479.37</v>
      </c>
      <c r="AF394" s="23">
        <v>56627.3</v>
      </c>
      <c r="AG394" s="23">
        <v>1333826.3</v>
      </c>
      <c r="AH394" s="23">
        <v>21</v>
      </c>
      <c r="AI394" s="23">
        <v>735.42</v>
      </c>
      <c r="AJ394" s="23">
        <v>-9.0899999999999995E-2</v>
      </c>
      <c r="AK394" s="23">
        <v>0.40910000000000002</v>
      </c>
      <c r="AL394" s="23" t="s">
        <v>24</v>
      </c>
      <c r="AM394" s="23">
        <v>42.15</v>
      </c>
      <c r="AN394" s="23">
        <v>31085.7</v>
      </c>
      <c r="AO394" s="23">
        <v>41.8</v>
      </c>
      <c r="AP394" s="23">
        <v>0</v>
      </c>
      <c r="AR394" s="46"/>
      <c r="AS394" s="44"/>
      <c r="AT394" s="45"/>
      <c r="AU394" s="2">
        <v>43784</v>
      </c>
      <c r="AV394" s="52">
        <v>6.25E-2</v>
      </c>
      <c r="AW394" s="2" t="s">
        <v>213</v>
      </c>
      <c r="AY394" s="3"/>
      <c r="BA394" s="3"/>
      <c r="BG394" s="3"/>
      <c r="BH394" s="3"/>
    </row>
    <row r="395" spans="1:60">
      <c r="A395" s="23" t="s">
        <v>22</v>
      </c>
      <c r="B395" s="23" t="s">
        <v>23</v>
      </c>
      <c r="C395" s="27">
        <v>43787.479166666664</v>
      </c>
      <c r="D395" s="23">
        <v>42.6</v>
      </c>
      <c r="E395" s="27">
        <v>43788.385416666664</v>
      </c>
      <c r="F395" s="23">
        <v>42.6</v>
      </c>
      <c r="G395" s="31">
        <v>0</v>
      </c>
      <c r="H395" s="23">
        <v>0</v>
      </c>
      <c r="I395" s="31">
        <v>0</v>
      </c>
      <c r="J395" s="23">
        <v>1176.6559999999999</v>
      </c>
      <c r="K395" s="23">
        <v>50125.56</v>
      </c>
      <c r="L395" s="23">
        <v>24933.84</v>
      </c>
      <c r="M395" s="23">
        <v>20</v>
      </c>
      <c r="N395" s="23">
        <v>0</v>
      </c>
      <c r="O395" s="31">
        <v>-5.8999999999999999E-3</v>
      </c>
      <c r="P395" s="31">
        <v>5.8999999999999999E-3</v>
      </c>
      <c r="Q395" s="23" t="s">
        <v>24</v>
      </c>
      <c r="R395" s="23">
        <v>0</v>
      </c>
      <c r="S395" s="23">
        <v>43.25</v>
      </c>
      <c r="U395" s="47">
        <f>VLOOKUP(AU395,[1]expiry_dates!$B$2:$C$2894,2,FALSE)</f>
        <v>43797</v>
      </c>
      <c r="V395" s="23" t="s">
        <v>114</v>
      </c>
      <c r="W395" s="23" t="s">
        <v>23</v>
      </c>
      <c r="X395" s="49">
        <v>43787.479166666664</v>
      </c>
      <c r="Y395" s="23">
        <v>1</v>
      </c>
      <c r="Z395" s="23">
        <v>43788.385416666664</v>
      </c>
      <c r="AA395" s="23">
        <v>1.05</v>
      </c>
      <c r="AB395" s="23">
        <v>0.05</v>
      </c>
      <c r="AC395" s="23">
        <v>-2833.46</v>
      </c>
      <c r="AD395" s="23">
        <v>-0.05</v>
      </c>
      <c r="AE395" s="23">
        <v>56669.13</v>
      </c>
      <c r="AF395" s="23">
        <v>56669.13</v>
      </c>
      <c r="AG395" s="23">
        <v>1330992.8500000001</v>
      </c>
      <c r="AH395" s="23">
        <v>20</v>
      </c>
      <c r="AI395" s="23">
        <v>-141.66999999999999</v>
      </c>
      <c r="AJ395" s="23">
        <v>-0.15</v>
      </c>
      <c r="AK395" s="23">
        <v>0</v>
      </c>
      <c r="AL395" s="23" t="s">
        <v>24</v>
      </c>
      <c r="AM395" s="23">
        <v>42.6</v>
      </c>
      <c r="AN395" s="23">
        <v>30953.9</v>
      </c>
      <c r="AO395" s="23">
        <v>43.25</v>
      </c>
      <c r="AP395" s="23">
        <v>0</v>
      </c>
      <c r="AR395" s="46"/>
      <c r="AS395" s="44"/>
      <c r="AT395" s="45"/>
      <c r="AU395" s="2">
        <v>43787</v>
      </c>
      <c r="AV395" s="52">
        <v>0.47916666666666669</v>
      </c>
      <c r="AW395" s="2" t="s">
        <v>212</v>
      </c>
      <c r="AY395" s="3"/>
      <c r="BA395" s="3"/>
      <c r="BG395" s="3"/>
      <c r="BH395" s="3"/>
    </row>
    <row r="396" spans="1:60">
      <c r="A396" s="23" t="s">
        <v>22</v>
      </c>
      <c r="B396" s="23" t="s">
        <v>25</v>
      </c>
      <c r="C396" s="27">
        <v>43788.385416666664</v>
      </c>
      <c r="D396" s="23">
        <v>42.6</v>
      </c>
      <c r="E396" s="27">
        <v>43788.40625</v>
      </c>
      <c r="F396" s="23">
        <v>42.45</v>
      </c>
      <c r="G396" s="31">
        <v>-3.5000000000000001E-3</v>
      </c>
      <c r="H396" s="23">
        <v>-176.49</v>
      </c>
      <c r="I396" s="31">
        <v>-3.5000000000000001E-3</v>
      </c>
      <c r="J396" s="23">
        <v>1176.615</v>
      </c>
      <c r="K396" s="23">
        <v>50123.79</v>
      </c>
      <c r="L396" s="23">
        <v>24757.35</v>
      </c>
      <c r="M396" s="23">
        <v>3</v>
      </c>
      <c r="N396" s="23">
        <v>-58.83</v>
      </c>
      <c r="O396" s="31">
        <v>-3.5000000000000001E-3</v>
      </c>
      <c r="P396" s="31">
        <v>3.5000000000000001E-3</v>
      </c>
      <c r="Q396" s="23" t="s">
        <v>24</v>
      </c>
      <c r="R396" s="23">
        <v>0</v>
      </c>
      <c r="S396" s="23">
        <v>42.37</v>
      </c>
      <c r="U396" s="47">
        <f>VLOOKUP(AU396,[1]expiry_dates!$B$2:$C$2894,2,FALSE)</f>
        <v>43797</v>
      </c>
      <c r="V396" s="23" t="s">
        <v>118</v>
      </c>
      <c r="W396" s="23" t="s">
        <v>23</v>
      </c>
      <c r="X396" s="49">
        <v>43788.385416666664</v>
      </c>
      <c r="Y396" s="23">
        <v>1.4</v>
      </c>
      <c r="Z396" s="23">
        <v>43788.40625</v>
      </c>
      <c r="AA396" s="23">
        <v>1.55</v>
      </c>
      <c r="AB396" s="23">
        <v>0.1071</v>
      </c>
      <c r="AC396" s="23">
        <v>-6070.17</v>
      </c>
      <c r="AD396" s="23">
        <v>-0.1071</v>
      </c>
      <c r="AE396" s="23">
        <v>40467.83</v>
      </c>
      <c r="AF396" s="23">
        <v>56654.96</v>
      </c>
      <c r="AG396" s="23">
        <v>1324922.67</v>
      </c>
      <c r="AH396" s="23">
        <v>3</v>
      </c>
      <c r="AI396" s="23">
        <v>-2023.39</v>
      </c>
      <c r="AJ396" s="23">
        <v>-0.1071</v>
      </c>
      <c r="AK396" s="23">
        <v>0</v>
      </c>
      <c r="AL396" s="23" t="s">
        <v>24</v>
      </c>
      <c r="AM396" s="23">
        <v>42.6</v>
      </c>
      <c r="AN396" s="23">
        <v>31061</v>
      </c>
      <c r="AO396" s="23">
        <v>42.37</v>
      </c>
      <c r="AP396" s="23">
        <v>0</v>
      </c>
      <c r="AR396" s="46"/>
      <c r="AS396" s="44"/>
      <c r="AT396" s="45"/>
      <c r="AU396" s="2">
        <v>43788</v>
      </c>
      <c r="AV396" s="52">
        <v>0.38541666666666669</v>
      </c>
      <c r="AW396" s="2" t="s">
        <v>212</v>
      </c>
      <c r="AY396" s="3"/>
      <c r="BA396" s="3"/>
      <c r="BG396" s="3"/>
      <c r="BH396" s="3"/>
    </row>
    <row r="397" spans="1:60">
      <c r="A397" s="23" t="s">
        <v>22</v>
      </c>
      <c r="B397" s="23" t="s">
        <v>23</v>
      </c>
      <c r="C397" s="27">
        <v>43788.40625</v>
      </c>
      <c r="D397" s="23">
        <v>42.45</v>
      </c>
      <c r="E397" s="27">
        <v>43788.427083333336</v>
      </c>
      <c r="F397" s="23">
        <v>42.7</v>
      </c>
      <c r="G397" s="31">
        <v>5.8999999999999999E-3</v>
      </c>
      <c r="H397" s="23">
        <v>-295.2</v>
      </c>
      <c r="I397" s="31">
        <v>-5.8999999999999999E-3</v>
      </c>
      <c r="J397" s="23">
        <v>1180.7929999999999</v>
      </c>
      <c r="K397" s="23">
        <v>50124.67</v>
      </c>
      <c r="L397" s="23">
        <v>24462.15</v>
      </c>
      <c r="M397" s="23">
        <v>3</v>
      </c>
      <c r="N397" s="23">
        <v>-98.4</v>
      </c>
      <c r="O397" s="31">
        <v>-5.8999999999999999E-3</v>
      </c>
      <c r="P397" s="31">
        <v>1.1999999999999999E-3</v>
      </c>
      <c r="Q397" s="23" t="s">
        <v>24</v>
      </c>
      <c r="R397" s="23">
        <v>0</v>
      </c>
      <c r="S397" s="23">
        <v>42.75</v>
      </c>
      <c r="U397" s="47">
        <f>VLOOKUP(AU397,[1]expiry_dates!$B$2:$C$2894,2,FALSE)</f>
        <v>43797</v>
      </c>
      <c r="V397" s="23" t="s">
        <v>114</v>
      </c>
      <c r="W397" s="23" t="s">
        <v>23</v>
      </c>
      <c r="X397" s="49">
        <v>43788.40625</v>
      </c>
      <c r="Y397" s="23">
        <v>1</v>
      </c>
      <c r="Z397" s="23">
        <v>43788.427083333336</v>
      </c>
      <c r="AA397" s="23">
        <v>1.05</v>
      </c>
      <c r="AB397" s="23">
        <v>0.05</v>
      </c>
      <c r="AC397" s="23">
        <v>-2832.75</v>
      </c>
      <c r="AD397" s="23">
        <v>-0.05</v>
      </c>
      <c r="AE397" s="23">
        <v>56654.96</v>
      </c>
      <c r="AF397" s="23">
        <v>56654.96</v>
      </c>
      <c r="AG397" s="23">
        <v>1322089.92</v>
      </c>
      <c r="AH397" s="23">
        <v>3</v>
      </c>
      <c r="AI397" s="23">
        <v>-944.25</v>
      </c>
      <c r="AJ397" s="23">
        <v>-0.05</v>
      </c>
      <c r="AK397" s="23">
        <v>0</v>
      </c>
      <c r="AL397" s="23" t="s">
        <v>24</v>
      </c>
      <c r="AM397" s="23">
        <v>42.45</v>
      </c>
      <c r="AN397" s="23">
        <v>30995.25</v>
      </c>
      <c r="AO397" s="23">
        <v>42.75</v>
      </c>
      <c r="AP397" s="23">
        <v>0</v>
      </c>
      <c r="AR397" s="46"/>
      <c r="AS397" s="44"/>
      <c r="AT397" s="45"/>
      <c r="AU397" s="2">
        <v>43788</v>
      </c>
      <c r="AV397" s="52">
        <v>0.40625</v>
      </c>
      <c r="AW397" s="2" t="s">
        <v>212</v>
      </c>
      <c r="AY397" s="3"/>
      <c r="BA397" s="3"/>
      <c r="BG397" s="3"/>
      <c r="BH397" s="3"/>
    </row>
    <row r="398" spans="1:60">
      <c r="A398" s="23" t="s">
        <v>22</v>
      </c>
      <c r="B398" s="23" t="s">
        <v>25</v>
      </c>
      <c r="C398" s="27">
        <v>43788.427083333336</v>
      </c>
      <c r="D398" s="23">
        <v>42.7</v>
      </c>
      <c r="E398" s="27">
        <v>43788.614583333336</v>
      </c>
      <c r="F398" s="23">
        <v>42.65</v>
      </c>
      <c r="G398" s="31">
        <v>-1.1999999999999999E-3</v>
      </c>
      <c r="H398" s="23">
        <v>-58.69</v>
      </c>
      <c r="I398" s="31">
        <v>-1.1999999999999999E-3</v>
      </c>
      <c r="J398" s="23">
        <v>1173.845</v>
      </c>
      <c r="K398" s="23">
        <v>50123.199999999997</v>
      </c>
      <c r="L398" s="23">
        <v>24403.45</v>
      </c>
      <c r="M398" s="23">
        <v>19</v>
      </c>
      <c r="N398" s="23">
        <v>-3.09</v>
      </c>
      <c r="O398" s="31">
        <v>-3.5000000000000001E-3</v>
      </c>
      <c r="P398" s="31">
        <v>8.2000000000000007E-3</v>
      </c>
      <c r="Q398" s="23" t="s">
        <v>24</v>
      </c>
      <c r="R398" s="23">
        <v>0</v>
      </c>
      <c r="S398" s="23">
        <v>42.4</v>
      </c>
      <c r="U398" s="47">
        <f>VLOOKUP(AU398,[1]expiry_dates!$B$2:$C$2894,2,FALSE)</f>
        <v>43797</v>
      </c>
      <c r="V398" s="23" t="s">
        <v>137</v>
      </c>
      <c r="W398" s="23" t="s">
        <v>23</v>
      </c>
      <c r="X398" s="49">
        <v>43788.427083333336</v>
      </c>
      <c r="Y398" s="23">
        <v>0.15</v>
      </c>
      <c r="Z398" s="23">
        <v>43788.614583333336</v>
      </c>
      <c r="AA398" s="23">
        <v>0.15</v>
      </c>
      <c r="AB398" s="23">
        <v>0</v>
      </c>
      <c r="AC398" s="23">
        <v>0</v>
      </c>
      <c r="AD398" s="23">
        <v>0</v>
      </c>
      <c r="AE398" s="23">
        <v>377497.4</v>
      </c>
      <c r="AF398" s="23">
        <v>56624.61</v>
      </c>
      <c r="AG398" s="23">
        <v>1322089.92</v>
      </c>
      <c r="AH398" s="23">
        <v>19</v>
      </c>
      <c r="AI398" s="23">
        <v>0</v>
      </c>
      <c r="AJ398" s="23">
        <v>-1</v>
      </c>
      <c r="AK398" s="23">
        <v>0</v>
      </c>
      <c r="AL398" s="23" t="s">
        <v>24</v>
      </c>
      <c r="AM398" s="23">
        <v>42.7</v>
      </c>
      <c r="AN398" s="23">
        <v>31074.2</v>
      </c>
      <c r="AO398" s="23">
        <v>42.4</v>
      </c>
      <c r="AP398" s="23">
        <v>0</v>
      </c>
      <c r="AR398" s="46"/>
      <c r="AS398" s="44"/>
      <c r="AT398" s="45"/>
      <c r="AU398" s="2">
        <v>43788</v>
      </c>
      <c r="AV398" s="52">
        <v>0.42708333333333331</v>
      </c>
      <c r="AW398" s="2" t="s">
        <v>212</v>
      </c>
      <c r="AY398" s="3"/>
      <c r="BA398" s="3"/>
      <c r="BG398" s="3"/>
      <c r="BH398" s="3"/>
    </row>
    <row r="399" spans="1:60">
      <c r="A399" s="23" t="s">
        <v>22</v>
      </c>
      <c r="B399" s="23" t="s">
        <v>23</v>
      </c>
      <c r="C399" s="27">
        <v>43788.614583333336</v>
      </c>
      <c r="D399" s="23">
        <v>42.65</v>
      </c>
      <c r="E399" s="27">
        <v>43789.385416666664</v>
      </c>
      <c r="F399" s="23">
        <v>43.4</v>
      </c>
      <c r="G399" s="31">
        <v>1.7600000000000001E-2</v>
      </c>
      <c r="H399" s="23">
        <v>-881.42</v>
      </c>
      <c r="I399" s="31">
        <v>-1.7600000000000001E-2</v>
      </c>
      <c r="J399" s="23">
        <v>1175.221</v>
      </c>
      <c r="K399" s="23">
        <v>50123.19</v>
      </c>
      <c r="L399" s="23">
        <v>23522.04</v>
      </c>
      <c r="M399" s="23">
        <v>7</v>
      </c>
      <c r="N399" s="23">
        <v>-125.92</v>
      </c>
      <c r="O399" s="31">
        <v>-1.7600000000000001E-2</v>
      </c>
      <c r="P399" s="31">
        <v>2.3E-3</v>
      </c>
      <c r="Q399" s="23" t="s">
        <v>24</v>
      </c>
      <c r="R399" s="23">
        <v>0</v>
      </c>
      <c r="S399" s="23">
        <v>43.03</v>
      </c>
      <c r="U399" s="47">
        <f>VLOOKUP(AU399,[1]expiry_dates!$B$2:$C$2894,2,FALSE)</f>
        <v>43797</v>
      </c>
      <c r="V399" s="23" t="s">
        <v>114</v>
      </c>
      <c r="W399" s="23" t="s">
        <v>23</v>
      </c>
      <c r="X399" s="49">
        <v>43788.614583333336</v>
      </c>
      <c r="Y399" s="23">
        <v>1.05</v>
      </c>
      <c r="Z399" s="23">
        <v>43789.385416666664</v>
      </c>
      <c r="AA399" s="23">
        <v>1.4</v>
      </c>
      <c r="AB399" s="23">
        <v>0.33329999999999999</v>
      </c>
      <c r="AC399" s="23">
        <v>-18870.150000000001</v>
      </c>
      <c r="AD399" s="23">
        <v>-0.33329999999999999</v>
      </c>
      <c r="AE399" s="23">
        <v>53914.71</v>
      </c>
      <c r="AF399" s="23">
        <v>56610.45</v>
      </c>
      <c r="AG399" s="23">
        <v>1303219.77</v>
      </c>
      <c r="AH399" s="23">
        <v>7</v>
      </c>
      <c r="AI399" s="23">
        <v>-2695.74</v>
      </c>
      <c r="AJ399" s="23">
        <v>-0.33329999999999999</v>
      </c>
      <c r="AK399" s="23">
        <v>4.7600000000000003E-2</v>
      </c>
      <c r="AL399" s="23" t="s">
        <v>24</v>
      </c>
      <c r="AM399" s="23">
        <v>42.65</v>
      </c>
      <c r="AN399" s="23">
        <v>31159.65</v>
      </c>
      <c r="AO399" s="23">
        <v>43.03</v>
      </c>
      <c r="AP399" s="23">
        <v>0</v>
      </c>
      <c r="AR399" s="46"/>
      <c r="AS399" s="44"/>
      <c r="AT399" s="45"/>
      <c r="AU399" s="2">
        <v>43788</v>
      </c>
      <c r="AV399" s="52">
        <v>0.11458333333333333</v>
      </c>
      <c r="AW399" s="2" t="s">
        <v>213</v>
      </c>
      <c r="AY399" s="3"/>
      <c r="BA399" s="3"/>
      <c r="BG399" s="3"/>
      <c r="BH399" s="3"/>
    </row>
    <row r="400" spans="1:60">
      <c r="A400" s="23" t="s">
        <v>22</v>
      </c>
      <c r="B400" s="23" t="s">
        <v>25</v>
      </c>
      <c r="C400" s="27">
        <v>43789.385416666664</v>
      </c>
      <c r="D400" s="23">
        <v>43.4</v>
      </c>
      <c r="E400" s="27">
        <v>43789.552083333336</v>
      </c>
      <c r="F400" s="23">
        <v>43.25</v>
      </c>
      <c r="G400" s="31">
        <v>-3.5000000000000001E-3</v>
      </c>
      <c r="H400" s="23">
        <v>-173.23</v>
      </c>
      <c r="I400" s="31">
        <v>-3.5000000000000001E-3</v>
      </c>
      <c r="J400" s="23">
        <v>1154.8720000000001</v>
      </c>
      <c r="K400" s="23">
        <v>50121.43</v>
      </c>
      <c r="L400" s="23">
        <v>23348.81</v>
      </c>
      <c r="M400" s="23">
        <v>17</v>
      </c>
      <c r="N400" s="23">
        <v>-10.19</v>
      </c>
      <c r="O400" s="31">
        <v>-1.38E-2</v>
      </c>
      <c r="P400" s="31">
        <v>6.8999999999999999E-3</v>
      </c>
      <c r="Q400" s="23" t="s">
        <v>24</v>
      </c>
      <c r="R400" s="23">
        <v>0</v>
      </c>
      <c r="S400" s="23">
        <v>42.57</v>
      </c>
      <c r="U400" s="47">
        <f>VLOOKUP(AU400,[1]expiry_dates!$B$2:$C$2894,2,FALSE)</f>
        <v>43797</v>
      </c>
      <c r="V400" s="23" t="s">
        <v>118</v>
      </c>
      <c r="W400" s="23" t="s">
        <v>23</v>
      </c>
      <c r="X400" s="49">
        <v>43789.385416666664</v>
      </c>
      <c r="Y400" s="23">
        <v>0.95</v>
      </c>
      <c r="Z400" s="23">
        <v>43789.552083333336</v>
      </c>
      <c r="AA400" s="23">
        <v>1</v>
      </c>
      <c r="AB400" s="23">
        <v>5.2600000000000001E-2</v>
      </c>
      <c r="AC400" s="23">
        <v>-2978.79</v>
      </c>
      <c r="AD400" s="23">
        <v>-5.2600000000000001E-2</v>
      </c>
      <c r="AE400" s="23">
        <v>59575.76</v>
      </c>
      <c r="AF400" s="23">
        <v>56596.97</v>
      </c>
      <c r="AG400" s="23">
        <v>1300240.98</v>
      </c>
      <c r="AH400" s="23">
        <v>17</v>
      </c>
      <c r="AI400" s="23">
        <v>-175.22</v>
      </c>
      <c r="AJ400" s="23">
        <v>-0.36840000000000001</v>
      </c>
      <c r="AK400" s="23">
        <v>0.15790000000000001</v>
      </c>
      <c r="AL400" s="23" t="s">
        <v>24</v>
      </c>
      <c r="AM400" s="23">
        <v>43.4</v>
      </c>
      <c r="AN400" s="23">
        <v>31235.25</v>
      </c>
      <c r="AO400" s="23">
        <v>42.57</v>
      </c>
      <c r="AP400" s="23">
        <v>0</v>
      </c>
      <c r="AR400" s="46"/>
      <c r="AS400" s="44"/>
      <c r="AT400" s="45"/>
      <c r="AU400" s="2">
        <v>43789</v>
      </c>
      <c r="AV400" s="52">
        <v>0.38541666666666669</v>
      </c>
      <c r="AW400" s="2" t="s">
        <v>212</v>
      </c>
      <c r="AY400" s="3"/>
      <c r="BA400" s="3"/>
      <c r="BG400" s="3"/>
      <c r="BH400" s="3"/>
    </row>
    <row r="401" spans="1:60">
      <c r="A401" s="23" t="s">
        <v>22</v>
      </c>
      <c r="B401" s="23" t="s">
        <v>23</v>
      </c>
      <c r="C401" s="27">
        <v>43789.552083333336</v>
      </c>
      <c r="D401" s="23">
        <v>43.25</v>
      </c>
      <c r="E401" s="27">
        <v>43790.395833333336</v>
      </c>
      <c r="F401" s="23">
        <v>43.55</v>
      </c>
      <c r="G401" s="31">
        <v>6.8999999999999999E-3</v>
      </c>
      <c r="H401" s="23">
        <v>-347.64</v>
      </c>
      <c r="I401" s="31">
        <v>-6.8999999999999999E-3</v>
      </c>
      <c r="J401" s="23">
        <v>1158.789</v>
      </c>
      <c r="K401" s="23">
        <v>50117.61</v>
      </c>
      <c r="L401" s="23">
        <v>23001.17</v>
      </c>
      <c r="M401" s="23">
        <v>14</v>
      </c>
      <c r="N401" s="23">
        <v>-24.83</v>
      </c>
      <c r="O401" s="31">
        <v>-6.8999999999999999E-3</v>
      </c>
      <c r="P401" s="31">
        <v>1.1599999999999999E-2</v>
      </c>
      <c r="Q401" s="23" t="s">
        <v>24</v>
      </c>
      <c r="R401" s="23">
        <v>0</v>
      </c>
      <c r="S401" s="23">
        <v>43.69</v>
      </c>
      <c r="U401" s="47">
        <f>VLOOKUP(AU401,[1]expiry_dates!$B$2:$C$2894,2,FALSE)</f>
        <v>43797</v>
      </c>
      <c r="V401" s="23" t="s">
        <v>116</v>
      </c>
      <c r="W401" s="23" t="s">
        <v>23</v>
      </c>
      <c r="X401" s="49">
        <v>43789.552083333336</v>
      </c>
      <c r="Y401" s="23">
        <v>1.8</v>
      </c>
      <c r="Z401" s="23">
        <v>43790.395833333336</v>
      </c>
      <c r="AA401" s="23">
        <v>2</v>
      </c>
      <c r="AB401" s="23">
        <v>0.1111</v>
      </c>
      <c r="AC401" s="23">
        <v>-6281.22</v>
      </c>
      <c r="AD401" s="23">
        <v>-0.1111</v>
      </c>
      <c r="AE401" s="23">
        <v>31406.11</v>
      </c>
      <c r="AF401" s="23">
        <v>56530.99</v>
      </c>
      <c r="AG401" s="23">
        <v>1293959.76</v>
      </c>
      <c r="AH401" s="23">
        <v>14</v>
      </c>
      <c r="AI401" s="23">
        <v>-448.66</v>
      </c>
      <c r="AJ401" s="23">
        <v>-0.1111</v>
      </c>
      <c r="AK401" s="23">
        <v>0.1389</v>
      </c>
      <c r="AL401" s="23" t="s">
        <v>24</v>
      </c>
      <c r="AM401" s="23">
        <v>43.25</v>
      </c>
      <c r="AN401" s="23">
        <v>31359.8</v>
      </c>
      <c r="AO401" s="23">
        <v>43.69</v>
      </c>
      <c r="AP401" s="23">
        <v>0</v>
      </c>
      <c r="AR401" s="46"/>
      <c r="AS401" s="44"/>
      <c r="AT401" s="45"/>
      <c r="AU401" s="2">
        <v>43789</v>
      </c>
      <c r="AV401" s="52">
        <v>5.2083333333333336E-2</v>
      </c>
      <c r="AW401" s="2" t="s">
        <v>213</v>
      </c>
      <c r="AY401" s="3"/>
      <c r="BA401" s="3"/>
      <c r="BG401" s="3"/>
      <c r="BH401" s="3"/>
    </row>
    <row r="402" spans="1:60">
      <c r="A402" s="23" t="s">
        <v>22</v>
      </c>
      <c r="B402" s="23" t="s">
        <v>25</v>
      </c>
      <c r="C402" s="27">
        <v>43790.395833333336</v>
      </c>
      <c r="D402" s="23">
        <v>43.55</v>
      </c>
      <c r="E402" s="27">
        <v>43790.552083333336</v>
      </c>
      <c r="F402" s="23">
        <v>43.25</v>
      </c>
      <c r="G402" s="31">
        <v>-6.8999999999999999E-3</v>
      </c>
      <c r="H402" s="23">
        <v>-345.24</v>
      </c>
      <c r="I402" s="31">
        <v>-6.8999999999999999E-3</v>
      </c>
      <c r="J402" s="23">
        <v>1150.7929999999999</v>
      </c>
      <c r="K402" s="23">
        <v>50117.03</v>
      </c>
      <c r="L402" s="23">
        <v>22655.93</v>
      </c>
      <c r="M402" s="23">
        <v>16</v>
      </c>
      <c r="N402" s="23">
        <v>-21.58</v>
      </c>
      <c r="O402" s="31">
        <v>-1.61E-2</v>
      </c>
      <c r="P402" s="31">
        <v>3.3999999999999998E-3</v>
      </c>
      <c r="Q402" s="23" t="s">
        <v>24</v>
      </c>
      <c r="R402" s="23">
        <v>0</v>
      </c>
      <c r="S402" s="23">
        <v>42.75</v>
      </c>
      <c r="U402" s="47">
        <f>VLOOKUP(AU402,[1]expiry_dates!$B$2:$C$2894,2,FALSE)</f>
        <v>43797</v>
      </c>
      <c r="V402" s="23" t="s">
        <v>118</v>
      </c>
      <c r="W402" s="23" t="s">
        <v>23</v>
      </c>
      <c r="X402" s="49">
        <v>43790.395833333336</v>
      </c>
      <c r="Y402" s="23">
        <v>0.8</v>
      </c>
      <c r="Z402" s="23">
        <v>43790.552083333336</v>
      </c>
      <c r="AA402" s="23">
        <v>1</v>
      </c>
      <c r="AB402" s="23">
        <v>0.25</v>
      </c>
      <c r="AC402" s="23">
        <v>-14131.19</v>
      </c>
      <c r="AD402" s="23">
        <v>-0.25</v>
      </c>
      <c r="AE402" s="23">
        <v>70655.95</v>
      </c>
      <c r="AF402" s="23">
        <v>56524.76</v>
      </c>
      <c r="AG402" s="23">
        <v>1279828.57</v>
      </c>
      <c r="AH402" s="23">
        <v>16</v>
      </c>
      <c r="AI402" s="23">
        <v>-883.2</v>
      </c>
      <c r="AJ402" s="23">
        <v>-0.3125</v>
      </c>
      <c r="AK402" s="23">
        <v>6.25E-2</v>
      </c>
      <c r="AL402" s="23" t="s">
        <v>24</v>
      </c>
      <c r="AM402" s="23">
        <v>43.55</v>
      </c>
      <c r="AN402" s="23">
        <v>31343.45</v>
      </c>
      <c r="AO402" s="23">
        <v>42.75</v>
      </c>
      <c r="AP402" s="23">
        <v>0</v>
      </c>
      <c r="AR402" s="46"/>
      <c r="AS402" s="44"/>
      <c r="AT402" s="45"/>
      <c r="AU402" s="2">
        <v>43790</v>
      </c>
      <c r="AV402" s="52">
        <v>0.39583333333333331</v>
      </c>
      <c r="AW402" s="2" t="s">
        <v>212</v>
      </c>
      <c r="AY402" s="3"/>
      <c r="BA402" s="3"/>
      <c r="BG402" s="3"/>
      <c r="BH402" s="3"/>
    </row>
    <row r="403" spans="1:60">
      <c r="A403" s="23" t="s">
        <v>22</v>
      </c>
      <c r="B403" s="23" t="s">
        <v>23</v>
      </c>
      <c r="C403" s="27">
        <v>43790.552083333336</v>
      </c>
      <c r="D403" s="23">
        <v>43.25</v>
      </c>
      <c r="E403" s="27">
        <v>43791.510416666664</v>
      </c>
      <c r="F403" s="23">
        <v>43.1</v>
      </c>
      <c r="G403" s="31">
        <v>-3.5000000000000001E-3</v>
      </c>
      <c r="H403" s="23">
        <v>173.81</v>
      </c>
      <c r="I403" s="31">
        <v>3.5000000000000001E-3</v>
      </c>
      <c r="J403" s="23">
        <v>1158.729</v>
      </c>
      <c r="K403" s="23">
        <v>50115.01</v>
      </c>
      <c r="L403" s="23">
        <v>22829.74</v>
      </c>
      <c r="M403" s="23">
        <v>25</v>
      </c>
      <c r="N403" s="23">
        <v>6.95</v>
      </c>
      <c r="O403" s="31">
        <v>-6.8999999999999999E-3</v>
      </c>
      <c r="P403" s="31">
        <v>1.04E-2</v>
      </c>
      <c r="Q403" s="23" t="s">
        <v>24</v>
      </c>
      <c r="R403" s="23">
        <v>0</v>
      </c>
      <c r="S403" s="23">
        <v>43.7</v>
      </c>
      <c r="U403" s="47">
        <f>VLOOKUP(AU403,[1]expiry_dates!$B$2:$C$2894,2,FALSE)</f>
        <v>43797</v>
      </c>
      <c r="V403" s="23" t="s">
        <v>114</v>
      </c>
      <c r="W403" s="23" t="s">
        <v>23</v>
      </c>
      <c r="X403" s="49">
        <v>43790.552083333336</v>
      </c>
      <c r="Y403" s="23">
        <v>1.3</v>
      </c>
      <c r="Z403" s="23">
        <v>43791.510416666664</v>
      </c>
      <c r="AA403" s="23">
        <v>0.9</v>
      </c>
      <c r="AB403" s="23">
        <v>-0.30769999999999997</v>
      </c>
      <c r="AC403" s="23">
        <v>17364.45</v>
      </c>
      <c r="AD403" s="23">
        <v>0.30769999999999997</v>
      </c>
      <c r="AE403" s="23">
        <v>43411.13</v>
      </c>
      <c r="AF403" s="23">
        <v>56434.47</v>
      </c>
      <c r="AG403" s="23">
        <v>1297193.03</v>
      </c>
      <c r="AH403" s="23">
        <v>25</v>
      </c>
      <c r="AI403" s="23">
        <v>694.58</v>
      </c>
      <c r="AJ403" s="23">
        <v>-7.6899999999999996E-2</v>
      </c>
      <c r="AK403" s="23">
        <v>0.42309999999999998</v>
      </c>
      <c r="AL403" s="23" t="s">
        <v>24</v>
      </c>
      <c r="AM403" s="23">
        <v>43.25</v>
      </c>
      <c r="AN403" s="23">
        <v>31377.15</v>
      </c>
      <c r="AO403" s="23">
        <v>43.7</v>
      </c>
      <c r="AP403" s="23">
        <v>0</v>
      </c>
      <c r="AR403" s="46"/>
      <c r="AS403" s="44"/>
      <c r="AT403" s="45"/>
      <c r="AU403" s="2">
        <v>43790</v>
      </c>
      <c r="AV403" s="52">
        <v>5.2083333333333336E-2</v>
      </c>
      <c r="AW403" s="2" t="s">
        <v>213</v>
      </c>
      <c r="AY403" s="3"/>
      <c r="BA403" s="3"/>
      <c r="BG403" s="3"/>
      <c r="BH403" s="3"/>
    </row>
    <row r="404" spans="1:60">
      <c r="A404" s="23" t="s">
        <v>22</v>
      </c>
      <c r="B404" s="23" t="s">
        <v>25</v>
      </c>
      <c r="C404" s="27">
        <v>43791.510416666664</v>
      </c>
      <c r="D404" s="23">
        <v>43.1</v>
      </c>
      <c r="E404" s="27">
        <v>43791.541666666664</v>
      </c>
      <c r="F404" s="23">
        <v>42.95</v>
      </c>
      <c r="G404" s="31">
        <v>-3.5000000000000001E-3</v>
      </c>
      <c r="H404" s="23">
        <v>-174.42</v>
      </c>
      <c r="I404" s="31">
        <v>-3.5000000000000001E-3</v>
      </c>
      <c r="J404" s="23">
        <v>1162.768</v>
      </c>
      <c r="K404" s="23">
        <v>50115.31</v>
      </c>
      <c r="L404" s="23">
        <v>22655.33</v>
      </c>
      <c r="M404" s="23">
        <v>4</v>
      </c>
      <c r="N404" s="23">
        <v>-43.6</v>
      </c>
      <c r="O404" s="31">
        <v>-4.5999999999999999E-3</v>
      </c>
      <c r="P404" s="31">
        <v>1.1999999999999999E-3</v>
      </c>
      <c r="Q404" s="23" t="s">
        <v>24</v>
      </c>
      <c r="R404" s="23">
        <v>0</v>
      </c>
      <c r="S404" s="23">
        <v>42.81</v>
      </c>
      <c r="U404" s="47">
        <f>VLOOKUP(AU404,[1]expiry_dates!$B$2:$C$2894,2,FALSE)</f>
        <v>43797</v>
      </c>
      <c r="V404" s="23" t="s">
        <v>118</v>
      </c>
      <c r="W404" s="23" t="s">
        <v>23</v>
      </c>
      <c r="X404" s="49">
        <v>43791.510416666664</v>
      </c>
      <c r="Y404" s="23">
        <v>1.05</v>
      </c>
      <c r="Z404" s="23">
        <v>43791.541666666664</v>
      </c>
      <c r="AA404" s="23">
        <v>1</v>
      </c>
      <c r="AB404" s="23">
        <v>-4.7600000000000003E-2</v>
      </c>
      <c r="AC404" s="23">
        <v>2691.36</v>
      </c>
      <c r="AD404" s="23">
        <v>4.7600000000000003E-2</v>
      </c>
      <c r="AE404" s="23">
        <v>53827.17</v>
      </c>
      <c r="AF404" s="23">
        <v>56518.52</v>
      </c>
      <c r="AG404" s="23">
        <v>1299884.3899999999</v>
      </c>
      <c r="AH404" s="23">
        <v>4</v>
      </c>
      <c r="AI404" s="23">
        <v>672.84</v>
      </c>
      <c r="AJ404" s="23">
        <v>-4.7600000000000003E-2</v>
      </c>
      <c r="AK404" s="23">
        <v>0.1429</v>
      </c>
      <c r="AL404" s="23" t="s">
        <v>24</v>
      </c>
      <c r="AM404" s="23">
        <v>43.1</v>
      </c>
      <c r="AN404" s="23">
        <v>31176.2</v>
      </c>
      <c r="AO404" s="23">
        <v>42.81</v>
      </c>
      <c r="AP404" s="23">
        <v>0</v>
      </c>
      <c r="AR404" s="46"/>
      <c r="AS404" s="44"/>
      <c r="AT404" s="45"/>
      <c r="AU404" s="2">
        <v>43791</v>
      </c>
      <c r="AV404" s="52">
        <v>0.51041666666666663</v>
      </c>
      <c r="AW404" s="2" t="s">
        <v>213</v>
      </c>
      <c r="AY404" s="3"/>
      <c r="BA404" s="3"/>
      <c r="BG404" s="3"/>
      <c r="BH404" s="3"/>
    </row>
    <row r="405" spans="1:60">
      <c r="A405" s="23" t="s">
        <v>22</v>
      </c>
      <c r="B405" s="23" t="s">
        <v>23</v>
      </c>
      <c r="C405" s="27">
        <v>43791.541666666664</v>
      </c>
      <c r="D405" s="23">
        <v>42.95</v>
      </c>
      <c r="E405" s="27">
        <v>43791.604166666664</v>
      </c>
      <c r="F405" s="23">
        <v>43</v>
      </c>
      <c r="G405" s="31">
        <v>1.1999999999999999E-3</v>
      </c>
      <c r="H405" s="23">
        <v>-58.34</v>
      </c>
      <c r="I405" s="31">
        <v>-1.1999999999999999E-3</v>
      </c>
      <c r="J405" s="23">
        <v>1166.8019999999999</v>
      </c>
      <c r="K405" s="23">
        <v>50114.15</v>
      </c>
      <c r="L405" s="23">
        <v>22596.99</v>
      </c>
      <c r="M405" s="23">
        <v>7</v>
      </c>
      <c r="N405" s="23">
        <v>-8.33</v>
      </c>
      <c r="O405" s="31">
        <v>-4.7000000000000002E-3</v>
      </c>
      <c r="P405" s="31">
        <v>2.3E-3</v>
      </c>
      <c r="Q405" s="23" t="s">
        <v>24</v>
      </c>
      <c r="R405" s="23">
        <v>0</v>
      </c>
      <c r="S405" s="23">
        <v>43.15</v>
      </c>
      <c r="U405" s="47">
        <f>VLOOKUP(AU405,[1]expiry_dates!$B$2:$C$2894,2,FALSE)</f>
        <v>43797</v>
      </c>
      <c r="V405" s="23" t="s">
        <v>112</v>
      </c>
      <c r="W405" s="23" t="s">
        <v>23</v>
      </c>
      <c r="X405" s="49">
        <v>43791.541666666664</v>
      </c>
      <c r="Y405" s="23">
        <v>0.35</v>
      </c>
      <c r="Z405" s="23">
        <v>43791.604166666664</v>
      </c>
      <c r="AA405" s="23">
        <v>0.35</v>
      </c>
      <c r="AB405" s="23">
        <v>0</v>
      </c>
      <c r="AC405" s="23">
        <v>0</v>
      </c>
      <c r="AD405" s="23">
        <v>0</v>
      </c>
      <c r="AE405" s="23">
        <v>161426.9</v>
      </c>
      <c r="AF405" s="23">
        <v>56499.42</v>
      </c>
      <c r="AG405" s="23">
        <v>1299884.3899999999</v>
      </c>
      <c r="AH405" s="23">
        <v>7</v>
      </c>
      <c r="AI405" s="23">
        <v>0</v>
      </c>
      <c r="AJ405" s="23">
        <v>0</v>
      </c>
      <c r="AK405" s="23">
        <v>0</v>
      </c>
      <c r="AL405" s="23" t="s">
        <v>24</v>
      </c>
      <c r="AM405" s="23">
        <v>42.95</v>
      </c>
      <c r="AN405" s="23">
        <v>31088.95</v>
      </c>
      <c r="AO405" s="23">
        <v>43.15</v>
      </c>
      <c r="AP405" s="23">
        <v>0</v>
      </c>
      <c r="AR405" s="46"/>
      <c r="AS405" s="44"/>
      <c r="AT405" s="45"/>
      <c r="AU405" s="2">
        <v>43791</v>
      </c>
      <c r="AV405" s="52">
        <v>4.1666666666666664E-2</v>
      </c>
      <c r="AW405" s="2" t="s">
        <v>213</v>
      </c>
      <c r="AY405" s="3"/>
      <c r="BA405" s="3"/>
      <c r="BG405" s="3"/>
      <c r="BH405" s="3"/>
    </row>
    <row r="406" spans="1:60">
      <c r="A406" s="23" t="s">
        <v>22</v>
      </c>
      <c r="B406" s="23" t="s">
        <v>25</v>
      </c>
      <c r="C406" s="27">
        <v>43791.604166666664</v>
      </c>
      <c r="D406" s="23">
        <v>43</v>
      </c>
      <c r="E406" s="27">
        <v>43791.614583333336</v>
      </c>
      <c r="F406" s="23">
        <v>42.95</v>
      </c>
      <c r="G406" s="31">
        <v>-1.1999999999999999E-3</v>
      </c>
      <c r="H406" s="23">
        <v>-58.27</v>
      </c>
      <c r="I406" s="31">
        <v>-1.1999999999999999E-3</v>
      </c>
      <c r="J406" s="23">
        <v>1165.4110000000001</v>
      </c>
      <c r="K406" s="23">
        <v>50112.7</v>
      </c>
      <c r="L406" s="23">
        <v>22538.720000000001</v>
      </c>
      <c r="M406" s="23">
        <v>2</v>
      </c>
      <c r="N406" s="23">
        <v>-29.14</v>
      </c>
      <c r="O406" s="31">
        <v>-1.1999999999999999E-3</v>
      </c>
      <c r="P406" s="31">
        <v>2.3E-3</v>
      </c>
      <c r="Q406" s="23" t="s">
        <v>24</v>
      </c>
      <c r="R406" s="23">
        <v>0</v>
      </c>
      <c r="S406" s="23">
        <v>42.86</v>
      </c>
      <c r="U406" s="47">
        <f>VLOOKUP(AU406,[1]expiry_dates!$B$2:$C$2894,2,FALSE)</f>
        <v>43797</v>
      </c>
      <c r="V406" s="23" t="s">
        <v>118</v>
      </c>
      <c r="W406" s="23" t="s">
        <v>23</v>
      </c>
      <c r="X406" s="49">
        <v>43791.604166666664</v>
      </c>
      <c r="Y406" s="23">
        <v>1</v>
      </c>
      <c r="Z406" s="23">
        <v>43791.614583333336</v>
      </c>
      <c r="AA406" s="23">
        <v>1</v>
      </c>
      <c r="AB406" s="23">
        <v>0</v>
      </c>
      <c r="AC406" s="23">
        <v>0</v>
      </c>
      <c r="AD406" s="23">
        <v>0</v>
      </c>
      <c r="AE406" s="23">
        <v>56499.42</v>
      </c>
      <c r="AF406" s="23">
        <v>56499.42</v>
      </c>
      <c r="AG406" s="23">
        <v>1299884.3899999999</v>
      </c>
      <c r="AH406" s="23">
        <v>2</v>
      </c>
      <c r="AI406" s="23">
        <v>0</v>
      </c>
      <c r="AJ406" s="23">
        <v>0</v>
      </c>
      <c r="AK406" s="23">
        <v>0</v>
      </c>
      <c r="AL406" s="23" t="s">
        <v>24</v>
      </c>
      <c r="AM406" s="23">
        <v>43</v>
      </c>
      <c r="AN406" s="23">
        <v>31123.5</v>
      </c>
      <c r="AO406" s="23">
        <v>42.86</v>
      </c>
      <c r="AP406" s="23">
        <v>0</v>
      </c>
      <c r="AR406" s="46"/>
      <c r="AS406" s="44"/>
      <c r="AT406" s="45"/>
      <c r="AU406" s="2">
        <v>43791</v>
      </c>
      <c r="AV406" s="52">
        <v>0.10416666666666667</v>
      </c>
      <c r="AW406" s="2" t="s">
        <v>213</v>
      </c>
      <c r="AY406" s="3"/>
      <c r="BA406" s="3"/>
      <c r="BG406" s="3"/>
      <c r="BH406" s="3"/>
    </row>
    <row r="407" spans="1:60">
      <c r="A407" s="23" t="s">
        <v>22</v>
      </c>
      <c r="B407" s="23" t="s">
        <v>23</v>
      </c>
      <c r="C407" s="27">
        <v>43791.614583333336</v>
      </c>
      <c r="D407" s="23">
        <v>42.95</v>
      </c>
      <c r="E407" s="27">
        <v>43791.625</v>
      </c>
      <c r="F407" s="23">
        <v>43</v>
      </c>
      <c r="G407" s="31">
        <v>1.1999999999999999E-3</v>
      </c>
      <c r="H407" s="23">
        <v>-58.34</v>
      </c>
      <c r="I407" s="31">
        <v>-1.1999999999999999E-3</v>
      </c>
      <c r="J407" s="23">
        <v>1166.7750000000001</v>
      </c>
      <c r="K407" s="23">
        <v>50112.98</v>
      </c>
      <c r="L407" s="23">
        <v>22480.38</v>
      </c>
      <c r="M407" s="23">
        <v>2</v>
      </c>
      <c r="N407" s="23">
        <v>-29.17</v>
      </c>
      <c r="O407" s="31">
        <v>-1.1999999999999999E-3</v>
      </c>
      <c r="P407" s="31">
        <v>2.3E-3</v>
      </c>
      <c r="Q407" s="23" t="s">
        <v>24</v>
      </c>
      <c r="R407" s="23">
        <v>0</v>
      </c>
      <c r="S407" s="23">
        <v>43.09</v>
      </c>
      <c r="U407" s="47">
        <f>VLOOKUP(AU407,[1]expiry_dates!$B$2:$C$2894,2,FALSE)</f>
        <v>43797</v>
      </c>
      <c r="V407" s="23" t="s">
        <v>117</v>
      </c>
      <c r="W407" s="23" t="s">
        <v>23</v>
      </c>
      <c r="X407" s="49">
        <v>43791.614583333336</v>
      </c>
      <c r="Y407" s="23">
        <v>0.5</v>
      </c>
      <c r="Z407" s="23">
        <v>43791.625</v>
      </c>
      <c r="AA407" s="23">
        <v>0.55000000000000004</v>
      </c>
      <c r="AB407" s="23">
        <v>0.1</v>
      </c>
      <c r="AC407" s="23">
        <v>-5649.94</v>
      </c>
      <c r="AD407" s="23">
        <v>-0.1</v>
      </c>
      <c r="AE407" s="23">
        <v>112998.8</v>
      </c>
      <c r="AF407" s="23">
        <v>56499.42</v>
      </c>
      <c r="AG407" s="23">
        <v>1294234.44</v>
      </c>
      <c r="AH407" s="23">
        <v>2</v>
      </c>
      <c r="AI407" s="23">
        <v>-2824.97</v>
      </c>
      <c r="AJ407" s="23">
        <v>-0.1</v>
      </c>
      <c r="AK407" s="23">
        <v>0</v>
      </c>
      <c r="AL407" s="23" t="s">
        <v>24</v>
      </c>
      <c r="AM407" s="23">
        <v>42.95</v>
      </c>
      <c r="AN407" s="23">
        <v>31112.45</v>
      </c>
      <c r="AO407" s="23">
        <v>43.09</v>
      </c>
      <c r="AP407" s="23">
        <v>0</v>
      </c>
      <c r="AR407" s="46"/>
      <c r="AS407" s="44"/>
      <c r="AT407" s="45"/>
      <c r="AU407" s="2">
        <v>43791</v>
      </c>
      <c r="AV407" s="52">
        <v>0.11458333333333333</v>
      </c>
      <c r="AW407" s="2" t="s">
        <v>213</v>
      </c>
      <c r="AY407" s="3"/>
      <c r="BA407" s="3"/>
      <c r="BG407" s="3"/>
      <c r="BH407" s="3"/>
    </row>
    <row r="408" spans="1:60">
      <c r="A408" s="23" t="s">
        <v>22</v>
      </c>
      <c r="B408" s="23" t="s">
        <v>25</v>
      </c>
      <c r="C408" s="27">
        <v>43791.625</v>
      </c>
      <c r="D408" s="23">
        <v>43</v>
      </c>
      <c r="E408" s="27">
        <v>43794.416666666664</v>
      </c>
      <c r="F408" s="23">
        <v>43</v>
      </c>
      <c r="G408" s="31">
        <v>0</v>
      </c>
      <c r="H408" s="23">
        <v>0</v>
      </c>
      <c r="I408" s="31">
        <v>0</v>
      </c>
      <c r="J408" s="23">
        <v>1165.4110000000001</v>
      </c>
      <c r="K408" s="23">
        <v>50112.7</v>
      </c>
      <c r="L408" s="23">
        <v>22480.38</v>
      </c>
      <c r="M408" s="23">
        <v>9</v>
      </c>
      <c r="N408" s="23">
        <v>0</v>
      </c>
      <c r="O408" s="31">
        <v>-3.5000000000000001E-3</v>
      </c>
      <c r="P408" s="31">
        <v>7.0000000000000001E-3</v>
      </c>
      <c r="Q408" s="23" t="s">
        <v>24</v>
      </c>
      <c r="R408" s="23">
        <v>0</v>
      </c>
      <c r="S408" s="23">
        <v>42.85</v>
      </c>
      <c r="U408" s="47">
        <f>VLOOKUP(AU408,[1]expiry_dates!$B$2:$C$2894,2,FALSE)</f>
        <v>43797</v>
      </c>
      <c r="V408" s="23" t="s">
        <v>115</v>
      </c>
      <c r="W408" s="23" t="s">
        <v>23</v>
      </c>
      <c r="X408" s="49">
        <v>43791.625</v>
      </c>
      <c r="Y408" s="23">
        <v>0.45</v>
      </c>
      <c r="Z408" s="23">
        <v>43794.416666666664</v>
      </c>
      <c r="AA408" s="23">
        <v>0.35</v>
      </c>
      <c r="AB408" s="23">
        <v>-0.22220000000000001</v>
      </c>
      <c r="AC408" s="23">
        <v>12555.43</v>
      </c>
      <c r="AD408" s="23">
        <v>0.22220000000000001</v>
      </c>
      <c r="AE408" s="23">
        <v>125554.3</v>
      </c>
      <c r="AF408" s="23">
        <v>56499.42</v>
      </c>
      <c r="AG408" s="23">
        <v>1306789.8700000001</v>
      </c>
      <c r="AH408" s="23">
        <v>9</v>
      </c>
      <c r="AI408" s="23">
        <v>1395.05</v>
      </c>
      <c r="AJ408" s="23">
        <v>0</v>
      </c>
      <c r="AK408" s="23">
        <v>0.33329999999999999</v>
      </c>
      <c r="AL408" s="23" t="s">
        <v>24</v>
      </c>
      <c r="AM408" s="23">
        <v>43</v>
      </c>
      <c r="AN408" s="23">
        <v>31094.6</v>
      </c>
      <c r="AO408" s="23">
        <v>42.85</v>
      </c>
      <c r="AP408" s="23">
        <v>0</v>
      </c>
      <c r="AR408" s="46"/>
      <c r="AS408" s="44"/>
      <c r="AT408" s="45"/>
      <c r="AU408" s="2">
        <v>43791</v>
      </c>
      <c r="AV408" s="52">
        <v>0.125</v>
      </c>
      <c r="AW408" s="2" t="s">
        <v>213</v>
      </c>
      <c r="AY408" s="3"/>
      <c r="BA408" s="3"/>
      <c r="BG408" s="3"/>
      <c r="BH408" s="3"/>
    </row>
    <row r="409" spans="1:60">
      <c r="A409" s="23" t="s">
        <v>22</v>
      </c>
      <c r="B409" s="23" t="s">
        <v>23</v>
      </c>
      <c r="C409" s="27">
        <v>43794.416666666664</v>
      </c>
      <c r="D409" s="23">
        <v>43</v>
      </c>
      <c r="E409" s="27">
        <v>43794.541666666664</v>
      </c>
      <c r="F409" s="23">
        <v>43.05</v>
      </c>
      <c r="G409" s="31">
        <v>1.1999999999999999E-3</v>
      </c>
      <c r="H409" s="23">
        <v>-58.27</v>
      </c>
      <c r="I409" s="31">
        <v>-1.1999999999999999E-3</v>
      </c>
      <c r="J409" s="23">
        <v>1165.4110000000001</v>
      </c>
      <c r="K409" s="23">
        <v>50112.7</v>
      </c>
      <c r="L409" s="23">
        <v>22422.11</v>
      </c>
      <c r="M409" s="23">
        <v>13</v>
      </c>
      <c r="N409" s="23">
        <v>-4.4800000000000004</v>
      </c>
      <c r="O409" s="31">
        <v>-3.5000000000000001E-3</v>
      </c>
      <c r="P409" s="31">
        <v>2.3E-3</v>
      </c>
      <c r="Q409" s="23" t="s">
        <v>24</v>
      </c>
      <c r="R409" s="23">
        <v>0</v>
      </c>
      <c r="S409" s="23">
        <v>43.3</v>
      </c>
      <c r="U409" s="47">
        <f>VLOOKUP(AU409,[1]expiry_dates!$B$2:$C$2894,2,FALSE)</f>
        <v>43797</v>
      </c>
      <c r="V409" s="23" t="s">
        <v>114</v>
      </c>
      <c r="W409" s="23" t="s">
        <v>23</v>
      </c>
      <c r="X409" s="49">
        <v>43794.416666666664</v>
      </c>
      <c r="Y409" s="23">
        <v>0.85</v>
      </c>
      <c r="Z409" s="23">
        <v>43794.541666666664</v>
      </c>
      <c r="AA409" s="23">
        <v>0.85</v>
      </c>
      <c r="AB409" s="23">
        <v>0</v>
      </c>
      <c r="AC409" s="23">
        <v>0</v>
      </c>
      <c r="AD409" s="23">
        <v>0</v>
      </c>
      <c r="AE409" s="23">
        <v>66510.52</v>
      </c>
      <c r="AF409" s="23">
        <v>56533.95</v>
      </c>
      <c r="AG409" s="23">
        <v>1306789.8700000001</v>
      </c>
      <c r="AH409" s="23">
        <v>13</v>
      </c>
      <c r="AI409" s="23">
        <v>0</v>
      </c>
      <c r="AJ409" s="23">
        <v>-5.8799999999999998E-2</v>
      </c>
      <c r="AK409" s="23">
        <v>5.8799999999999998E-2</v>
      </c>
      <c r="AL409" s="23" t="s">
        <v>24</v>
      </c>
      <c r="AM409" s="23">
        <v>43</v>
      </c>
      <c r="AN409" s="23">
        <v>31243.4</v>
      </c>
      <c r="AO409" s="23">
        <v>43.3</v>
      </c>
      <c r="AP409" s="23">
        <v>0</v>
      </c>
      <c r="AR409" s="46"/>
      <c r="AS409" s="44"/>
      <c r="AT409" s="45"/>
      <c r="AU409" s="2">
        <v>43794</v>
      </c>
      <c r="AV409" s="52">
        <v>0.41666666666666669</v>
      </c>
      <c r="AW409" s="2" t="s">
        <v>212</v>
      </c>
      <c r="AY409" s="3"/>
      <c r="BA409" s="3"/>
      <c r="BG409" s="3"/>
      <c r="BH409" s="3"/>
    </row>
    <row r="410" spans="1:60">
      <c r="A410" s="23" t="s">
        <v>22</v>
      </c>
      <c r="B410" s="23" t="s">
        <v>25</v>
      </c>
      <c r="C410" s="27">
        <v>43794.541666666664</v>
      </c>
      <c r="D410" s="23">
        <v>43.05</v>
      </c>
      <c r="E410" s="27">
        <v>43795.5</v>
      </c>
      <c r="F410" s="23">
        <v>43.85</v>
      </c>
      <c r="G410" s="31">
        <v>1.8599999999999998E-2</v>
      </c>
      <c r="H410" s="23">
        <v>931.24</v>
      </c>
      <c r="I410" s="31">
        <v>1.8599999999999998E-2</v>
      </c>
      <c r="J410" s="23">
        <v>1164.0509999999999</v>
      </c>
      <c r="K410" s="23">
        <v>50112.4</v>
      </c>
      <c r="L410" s="23">
        <v>23353.35</v>
      </c>
      <c r="M410" s="23">
        <v>25</v>
      </c>
      <c r="N410" s="23">
        <v>37.25</v>
      </c>
      <c r="O410" s="31">
        <v>-2.3E-3</v>
      </c>
      <c r="P410" s="31">
        <v>3.1399999999999997E-2</v>
      </c>
      <c r="Q410" s="23" t="s">
        <v>24</v>
      </c>
      <c r="R410" s="23">
        <v>0</v>
      </c>
      <c r="S410" s="23">
        <v>42.9</v>
      </c>
      <c r="U410" s="47">
        <f>VLOOKUP(AU410,[1]expiry_dates!$B$2:$C$2894,2,FALSE)</f>
        <v>43797</v>
      </c>
      <c r="V410" s="23" t="s">
        <v>115</v>
      </c>
      <c r="W410" s="23" t="s">
        <v>23</v>
      </c>
      <c r="X410" s="49">
        <v>43794.541666666664</v>
      </c>
      <c r="Y410" s="23">
        <v>0.4</v>
      </c>
      <c r="Z410" s="23">
        <v>43795.5</v>
      </c>
      <c r="AA410" s="23">
        <v>0.2</v>
      </c>
      <c r="AB410" s="23">
        <v>-0.5</v>
      </c>
      <c r="AC410" s="23">
        <v>28266.98</v>
      </c>
      <c r="AD410" s="23">
        <v>0.5</v>
      </c>
      <c r="AE410" s="23">
        <v>141334.9</v>
      </c>
      <c r="AF410" s="23">
        <v>56533.95</v>
      </c>
      <c r="AG410" s="23">
        <v>1335056.8500000001</v>
      </c>
      <c r="AH410" s="23">
        <v>25</v>
      </c>
      <c r="AI410" s="23">
        <v>1130.68</v>
      </c>
      <c r="AJ410" s="23">
        <v>0</v>
      </c>
      <c r="AK410" s="23">
        <v>0.75</v>
      </c>
      <c r="AL410" s="23" t="s">
        <v>24</v>
      </c>
      <c r="AM410" s="23">
        <v>43.05</v>
      </c>
      <c r="AN410" s="23">
        <v>31377.35</v>
      </c>
      <c r="AO410" s="23">
        <v>42.9</v>
      </c>
      <c r="AP410" s="23">
        <v>0</v>
      </c>
      <c r="AR410" s="46"/>
      <c r="AS410" s="44"/>
      <c r="AT410" s="45"/>
      <c r="AU410" s="2">
        <v>43794</v>
      </c>
      <c r="AV410" s="52">
        <v>4.1666666666666664E-2</v>
      </c>
      <c r="AW410" s="2" t="s">
        <v>213</v>
      </c>
      <c r="AY410" s="3"/>
      <c r="BA410" s="3"/>
      <c r="BG410" s="3"/>
      <c r="BH410" s="3"/>
    </row>
    <row r="411" spans="1:60">
      <c r="A411" s="23" t="s">
        <v>22</v>
      </c>
      <c r="B411" s="23" t="s">
        <v>23</v>
      </c>
      <c r="C411" s="27">
        <v>43795.5</v>
      </c>
      <c r="D411" s="23">
        <v>43.85</v>
      </c>
      <c r="E411" s="27">
        <v>43796.5</v>
      </c>
      <c r="F411" s="23">
        <v>43.2</v>
      </c>
      <c r="G411" s="31">
        <v>-1.4800000000000001E-2</v>
      </c>
      <c r="H411" s="23">
        <v>742.89</v>
      </c>
      <c r="I411" s="31">
        <v>1.4800000000000001E-2</v>
      </c>
      <c r="J411" s="23">
        <v>1142.9069999999999</v>
      </c>
      <c r="K411" s="23">
        <v>50116.480000000003</v>
      </c>
      <c r="L411" s="23">
        <v>24096.240000000002</v>
      </c>
      <c r="M411" s="23">
        <v>29</v>
      </c>
      <c r="N411" s="23">
        <v>25.62</v>
      </c>
      <c r="O411" s="31">
        <v>-1.1000000000000001E-3</v>
      </c>
      <c r="P411" s="31">
        <v>2.2800000000000001E-2</v>
      </c>
      <c r="Q411" s="23" t="s">
        <v>24</v>
      </c>
      <c r="R411" s="23">
        <v>0</v>
      </c>
      <c r="S411" s="23">
        <v>44.37</v>
      </c>
      <c r="U411" s="47">
        <f>VLOOKUP(AU411,[1]expiry_dates!$B$2:$C$2894,2,FALSE)</f>
        <v>43797</v>
      </c>
      <c r="V411" s="23" t="s">
        <v>114</v>
      </c>
      <c r="W411" s="23" t="s">
        <v>23</v>
      </c>
      <c r="X411" s="49">
        <v>43795.5</v>
      </c>
      <c r="Y411" s="23">
        <v>1.2</v>
      </c>
      <c r="Z411" s="23">
        <v>43796.5</v>
      </c>
      <c r="AA411" s="23">
        <v>0.65</v>
      </c>
      <c r="AB411" s="23">
        <v>-0.45829999999999999</v>
      </c>
      <c r="AC411" s="23">
        <v>25959.98</v>
      </c>
      <c r="AD411" s="23">
        <v>0.45829999999999999</v>
      </c>
      <c r="AE411" s="23">
        <v>47199.96</v>
      </c>
      <c r="AF411" s="23">
        <v>56639.95</v>
      </c>
      <c r="AG411" s="23">
        <v>1361016.82</v>
      </c>
      <c r="AH411" s="23">
        <v>29</v>
      </c>
      <c r="AI411" s="23">
        <v>895.17</v>
      </c>
      <c r="AJ411" s="23">
        <v>0</v>
      </c>
      <c r="AK411" s="23">
        <v>0.58330000000000004</v>
      </c>
      <c r="AL411" s="23" t="s">
        <v>24</v>
      </c>
      <c r="AM411" s="23">
        <v>43.85</v>
      </c>
      <c r="AN411" s="23">
        <v>31680.75</v>
      </c>
      <c r="AO411" s="23">
        <v>44.37</v>
      </c>
      <c r="AP411" s="23">
        <v>0</v>
      </c>
      <c r="AR411" s="46"/>
      <c r="AS411" s="44"/>
      <c r="AT411" s="45"/>
      <c r="AU411" s="2">
        <v>43795</v>
      </c>
      <c r="AV411" s="52">
        <v>0.5</v>
      </c>
      <c r="AW411" s="2" t="s">
        <v>213</v>
      </c>
      <c r="AY411" s="3"/>
      <c r="BA411" s="3"/>
      <c r="BG411" s="3"/>
      <c r="BH411" s="3"/>
    </row>
    <row r="412" spans="1:60">
      <c r="A412" s="23" t="s">
        <v>22</v>
      </c>
      <c r="B412" s="23" t="s">
        <v>25</v>
      </c>
      <c r="C412" s="27">
        <v>43796.5</v>
      </c>
      <c r="D412" s="23">
        <v>43.2</v>
      </c>
      <c r="E412" s="27">
        <v>43797.385416666664</v>
      </c>
      <c r="F412" s="23">
        <v>43.35</v>
      </c>
      <c r="G412" s="31">
        <v>3.5000000000000001E-3</v>
      </c>
      <c r="H412" s="23">
        <v>174.03</v>
      </c>
      <c r="I412" s="31">
        <v>3.5000000000000001E-3</v>
      </c>
      <c r="J412" s="23">
        <v>1160.1959999999999</v>
      </c>
      <c r="K412" s="23">
        <v>50120.480000000003</v>
      </c>
      <c r="L412" s="23">
        <v>24270.27</v>
      </c>
      <c r="M412" s="23">
        <v>18</v>
      </c>
      <c r="N412" s="23">
        <v>9.67</v>
      </c>
      <c r="O412" s="31">
        <v>-1.1999999999999999E-3</v>
      </c>
      <c r="P412" s="31">
        <v>1.04E-2</v>
      </c>
      <c r="Q412" s="23" t="s">
        <v>24</v>
      </c>
      <c r="R412" s="23">
        <v>0</v>
      </c>
      <c r="S412" s="23">
        <v>42.87</v>
      </c>
      <c r="U412" s="47">
        <f>VLOOKUP(AU412,[1]expiry_dates!$B$2:$C$2894,2,FALSE)</f>
        <v>43797</v>
      </c>
      <c r="V412" s="23" t="s">
        <v>118</v>
      </c>
      <c r="W412" s="23" t="s">
        <v>23</v>
      </c>
      <c r="X412" s="49">
        <v>43796.5</v>
      </c>
      <c r="Y412" s="23">
        <v>0.4</v>
      </c>
      <c r="Z412" s="23">
        <v>43797.385416666664</v>
      </c>
      <c r="AA412" s="23">
        <v>0.15</v>
      </c>
      <c r="AB412" s="23">
        <v>-0.625</v>
      </c>
      <c r="AC412" s="23">
        <v>35503.18</v>
      </c>
      <c r="AD412" s="23">
        <v>0.625</v>
      </c>
      <c r="AE412" s="23">
        <v>142012.70000000001</v>
      </c>
      <c r="AF412" s="23">
        <v>56805.08</v>
      </c>
      <c r="AG412" s="23">
        <v>1396520</v>
      </c>
      <c r="AH412" s="23">
        <v>18</v>
      </c>
      <c r="AI412" s="23">
        <v>1972.4</v>
      </c>
      <c r="AJ412" s="23">
        <v>0</v>
      </c>
      <c r="AK412" s="23">
        <v>0.625</v>
      </c>
      <c r="AL412" s="23" t="s">
        <v>24</v>
      </c>
      <c r="AM412" s="23">
        <v>43.2</v>
      </c>
      <c r="AN412" s="23">
        <v>31766.6</v>
      </c>
      <c r="AO412" s="23">
        <v>42.87</v>
      </c>
      <c r="AP412" s="23">
        <v>0</v>
      </c>
      <c r="AR412" s="46"/>
      <c r="AS412" s="44"/>
      <c r="AT412" s="45"/>
      <c r="AU412" s="2">
        <v>43796</v>
      </c>
      <c r="AV412" s="52">
        <v>0.5</v>
      </c>
      <c r="AW412" s="2" t="s">
        <v>213</v>
      </c>
      <c r="AY412" s="3"/>
      <c r="BA412" s="3"/>
      <c r="BG412" s="3"/>
      <c r="BH412" s="3"/>
    </row>
    <row r="413" spans="1:60">
      <c r="A413" s="23" t="s">
        <v>22</v>
      </c>
      <c r="B413" s="23" t="s">
        <v>23</v>
      </c>
      <c r="C413" s="27">
        <v>43797.385416666664</v>
      </c>
      <c r="D413" s="23">
        <v>43.35</v>
      </c>
      <c r="E413" s="27">
        <v>43797.427083333336</v>
      </c>
      <c r="F413" s="23">
        <v>43.7</v>
      </c>
      <c r="G413" s="31">
        <v>8.0999999999999996E-3</v>
      </c>
      <c r="H413" s="23">
        <v>-404.68</v>
      </c>
      <c r="I413" s="31">
        <v>-8.0999999999999996E-3</v>
      </c>
      <c r="J413" s="23">
        <v>1156.229</v>
      </c>
      <c r="K413" s="23">
        <v>50122.51</v>
      </c>
      <c r="L413" s="23">
        <v>23865.59</v>
      </c>
      <c r="M413" s="23">
        <v>5</v>
      </c>
      <c r="N413" s="23">
        <v>-80.94</v>
      </c>
      <c r="O413" s="31">
        <v>-8.0999999999999996E-3</v>
      </c>
      <c r="P413" s="31">
        <v>3.5000000000000001E-3</v>
      </c>
      <c r="Q413" s="23" t="s">
        <v>24</v>
      </c>
      <c r="R413" s="23">
        <v>0</v>
      </c>
      <c r="S413" s="23">
        <v>43.64</v>
      </c>
      <c r="U413" s="47">
        <f>VLOOKUP(AU413,[1]expiry_dates!$B$2:$C$2894,2,FALSE)</f>
        <v>43797</v>
      </c>
      <c r="V413" s="23" t="s">
        <v>114</v>
      </c>
      <c r="W413" s="23" t="s">
        <v>23</v>
      </c>
      <c r="X413" s="49">
        <v>43797.385416666664</v>
      </c>
      <c r="Y413" s="23">
        <v>0.6</v>
      </c>
      <c r="Z413" s="23">
        <v>43797.427083333336</v>
      </c>
      <c r="AA413" s="23">
        <v>0.95</v>
      </c>
      <c r="AB413" s="23">
        <v>0.58330000000000004</v>
      </c>
      <c r="AC413" s="23">
        <v>-33219.14</v>
      </c>
      <c r="AD413" s="23">
        <v>-0.58330000000000004</v>
      </c>
      <c r="AE413" s="23">
        <v>94911.83</v>
      </c>
      <c r="AF413" s="23">
        <v>56947.1</v>
      </c>
      <c r="AG413" s="23">
        <v>1363300.86</v>
      </c>
      <c r="AH413" s="23">
        <v>5</v>
      </c>
      <c r="AI413" s="23">
        <v>-6643.83</v>
      </c>
      <c r="AJ413" s="23">
        <v>-0.58330000000000004</v>
      </c>
      <c r="AK413" s="23">
        <v>0.16669999999999999</v>
      </c>
      <c r="AL413" s="23" t="s">
        <v>24</v>
      </c>
      <c r="AM413" s="23">
        <v>43.35</v>
      </c>
      <c r="AN413" s="23">
        <v>31941.4</v>
      </c>
      <c r="AO413" s="23">
        <v>43.64</v>
      </c>
      <c r="AP413" s="23">
        <v>0</v>
      </c>
      <c r="AR413" s="46"/>
      <c r="AS413" s="44"/>
      <c r="AT413" s="45"/>
      <c r="AU413" s="2">
        <v>43797</v>
      </c>
      <c r="AV413" s="52">
        <v>0.38541666666666669</v>
      </c>
      <c r="AW413" s="2" t="s">
        <v>212</v>
      </c>
      <c r="AY413" s="3"/>
      <c r="BA413" s="3"/>
      <c r="BG413" s="3"/>
      <c r="BH413" s="3"/>
    </row>
    <row r="414" spans="1:60">
      <c r="A414" s="23" t="s">
        <v>22</v>
      </c>
      <c r="B414" s="23" t="s">
        <v>25</v>
      </c>
      <c r="C414" s="27">
        <v>43797.427083333336</v>
      </c>
      <c r="D414" s="23">
        <v>43.7</v>
      </c>
      <c r="E414" s="27">
        <v>43797.458333333336</v>
      </c>
      <c r="F414" s="23">
        <v>43.4</v>
      </c>
      <c r="G414" s="31">
        <v>-6.8999999999999999E-3</v>
      </c>
      <c r="H414" s="23">
        <v>-344.08</v>
      </c>
      <c r="I414" s="31">
        <v>-6.8999999999999999E-3</v>
      </c>
      <c r="J414" s="23">
        <v>1146.9280000000001</v>
      </c>
      <c r="K414" s="23">
        <v>50120.77</v>
      </c>
      <c r="L414" s="23">
        <v>23521.51</v>
      </c>
      <c r="M414" s="23">
        <v>4</v>
      </c>
      <c r="N414" s="23">
        <v>-86.02</v>
      </c>
      <c r="O414" s="31">
        <v>-8.0000000000000002E-3</v>
      </c>
      <c r="P414" s="31">
        <v>1.1000000000000001E-3</v>
      </c>
      <c r="Q414" s="23" t="s">
        <v>24</v>
      </c>
      <c r="R414" s="23">
        <v>0</v>
      </c>
      <c r="S414" s="23">
        <v>43.22</v>
      </c>
      <c r="U414" s="47">
        <f>VLOOKUP(AU414,[1]expiry_dates!$B$2:$C$2894,2,FALSE)</f>
        <v>43797</v>
      </c>
      <c r="V414" s="23" t="s">
        <v>111</v>
      </c>
      <c r="W414" s="23" t="s">
        <v>23</v>
      </c>
      <c r="X414" s="49">
        <v>43797.427083333336</v>
      </c>
      <c r="Y414" s="23">
        <v>0.5</v>
      </c>
      <c r="Z414" s="23">
        <v>43797.458333333336</v>
      </c>
      <c r="AA414" s="23">
        <v>0.55000000000000004</v>
      </c>
      <c r="AB414" s="23">
        <v>0.1</v>
      </c>
      <c r="AC414" s="23">
        <v>-5700.63</v>
      </c>
      <c r="AD414" s="23">
        <v>-0.1</v>
      </c>
      <c r="AE414" s="23">
        <v>114012.7</v>
      </c>
      <c r="AF414" s="23">
        <v>57006.33</v>
      </c>
      <c r="AG414" s="23">
        <v>1357600.22</v>
      </c>
      <c r="AH414" s="23">
        <v>4</v>
      </c>
      <c r="AI414" s="23">
        <v>-1425.16</v>
      </c>
      <c r="AJ414" s="23">
        <v>-0.3</v>
      </c>
      <c r="AK414" s="23">
        <v>0.1</v>
      </c>
      <c r="AL414" s="23" t="s">
        <v>24</v>
      </c>
      <c r="AM414" s="23">
        <v>43.7</v>
      </c>
      <c r="AN414" s="23">
        <v>32006.65</v>
      </c>
      <c r="AO414" s="23">
        <v>43.22</v>
      </c>
      <c r="AP414" s="23">
        <v>0</v>
      </c>
      <c r="AR414" s="46"/>
      <c r="AS414" s="44"/>
      <c r="AT414" s="45"/>
      <c r="AU414" s="2">
        <v>43797</v>
      </c>
      <c r="AV414" s="52">
        <v>0.42708333333333331</v>
      </c>
      <c r="AW414" s="2" t="s">
        <v>212</v>
      </c>
      <c r="AY414" s="3"/>
      <c r="BA414" s="3"/>
      <c r="BG414" s="3"/>
      <c r="BH414" s="3"/>
    </row>
    <row r="415" spans="1:60">
      <c r="A415" s="23" t="s">
        <v>22</v>
      </c>
      <c r="B415" s="23" t="s">
        <v>23</v>
      </c>
      <c r="C415" s="27">
        <v>43797.458333333336</v>
      </c>
      <c r="D415" s="23">
        <v>43.4</v>
      </c>
      <c r="E415" s="27">
        <v>43797.510416666664</v>
      </c>
      <c r="F415" s="23">
        <v>43.65</v>
      </c>
      <c r="G415" s="31">
        <v>5.7999999999999996E-3</v>
      </c>
      <c r="H415" s="23">
        <v>-288.7</v>
      </c>
      <c r="I415" s="31">
        <v>-5.7999999999999996E-3</v>
      </c>
      <c r="J415" s="23">
        <v>1154.797</v>
      </c>
      <c r="K415" s="23">
        <v>50118.18</v>
      </c>
      <c r="L415" s="23">
        <v>23232.81</v>
      </c>
      <c r="M415" s="23">
        <v>6</v>
      </c>
      <c r="N415" s="23">
        <v>-48.12</v>
      </c>
      <c r="O415" s="31">
        <v>-5.7999999999999996E-3</v>
      </c>
      <c r="P415" s="31">
        <v>2.3E-3</v>
      </c>
      <c r="Q415" s="23" t="s">
        <v>24</v>
      </c>
      <c r="R415" s="23">
        <v>0</v>
      </c>
      <c r="S415" s="23">
        <v>43.74</v>
      </c>
      <c r="U415" s="47">
        <f>VLOOKUP(AU415,[1]expiry_dates!$B$2:$C$2894,2,FALSE)</f>
        <v>43797</v>
      </c>
      <c r="V415" s="23" t="s">
        <v>117</v>
      </c>
      <c r="W415" s="23" t="s">
        <v>23</v>
      </c>
      <c r="X415" s="49">
        <v>43797.458333333336</v>
      </c>
      <c r="Y415" s="23">
        <v>0.15</v>
      </c>
      <c r="Z415" s="23">
        <v>43797.510416666664</v>
      </c>
      <c r="AA415" s="23">
        <v>0.25</v>
      </c>
      <c r="AB415" s="23">
        <v>0.66669999999999996</v>
      </c>
      <c r="AC415" s="23">
        <v>-37858.67</v>
      </c>
      <c r="AD415" s="23">
        <v>-0.66669999999999996</v>
      </c>
      <c r="AE415" s="23">
        <v>378586.7</v>
      </c>
      <c r="AF415" s="23">
        <v>56788</v>
      </c>
      <c r="AG415" s="23">
        <v>1319741.56</v>
      </c>
      <c r="AH415" s="23">
        <v>6</v>
      </c>
      <c r="AI415" s="23">
        <v>-6309.78</v>
      </c>
      <c r="AJ415" s="23">
        <v>-0.66669999999999996</v>
      </c>
      <c r="AK415" s="23">
        <v>0.33329999999999999</v>
      </c>
      <c r="AL415" s="23" t="s">
        <v>24</v>
      </c>
      <c r="AM415" s="23">
        <v>43.4</v>
      </c>
      <c r="AN415" s="23">
        <v>31995.65</v>
      </c>
      <c r="AO415" s="23">
        <v>43.74</v>
      </c>
      <c r="AP415" s="23">
        <v>0</v>
      </c>
      <c r="AR415" s="46"/>
      <c r="AS415" s="44"/>
      <c r="AT415" s="45"/>
      <c r="AU415" s="2">
        <v>43797</v>
      </c>
      <c r="AV415" s="52">
        <v>0.45833333333333331</v>
      </c>
      <c r="AW415" s="2" t="s">
        <v>212</v>
      </c>
      <c r="AY415" s="3"/>
      <c r="BA415" s="3"/>
      <c r="BG415" s="3"/>
      <c r="BH415" s="3"/>
    </row>
    <row r="416" spans="1:60">
      <c r="A416" s="23" t="s">
        <v>22</v>
      </c>
      <c r="B416" s="23" t="s">
        <v>25</v>
      </c>
      <c r="C416" s="27">
        <v>43797.510416666664</v>
      </c>
      <c r="D416" s="23">
        <v>43.65</v>
      </c>
      <c r="E416" s="27">
        <v>43797.6875</v>
      </c>
      <c r="F416" s="23">
        <v>44.3</v>
      </c>
      <c r="G416" s="31">
        <v>1.49E-2</v>
      </c>
      <c r="H416" s="23">
        <v>746.3</v>
      </c>
      <c r="I416" s="31">
        <v>1.49E-2</v>
      </c>
      <c r="J416" s="23">
        <v>1148.1559999999999</v>
      </c>
      <c r="K416" s="23">
        <v>50117.03</v>
      </c>
      <c r="L416" s="23">
        <v>23979.11</v>
      </c>
      <c r="M416" s="23">
        <v>15</v>
      </c>
      <c r="N416" s="23">
        <v>49.75</v>
      </c>
      <c r="O416" s="31">
        <v>-4.5999999999999999E-3</v>
      </c>
      <c r="P416" s="31">
        <v>1.6E-2</v>
      </c>
      <c r="Q416" s="23" t="s">
        <v>24</v>
      </c>
      <c r="R416" s="23">
        <v>0</v>
      </c>
      <c r="S416" s="23">
        <v>43.31</v>
      </c>
      <c r="U416" s="47">
        <f>VLOOKUP(AU416,[1]expiry_dates!$B$2:$C$2894,2,FALSE)</f>
        <v>43797</v>
      </c>
      <c r="V416" s="23" t="s">
        <v>118</v>
      </c>
      <c r="W416" s="23" t="s">
        <v>23</v>
      </c>
      <c r="X416" s="49">
        <v>43797.510416666664</v>
      </c>
      <c r="Y416" s="23">
        <v>0.1</v>
      </c>
      <c r="Z416" s="23">
        <v>43797.6875</v>
      </c>
      <c r="AA416" s="23">
        <v>0.05</v>
      </c>
      <c r="AB416" s="23">
        <v>-0.5</v>
      </c>
      <c r="AC416" s="23">
        <v>28394</v>
      </c>
      <c r="AD416" s="23">
        <v>0.5</v>
      </c>
      <c r="AE416" s="23">
        <v>567880</v>
      </c>
      <c r="AF416" s="23">
        <v>56788</v>
      </c>
      <c r="AG416" s="23">
        <v>1348135.56</v>
      </c>
      <c r="AH416" s="23">
        <v>15</v>
      </c>
      <c r="AI416" s="23">
        <v>1892.93</v>
      </c>
      <c r="AJ416" s="23">
        <v>-0.5</v>
      </c>
      <c r="AK416" s="23">
        <v>0.5</v>
      </c>
      <c r="AL416" s="23" t="s">
        <v>24</v>
      </c>
      <c r="AM416" s="23">
        <v>43.65</v>
      </c>
      <c r="AN416" s="23">
        <v>32110.55</v>
      </c>
      <c r="AO416" s="23">
        <v>43.31</v>
      </c>
      <c r="AP416" s="23">
        <v>0</v>
      </c>
      <c r="AR416" s="46"/>
      <c r="AS416" s="44"/>
      <c r="AT416" s="45"/>
      <c r="AU416" s="2">
        <v>43797</v>
      </c>
      <c r="AV416" s="52">
        <v>0.51041666666666663</v>
      </c>
      <c r="AW416" s="2" t="s">
        <v>213</v>
      </c>
      <c r="AY416" s="3"/>
      <c r="BA416" s="3"/>
      <c r="BG416" s="3"/>
      <c r="BH416" s="3"/>
    </row>
    <row r="417" spans="1:60">
      <c r="A417" s="23" t="s">
        <v>22</v>
      </c>
      <c r="B417" s="23" t="s">
        <v>25</v>
      </c>
      <c r="C417" s="27">
        <v>43798.385416666664</v>
      </c>
      <c r="D417" s="23">
        <v>45</v>
      </c>
      <c r="E417" s="27">
        <v>43798.583333333336</v>
      </c>
      <c r="F417" s="23">
        <v>46.6</v>
      </c>
      <c r="G417" s="31">
        <v>3.56E-2</v>
      </c>
      <c r="H417" s="23">
        <v>1782.04</v>
      </c>
      <c r="I417" s="31">
        <v>3.56E-2</v>
      </c>
      <c r="J417" s="23">
        <v>1113.7760000000001</v>
      </c>
      <c r="K417" s="23">
        <v>50119.9</v>
      </c>
      <c r="L417" s="23">
        <v>25761.15</v>
      </c>
      <c r="M417" s="23">
        <v>20</v>
      </c>
      <c r="N417" s="23">
        <v>89.1</v>
      </c>
      <c r="O417" s="31">
        <v>-1.5599999999999999E-2</v>
      </c>
      <c r="P417" s="31">
        <v>6.5600000000000006E-2</v>
      </c>
      <c r="Q417" s="23" t="s">
        <v>24</v>
      </c>
      <c r="R417" s="23">
        <v>0</v>
      </c>
      <c r="S417" s="23">
        <v>43.83</v>
      </c>
      <c r="U417" s="47">
        <f>VLOOKUP(AU417,[1]expiry_dates!$B$2:$C$2894,2,FALSE)</f>
        <v>43825</v>
      </c>
      <c r="V417" s="23" t="s">
        <v>109</v>
      </c>
      <c r="W417" s="23" t="s">
        <v>23</v>
      </c>
      <c r="X417" s="49">
        <v>43798.385416666664</v>
      </c>
      <c r="Y417" s="23">
        <v>1.9</v>
      </c>
      <c r="Z417" s="23">
        <v>43798.583333333336</v>
      </c>
      <c r="AA417" s="23">
        <v>1.35</v>
      </c>
      <c r="AB417" s="23">
        <v>-0.28949999999999998</v>
      </c>
      <c r="AC417" s="23">
        <v>16424.93</v>
      </c>
      <c r="AD417" s="23">
        <v>0.28949999999999998</v>
      </c>
      <c r="AE417" s="23">
        <v>29863.52</v>
      </c>
      <c r="AF417" s="23">
        <v>56740.68</v>
      </c>
      <c r="AG417" s="23">
        <v>1364560.49</v>
      </c>
      <c r="AH417" s="23">
        <v>20</v>
      </c>
      <c r="AI417" s="23">
        <v>821.25</v>
      </c>
      <c r="AJ417" s="23">
        <v>-0.1842</v>
      </c>
      <c r="AK417" s="23">
        <v>0.44740000000000002</v>
      </c>
      <c r="AL417" s="23" t="s">
        <v>24</v>
      </c>
      <c r="AM417" s="23">
        <v>45</v>
      </c>
      <c r="AN417" s="23">
        <v>32012.95</v>
      </c>
      <c r="AO417" s="23">
        <v>43.83</v>
      </c>
      <c r="AP417" s="23">
        <v>0</v>
      </c>
      <c r="AR417" s="46"/>
      <c r="AS417" s="44"/>
      <c r="AT417" s="45"/>
      <c r="AU417" s="2">
        <v>43798</v>
      </c>
      <c r="AV417" s="52">
        <v>0.38541666666666669</v>
      </c>
      <c r="AW417" s="2" t="s">
        <v>212</v>
      </c>
      <c r="AY417" s="3"/>
      <c r="BA417" s="3"/>
      <c r="BG417" s="3"/>
      <c r="BH417" s="3"/>
    </row>
    <row r="418" spans="1:60">
      <c r="A418" s="23" t="s">
        <v>22</v>
      </c>
      <c r="B418" s="23" t="s">
        <v>23</v>
      </c>
      <c r="C418" s="27">
        <v>43798.583333333336</v>
      </c>
      <c r="D418" s="23">
        <v>46.6</v>
      </c>
      <c r="E418" s="27">
        <v>43801.385416666664</v>
      </c>
      <c r="F418" s="23">
        <v>47.5</v>
      </c>
      <c r="G418" s="31">
        <v>1.9300000000000001E-2</v>
      </c>
      <c r="H418" s="23">
        <v>-968.2</v>
      </c>
      <c r="I418" s="31">
        <v>-1.9300000000000001E-2</v>
      </c>
      <c r="J418" s="23">
        <v>1075.779</v>
      </c>
      <c r="K418" s="23">
        <v>50131.31</v>
      </c>
      <c r="L418" s="23">
        <v>24792.95</v>
      </c>
      <c r="M418" s="23">
        <v>10</v>
      </c>
      <c r="N418" s="23">
        <v>-96.82</v>
      </c>
      <c r="O418" s="31">
        <v>-1.9300000000000001E-2</v>
      </c>
      <c r="P418" s="31">
        <v>7.4999999999999997E-3</v>
      </c>
      <c r="Q418" s="23" t="s">
        <v>24</v>
      </c>
      <c r="R418" s="23">
        <v>0</v>
      </c>
      <c r="S418" s="23">
        <v>47.95</v>
      </c>
      <c r="U418" s="47">
        <f>VLOOKUP(AU418,[1]expiry_dates!$B$2:$C$2894,2,FALSE)</f>
        <v>43825</v>
      </c>
      <c r="V418" s="23" t="s">
        <v>104</v>
      </c>
      <c r="W418" s="23" t="s">
        <v>23</v>
      </c>
      <c r="X418" s="49">
        <v>43798.583333333336</v>
      </c>
      <c r="Y418" s="23">
        <v>2</v>
      </c>
      <c r="Z418" s="23">
        <v>43801.385416666664</v>
      </c>
      <c r="AA418" s="23">
        <v>2.4500000000000002</v>
      </c>
      <c r="AB418" s="23">
        <v>0.22500000000000001</v>
      </c>
      <c r="AC418" s="23">
        <v>-12790.17</v>
      </c>
      <c r="AD418" s="23">
        <v>-0.22500000000000001</v>
      </c>
      <c r="AE418" s="23">
        <v>28422.6</v>
      </c>
      <c r="AF418" s="23">
        <v>56845.2</v>
      </c>
      <c r="AG418" s="23">
        <v>1351770.32</v>
      </c>
      <c r="AH418" s="23">
        <v>10</v>
      </c>
      <c r="AI418" s="23">
        <v>-1279.02</v>
      </c>
      <c r="AJ418" s="23">
        <v>-0.22500000000000001</v>
      </c>
      <c r="AK418" s="23">
        <v>0.05</v>
      </c>
      <c r="AL418" s="23" t="s">
        <v>24</v>
      </c>
      <c r="AM418" s="23">
        <v>46.6</v>
      </c>
      <c r="AN418" s="23">
        <v>31823.65</v>
      </c>
      <c r="AO418" s="23">
        <v>47.95</v>
      </c>
      <c r="AP418" s="23">
        <v>0</v>
      </c>
      <c r="AR418" s="46"/>
      <c r="AS418" s="44"/>
      <c r="AT418" s="45"/>
      <c r="AU418" s="2">
        <v>43798</v>
      </c>
      <c r="AV418" s="52">
        <v>8.3333333333333329E-2</v>
      </c>
      <c r="AW418" s="2" t="s">
        <v>213</v>
      </c>
      <c r="AY418" s="3"/>
      <c r="BA418" s="3"/>
      <c r="BG418" s="3"/>
      <c r="BH418" s="3"/>
    </row>
    <row r="419" spans="1:60">
      <c r="A419" s="23" t="s">
        <v>22</v>
      </c>
      <c r="B419" s="23" t="s">
        <v>25</v>
      </c>
      <c r="C419" s="27">
        <v>43801.385416666664</v>
      </c>
      <c r="D419" s="23">
        <v>47.5</v>
      </c>
      <c r="E419" s="27">
        <v>43801.416666666664</v>
      </c>
      <c r="F419" s="23">
        <v>46.45</v>
      </c>
      <c r="G419" s="31">
        <v>-2.2100000000000002E-2</v>
      </c>
      <c r="H419" s="23">
        <v>-1108.06</v>
      </c>
      <c r="I419" s="31">
        <v>-2.2100000000000002E-2</v>
      </c>
      <c r="J419" s="23">
        <v>1055.298</v>
      </c>
      <c r="K419" s="23">
        <v>50126.65</v>
      </c>
      <c r="L419" s="23">
        <v>23684.89</v>
      </c>
      <c r="M419" s="23">
        <v>4</v>
      </c>
      <c r="N419" s="23">
        <v>-277.02</v>
      </c>
      <c r="O419" s="31">
        <v>-2.2100000000000002E-2</v>
      </c>
      <c r="P419" s="31">
        <v>3.2000000000000002E-3</v>
      </c>
      <c r="Q419" s="23" t="s">
        <v>24</v>
      </c>
      <c r="R419" s="23">
        <v>0</v>
      </c>
      <c r="S419" s="23">
        <v>46.31</v>
      </c>
      <c r="U419" s="47">
        <f>VLOOKUP(AU419,[1]expiry_dates!$B$2:$C$2894,2,FALSE)</f>
        <v>43825</v>
      </c>
      <c r="V419" s="23" t="s">
        <v>108</v>
      </c>
      <c r="W419" s="23" t="s">
        <v>23</v>
      </c>
      <c r="X419" s="49">
        <v>43801.385416666664</v>
      </c>
      <c r="Y419" s="23">
        <v>2.65</v>
      </c>
      <c r="Z419" s="23">
        <v>43801.416666666664</v>
      </c>
      <c r="AA419" s="23">
        <v>3.25</v>
      </c>
      <c r="AB419" s="23">
        <v>0.22639999999999999</v>
      </c>
      <c r="AC419" s="23">
        <v>-12859.1</v>
      </c>
      <c r="AD419" s="23">
        <v>-0.22639999999999999</v>
      </c>
      <c r="AE419" s="23">
        <v>21431.84</v>
      </c>
      <c r="AF419" s="23">
        <v>56794.38</v>
      </c>
      <c r="AG419" s="23">
        <v>1338911.22</v>
      </c>
      <c r="AH419" s="23">
        <v>4</v>
      </c>
      <c r="AI419" s="23">
        <v>-3214.78</v>
      </c>
      <c r="AJ419" s="23">
        <v>-0.22639999999999999</v>
      </c>
      <c r="AK419" s="23">
        <v>5.6599999999999998E-2</v>
      </c>
      <c r="AL419" s="23" t="s">
        <v>24</v>
      </c>
      <c r="AM419" s="23">
        <v>47.5</v>
      </c>
      <c r="AN419" s="23">
        <v>31891.25</v>
      </c>
      <c r="AO419" s="23">
        <v>46.31</v>
      </c>
      <c r="AP419" s="23">
        <v>0</v>
      </c>
      <c r="AR419" s="46"/>
      <c r="AS419" s="44"/>
      <c r="AT419" s="45"/>
      <c r="AU419" s="2">
        <v>43801</v>
      </c>
      <c r="AV419" s="52">
        <v>0.38541666666666669</v>
      </c>
      <c r="AW419" s="2" t="s">
        <v>212</v>
      </c>
      <c r="AY419" s="3"/>
      <c r="BA419" s="3"/>
      <c r="BG419" s="3"/>
      <c r="BH419" s="3"/>
    </row>
    <row r="420" spans="1:60">
      <c r="A420" s="23" t="s">
        <v>22</v>
      </c>
      <c r="B420" s="23" t="s">
        <v>23</v>
      </c>
      <c r="C420" s="27">
        <v>43801.416666666664</v>
      </c>
      <c r="D420" s="23">
        <v>46.45</v>
      </c>
      <c r="E420" s="27">
        <v>43801.552083333336</v>
      </c>
      <c r="F420" s="23">
        <v>46.6</v>
      </c>
      <c r="G420" s="31">
        <v>3.2000000000000002E-3</v>
      </c>
      <c r="H420" s="23">
        <v>-161.85</v>
      </c>
      <c r="I420" s="31">
        <v>-3.2000000000000002E-3</v>
      </c>
      <c r="J420" s="23">
        <v>1078.9929999999999</v>
      </c>
      <c r="K420" s="23">
        <v>50119.21</v>
      </c>
      <c r="L420" s="23">
        <v>23523.040000000001</v>
      </c>
      <c r="M420" s="23">
        <v>14</v>
      </c>
      <c r="N420" s="23">
        <v>-11.56</v>
      </c>
      <c r="O420" s="31">
        <v>-1.18E-2</v>
      </c>
      <c r="P420" s="31">
        <v>1.29E-2</v>
      </c>
      <c r="Q420" s="23" t="s">
        <v>24</v>
      </c>
      <c r="R420" s="23">
        <v>0</v>
      </c>
      <c r="S420" s="23">
        <v>47.59</v>
      </c>
      <c r="U420" s="47">
        <f>VLOOKUP(AU420,[1]expiry_dates!$B$2:$C$2894,2,FALSE)</f>
        <v>43825</v>
      </c>
      <c r="V420" s="23" t="s">
        <v>110</v>
      </c>
      <c r="W420" s="23" t="s">
        <v>23</v>
      </c>
      <c r="X420" s="49">
        <v>43801.416666666664</v>
      </c>
      <c r="Y420" s="23">
        <v>2.4500000000000002</v>
      </c>
      <c r="Z420" s="23">
        <v>43801.552083333336</v>
      </c>
      <c r="AA420" s="23">
        <v>2.5499999999999998</v>
      </c>
      <c r="AB420" s="23">
        <v>4.0800000000000003E-2</v>
      </c>
      <c r="AC420" s="23">
        <v>-2315.16</v>
      </c>
      <c r="AD420" s="23">
        <v>-4.0800000000000003E-2</v>
      </c>
      <c r="AE420" s="23">
        <v>23151.57</v>
      </c>
      <c r="AF420" s="23">
        <v>56721.34</v>
      </c>
      <c r="AG420" s="23">
        <v>1336596.06</v>
      </c>
      <c r="AH420" s="23">
        <v>14</v>
      </c>
      <c r="AI420" s="23">
        <v>-165.37</v>
      </c>
      <c r="AJ420" s="23">
        <v>-0.12239999999999999</v>
      </c>
      <c r="AK420" s="23">
        <v>0.1429</v>
      </c>
      <c r="AL420" s="23" t="s">
        <v>24</v>
      </c>
      <c r="AM420" s="23">
        <v>46.45</v>
      </c>
      <c r="AN420" s="23">
        <v>31893</v>
      </c>
      <c r="AO420" s="23">
        <v>47.59</v>
      </c>
      <c r="AP420" s="23">
        <v>0</v>
      </c>
      <c r="AR420" s="46"/>
      <c r="AS420" s="44"/>
      <c r="AT420" s="45"/>
      <c r="AU420" s="2">
        <v>43801</v>
      </c>
      <c r="AV420" s="52">
        <v>0.41666666666666669</v>
      </c>
      <c r="AW420" s="2" t="s">
        <v>212</v>
      </c>
      <c r="AY420" s="3"/>
      <c r="BA420" s="3"/>
      <c r="BG420" s="3"/>
      <c r="BH420" s="3"/>
    </row>
    <row r="421" spans="1:60">
      <c r="A421" s="23" t="s">
        <v>22</v>
      </c>
      <c r="B421" s="23" t="s">
        <v>25</v>
      </c>
      <c r="C421" s="27">
        <v>43801.552083333336</v>
      </c>
      <c r="D421" s="23">
        <v>46.6</v>
      </c>
      <c r="E421" s="27">
        <v>43802.395833333336</v>
      </c>
      <c r="F421" s="23">
        <v>46.5</v>
      </c>
      <c r="G421" s="31">
        <v>-2.0999999999999999E-3</v>
      </c>
      <c r="H421" s="23">
        <v>-107.55</v>
      </c>
      <c r="I421" s="31">
        <v>-2.0999999999999999E-3</v>
      </c>
      <c r="J421" s="23">
        <v>1075.4849999999999</v>
      </c>
      <c r="K421" s="23">
        <v>50117.62</v>
      </c>
      <c r="L421" s="23">
        <v>23415.49</v>
      </c>
      <c r="M421" s="23">
        <v>14</v>
      </c>
      <c r="N421" s="23">
        <v>-7.68</v>
      </c>
      <c r="O421" s="31">
        <v>-2.0999999999999999E-3</v>
      </c>
      <c r="P421" s="31">
        <v>1.29E-2</v>
      </c>
      <c r="Q421" s="23" t="s">
        <v>24</v>
      </c>
      <c r="R421" s="23">
        <v>0</v>
      </c>
      <c r="S421" s="23">
        <v>45.89</v>
      </c>
      <c r="U421" s="47">
        <f>VLOOKUP(AU421,[1]expiry_dates!$B$2:$C$2894,2,FALSE)</f>
        <v>43825</v>
      </c>
      <c r="V421" s="23" t="s">
        <v>115</v>
      </c>
      <c r="W421" s="23" t="s">
        <v>23</v>
      </c>
      <c r="X421" s="49">
        <v>43801.552083333336</v>
      </c>
      <c r="Y421" s="23">
        <v>0.5</v>
      </c>
      <c r="Z421" s="23">
        <v>43802.395833333336</v>
      </c>
      <c r="AA421" s="23">
        <v>0.4</v>
      </c>
      <c r="AB421" s="23">
        <v>-0.2</v>
      </c>
      <c r="AC421" s="23">
        <v>11336.6</v>
      </c>
      <c r="AD421" s="23">
        <v>0.2</v>
      </c>
      <c r="AE421" s="23">
        <v>113366</v>
      </c>
      <c r="AF421" s="23">
        <v>56682.98</v>
      </c>
      <c r="AG421" s="23">
        <v>1347932.66</v>
      </c>
      <c r="AH421" s="23">
        <v>14</v>
      </c>
      <c r="AI421" s="23">
        <v>809.76</v>
      </c>
      <c r="AJ421" s="23">
        <v>0</v>
      </c>
      <c r="AK421" s="23">
        <v>0.2</v>
      </c>
      <c r="AL421" s="23" t="s">
        <v>24</v>
      </c>
      <c r="AM421" s="23">
        <v>46.6</v>
      </c>
      <c r="AN421" s="23">
        <v>31770.75</v>
      </c>
      <c r="AO421" s="23">
        <v>45.89</v>
      </c>
      <c r="AP421" s="23">
        <v>0</v>
      </c>
      <c r="AR421" s="46"/>
      <c r="AS421" s="44"/>
      <c r="AT421" s="45"/>
      <c r="AU421" s="2">
        <v>43801</v>
      </c>
      <c r="AV421" s="52">
        <v>5.2083333333333336E-2</v>
      </c>
      <c r="AW421" s="2" t="s">
        <v>213</v>
      </c>
      <c r="AY421" s="3"/>
      <c r="BA421" s="3"/>
      <c r="BG421" s="3"/>
      <c r="BH421" s="3"/>
    </row>
    <row r="422" spans="1:60">
      <c r="A422" s="23" t="s">
        <v>22</v>
      </c>
      <c r="B422" s="23" t="s">
        <v>23</v>
      </c>
      <c r="C422" s="27">
        <v>43802.395833333336</v>
      </c>
      <c r="D422" s="23">
        <v>46.5</v>
      </c>
      <c r="E422" s="27">
        <v>43803.395833333336</v>
      </c>
      <c r="F422" s="23">
        <v>45.6</v>
      </c>
      <c r="G422" s="31">
        <v>-1.9400000000000001E-2</v>
      </c>
      <c r="H422" s="23">
        <v>970.04</v>
      </c>
      <c r="I422" s="31">
        <v>1.9400000000000001E-2</v>
      </c>
      <c r="J422" s="23">
        <v>1077.827</v>
      </c>
      <c r="K422" s="23">
        <v>50118.96</v>
      </c>
      <c r="L422" s="23">
        <v>24385.54</v>
      </c>
      <c r="M422" s="23">
        <v>29</v>
      </c>
      <c r="N422" s="23">
        <v>33.450000000000003</v>
      </c>
      <c r="O422" s="31">
        <v>-7.4999999999999997E-3</v>
      </c>
      <c r="P422" s="31">
        <v>4.41E-2</v>
      </c>
      <c r="Q422" s="23" t="s">
        <v>24</v>
      </c>
      <c r="R422" s="23">
        <v>0</v>
      </c>
      <c r="S422" s="23">
        <v>47.2</v>
      </c>
      <c r="U422" s="47">
        <f>VLOOKUP(AU422,[1]expiry_dates!$B$2:$C$2894,2,FALSE)</f>
        <v>43825</v>
      </c>
      <c r="V422" s="23" t="s">
        <v>110</v>
      </c>
      <c r="W422" s="23" t="s">
        <v>23</v>
      </c>
      <c r="X422" s="49">
        <v>43802.395833333336</v>
      </c>
      <c r="Y422" s="23">
        <v>2.4</v>
      </c>
      <c r="Z422" s="23">
        <v>43803.395833333336</v>
      </c>
      <c r="AA422" s="23">
        <v>1.65</v>
      </c>
      <c r="AB422" s="23">
        <v>-0.3125</v>
      </c>
      <c r="AC422" s="23">
        <v>17731.14</v>
      </c>
      <c r="AD422" s="23">
        <v>0.3125</v>
      </c>
      <c r="AE422" s="23">
        <v>23641.53</v>
      </c>
      <c r="AF422" s="23">
        <v>56739.66</v>
      </c>
      <c r="AG422" s="23">
        <v>1365663.8</v>
      </c>
      <c r="AH422" s="23">
        <v>29</v>
      </c>
      <c r="AI422" s="23">
        <v>611.41999999999996</v>
      </c>
      <c r="AJ422" s="23">
        <v>0</v>
      </c>
      <c r="AK422" s="23">
        <v>0.4375</v>
      </c>
      <c r="AL422" s="23" t="s">
        <v>24</v>
      </c>
      <c r="AM422" s="23">
        <v>46.5</v>
      </c>
      <c r="AN422" s="23">
        <v>31779.5</v>
      </c>
      <c r="AO422" s="23">
        <v>47.2</v>
      </c>
      <c r="AP422" s="23">
        <v>0</v>
      </c>
      <c r="AR422" s="46"/>
      <c r="AS422" s="44"/>
      <c r="AT422" s="45"/>
      <c r="AU422" s="2">
        <v>43802</v>
      </c>
      <c r="AV422" s="52">
        <v>0.39583333333333331</v>
      </c>
      <c r="AW422" s="2" t="s">
        <v>212</v>
      </c>
      <c r="AY422" s="3"/>
      <c r="BA422" s="3"/>
      <c r="BG422" s="3"/>
      <c r="BH422" s="3"/>
    </row>
    <row r="423" spans="1:60">
      <c r="A423" s="23" t="s">
        <v>22</v>
      </c>
      <c r="B423" s="23" t="s">
        <v>25</v>
      </c>
      <c r="C423" s="27">
        <v>43803.395833333336</v>
      </c>
      <c r="D423" s="23">
        <v>45.6</v>
      </c>
      <c r="E423" s="27">
        <v>43803.489583333336</v>
      </c>
      <c r="F423" s="23">
        <v>45.35</v>
      </c>
      <c r="G423" s="31">
        <v>-5.4999999999999997E-3</v>
      </c>
      <c r="H423" s="23">
        <v>-274.81</v>
      </c>
      <c r="I423" s="31">
        <v>-5.4999999999999997E-3</v>
      </c>
      <c r="J423" s="23">
        <v>1099.248</v>
      </c>
      <c r="K423" s="23">
        <v>50125.7</v>
      </c>
      <c r="L423" s="23">
        <v>24110.720000000001</v>
      </c>
      <c r="M423" s="23">
        <v>10</v>
      </c>
      <c r="N423" s="23">
        <v>-27.48</v>
      </c>
      <c r="O423" s="31">
        <v>-1.7500000000000002E-2</v>
      </c>
      <c r="P423" s="31">
        <v>8.8000000000000005E-3</v>
      </c>
      <c r="Q423" s="23" t="s">
        <v>24</v>
      </c>
      <c r="R423" s="23">
        <v>0</v>
      </c>
      <c r="S423" s="23">
        <v>44.45</v>
      </c>
      <c r="U423" s="47">
        <f>VLOOKUP(AU423,[1]expiry_dates!$B$2:$C$2894,2,FALSE)</f>
        <v>43825</v>
      </c>
      <c r="V423" s="23" t="s">
        <v>107</v>
      </c>
      <c r="W423" s="23" t="s">
        <v>23</v>
      </c>
      <c r="X423" s="49">
        <v>43803.395833333336</v>
      </c>
      <c r="Y423" s="23">
        <v>2.0499999999999998</v>
      </c>
      <c r="Z423" s="23">
        <v>43803.489583333336</v>
      </c>
      <c r="AA423" s="23">
        <v>2.1</v>
      </c>
      <c r="AB423" s="23">
        <v>2.4400000000000002E-2</v>
      </c>
      <c r="AC423" s="23">
        <v>-1386.63</v>
      </c>
      <c r="AD423" s="23">
        <v>-2.4400000000000002E-2</v>
      </c>
      <c r="AE423" s="23">
        <v>27732.66</v>
      </c>
      <c r="AF423" s="23">
        <v>56851.96</v>
      </c>
      <c r="AG423" s="23">
        <v>1364277.17</v>
      </c>
      <c r="AH423" s="23">
        <v>10</v>
      </c>
      <c r="AI423" s="23">
        <v>-138.66</v>
      </c>
      <c r="AJ423" s="23">
        <v>-0.14630000000000001</v>
      </c>
      <c r="AK423" s="23">
        <v>0.122</v>
      </c>
      <c r="AL423" s="23" t="s">
        <v>24</v>
      </c>
      <c r="AM423" s="23">
        <v>45.6</v>
      </c>
      <c r="AN423" s="23">
        <v>31639.85</v>
      </c>
      <c r="AO423" s="23">
        <v>44.45</v>
      </c>
      <c r="AP423" s="23">
        <v>0</v>
      </c>
      <c r="AR423" s="46"/>
      <c r="AS423" s="44"/>
      <c r="AT423" s="45"/>
      <c r="AU423" s="2">
        <v>43803</v>
      </c>
      <c r="AV423" s="52">
        <v>0.39583333333333331</v>
      </c>
      <c r="AW423" s="2" t="s">
        <v>212</v>
      </c>
      <c r="AY423" s="3"/>
      <c r="BA423" s="3"/>
      <c r="BG423" s="3"/>
      <c r="BH423" s="3"/>
    </row>
    <row r="424" spans="1:60">
      <c r="A424" s="23" t="s">
        <v>22</v>
      </c>
      <c r="B424" s="23" t="s">
        <v>23</v>
      </c>
      <c r="C424" s="27">
        <v>43803.489583333336</v>
      </c>
      <c r="D424" s="23">
        <v>45.35</v>
      </c>
      <c r="E424" s="27">
        <v>43803.572916666664</v>
      </c>
      <c r="F424" s="23">
        <v>45.35</v>
      </c>
      <c r="G424" s="31">
        <v>0</v>
      </c>
      <c r="H424" s="23">
        <v>0</v>
      </c>
      <c r="I424" s="31">
        <v>0</v>
      </c>
      <c r="J424" s="23">
        <v>1105.1759999999999</v>
      </c>
      <c r="K424" s="23">
        <v>50119.73</v>
      </c>
      <c r="L424" s="23">
        <v>24110.720000000001</v>
      </c>
      <c r="M424" s="23">
        <v>9</v>
      </c>
      <c r="N424" s="23">
        <v>0</v>
      </c>
      <c r="O424" s="31">
        <v>-1.1000000000000001E-3</v>
      </c>
      <c r="P424" s="31">
        <v>2.0899999999999998E-2</v>
      </c>
      <c r="Q424" s="23" t="s">
        <v>24</v>
      </c>
      <c r="R424" s="23">
        <v>0</v>
      </c>
      <c r="S424" s="23">
        <v>45.98</v>
      </c>
      <c r="U424" s="47">
        <f>VLOOKUP(AU424,[1]expiry_dates!$B$2:$C$2894,2,FALSE)</f>
        <v>43825</v>
      </c>
      <c r="V424" s="23" t="s">
        <v>112</v>
      </c>
      <c r="W424" s="23" t="s">
        <v>23</v>
      </c>
      <c r="X424" s="49">
        <v>43803.489583333336</v>
      </c>
      <c r="Y424" s="23">
        <v>1.9</v>
      </c>
      <c r="Z424" s="23">
        <v>43803.572916666664</v>
      </c>
      <c r="AA424" s="23">
        <v>1.95</v>
      </c>
      <c r="AB424" s="23">
        <v>2.63E-2</v>
      </c>
      <c r="AC424" s="23">
        <v>-1495.3</v>
      </c>
      <c r="AD424" s="23">
        <v>-2.63E-2</v>
      </c>
      <c r="AE424" s="23">
        <v>29905.99</v>
      </c>
      <c r="AF424" s="23">
        <v>56821.38</v>
      </c>
      <c r="AG424" s="23">
        <v>1362781.87</v>
      </c>
      <c r="AH424" s="23">
        <v>9</v>
      </c>
      <c r="AI424" s="23">
        <v>-166.14</v>
      </c>
      <c r="AJ424" s="23">
        <v>-2.63E-2</v>
      </c>
      <c r="AK424" s="23">
        <v>0.1842</v>
      </c>
      <c r="AL424" s="23" t="s">
        <v>24</v>
      </c>
      <c r="AM424" s="23">
        <v>45.35</v>
      </c>
      <c r="AN424" s="23">
        <v>31774.65</v>
      </c>
      <c r="AO424" s="23">
        <v>45.98</v>
      </c>
      <c r="AP424" s="23">
        <v>0</v>
      </c>
      <c r="AR424" s="46"/>
      <c r="AS424" s="44"/>
      <c r="AT424" s="45"/>
      <c r="AU424" s="2">
        <v>43803</v>
      </c>
      <c r="AV424" s="52">
        <v>0.48958333333333331</v>
      </c>
      <c r="AW424" s="2" t="s">
        <v>212</v>
      </c>
      <c r="AY424" s="3"/>
      <c r="BA424" s="3"/>
      <c r="BG424" s="3"/>
      <c r="BH424" s="3"/>
    </row>
    <row r="425" spans="1:60">
      <c r="A425" s="23" t="s">
        <v>22</v>
      </c>
      <c r="B425" s="23" t="s">
        <v>25</v>
      </c>
      <c r="C425" s="27">
        <v>43803.572916666664</v>
      </c>
      <c r="D425" s="23">
        <v>45.35</v>
      </c>
      <c r="E425" s="27">
        <v>43804.479166666664</v>
      </c>
      <c r="F425" s="23">
        <v>45.45</v>
      </c>
      <c r="G425" s="31">
        <v>2.2000000000000001E-3</v>
      </c>
      <c r="H425" s="23">
        <v>110.52</v>
      </c>
      <c r="I425" s="31">
        <v>2.2000000000000001E-3</v>
      </c>
      <c r="J425" s="23">
        <v>1105.212</v>
      </c>
      <c r="K425" s="23">
        <v>50121.38</v>
      </c>
      <c r="L425" s="23">
        <v>24221.24</v>
      </c>
      <c r="M425" s="23">
        <v>20</v>
      </c>
      <c r="N425" s="23">
        <v>5.53</v>
      </c>
      <c r="O425" s="31">
        <v>-7.7000000000000002E-3</v>
      </c>
      <c r="P425" s="31">
        <v>1.43E-2</v>
      </c>
      <c r="Q425" s="23" t="s">
        <v>24</v>
      </c>
      <c r="R425" s="23">
        <v>0</v>
      </c>
      <c r="S425" s="23">
        <v>44.45</v>
      </c>
      <c r="U425" s="47">
        <f>VLOOKUP(AU425,[1]expiry_dates!$B$2:$C$2894,2,FALSE)</f>
        <v>43825</v>
      </c>
      <c r="V425" s="23" t="s">
        <v>111</v>
      </c>
      <c r="W425" s="23" t="s">
        <v>23</v>
      </c>
      <c r="X425" s="49">
        <v>43803.572916666664</v>
      </c>
      <c r="Y425" s="23">
        <v>1.05</v>
      </c>
      <c r="Z425" s="23">
        <v>43804.479166666664</v>
      </c>
      <c r="AA425" s="23">
        <v>1</v>
      </c>
      <c r="AB425" s="23">
        <v>-4.7600000000000003E-2</v>
      </c>
      <c r="AC425" s="23">
        <v>2706.14</v>
      </c>
      <c r="AD425" s="23">
        <v>4.7600000000000003E-2</v>
      </c>
      <c r="AE425" s="23">
        <v>54122.73</v>
      </c>
      <c r="AF425" s="23">
        <v>56828.86</v>
      </c>
      <c r="AG425" s="23">
        <v>1365488.01</v>
      </c>
      <c r="AH425" s="23">
        <v>20</v>
      </c>
      <c r="AI425" s="23">
        <v>135.31</v>
      </c>
      <c r="AJ425" s="23">
        <v>-4.7600000000000003E-2</v>
      </c>
      <c r="AK425" s="23">
        <v>0.1905</v>
      </c>
      <c r="AL425" s="23" t="s">
        <v>24</v>
      </c>
      <c r="AM425" s="23">
        <v>45.35</v>
      </c>
      <c r="AN425" s="23">
        <v>31689.15</v>
      </c>
      <c r="AO425" s="23">
        <v>44.45</v>
      </c>
      <c r="AP425" s="23">
        <v>0</v>
      </c>
      <c r="AR425" s="46"/>
      <c r="AS425" s="44"/>
      <c r="AT425" s="45"/>
      <c r="AU425" s="2">
        <v>43803</v>
      </c>
      <c r="AV425" s="52">
        <v>7.2916666666666671E-2</v>
      </c>
      <c r="AW425" s="2" t="s">
        <v>213</v>
      </c>
      <c r="AY425" s="3"/>
      <c r="BA425" s="3"/>
      <c r="BG425" s="3"/>
      <c r="BH425" s="3"/>
    </row>
    <row r="426" spans="1:60">
      <c r="A426" s="23" t="s">
        <v>22</v>
      </c>
      <c r="B426" s="23" t="s">
        <v>23</v>
      </c>
      <c r="C426" s="27">
        <v>43804.479166666664</v>
      </c>
      <c r="D426" s="23">
        <v>45.45</v>
      </c>
      <c r="E426" s="27">
        <v>43808.447916666664</v>
      </c>
      <c r="F426" s="23">
        <v>43.4</v>
      </c>
      <c r="G426" s="31">
        <v>-4.5100000000000001E-2</v>
      </c>
      <c r="H426" s="23">
        <v>2260.69</v>
      </c>
      <c r="I426" s="31">
        <v>4.5100000000000001E-2</v>
      </c>
      <c r="J426" s="23">
        <v>1102.7750000000001</v>
      </c>
      <c r="K426" s="23">
        <v>50121.1</v>
      </c>
      <c r="L426" s="23">
        <v>26481.93</v>
      </c>
      <c r="M426" s="23">
        <v>54</v>
      </c>
      <c r="N426" s="23">
        <v>41.86</v>
      </c>
      <c r="O426" s="31">
        <v>-1.1000000000000001E-3</v>
      </c>
      <c r="P426" s="31">
        <v>6.4899999999999999E-2</v>
      </c>
      <c r="Q426" s="23" t="s">
        <v>24</v>
      </c>
      <c r="R426" s="23">
        <v>0</v>
      </c>
      <c r="S426" s="23">
        <v>46</v>
      </c>
      <c r="U426" s="47">
        <f>VLOOKUP(AU426,[1]expiry_dates!$B$2:$C$2894,2,FALSE)</f>
        <v>43825</v>
      </c>
      <c r="V426" s="23" t="s">
        <v>112</v>
      </c>
      <c r="W426" s="23" t="s">
        <v>23</v>
      </c>
      <c r="X426" s="49">
        <v>43804.479166666664</v>
      </c>
      <c r="Y426" s="23">
        <v>1.95</v>
      </c>
      <c r="Z426" s="23">
        <v>43808.447916666664</v>
      </c>
      <c r="AA426" s="23">
        <v>0.95</v>
      </c>
      <c r="AB426" s="23">
        <v>-0.51280000000000003</v>
      </c>
      <c r="AC426" s="23">
        <v>29142.28</v>
      </c>
      <c r="AD426" s="23">
        <v>0.51280000000000003</v>
      </c>
      <c r="AE426" s="23">
        <v>29142.28</v>
      </c>
      <c r="AF426" s="23">
        <v>56827.44</v>
      </c>
      <c r="AG426" s="23">
        <v>1394630.28</v>
      </c>
      <c r="AH426" s="23">
        <v>54</v>
      </c>
      <c r="AI426" s="23">
        <v>539.66999999999996</v>
      </c>
      <c r="AJ426" s="23">
        <v>0</v>
      </c>
      <c r="AK426" s="23">
        <v>0.61539999999999995</v>
      </c>
      <c r="AL426" s="23" t="s">
        <v>24</v>
      </c>
      <c r="AM426" s="23">
        <v>45.45</v>
      </c>
      <c r="AN426" s="23">
        <v>32078.05</v>
      </c>
      <c r="AO426" s="23">
        <v>46</v>
      </c>
      <c r="AP426" s="23">
        <v>0</v>
      </c>
      <c r="AR426" s="46"/>
      <c r="AS426" s="44"/>
      <c r="AT426" s="45"/>
      <c r="AU426" s="2">
        <v>43804</v>
      </c>
      <c r="AV426" s="52">
        <v>0.47916666666666669</v>
      </c>
      <c r="AW426" s="2" t="s">
        <v>212</v>
      </c>
      <c r="AY426" s="3"/>
      <c r="BA426" s="3"/>
      <c r="BG426" s="3"/>
      <c r="BH426" s="3"/>
    </row>
    <row r="427" spans="1:60">
      <c r="A427" s="23" t="s">
        <v>22</v>
      </c>
      <c r="B427" s="23" t="s">
        <v>25</v>
      </c>
      <c r="C427" s="27">
        <v>43808.447916666664</v>
      </c>
      <c r="D427" s="23">
        <v>43.4</v>
      </c>
      <c r="E427" s="27">
        <v>43808.5625</v>
      </c>
      <c r="F427" s="23">
        <v>43.05</v>
      </c>
      <c r="G427" s="31">
        <v>-8.0999999999999996E-3</v>
      </c>
      <c r="H427" s="23">
        <v>-404.31</v>
      </c>
      <c r="I427" s="31">
        <v>-8.0999999999999996E-3</v>
      </c>
      <c r="J427" s="23">
        <v>1155.1690000000001</v>
      </c>
      <c r="K427" s="23">
        <v>50134.34</v>
      </c>
      <c r="L427" s="23">
        <v>26077.62</v>
      </c>
      <c r="M427" s="23">
        <v>12</v>
      </c>
      <c r="N427" s="23">
        <v>-33.69</v>
      </c>
      <c r="O427" s="31">
        <v>-9.1999999999999998E-3</v>
      </c>
      <c r="P427" s="31">
        <v>6.8999999999999999E-3</v>
      </c>
      <c r="Q427" s="23" t="s">
        <v>24</v>
      </c>
      <c r="R427" s="23">
        <v>0</v>
      </c>
      <c r="S427" s="23">
        <v>42.5</v>
      </c>
      <c r="U427" s="47">
        <f>VLOOKUP(AU427,[1]expiry_dates!$B$2:$C$2894,2,FALSE)</f>
        <v>43825</v>
      </c>
      <c r="V427" s="23" t="s">
        <v>118</v>
      </c>
      <c r="W427" s="23" t="s">
        <v>23</v>
      </c>
      <c r="X427" s="49">
        <v>43808.447916666664</v>
      </c>
      <c r="Y427" s="23">
        <v>1.3</v>
      </c>
      <c r="Z427" s="23">
        <v>43808.5625</v>
      </c>
      <c r="AA427" s="23">
        <v>1.3</v>
      </c>
      <c r="AB427" s="23">
        <v>0</v>
      </c>
      <c r="AC427" s="23">
        <v>0</v>
      </c>
      <c r="AD427" s="23">
        <v>0</v>
      </c>
      <c r="AE427" s="23">
        <v>43836.71</v>
      </c>
      <c r="AF427" s="23">
        <v>56987.72</v>
      </c>
      <c r="AG427" s="23">
        <v>1394630.28</v>
      </c>
      <c r="AH427" s="23">
        <v>12</v>
      </c>
      <c r="AI427" s="23">
        <v>0</v>
      </c>
      <c r="AJ427" s="23">
        <v>0</v>
      </c>
      <c r="AK427" s="23">
        <v>0.1154</v>
      </c>
      <c r="AL427" s="23" t="s">
        <v>24</v>
      </c>
      <c r="AM427" s="23">
        <v>43.4</v>
      </c>
      <c r="AN427" s="23">
        <v>31389.75</v>
      </c>
      <c r="AO427" s="23">
        <v>42.5</v>
      </c>
      <c r="AP427" s="23">
        <v>0</v>
      </c>
      <c r="AR427" s="46"/>
      <c r="AS427" s="44"/>
      <c r="AT427" s="45"/>
      <c r="AU427" s="2">
        <v>43808</v>
      </c>
      <c r="AV427" s="52">
        <v>0.44791666666666669</v>
      </c>
      <c r="AW427" s="2" t="s">
        <v>212</v>
      </c>
      <c r="AY427" s="3"/>
      <c r="BA427" s="3"/>
      <c r="BG427" s="3"/>
      <c r="BH427" s="3"/>
    </row>
    <row r="428" spans="1:60">
      <c r="A428" s="23" t="s">
        <v>22</v>
      </c>
      <c r="B428" s="23" t="s">
        <v>23</v>
      </c>
      <c r="C428" s="27">
        <v>43808.5625</v>
      </c>
      <c r="D428" s="23">
        <v>43.05</v>
      </c>
      <c r="E428" s="27">
        <v>43809.541666666664</v>
      </c>
      <c r="F428" s="23">
        <v>42.75</v>
      </c>
      <c r="G428" s="31">
        <v>-7.0000000000000001E-3</v>
      </c>
      <c r="H428" s="23">
        <v>349.35</v>
      </c>
      <c r="I428" s="31">
        <v>7.0000000000000001E-3</v>
      </c>
      <c r="J428" s="23">
        <v>1164.5029999999999</v>
      </c>
      <c r="K428" s="23">
        <v>50131.839999999997</v>
      </c>
      <c r="L428" s="23">
        <v>26426.97</v>
      </c>
      <c r="M428" s="23">
        <v>27</v>
      </c>
      <c r="N428" s="23">
        <v>12.94</v>
      </c>
      <c r="O428" s="31">
        <v>-5.7999999999999996E-3</v>
      </c>
      <c r="P428" s="31">
        <v>1.5100000000000001E-2</v>
      </c>
      <c r="Q428" s="23" t="s">
        <v>24</v>
      </c>
      <c r="R428" s="23">
        <v>0</v>
      </c>
      <c r="S428" s="23">
        <v>43.69</v>
      </c>
      <c r="U428" s="47">
        <f>VLOOKUP(AU428,[1]expiry_dates!$B$2:$C$2894,2,FALSE)</f>
        <v>43825</v>
      </c>
      <c r="V428" s="23" t="s">
        <v>114</v>
      </c>
      <c r="W428" s="23" t="s">
        <v>23</v>
      </c>
      <c r="X428" s="49">
        <v>43808.5625</v>
      </c>
      <c r="Y428" s="23">
        <v>1.55</v>
      </c>
      <c r="Z428" s="23">
        <v>43809.541666666664</v>
      </c>
      <c r="AA428" s="23">
        <v>1.3</v>
      </c>
      <c r="AB428" s="23">
        <v>-0.1613</v>
      </c>
      <c r="AC428" s="23">
        <v>9189.2199999999993</v>
      </c>
      <c r="AD428" s="23">
        <v>0.1613</v>
      </c>
      <c r="AE428" s="23">
        <v>36756.870000000003</v>
      </c>
      <c r="AF428" s="23">
        <v>56973.15</v>
      </c>
      <c r="AG428" s="23">
        <v>1403819.5</v>
      </c>
      <c r="AH428" s="23">
        <v>27</v>
      </c>
      <c r="AI428" s="23">
        <v>340.34</v>
      </c>
      <c r="AJ428" s="23">
        <v>-3.2300000000000002E-2</v>
      </c>
      <c r="AK428" s="23">
        <v>0.2903</v>
      </c>
      <c r="AL428" s="23" t="s">
        <v>24</v>
      </c>
      <c r="AM428" s="23">
        <v>43.05</v>
      </c>
      <c r="AN428" s="23">
        <v>31443.25</v>
      </c>
      <c r="AO428" s="23">
        <v>43.69</v>
      </c>
      <c r="AP428" s="23">
        <v>0</v>
      </c>
      <c r="AR428" s="46"/>
      <c r="AS428" s="44"/>
      <c r="AT428" s="45"/>
      <c r="AU428" s="2">
        <v>43808</v>
      </c>
      <c r="AV428" s="52">
        <v>6.25E-2</v>
      </c>
      <c r="AW428" s="2" t="s">
        <v>213</v>
      </c>
      <c r="AY428" s="3"/>
      <c r="BA428" s="3"/>
      <c r="BG428" s="3"/>
      <c r="BH428" s="3"/>
    </row>
    <row r="429" spans="1:60">
      <c r="A429" s="23" t="s">
        <v>22</v>
      </c>
      <c r="B429" s="23" t="s">
        <v>25</v>
      </c>
      <c r="C429" s="27">
        <v>43809.541666666664</v>
      </c>
      <c r="D429" s="23">
        <v>42.75</v>
      </c>
      <c r="E429" s="27">
        <v>43809.572916666664</v>
      </c>
      <c r="F429" s="23">
        <v>42.5</v>
      </c>
      <c r="G429" s="31">
        <v>-5.7999999999999996E-3</v>
      </c>
      <c r="H429" s="23">
        <v>-293.17</v>
      </c>
      <c r="I429" s="31">
        <v>-5.7999999999999996E-3</v>
      </c>
      <c r="J429" s="23">
        <v>1172.6880000000001</v>
      </c>
      <c r="K429" s="23">
        <v>50132.43</v>
      </c>
      <c r="L429" s="23">
        <v>26133.8</v>
      </c>
      <c r="M429" s="23">
        <v>4</v>
      </c>
      <c r="N429" s="23">
        <v>-73.290000000000006</v>
      </c>
      <c r="O429" s="31">
        <v>-5.7999999999999996E-3</v>
      </c>
      <c r="P429" s="31">
        <v>3.5000000000000001E-3</v>
      </c>
      <c r="Q429" s="23" t="s">
        <v>24</v>
      </c>
      <c r="R429" s="23">
        <v>0</v>
      </c>
      <c r="S429" s="23">
        <v>42.42</v>
      </c>
      <c r="U429" s="47">
        <f>VLOOKUP(AU429,[1]expiry_dates!$B$2:$C$2894,2,FALSE)</f>
        <v>43825</v>
      </c>
      <c r="V429" s="23" t="s">
        <v>115</v>
      </c>
      <c r="W429" s="23" t="s">
        <v>23</v>
      </c>
      <c r="X429" s="49">
        <v>43809.541666666664</v>
      </c>
      <c r="Y429" s="23">
        <v>0.95</v>
      </c>
      <c r="Z429" s="23">
        <v>43809.572916666664</v>
      </c>
      <c r="AA429" s="23">
        <v>1.05</v>
      </c>
      <c r="AB429" s="23">
        <v>0.1053</v>
      </c>
      <c r="AC429" s="23">
        <v>-6002.01</v>
      </c>
      <c r="AD429" s="23">
        <v>-0.1053</v>
      </c>
      <c r="AE429" s="23">
        <v>60020.1</v>
      </c>
      <c r="AF429" s="23">
        <v>57019.1</v>
      </c>
      <c r="AG429" s="23">
        <v>1397817.49</v>
      </c>
      <c r="AH429" s="23">
        <v>4</v>
      </c>
      <c r="AI429" s="23">
        <v>-1500.5</v>
      </c>
      <c r="AJ429" s="23">
        <v>-0.1053</v>
      </c>
      <c r="AK429" s="23">
        <v>0</v>
      </c>
      <c r="AL429" s="23" t="s">
        <v>24</v>
      </c>
      <c r="AM429" s="23">
        <v>42.75</v>
      </c>
      <c r="AN429" s="23">
        <v>31326.2</v>
      </c>
      <c r="AO429" s="23">
        <v>42.42</v>
      </c>
      <c r="AP429" s="23">
        <v>0</v>
      </c>
      <c r="AR429" s="46"/>
      <c r="AS429" s="44"/>
      <c r="AT429" s="45"/>
      <c r="AU429" s="2">
        <v>43809</v>
      </c>
      <c r="AV429" s="52">
        <v>4.1666666666666664E-2</v>
      </c>
      <c r="AW429" s="2" t="s">
        <v>213</v>
      </c>
      <c r="AY429" s="3"/>
      <c r="BA429" s="3"/>
      <c r="BG429" s="3"/>
      <c r="BH429" s="3"/>
    </row>
    <row r="430" spans="1:60">
      <c r="A430" s="23" t="s">
        <v>22</v>
      </c>
      <c r="B430" s="23" t="s">
        <v>23</v>
      </c>
      <c r="C430" s="27">
        <v>43809.572916666664</v>
      </c>
      <c r="D430" s="23">
        <v>42.5</v>
      </c>
      <c r="E430" s="27">
        <v>43810.416666666664</v>
      </c>
      <c r="F430" s="23">
        <v>42.7</v>
      </c>
      <c r="G430" s="31">
        <v>4.7000000000000002E-3</v>
      </c>
      <c r="H430" s="23">
        <v>-235.91</v>
      </c>
      <c r="I430" s="31">
        <v>-4.7000000000000002E-3</v>
      </c>
      <c r="J430" s="23">
        <v>1179.5519999999999</v>
      </c>
      <c r="K430" s="23">
        <v>50130.96</v>
      </c>
      <c r="L430" s="23">
        <v>25897.89</v>
      </c>
      <c r="M430" s="23">
        <v>14</v>
      </c>
      <c r="N430" s="23">
        <v>-16.850000000000001</v>
      </c>
      <c r="O430" s="31">
        <v>-4.7000000000000002E-3</v>
      </c>
      <c r="P430" s="31">
        <v>1.41E-2</v>
      </c>
      <c r="Q430" s="23" t="s">
        <v>24</v>
      </c>
      <c r="R430" s="23">
        <v>0</v>
      </c>
      <c r="S430" s="23">
        <v>42.9</v>
      </c>
      <c r="U430" s="47">
        <f>VLOOKUP(AU430,[1]expiry_dates!$B$2:$C$2894,2,FALSE)</f>
        <v>43825</v>
      </c>
      <c r="V430" s="23" t="s">
        <v>114</v>
      </c>
      <c r="W430" s="23" t="s">
        <v>23</v>
      </c>
      <c r="X430" s="49">
        <v>43809.572916666664</v>
      </c>
      <c r="Y430" s="23">
        <v>1.2</v>
      </c>
      <c r="Z430" s="23">
        <v>43810.416666666664</v>
      </c>
      <c r="AA430" s="23">
        <v>1.25</v>
      </c>
      <c r="AB430" s="23">
        <v>4.1700000000000001E-2</v>
      </c>
      <c r="AC430" s="23">
        <v>-2374.5500000000002</v>
      </c>
      <c r="AD430" s="23">
        <v>-4.1700000000000001E-2</v>
      </c>
      <c r="AE430" s="23">
        <v>47490.91</v>
      </c>
      <c r="AF430" s="23">
        <v>56989.09</v>
      </c>
      <c r="AG430" s="23">
        <v>1395442.94</v>
      </c>
      <c r="AH430" s="23">
        <v>14</v>
      </c>
      <c r="AI430" s="23">
        <v>-169.61</v>
      </c>
      <c r="AJ430" s="23">
        <v>-4.1700000000000001E-2</v>
      </c>
      <c r="AK430" s="23">
        <v>0.25</v>
      </c>
      <c r="AL430" s="23" t="s">
        <v>24</v>
      </c>
      <c r="AM430" s="23">
        <v>42.5</v>
      </c>
      <c r="AN430" s="23">
        <v>31275.75</v>
      </c>
      <c r="AO430" s="23">
        <v>42.9</v>
      </c>
      <c r="AP430" s="23">
        <v>0</v>
      </c>
      <c r="AR430" s="46"/>
      <c r="AS430" s="44"/>
      <c r="AT430" s="45"/>
      <c r="AU430" s="2">
        <v>43809</v>
      </c>
      <c r="AV430" s="52">
        <v>7.2916666666666671E-2</v>
      </c>
      <c r="AW430" s="2" t="s">
        <v>213</v>
      </c>
      <c r="AY430" s="3"/>
      <c r="BA430" s="3"/>
      <c r="BG430" s="3"/>
      <c r="BH430" s="3"/>
    </row>
    <row r="431" spans="1:60">
      <c r="A431" s="23" t="s">
        <v>22</v>
      </c>
      <c r="B431" s="23" t="s">
        <v>25</v>
      </c>
      <c r="C431" s="27">
        <v>43810.416666666664</v>
      </c>
      <c r="D431" s="23">
        <v>42.7</v>
      </c>
      <c r="E431" s="27">
        <v>43810.479166666664</v>
      </c>
      <c r="F431" s="23">
        <v>42.2</v>
      </c>
      <c r="G431" s="31">
        <v>-1.17E-2</v>
      </c>
      <c r="H431" s="23">
        <v>-587.03</v>
      </c>
      <c r="I431" s="31">
        <v>-1.17E-2</v>
      </c>
      <c r="J431" s="23">
        <v>1174.0619999999999</v>
      </c>
      <c r="K431" s="23">
        <v>50132.44</v>
      </c>
      <c r="L431" s="23">
        <v>25310.86</v>
      </c>
      <c r="M431" s="23">
        <v>7</v>
      </c>
      <c r="N431" s="23">
        <v>-83.86</v>
      </c>
      <c r="O431" s="31">
        <v>-1.29E-2</v>
      </c>
      <c r="P431" s="31">
        <v>5.8999999999999999E-3</v>
      </c>
      <c r="Q431" s="23" t="s">
        <v>24</v>
      </c>
      <c r="R431" s="23">
        <v>0</v>
      </c>
      <c r="S431" s="23">
        <v>41.93</v>
      </c>
      <c r="U431" s="47">
        <f>VLOOKUP(AU431,[1]expiry_dates!$B$2:$C$2894,2,FALSE)</f>
        <v>43825</v>
      </c>
      <c r="V431" s="23" t="s">
        <v>118</v>
      </c>
      <c r="W431" s="23" t="s">
        <v>23</v>
      </c>
      <c r="X431" s="49">
        <v>43810.416666666664</v>
      </c>
      <c r="Y431" s="23">
        <v>1.45</v>
      </c>
      <c r="Z431" s="23">
        <v>43810.479166666664</v>
      </c>
      <c r="AA431" s="23">
        <v>1.55</v>
      </c>
      <c r="AB431" s="23">
        <v>6.9000000000000006E-2</v>
      </c>
      <c r="AC431" s="23">
        <v>-3932.74</v>
      </c>
      <c r="AD431" s="23">
        <v>-6.9000000000000006E-2</v>
      </c>
      <c r="AE431" s="23">
        <v>39327.379999999997</v>
      </c>
      <c r="AF431" s="23">
        <v>57024.71</v>
      </c>
      <c r="AG431" s="23">
        <v>1391510.21</v>
      </c>
      <c r="AH431" s="23">
        <v>7</v>
      </c>
      <c r="AI431" s="23">
        <v>-561.82000000000005</v>
      </c>
      <c r="AJ431" s="23">
        <v>-0.2414</v>
      </c>
      <c r="AK431" s="23">
        <v>3.4500000000000003E-2</v>
      </c>
      <c r="AL431" s="23" t="s">
        <v>24</v>
      </c>
      <c r="AM431" s="23">
        <v>42.7</v>
      </c>
      <c r="AN431" s="23">
        <v>31319.75</v>
      </c>
      <c r="AO431" s="23">
        <v>41.93</v>
      </c>
      <c r="AP431" s="23">
        <v>0</v>
      </c>
      <c r="AR431" s="46"/>
      <c r="AS431" s="44"/>
      <c r="AT431" s="45"/>
      <c r="AU431" s="2">
        <v>43810</v>
      </c>
      <c r="AV431" s="52">
        <v>0.41666666666666669</v>
      </c>
      <c r="AW431" s="2" t="s">
        <v>212</v>
      </c>
      <c r="AY431" s="3"/>
      <c r="BA431" s="3"/>
      <c r="BG431" s="3"/>
      <c r="BH431" s="3"/>
    </row>
    <row r="432" spans="1:60">
      <c r="A432" s="23" t="s">
        <v>22</v>
      </c>
      <c r="B432" s="23" t="s">
        <v>23</v>
      </c>
      <c r="C432" s="27">
        <v>43810.479166666664</v>
      </c>
      <c r="D432" s="23">
        <v>42.2</v>
      </c>
      <c r="E432" s="27">
        <v>43810.552083333336</v>
      </c>
      <c r="F432" s="23">
        <v>42.65</v>
      </c>
      <c r="G432" s="31">
        <v>1.0699999999999999E-2</v>
      </c>
      <c r="H432" s="23">
        <v>-534.54</v>
      </c>
      <c r="I432" s="31">
        <v>-1.0699999999999999E-2</v>
      </c>
      <c r="J432" s="23">
        <v>1187.8610000000001</v>
      </c>
      <c r="K432" s="23">
        <v>50127.73</v>
      </c>
      <c r="L432" s="23">
        <v>24776.32</v>
      </c>
      <c r="M432" s="23">
        <v>8</v>
      </c>
      <c r="N432" s="23">
        <v>-66.819999999999993</v>
      </c>
      <c r="O432" s="31">
        <v>-1.0699999999999999E-2</v>
      </c>
      <c r="P432" s="31">
        <v>4.7000000000000002E-3</v>
      </c>
      <c r="Q432" s="23" t="s">
        <v>24</v>
      </c>
      <c r="R432" s="23">
        <v>0</v>
      </c>
      <c r="S432" s="23">
        <v>42.95</v>
      </c>
      <c r="U432" s="47">
        <f>VLOOKUP(AU432,[1]expiry_dates!$B$2:$C$2894,2,FALSE)</f>
        <v>43825</v>
      </c>
      <c r="V432" s="23" t="s">
        <v>116</v>
      </c>
      <c r="W432" s="23" t="s">
        <v>23</v>
      </c>
      <c r="X432" s="49">
        <v>43810.479166666664</v>
      </c>
      <c r="Y432" s="23">
        <v>1.4</v>
      </c>
      <c r="Z432" s="23">
        <v>43810.552083333336</v>
      </c>
      <c r="AA432" s="23">
        <v>1.6</v>
      </c>
      <c r="AB432" s="23">
        <v>0.1429</v>
      </c>
      <c r="AC432" s="23">
        <v>-8136.79</v>
      </c>
      <c r="AD432" s="23">
        <v>-0.1429</v>
      </c>
      <c r="AE432" s="23">
        <v>40683.96</v>
      </c>
      <c r="AF432" s="23">
        <v>56957.55</v>
      </c>
      <c r="AG432" s="23">
        <v>1383373.41</v>
      </c>
      <c r="AH432" s="23">
        <v>8</v>
      </c>
      <c r="AI432" s="23">
        <v>-1017.1</v>
      </c>
      <c r="AJ432" s="23">
        <v>-0.1429</v>
      </c>
      <c r="AK432" s="23">
        <v>7.1400000000000005E-2</v>
      </c>
      <c r="AL432" s="23" t="s">
        <v>24</v>
      </c>
      <c r="AM432" s="23">
        <v>42.2</v>
      </c>
      <c r="AN432" s="23">
        <v>31169.7</v>
      </c>
      <c r="AO432" s="23">
        <v>42.95</v>
      </c>
      <c r="AP432" s="23">
        <v>0</v>
      </c>
      <c r="AR432" s="46"/>
      <c r="AS432" s="44"/>
      <c r="AT432" s="45"/>
      <c r="AU432" s="2">
        <v>43810</v>
      </c>
      <c r="AV432" s="52">
        <v>0.47916666666666669</v>
      </c>
      <c r="AW432" s="2" t="s">
        <v>212</v>
      </c>
      <c r="AY432" s="3"/>
      <c r="BA432" s="3"/>
      <c r="BG432" s="3"/>
      <c r="BH432" s="3"/>
    </row>
    <row r="433" spans="1:60">
      <c r="A433" s="23" t="s">
        <v>22</v>
      </c>
      <c r="B433" s="23" t="s">
        <v>25</v>
      </c>
      <c r="C433" s="27">
        <v>43810.552083333336</v>
      </c>
      <c r="D433" s="23">
        <v>42.65</v>
      </c>
      <c r="E433" s="27">
        <v>43811.614583333336</v>
      </c>
      <c r="F433" s="23">
        <v>43.3</v>
      </c>
      <c r="G433" s="31">
        <v>1.52E-2</v>
      </c>
      <c r="H433" s="23">
        <v>763.93</v>
      </c>
      <c r="I433" s="31">
        <v>1.52E-2</v>
      </c>
      <c r="J433" s="23">
        <v>1175.2719999999999</v>
      </c>
      <c r="K433" s="23">
        <v>50125.37</v>
      </c>
      <c r="L433" s="23">
        <v>25540.25</v>
      </c>
      <c r="M433" s="23">
        <v>35</v>
      </c>
      <c r="N433" s="23">
        <v>21.83</v>
      </c>
      <c r="O433" s="31">
        <v>-1.06E-2</v>
      </c>
      <c r="P433" s="31">
        <v>1.9900000000000001E-2</v>
      </c>
      <c r="Q433" s="23" t="s">
        <v>24</v>
      </c>
      <c r="R433" s="23">
        <v>0</v>
      </c>
      <c r="S433" s="23">
        <v>42</v>
      </c>
      <c r="U433" s="47">
        <f>VLOOKUP(AU433,[1]expiry_dates!$B$2:$C$2894,2,FALSE)</f>
        <v>43825</v>
      </c>
      <c r="V433" s="23" t="s">
        <v>115</v>
      </c>
      <c r="W433" s="23" t="s">
        <v>23</v>
      </c>
      <c r="X433" s="49">
        <v>43810.552083333336</v>
      </c>
      <c r="Y433" s="23">
        <v>0.95</v>
      </c>
      <c r="Z433" s="23">
        <v>43811.614583333336</v>
      </c>
      <c r="AA433" s="23">
        <v>0.65</v>
      </c>
      <c r="AB433" s="23">
        <v>-0.31580000000000003</v>
      </c>
      <c r="AC433" s="23">
        <v>17986.59</v>
      </c>
      <c r="AD433" s="23">
        <v>0.31580000000000003</v>
      </c>
      <c r="AE433" s="23">
        <v>59955.32</v>
      </c>
      <c r="AF433" s="23">
        <v>56957.55</v>
      </c>
      <c r="AG433" s="23">
        <v>1401360.01</v>
      </c>
      <c r="AH433" s="23">
        <v>35</v>
      </c>
      <c r="AI433" s="23">
        <v>513.9</v>
      </c>
      <c r="AJ433" s="23">
        <v>-0.15790000000000001</v>
      </c>
      <c r="AK433" s="23">
        <v>0.36840000000000001</v>
      </c>
      <c r="AL433" s="23" t="s">
        <v>24</v>
      </c>
      <c r="AM433" s="23">
        <v>42.65</v>
      </c>
      <c r="AN433" s="23">
        <v>31175.15</v>
      </c>
      <c r="AO433" s="23">
        <v>42</v>
      </c>
      <c r="AP433" s="23">
        <v>0</v>
      </c>
      <c r="AR433" s="46"/>
      <c r="AS433" s="44"/>
      <c r="AT433" s="45"/>
      <c r="AU433" s="2">
        <v>43810</v>
      </c>
      <c r="AV433" s="52">
        <v>5.2083333333333336E-2</v>
      </c>
      <c r="AW433" s="2" t="s">
        <v>213</v>
      </c>
      <c r="AY433" s="3"/>
      <c r="BA433" s="3"/>
      <c r="BG433" s="3"/>
      <c r="BH433" s="3"/>
    </row>
    <row r="434" spans="1:60">
      <c r="A434" s="23" t="s">
        <v>22</v>
      </c>
      <c r="B434" s="23" t="s">
        <v>23</v>
      </c>
      <c r="C434" s="27">
        <v>43811.614583333336</v>
      </c>
      <c r="D434" s="23">
        <v>43.3</v>
      </c>
      <c r="E434" s="27">
        <v>43812.385416666664</v>
      </c>
      <c r="F434" s="23">
        <v>43.5</v>
      </c>
      <c r="G434" s="31">
        <v>4.5999999999999999E-3</v>
      </c>
      <c r="H434" s="23">
        <v>-231.54</v>
      </c>
      <c r="I434" s="31">
        <v>-4.5999999999999999E-3</v>
      </c>
      <c r="J434" s="23">
        <v>1157.684</v>
      </c>
      <c r="K434" s="23">
        <v>50127.7</v>
      </c>
      <c r="L434" s="23">
        <v>25308.71</v>
      </c>
      <c r="M434" s="23">
        <v>7</v>
      </c>
      <c r="N434" s="23">
        <v>-33.08</v>
      </c>
      <c r="O434" s="31">
        <v>-4.5999999999999999E-3</v>
      </c>
      <c r="P434" s="31">
        <v>4.5999999999999999E-3</v>
      </c>
      <c r="Q434" s="23" t="s">
        <v>24</v>
      </c>
      <c r="R434" s="23">
        <v>0</v>
      </c>
      <c r="S434" s="23">
        <v>43.49</v>
      </c>
      <c r="U434" s="47">
        <f>VLOOKUP(AU434,[1]expiry_dates!$B$2:$C$2894,2,FALSE)</f>
        <v>43825</v>
      </c>
      <c r="V434" s="23" t="s">
        <v>114</v>
      </c>
      <c r="W434" s="23" t="s">
        <v>23</v>
      </c>
      <c r="X434" s="49">
        <v>43811.614583333336</v>
      </c>
      <c r="Y434" s="23">
        <v>1.45</v>
      </c>
      <c r="Z434" s="23">
        <v>43812.385416666664</v>
      </c>
      <c r="AA434" s="23">
        <v>1.45</v>
      </c>
      <c r="AB434" s="23">
        <v>0</v>
      </c>
      <c r="AC434" s="23">
        <v>0</v>
      </c>
      <c r="AD434" s="23">
        <v>0</v>
      </c>
      <c r="AE434" s="23">
        <v>39325.370000000003</v>
      </c>
      <c r="AF434" s="23">
        <v>57021.79</v>
      </c>
      <c r="AG434" s="23">
        <v>1401360.01</v>
      </c>
      <c r="AH434" s="23">
        <v>7</v>
      </c>
      <c r="AI434" s="23">
        <v>0</v>
      </c>
      <c r="AJ434" s="23">
        <v>-3.4500000000000003E-2</v>
      </c>
      <c r="AK434" s="23">
        <v>6.9000000000000006E-2</v>
      </c>
      <c r="AL434" s="23" t="s">
        <v>24</v>
      </c>
      <c r="AM434" s="23">
        <v>43.3</v>
      </c>
      <c r="AN434" s="23">
        <v>31632.65</v>
      </c>
      <c r="AO434" s="23">
        <v>43.49</v>
      </c>
      <c r="AP434" s="23">
        <v>0</v>
      </c>
      <c r="AR434" s="46"/>
      <c r="AS434" s="44"/>
      <c r="AT434" s="45"/>
      <c r="AU434" s="2">
        <v>43811</v>
      </c>
      <c r="AV434" s="52">
        <v>0.11458333333333333</v>
      </c>
      <c r="AW434" s="2" t="s">
        <v>213</v>
      </c>
      <c r="AY434" s="3"/>
      <c r="BA434" s="3"/>
      <c r="BG434" s="3"/>
      <c r="BH434" s="3"/>
    </row>
    <row r="435" spans="1:60">
      <c r="A435" s="23" t="s">
        <v>22</v>
      </c>
      <c r="B435" s="23" t="s">
        <v>25</v>
      </c>
      <c r="C435" s="27">
        <v>43812.385416666664</v>
      </c>
      <c r="D435" s="23">
        <v>43.5</v>
      </c>
      <c r="E435" s="27">
        <v>43812.447916666664</v>
      </c>
      <c r="F435" s="23">
        <v>43.45</v>
      </c>
      <c r="G435" s="31">
        <v>-1.1000000000000001E-3</v>
      </c>
      <c r="H435" s="23">
        <v>-57.62</v>
      </c>
      <c r="I435" s="31">
        <v>-1.1000000000000001E-3</v>
      </c>
      <c r="J435" s="23">
        <v>1152.354</v>
      </c>
      <c r="K435" s="23">
        <v>50127.41</v>
      </c>
      <c r="L435" s="23">
        <v>25251.1</v>
      </c>
      <c r="M435" s="23">
        <v>7</v>
      </c>
      <c r="N435" s="23">
        <v>-8.23</v>
      </c>
      <c r="O435" s="31">
        <v>-3.3999999999999998E-3</v>
      </c>
      <c r="P435" s="31">
        <v>5.7000000000000002E-3</v>
      </c>
      <c r="Q435" s="23" t="s">
        <v>24</v>
      </c>
      <c r="R435" s="23">
        <v>0</v>
      </c>
      <c r="S435" s="23">
        <v>43.12</v>
      </c>
      <c r="U435" s="47">
        <f>VLOOKUP(AU435,[1]expiry_dates!$B$2:$C$2894,2,FALSE)</f>
        <v>43825</v>
      </c>
      <c r="V435" s="23" t="s">
        <v>111</v>
      </c>
      <c r="W435" s="23" t="s">
        <v>23</v>
      </c>
      <c r="X435" s="49">
        <v>43812.385416666664</v>
      </c>
      <c r="Y435" s="23">
        <v>1.5</v>
      </c>
      <c r="Z435" s="23">
        <v>43812.447916666664</v>
      </c>
      <c r="AA435" s="23">
        <v>1.4</v>
      </c>
      <c r="AB435" s="23">
        <v>-6.6699999999999995E-2</v>
      </c>
      <c r="AC435" s="23">
        <v>3801.76</v>
      </c>
      <c r="AD435" s="23">
        <v>6.6699999999999995E-2</v>
      </c>
      <c r="AE435" s="23">
        <v>38017.64</v>
      </c>
      <c r="AF435" s="23">
        <v>57026.46</v>
      </c>
      <c r="AG435" s="23">
        <v>1405161.77</v>
      </c>
      <c r="AH435" s="23">
        <v>7</v>
      </c>
      <c r="AI435" s="23">
        <v>543.11</v>
      </c>
      <c r="AJ435" s="23">
        <v>0</v>
      </c>
      <c r="AK435" s="23">
        <v>6.6699999999999995E-2</v>
      </c>
      <c r="AL435" s="23" t="s">
        <v>24</v>
      </c>
      <c r="AM435" s="23">
        <v>43.5</v>
      </c>
      <c r="AN435" s="23">
        <v>31841.85</v>
      </c>
      <c r="AO435" s="23">
        <v>43.12</v>
      </c>
      <c r="AP435" s="23">
        <v>0</v>
      </c>
      <c r="AR435" s="46"/>
      <c r="AS435" s="44"/>
      <c r="AT435" s="45"/>
      <c r="AU435" s="2">
        <v>43812</v>
      </c>
      <c r="AV435" s="52">
        <v>0.38541666666666669</v>
      </c>
      <c r="AW435" s="2" t="s">
        <v>212</v>
      </c>
      <c r="AY435" s="3"/>
      <c r="BA435" s="3"/>
      <c r="BG435" s="3"/>
      <c r="BH435" s="3"/>
    </row>
    <row r="436" spans="1:60">
      <c r="A436" s="23" t="s">
        <v>22</v>
      </c>
      <c r="B436" s="23" t="s">
        <v>23</v>
      </c>
      <c r="C436" s="27">
        <v>43812.447916666664</v>
      </c>
      <c r="D436" s="23">
        <v>43.45</v>
      </c>
      <c r="E436" s="27">
        <v>43812.520833333336</v>
      </c>
      <c r="F436" s="23">
        <v>43.55</v>
      </c>
      <c r="G436" s="31">
        <v>2.3E-3</v>
      </c>
      <c r="H436" s="23">
        <v>-115.37</v>
      </c>
      <c r="I436" s="31">
        <v>-2.3E-3</v>
      </c>
      <c r="J436" s="23">
        <v>1153.654</v>
      </c>
      <c r="K436" s="23">
        <v>50126.25</v>
      </c>
      <c r="L436" s="23">
        <v>25135.73</v>
      </c>
      <c r="M436" s="23">
        <v>8</v>
      </c>
      <c r="N436" s="23">
        <v>-14.42</v>
      </c>
      <c r="O436" s="31">
        <v>-2.3E-3</v>
      </c>
      <c r="P436" s="31">
        <v>9.1999999999999998E-3</v>
      </c>
      <c r="Q436" s="23" t="s">
        <v>24</v>
      </c>
      <c r="R436" s="23">
        <v>0</v>
      </c>
      <c r="S436" s="23">
        <v>43.75</v>
      </c>
      <c r="U436" s="47">
        <f>VLOOKUP(AU436,[1]expiry_dates!$B$2:$C$2894,2,FALSE)</f>
        <v>43825</v>
      </c>
      <c r="V436" s="23" t="s">
        <v>114</v>
      </c>
      <c r="W436" s="23" t="s">
        <v>23</v>
      </c>
      <c r="X436" s="49">
        <v>43812.447916666664</v>
      </c>
      <c r="Y436" s="23">
        <v>1.5</v>
      </c>
      <c r="Z436" s="23">
        <v>43812.520833333336</v>
      </c>
      <c r="AA436" s="23">
        <v>1.55</v>
      </c>
      <c r="AB436" s="23">
        <v>3.3300000000000003E-2</v>
      </c>
      <c r="AC436" s="23">
        <v>-1900.86</v>
      </c>
      <c r="AD436" s="23">
        <v>-3.3300000000000003E-2</v>
      </c>
      <c r="AE436" s="23">
        <v>38017.21</v>
      </c>
      <c r="AF436" s="23">
        <v>57025.81</v>
      </c>
      <c r="AG436" s="23">
        <v>1403260.91</v>
      </c>
      <c r="AH436" s="23">
        <v>8</v>
      </c>
      <c r="AI436" s="23">
        <v>-237.61</v>
      </c>
      <c r="AJ436" s="23">
        <v>-3.3300000000000003E-2</v>
      </c>
      <c r="AK436" s="23">
        <v>0.1333</v>
      </c>
      <c r="AL436" s="23" t="s">
        <v>24</v>
      </c>
      <c r="AM436" s="23">
        <v>43.45</v>
      </c>
      <c r="AN436" s="23">
        <v>31939.25</v>
      </c>
      <c r="AO436" s="23">
        <v>43.75</v>
      </c>
      <c r="AP436" s="23">
        <v>0</v>
      </c>
      <c r="AR436" s="46"/>
      <c r="AS436" s="44"/>
      <c r="AT436" s="45"/>
      <c r="AU436" s="2">
        <v>43812</v>
      </c>
      <c r="AV436" s="52">
        <v>0.44791666666666669</v>
      </c>
      <c r="AW436" s="2" t="s">
        <v>212</v>
      </c>
      <c r="AY436" s="3"/>
      <c r="BA436" s="3"/>
      <c r="BG436" s="3"/>
      <c r="BH436" s="3"/>
    </row>
    <row r="437" spans="1:60">
      <c r="A437" s="23" t="s">
        <v>22</v>
      </c>
      <c r="B437" s="23" t="s">
        <v>25</v>
      </c>
      <c r="C437" s="27">
        <v>43812.520833333336</v>
      </c>
      <c r="D437" s="23">
        <v>43.55</v>
      </c>
      <c r="E437" s="27">
        <v>43815.395833333336</v>
      </c>
      <c r="F437" s="23">
        <v>43.45</v>
      </c>
      <c r="G437" s="31">
        <v>-2.3E-3</v>
      </c>
      <c r="H437" s="23">
        <v>-115.1</v>
      </c>
      <c r="I437" s="31">
        <v>-2.3E-3</v>
      </c>
      <c r="J437" s="23">
        <v>1150.998</v>
      </c>
      <c r="K437" s="23">
        <v>50125.97</v>
      </c>
      <c r="L437" s="23">
        <v>25020.63</v>
      </c>
      <c r="M437" s="23">
        <v>17</v>
      </c>
      <c r="N437" s="23">
        <v>-6.77</v>
      </c>
      <c r="O437" s="31">
        <v>-5.7000000000000002E-3</v>
      </c>
      <c r="P437" s="31">
        <v>9.1999999999999998E-3</v>
      </c>
      <c r="Q437" s="23" t="s">
        <v>24</v>
      </c>
      <c r="R437" s="23">
        <v>0</v>
      </c>
      <c r="S437" s="23">
        <v>43.06</v>
      </c>
      <c r="U437" s="47">
        <f>VLOOKUP(AU437,[1]expiry_dates!$B$2:$C$2894,2,FALSE)</f>
        <v>43825</v>
      </c>
      <c r="V437" s="23" t="s">
        <v>115</v>
      </c>
      <c r="W437" s="23" t="s">
        <v>23</v>
      </c>
      <c r="X437" s="49">
        <v>43812.520833333336</v>
      </c>
      <c r="Y437" s="23">
        <v>0.55000000000000004</v>
      </c>
      <c r="Z437" s="23">
        <v>43815.395833333336</v>
      </c>
      <c r="AA437" s="23">
        <v>0.5</v>
      </c>
      <c r="AB437" s="23">
        <v>-9.0899999999999995E-2</v>
      </c>
      <c r="AC437" s="23">
        <v>5184.16</v>
      </c>
      <c r="AD437" s="23">
        <v>9.0899999999999995E-2</v>
      </c>
      <c r="AE437" s="23">
        <v>103683.3</v>
      </c>
      <c r="AF437" s="23">
        <v>57025.81</v>
      </c>
      <c r="AG437" s="23">
        <v>1408445.08</v>
      </c>
      <c r="AH437" s="23">
        <v>17</v>
      </c>
      <c r="AI437" s="23">
        <v>304.95</v>
      </c>
      <c r="AJ437" s="23">
        <v>0</v>
      </c>
      <c r="AK437" s="23">
        <v>9.0899999999999995E-2</v>
      </c>
      <c r="AL437" s="23" t="s">
        <v>24</v>
      </c>
      <c r="AM437" s="23">
        <v>43.55</v>
      </c>
      <c r="AN437" s="23">
        <v>31970.5</v>
      </c>
      <c r="AO437" s="23">
        <v>43.06</v>
      </c>
      <c r="AP437" s="23">
        <v>0</v>
      </c>
      <c r="AR437" s="46"/>
      <c r="AS437" s="44"/>
      <c r="AT437" s="45"/>
      <c r="AU437" s="2">
        <v>43812</v>
      </c>
      <c r="AV437" s="52">
        <v>0.52083333333333337</v>
      </c>
      <c r="AW437" s="2" t="s">
        <v>213</v>
      </c>
      <c r="AY437" s="3"/>
      <c r="BA437" s="3"/>
      <c r="BG437" s="3"/>
      <c r="BH437" s="3"/>
    </row>
    <row r="438" spans="1:60">
      <c r="A438" s="23" t="s">
        <v>22</v>
      </c>
      <c r="B438" s="23" t="s">
        <v>23</v>
      </c>
      <c r="C438" s="27">
        <v>43815.395833333336</v>
      </c>
      <c r="D438" s="23">
        <v>43.45</v>
      </c>
      <c r="E438" s="27">
        <v>43816.395833333336</v>
      </c>
      <c r="F438" s="23">
        <v>43.2</v>
      </c>
      <c r="G438" s="31">
        <v>-5.7999999999999996E-3</v>
      </c>
      <c r="H438" s="23">
        <v>288.41000000000003</v>
      </c>
      <c r="I438" s="31">
        <v>5.7999999999999996E-3</v>
      </c>
      <c r="J438" s="23">
        <v>1153.6210000000001</v>
      </c>
      <c r="K438" s="23">
        <v>50124.82</v>
      </c>
      <c r="L438" s="23">
        <v>25309.040000000001</v>
      </c>
      <c r="M438" s="23">
        <v>29</v>
      </c>
      <c r="N438" s="23">
        <v>9.9499999999999993</v>
      </c>
      <c r="O438" s="31">
        <v>-5.7999999999999996E-3</v>
      </c>
      <c r="P438" s="31">
        <v>1.15E-2</v>
      </c>
      <c r="Q438" s="23" t="s">
        <v>24</v>
      </c>
      <c r="R438" s="23">
        <v>0</v>
      </c>
      <c r="S438" s="23">
        <v>43.94</v>
      </c>
      <c r="U438" s="47">
        <f>VLOOKUP(AU438,[1]expiry_dates!$B$2:$C$2894,2,FALSE)</f>
        <v>43825</v>
      </c>
      <c r="V438" s="23" t="s">
        <v>114</v>
      </c>
      <c r="W438" s="23" t="s">
        <v>23</v>
      </c>
      <c r="X438" s="49">
        <v>43815.395833333336</v>
      </c>
      <c r="Y438" s="23">
        <v>1.4</v>
      </c>
      <c r="Z438" s="23">
        <v>43816.395833333336</v>
      </c>
      <c r="AA438" s="23">
        <v>1.3</v>
      </c>
      <c r="AB438" s="23">
        <v>-7.1400000000000005E-2</v>
      </c>
      <c r="AC438" s="23">
        <v>4072.59</v>
      </c>
      <c r="AD438" s="23">
        <v>7.1400000000000005E-2</v>
      </c>
      <c r="AE438" s="23">
        <v>40725.93</v>
      </c>
      <c r="AF438" s="23">
        <v>57016.3</v>
      </c>
      <c r="AG438" s="23">
        <v>1412517.67</v>
      </c>
      <c r="AH438" s="23">
        <v>29</v>
      </c>
      <c r="AI438" s="23">
        <v>140.43</v>
      </c>
      <c r="AJ438" s="23">
        <v>-7.1400000000000005E-2</v>
      </c>
      <c r="AK438" s="23">
        <v>0.17860000000000001</v>
      </c>
      <c r="AL438" s="23" t="s">
        <v>24</v>
      </c>
      <c r="AM438" s="23">
        <v>43.45</v>
      </c>
      <c r="AN438" s="23">
        <v>31965.1</v>
      </c>
      <c r="AO438" s="23">
        <v>43.94</v>
      </c>
      <c r="AP438" s="23">
        <v>0</v>
      </c>
      <c r="AR438" s="46"/>
      <c r="AS438" s="44"/>
      <c r="AT438" s="45"/>
      <c r="AU438" s="2">
        <v>43815</v>
      </c>
      <c r="AV438" s="52">
        <v>0.39583333333333331</v>
      </c>
      <c r="AW438" s="2" t="s">
        <v>212</v>
      </c>
      <c r="AY438" s="3"/>
      <c r="BA438" s="3"/>
      <c r="BG438" s="3"/>
      <c r="BH438" s="3"/>
    </row>
    <row r="439" spans="1:60">
      <c r="A439" s="23" t="s">
        <v>22</v>
      </c>
      <c r="B439" s="23" t="s">
        <v>25</v>
      </c>
      <c r="C439" s="27">
        <v>43816.395833333336</v>
      </c>
      <c r="D439" s="23">
        <v>43.2</v>
      </c>
      <c r="E439" s="27">
        <v>43816.4375</v>
      </c>
      <c r="F439" s="23">
        <v>43.1</v>
      </c>
      <c r="G439" s="31">
        <v>-2.3E-3</v>
      </c>
      <c r="H439" s="23">
        <v>-116.03</v>
      </c>
      <c r="I439" s="31">
        <v>-2.3E-3</v>
      </c>
      <c r="J439" s="23">
        <v>1160.3230000000001</v>
      </c>
      <c r="K439" s="23">
        <v>50125.97</v>
      </c>
      <c r="L439" s="23">
        <v>25193</v>
      </c>
      <c r="M439" s="23">
        <v>5</v>
      </c>
      <c r="N439" s="23">
        <v>-23.21</v>
      </c>
      <c r="O439" s="31">
        <v>-2.3E-3</v>
      </c>
      <c r="P439" s="31">
        <v>2.3E-3</v>
      </c>
      <c r="Q439" s="23" t="s">
        <v>24</v>
      </c>
      <c r="R439" s="23">
        <v>0</v>
      </c>
      <c r="S439" s="23">
        <v>42.96</v>
      </c>
      <c r="U439" s="47">
        <f>VLOOKUP(AU439,[1]expiry_dates!$B$2:$C$2894,2,FALSE)</f>
        <v>43825</v>
      </c>
      <c r="V439" s="23" t="s">
        <v>115</v>
      </c>
      <c r="W439" s="23" t="s">
        <v>23</v>
      </c>
      <c r="X439" s="49">
        <v>43816.395833333336</v>
      </c>
      <c r="Y439" s="23">
        <v>0.55000000000000004</v>
      </c>
      <c r="Z439" s="23">
        <v>43816.4375</v>
      </c>
      <c r="AA439" s="23">
        <v>0.55000000000000004</v>
      </c>
      <c r="AB439" s="23">
        <v>0</v>
      </c>
      <c r="AC439" s="23">
        <v>0</v>
      </c>
      <c r="AD439" s="23">
        <v>0</v>
      </c>
      <c r="AE439" s="23">
        <v>103768.7</v>
      </c>
      <c r="AF439" s="23">
        <v>57072.77</v>
      </c>
      <c r="AG439" s="23">
        <v>1412517.67</v>
      </c>
      <c r="AH439" s="23">
        <v>5</v>
      </c>
      <c r="AI439" s="23">
        <v>0</v>
      </c>
      <c r="AJ439" s="23">
        <v>0</v>
      </c>
      <c r="AK439" s="23">
        <v>9.0899999999999995E-2</v>
      </c>
      <c r="AL439" s="23" t="s">
        <v>24</v>
      </c>
      <c r="AM439" s="23">
        <v>43.2</v>
      </c>
      <c r="AN439" s="23">
        <v>32128.75</v>
      </c>
      <c r="AO439" s="23">
        <v>42.96</v>
      </c>
      <c r="AP439" s="23">
        <v>0</v>
      </c>
      <c r="AR439" s="46"/>
      <c r="AS439" s="44"/>
      <c r="AT439" s="45"/>
      <c r="AU439" s="2">
        <v>43816</v>
      </c>
      <c r="AV439" s="52">
        <v>0.39583333333333331</v>
      </c>
      <c r="AW439" s="2" t="s">
        <v>212</v>
      </c>
      <c r="AY439" s="3"/>
      <c r="BA439" s="3"/>
      <c r="BG439" s="3"/>
      <c r="BH439" s="3"/>
    </row>
    <row r="440" spans="1:60">
      <c r="A440" s="23" t="s">
        <v>22</v>
      </c>
      <c r="B440" s="23" t="s">
        <v>23</v>
      </c>
      <c r="C440" s="27">
        <v>43816.4375</v>
      </c>
      <c r="D440" s="23">
        <v>43.1</v>
      </c>
      <c r="E440" s="27">
        <v>43816.541666666664</v>
      </c>
      <c r="F440" s="23">
        <v>43.05</v>
      </c>
      <c r="G440" s="31">
        <v>-1.1999999999999999E-3</v>
      </c>
      <c r="H440" s="23">
        <v>58.15</v>
      </c>
      <c r="I440" s="31">
        <v>1.1999999999999999E-3</v>
      </c>
      <c r="J440" s="23">
        <v>1163.029</v>
      </c>
      <c r="K440" s="23">
        <v>50126.55</v>
      </c>
      <c r="L440" s="23">
        <v>25251.15</v>
      </c>
      <c r="M440" s="23">
        <v>11</v>
      </c>
      <c r="N440" s="23">
        <v>5.29</v>
      </c>
      <c r="O440" s="31">
        <v>-2.3E-3</v>
      </c>
      <c r="P440" s="31">
        <v>1.04E-2</v>
      </c>
      <c r="Q440" s="23" t="s">
        <v>24</v>
      </c>
      <c r="R440" s="23">
        <v>0</v>
      </c>
      <c r="S440" s="23">
        <v>43.29</v>
      </c>
      <c r="U440" s="47">
        <f>VLOOKUP(AU440,[1]expiry_dates!$B$2:$C$2894,2,FALSE)</f>
        <v>43825</v>
      </c>
      <c r="V440" s="23" t="s">
        <v>114</v>
      </c>
      <c r="W440" s="23" t="s">
        <v>23</v>
      </c>
      <c r="X440" s="49">
        <v>43816.4375</v>
      </c>
      <c r="Y440" s="23">
        <v>1.2</v>
      </c>
      <c r="Z440" s="23">
        <v>43816.541666666664</v>
      </c>
      <c r="AA440" s="23">
        <v>1.1000000000000001</v>
      </c>
      <c r="AB440" s="23">
        <v>-8.3299999999999999E-2</v>
      </c>
      <c r="AC440" s="23">
        <v>4757.38</v>
      </c>
      <c r="AD440" s="23">
        <v>8.3299999999999999E-2</v>
      </c>
      <c r="AE440" s="23">
        <v>47573.77</v>
      </c>
      <c r="AF440" s="23">
        <v>57088.53</v>
      </c>
      <c r="AG440" s="23">
        <v>1417275.05</v>
      </c>
      <c r="AH440" s="23">
        <v>11</v>
      </c>
      <c r="AI440" s="23">
        <v>432.49</v>
      </c>
      <c r="AJ440" s="23">
        <v>0</v>
      </c>
      <c r="AK440" s="23">
        <v>0.16669999999999999</v>
      </c>
      <c r="AL440" s="23" t="s">
        <v>24</v>
      </c>
      <c r="AM440" s="23">
        <v>43.1</v>
      </c>
      <c r="AN440" s="23">
        <v>32178.6</v>
      </c>
      <c r="AO440" s="23">
        <v>43.29</v>
      </c>
      <c r="AP440" s="23">
        <v>0</v>
      </c>
      <c r="AR440" s="46"/>
      <c r="AS440" s="44"/>
      <c r="AT440" s="45"/>
      <c r="AU440" s="2">
        <v>43816</v>
      </c>
      <c r="AV440" s="52">
        <v>0.4375</v>
      </c>
      <c r="AW440" s="2" t="s">
        <v>212</v>
      </c>
      <c r="AY440" s="3"/>
      <c r="BA440" s="3"/>
      <c r="BG440" s="3"/>
      <c r="BH440" s="3"/>
    </row>
    <row r="441" spans="1:60">
      <c r="A441" s="23" t="s">
        <v>22</v>
      </c>
      <c r="B441" s="23" t="s">
        <v>25</v>
      </c>
      <c r="C441" s="27">
        <v>43816.541666666664</v>
      </c>
      <c r="D441" s="23">
        <v>43.05</v>
      </c>
      <c r="E441" s="27">
        <v>43816.604166666664</v>
      </c>
      <c r="F441" s="23">
        <v>42.85</v>
      </c>
      <c r="G441" s="31">
        <v>-4.5999999999999999E-3</v>
      </c>
      <c r="H441" s="23">
        <v>-232.88</v>
      </c>
      <c r="I441" s="31">
        <v>-4.5999999999999999E-3</v>
      </c>
      <c r="J441" s="23">
        <v>1164.3800000000001</v>
      </c>
      <c r="K441" s="23">
        <v>50126.55</v>
      </c>
      <c r="L441" s="23">
        <v>25018.28</v>
      </c>
      <c r="M441" s="23">
        <v>7</v>
      </c>
      <c r="N441" s="23">
        <v>-33.270000000000003</v>
      </c>
      <c r="O441" s="31">
        <v>-5.7999999999999996E-3</v>
      </c>
      <c r="P441" s="31">
        <v>2.3E-3</v>
      </c>
      <c r="Q441" s="23" t="s">
        <v>24</v>
      </c>
      <c r="R441" s="23">
        <v>0</v>
      </c>
      <c r="S441" s="23">
        <v>42.67</v>
      </c>
      <c r="U441" s="47">
        <f>VLOOKUP(AU441,[1]expiry_dates!$B$2:$C$2894,2,FALSE)</f>
        <v>43825</v>
      </c>
      <c r="V441" s="23" t="s">
        <v>115</v>
      </c>
      <c r="W441" s="23" t="s">
        <v>23</v>
      </c>
      <c r="X441" s="49">
        <v>43816.541666666664</v>
      </c>
      <c r="Y441" s="23">
        <v>0.5</v>
      </c>
      <c r="Z441" s="23">
        <v>43816.604166666664</v>
      </c>
      <c r="AA441" s="23">
        <v>0.55000000000000004</v>
      </c>
      <c r="AB441" s="23">
        <v>0.1</v>
      </c>
      <c r="AC441" s="23">
        <v>-5708.64</v>
      </c>
      <c r="AD441" s="23">
        <v>-0.1</v>
      </c>
      <c r="AE441" s="23">
        <v>114172.8</v>
      </c>
      <c r="AF441" s="23">
        <v>57086.38</v>
      </c>
      <c r="AG441" s="23">
        <v>1411566.41</v>
      </c>
      <c r="AH441" s="23">
        <v>7</v>
      </c>
      <c r="AI441" s="23">
        <v>-815.52</v>
      </c>
      <c r="AJ441" s="23">
        <v>-0.1</v>
      </c>
      <c r="AK441" s="23">
        <v>0</v>
      </c>
      <c r="AL441" s="23" t="s">
        <v>24</v>
      </c>
      <c r="AM441" s="23">
        <v>43.05</v>
      </c>
      <c r="AN441" s="23">
        <v>32187.3</v>
      </c>
      <c r="AO441" s="23">
        <v>42.67</v>
      </c>
      <c r="AP441" s="23">
        <v>0</v>
      </c>
      <c r="AR441" s="46"/>
      <c r="AS441" s="44"/>
      <c r="AT441" s="45"/>
      <c r="AU441" s="2">
        <v>43816</v>
      </c>
      <c r="AV441" s="52">
        <v>4.1666666666666664E-2</v>
      </c>
      <c r="AW441" s="2" t="s">
        <v>213</v>
      </c>
      <c r="AY441" s="3"/>
      <c r="BA441" s="3"/>
      <c r="BG441" s="3"/>
      <c r="BH441" s="3"/>
    </row>
    <row r="442" spans="1:60">
      <c r="A442" s="23" t="s">
        <v>22</v>
      </c>
      <c r="B442" s="23" t="s">
        <v>23</v>
      </c>
      <c r="C442" s="27">
        <v>43816.604166666664</v>
      </c>
      <c r="D442" s="23">
        <v>42.85</v>
      </c>
      <c r="E442" s="27">
        <v>43817.53125</v>
      </c>
      <c r="F442" s="23">
        <v>42.7</v>
      </c>
      <c r="G442" s="31">
        <v>-3.5000000000000001E-3</v>
      </c>
      <c r="H442" s="23">
        <v>175.47</v>
      </c>
      <c r="I442" s="31">
        <v>3.5000000000000001E-3</v>
      </c>
      <c r="J442" s="23">
        <v>1169.7940000000001</v>
      </c>
      <c r="K442" s="23">
        <v>50125.68</v>
      </c>
      <c r="L442" s="23">
        <v>25193.75</v>
      </c>
      <c r="M442" s="23">
        <v>22</v>
      </c>
      <c r="N442" s="23">
        <v>7.98</v>
      </c>
      <c r="O442" s="31">
        <v>-3.5000000000000001E-3</v>
      </c>
      <c r="P442" s="31">
        <v>1.0500000000000001E-2</v>
      </c>
      <c r="Q442" s="23" t="s">
        <v>24</v>
      </c>
      <c r="R442" s="23">
        <v>0</v>
      </c>
      <c r="S442" s="23">
        <v>43.14</v>
      </c>
      <c r="U442" s="47">
        <f>VLOOKUP(AU442,[1]expiry_dates!$B$2:$C$2894,2,FALSE)</f>
        <v>43825</v>
      </c>
      <c r="V442" s="23" t="s">
        <v>114</v>
      </c>
      <c r="W442" s="23" t="s">
        <v>23</v>
      </c>
      <c r="X442" s="49">
        <v>43816.604166666664</v>
      </c>
      <c r="Y442" s="23">
        <v>1</v>
      </c>
      <c r="Z442" s="23">
        <v>43817.53125</v>
      </c>
      <c r="AA442" s="23">
        <v>0.8</v>
      </c>
      <c r="AB442" s="23">
        <v>-0.2</v>
      </c>
      <c r="AC442" s="23">
        <v>11411.57</v>
      </c>
      <c r="AD442" s="23">
        <v>0.2</v>
      </c>
      <c r="AE442" s="23">
        <v>57057.83</v>
      </c>
      <c r="AF442" s="23">
        <v>57057.83</v>
      </c>
      <c r="AG442" s="23">
        <v>1422977.98</v>
      </c>
      <c r="AH442" s="23">
        <v>22</v>
      </c>
      <c r="AI442" s="23">
        <v>518.71</v>
      </c>
      <c r="AJ442" s="23">
        <v>-0.05</v>
      </c>
      <c r="AK442" s="23">
        <v>0.3</v>
      </c>
      <c r="AL442" s="23" t="s">
        <v>24</v>
      </c>
      <c r="AM442" s="23">
        <v>42.85</v>
      </c>
      <c r="AN442" s="23">
        <v>32115.1</v>
      </c>
      <c r="AO442" s="23">
        <v>43.14</v>
      </c>
      <c r="AP442" s="23">
        <v>0</v>
      </c>
      <c r="AR442" s="46"/>
      <c r="AS442" s="44"/>
      <c r="AT442" s="45"/>
      <c r="AU442" s="2">
        <v>43816</v>
      </c>
      <c r="AV442" s="52">
        <v>0.10416666666666667</v>
      </c>
      <c r="AW442" s="2" t="s">
        <v>213</v>
      </c>
      <c r="AY442" s="3"/>
      <c r="BA442" s="3"/>
      <c r="BG442" s="3"/>
      <c r="BH442" s="3"/>
    </row>
    <row r="443" spans="1:60">
      <c r="A443" s="23" t="s">
        <v>22</v>
      </c>
      <c r="B443" s="23" t="s">
        <v>25</v>
      </c>
      <c r="C443" s="27">
        <v>43817.53125</v>
      </c>
      <c r="D443" s="23">
        <v>42.7</v>
      </c>
      <c r="E443" s="27">
        <v>43817.552083333336</v>
      </c>
      <c r="F443" s="23">
        <v>42.4</v>
      </c>
      <c r="G443" s="31">
        <v>-7.0000000000000001E-3</v>
      </c>
      <c r="H443" s="23">
        <v>-352.18</v>
      </c>
      <c r="I443" s="31">
        <v>-7.0000000000000001E-3</v>
      </c>
      <c r="J443" s="23">
        <v>1173.924</v>
      </c>
      <c r="K443" s="23">
        <v>50126.55</v>
      </c>
      <c r="L443" s="23">
        <v>24841.57</v>
      </c>
      <c r="M443" s="23">
        <v>3</v>
      </c>
      <c r="N443" s="23">
        <v>-117.39</v>
      </c>
      <c r="O443" s="31">
        <v>-7.0000000000000001E-3</v>
      </c>
      <c r="P443" s="31">
        <v>1.1999999999999999E-3</v>
      </c>
      <c r="Q443" s="23" t="s">
        <v>24</v>
      </c>
      <c r="R443" s="23">
        <v>0</v>
      </c>
      <c r="S443" s="23">
        <v>42.4</v>
      </c>
      <c r="U443" s="47">
        <f>VLOOKUP(AU443,[1]expiry_dates!$B$2:$C$2894,2,FALSE)</f>
        <v>43825</v>
      </c>
      <c r="V443" s="23" t="s">
        <v>115</v>
      </c>
      <c r="W443" s="23" t="s">
        <v>23</v>
      </c>
      <c r="X443" s="49">
        <v>43817.541666666664</v>
      </c>
      <c r="Y443" s="23">
        <v>0.55000000000000004</v>
      </c>
      <c r="Z443" s="23">
        <v>43817.552083333336</v>
      </c>
      <c r="AA443" s="23">
        <v>0.6</v>
      </c>
      <c r="AB443" s="23">
        <v>9.0899999999999995E-2</v>
      </c>
      <c r="AC443" s="23">
        <v>-5192.26</v>
      </c>
      <c r="AD443" s="23">
        <v>-9.0899999999999995E-2</v>
      </c>
      <c r="AE443" s="23">
        <v>103845.3</v>
      </c>
      <c r="AF443" s="23">
        <v>57114.89</v>
      </c>
      <c r="AG443" s="23">
        <v>1417785.71</v>
      </c>
      <c r="AH443" s="23">
        <v>2</v>
      </c>
      <c r="AI443" s="23">
        <v>-2596.13</v>
      </c>
      <c r="AJ443" s="23">
        <v>-9.0899999999999995E-2</v>
      </c>
      <c r="AK443" s="23">
        <v>0</v>
      </c>
      <c r="AL443" s="23" t="s">
        <v>24</v>
      </c>
      <c r="AM443" s="23">
        <v>42.65</v>
      </c>
      <c r="AN443" s="23">
        <v>32184.65</v>
      </c>
      <c r="AO443" s="23">
        <v>42.42</v>
      </c>
      <c r="AP443" s="23">
        <v>0</v>
      </c>
      <c r="AR443" s="46"/>
      <c r="AS443" s="44"/>
      <c r="AT443" s="45"/>
      <c r="AU443" s="2">
        <v>43817</v>
      </c>
      <c r="AV443" s="52">
        <v>4.1666666666666664E-2</v>
      </c>
      <c r="AW443" s="2" t="s">
        <v>213</v>
      </c>
      <c r="AY443" s="3"/>
      <c r="BA443" s="3"/>
      <c r="BG443" s="3"/>
      <c r="BH443" s="3"/>
    </row>
    <row r="444" spans="1:60">
      <c r="A444" s="23" t="s">
        <v>22</v>
      </c>
      <c r="B444" s="23" t="s">
        <v>23</v>
      </c>
      <c r="C444" s="27">
        <v>43817.552083333336</v>
      </c>
      <c r="D444" s="23">
        <v>42.4</v>
      </c>
      <c r="E444" s="27">
        <v>43817.614583333336</v>
      </c>
      <c r="F444" s="23">
        <v>42.6</v>
      </c>
      <c r="G444" s="31">
        <v>4.7000000000000002E-3</v>
      </c>
      <c r="H444" s="23">
        <v>-236.44</v>
      </c>
      <c r="I444" s="31">
        <v>-4.7000000000000002E-3</v>
      </c>
      <c r="J444" s="23">
        <v>1182.2090000000001</v>
      </c>
      <c r="K444" s="23">
        <v>50125.67</v>
      </c>
      <c r="L444" s="23">
        <v>24605.13</v>
      </c>
      <c r="M444" s="23">
        <v>7</v>
      </c>
      <c r="N444" s="23">
        <v>-33.78</v>
      </c>
      <c r="O444" s="31">
        <v>-5.8999999999999999E-3</v>
      </c>
      <c r="P444" s="31">
        <v>0</v>
      </c>
      <c r="Q444" s="23" t="s">
        <v>24</v>
      </c>
      <c r="R444" s="23">
        <v>0</v>
      </c>
      <c r="S444" s="23">
        <v>42.74</v>
      </c>
      <c r="U444" s="47">
        <f>VLOOKUP(AU444,[1]expiry_dates!$B$2:$C$2894,2,FALSE)</f>
        <v>43825</v>
      </c>
      <c r="V444" s="23" t="s">
        <v>114</v>
      </c>
      <c r="W444" s="23" t="s">
        <v>23</v>
      </c>
      <c r="X444" s="49">
        <v>43817.552083333336</v>
      </c>
      <c r="Y444" s="23">
        <v>0.7</v>
      </c>
      <c r="Z444" s="23">
        <v>43817.614583333336</v>
      </c>
      <c r="AA444" s="23">
        <v>0.75</v>
      </c>
      <c r="AB444" s="23">
        <v>7.1400000000000005E-2</v>
      </c>
      <c r="AC444" s="23">
        <v>-4079.64</v>
      </c>
      <c r="AD444" s="23">
        <v>-7.1400000000000005E-2</v>
      </c>
      <c r="AE444" s="23">
        <v>81592.7</v>
      </c>
      <c r="AF444" s="23">
        <v>57114.89</v>
      </c>
      <c r="AG444" s="23">
        <v>1413706.08</v>
      </c>
      <c r="AH444" s="23">
        <v>7</v>
      </c>
      <c r="AI444" s="23">
        <v>-582.80999999999995</v>
      </c>
      <c r="AJ444" s="23">
        <v>-7.1400000000000005E-2</v>
      </c>
      <c r="AK444" s="23">
        <v>0</v>
      </c>
      <c r="AL444" s="23" t="s">
        <v>24</v>
      </c>
      <c r="AM444" s="23">
        <v>42.4</v>
      </c>
      <c r="AN444" s="23">
        <v>32135.8</v>
      </c>
      <c r="AO444" s="23">
        <v>42.74</v>
      </c>
      <c r="AP444" s="23">
        <v>0</v>
      </c>
      <c r="AR444" s="46"/>
      <c r="AS444" s="44"/>
      <c r="AT444" s="45"/>
      <c r="AU444" s="2">
        <v>43817</v>
      </c>
      <c r="AV444" s="52">
        <v>5.2083333333333336E-2</v>
      </c>
      <c r="AW444" s="2" t="s">
        <v>213</v>
      </c>
      <c r="AY444" s="3"/>
      <c r="BA444" s="3"/>
      <c r="BG444" s="3"/>
      <c r="BH444" s="3"/>
    </row>
    <row r="445" spans="1:60">
      <c r="A445" s="23" t="s">
        <v>22</v>
      </c>
      <c r="B445" s="23" t="s">
        <v>25</v>
      </c>
      <c r="C445" s="27">
        <v>43817.614583333336</v>
      </c>
      <c r="D445" s="23">
        <v>42.6</v>
      </c>
      <c r="E445" s="27">
        <v>43819.4375</v>
      </c>
      <c r="F445" s="23">
        <v>43.45</v>
      </c>
      <c r="G445" s="31">
        <v>0.02</v>
      </c>
      <c r="H445" s="23">
        <v>1000.12</v>
      </c>
      <c r="I445" s="31">
        <v>0.02</v>
      </c>
      <c r="J445" s="23">
        <v>1176.6110000000001</v>
      </c>
      <c r="K445" s="23">
        <v>50123.61</v>
      </c>
      <c r="L445" s="23">
        <v>25605.25</v>
      </c>
      <c r="M445" s="23">
        <v>40</v>
      </c>
      <c r="N445" s="23">
        <v>25</v>
      </c>
      <c r="O445" s="31">
        <v>-4.7000000000000002E-3</v>
      </c>
      <c r="P445" s="31">
        <v>3.2899999999999999E-2</v>
      </c>
      <c r="Q445" s="23" t="s">
        <v>24</v>
      </c>
      <c r="R445" s="23">
        <v>0</v>
      </c>
      <c r="S445" s="23">
        <v>42.41</v>
      </c>
      <c r="U445" s="47">
        <f>VLOOKUP(AU445,[1]expiry_dates!$B$2:$C$2894,2,FALSE)</f>
        <v>43825</v>
      </c>
      <c r="V445" s="23" t="s">
        <v>118</v>
      </c>
      <c r="W445" s="23" t="s">
        <v>23</v>
      </c>
      <c r="X445" s="49">
        <v>43817.614583333336</v>
      </c>
      <c r="Y445" s="23">
        <v>1.05</v>
      </c>
      <c r="Z445" s="23">
        <v>43819.4375</v>
      </c>
      <c r="AA445" s="23">
        <v>0.55000000000000004</v>
      </c>
      <c r="AB445" s="23">
        <v>-0.47620000000000001</v>
      </c>
      <c r="AC445" s="23">
        <v>27185.21</v>
      </c>
      <c r="AD445" s="23">
        <v>0.47620000000000001</v>
      </c>
      <c r="AE445" s="23">
        <v>54370.41</v>
      </c>
      <c r="AF445" s="23">
        <v>57088.93</v>
      </c>
      <c r="AG445" s="23">
        <v>1440891.28</v>
      </c>
      <c r="AH445" s="23">
        <v>40</v>
      </c>
      <c r="AI445" s="23">
        <v>679.63</v>
      </c>
      <c r="AJ445" s="23">
        <v>-4.7600000000000003E-2</v>
      </c>
      <c r="AK445" s="23">
        <v>0.57140000000000002</v>
      </c>
      <c r="AL445" s="23" t="s">
        <v>24</v>
      </c>
      <c r="AM445" s="23">
        <v>42.6</v>
      </c>
      <c r="AN445" s="23">
        <v>32233.55</v>
      </c>
      <c r="AO445" s="23">
        <v>42.41</v>
      </c>
      <c r="AP445" s="23">
        <v>0</v>
      </c>
      <c r="AR445" s="46"/>
      <c r="AS445" s="44"/>
      <c r="AT445" s="45"/>
      <c r="AU445" s="2">
        <v>43817</v>
      </c>
      <c r="AV445" s="52">
        <v>0.11458333333333333</v>
      </c>
      <c r="AW445" s="2" t="s">
        <v>213</v>
      </c>
      <c r="AY445" s="3"/>
      <c r="BA445" s="3"/>
      <c r="BG445" s="3"/>
      <c r="BH445" s="3"/>
    </row>
    <row r="446" spans="1:60">
      <c r="A446" s="23" t="s">
        <v>22</v>
      </c>
      <c r="B446" s="23" t="s">
        <v>23</v>
      </c>
      <c r="C446" s="27">
        <v>43819.4375</v>
      </c>
      <c r="D446" s="23">
        <v>43.45</v>
      </c>
      <c r="E446" s="27">
        <v>43819.46875</v>
      </c>
      <c r="F446" s="23">
        <v>43.95</v>
      </c>
      <c r="G446" s="31">
        <v>1.15E-2</v>
      </c>
      <c r="H446" s="23">
        <v>-576.85</v>
      </c>
      <c r="I446" s="31">
        <v>-1.15E-2</v>
      </c>
      <c r="J446" s="23">
        <v>1153.7080000000001</v>
      </c>
      <c r="K446" s="23">
        <v>50128.61</v>
      </c>
      <c r="L446" s="23">
        <v>25028.39</v>
      </c>
      <c r="M446" s="23">
        <v>4</v>
      </c>
      <c r="N446" s="23">
        <v>-144.21</v>
      </c>
      <c r="O446" s="31">
        <v>-1.15E-2</v>
      </c>
      <c r="P446" s="31">
        <v>1.1999999999999999E-3</v>
      </c>
      <c r="Q446" s="23" t="s">
        <v>24</v>
      </c>
      <c r="R446" s="23">
        <v>0</v>
      </c>
      <c r="S446" s="23">
        <v>43.99</v>
      </c>
      <c r="U446" s="47">
        <f>VLOOKUP(AU446,[1]expiry_dates!$B$2:$C$2894,2,FALSE)</f>
        <v>43825</v>
      </c>
      <c r="V446" s="23" t="s">
        <v>114</v>
      </c>
      <c r="W446" s="23" t="s">
        <v>23</v>
      </c>
      <c r="X446" s="49">
        <v>43819.4375</v>
      </c>
      <c r="Y446" s="23">
        <v>1.05</v>
      </c>
      <c r="Z446" s="23">
        <v>43819.46875</v>
      </c>
      <c r="AA446" s="23">
        <v>1.3</v>
      </c>
      <c r="AB446" s="23">
        <v>0.23810000000000001</v>
      </c>
      <c r="AC446" s="23">
        <v>-13620.11</v>
      </c>
      <c r="AD446" s="23">
        <v>-0.23810000000000001</v>
      </c>
      <c r="AE446" s="23">
        <v>54480.44</v>
      </c>
      <c r="AF446" s="23">
        <v>57204.46</v>
      </c>
      <c r="AG446" s="23">
        <v>1427271.17</v>
      </c>
      <c r="AH446" s="23">
        <v>4</v>
      </c>
      <c r="AI446" s="23">
        <v>-3405.03</v>
      </c>
      <c r="AJ446" s="23">
        <v>-0.23810000000000001</v>
      </c>
      <c r="AK446" s="23">
        <v>0</v>
      </c>
      <c r="AL446" s="23" t="s">
        <v>24</v>
      </c>
      <c r="AM446" s="23">
        <v>43.45</v>
      </c>
      <c r="AN446" s="23">
        <v>32350.2</v>
      </c>
      <c r="AO446" s="23">
        <v>43.99</v>
      </c>
      <c r="AP446" s="23">
        <v>0</v>
      </c>
      <c r="AR446" s="46"/>
      <c r="AS446" s="44"/>
      <c r="AT446" s="45"/>
      <c r="AU446" s="2">
        <v>43819</v>
      </c>
      <c r="AV446" s="52">
        <v>0.4375</v>
      </c>
      <c r="AW446" s="2" t="s">
        <v>212</v>
      </c>
      <c r="AY446" s="3"/>
      <c r="BA446" s="3"/>
      <c r="BG446" s="3"/>
      <c r="BH446" s="3"/>
    </row>
    <row r="447" spans="1:60">
      <c r="A447" s="23" t="s">
        <v>22</v>
      </c>
      <c r="B447" s="23" t="s">
        <v>25</v>
      </c>
      <c r="C447" s="27">
        <v>43819.46875</v>
      </c>
      <c r="D447" s="23">
        <v>43.95</v>
      </c>
      <c r="E447" s="27">
        <v>43819.541666666664</v>
      </c>
      <c r="F447" s="23">
        <v>43.4</v>
      </c>
      <c r="G447" s="31">
        <v>-1.2500000000000001E-2</v>
      </c>
      <c r="H447" s="23">
        <v>-627.29999999999995</v>
      </c>
      <c r="I447" s="31">
        <v>-1.2500000000000001E-2</v>
      </c>
      <c r="J447" s="23">
        <v>1140.55</v>
      </c>
      <c r="K447" s="23">
        <v>50127.16</v>
      </c>
      <c r="L447" s="23">
        <v>24401.09</v>
      </c>
      <c r="M447" s="23">
        <v>8</v>
      </c>
      <c r="N447" s="23">
        <v>-78.41</v>
      </c>
      <c r="O447" s="31">
        <v>-1.2500000000000001E-2</v>
      </c>
      <c r="P447" s="31">
        <v>0</v>
      </c>
      <c r="Q447" s="23" t="s">
        <v>24</v>
      </c>
      <c r="R447" s="23">
        <v>0</v>
      </c>
      <c r="S447" s="23">
        <v>43.4</v>
      </c>
      <c r="U447" s="47">
        <f>VLOOKUP(AU447,[1]expiry_dates!$B$2:$C$2894,2,FALSE)</f>
        <v>43825</v>
      </c>
      <c r="V447" s="23" t="s">
        <v>118</v>
      </c>
      <c r="W447" s="23" t="s">
        <v>23</v>
      </c>
      <c r="X447" s="49">
        <v>43819.46875</v>
      </c>
      <c r="Y447" s="23">
        <v>0.4</v>
      </c>
      <c r="Z447" s="23">
        <v>43819.541666666664</v>
      </c>
      <c r="AA447" s="23">
        <v>0.5</v>
      </c>
      <c r="AB447" s="23">
        <v>0.25</v>
      </c>
      <c r="AC447" s="23">
        <v>-14301.11</v>
      </c>
      <c r="AD447" s="23">
        <v>-0.25</v>
      </c>
      <c r="AE447" s="23">
        <v>143011.1</v>
      </c>
      <c r="AF447" s="23">
        <v>57204.46</v>
      </c>
      <c r="AG447" s="23">
        <v>1412970.06</v>
      </c>
      <c r="AH447" s="23">
        <v>8</v>
      </c>
      <c r="AI447" s="23">
        <v>-1787.64</v>
      </c>
      <c r="AJ447" s="23">
        <v>-0.25</v>
      </c>
      <c r="AK447" s="23">
        <v>0</v>
      </c>
      <c r="AL447" s="23" t="s">
        <v>24</v>
      </c>
      <c r="AM447" s="23">
        <v>43.95</v>
      </c>
      <c r="AN447" s="23">
        <v>32388.6</v>
      </c>
      <c r="AO447" s="23">
        <v>43.4</v>
      </c>
      <c r="AP447" s="23">
        <v>0</v>
      </c>
      <c r="AR447" s="46"/>
      <c r="AS447" s="44"/>
      <c r="AT447" s="45"/>
      <c r="AU447" s="2">
        <v>43819</v>
      </c>
      <c r="AV447" s="52">
        <v>0.46875</v>
      </c>
      <c r="AW447" s="2" t="s">
        <v>212</v>
      </c>
      <c r="AY447" s="3"/>
      <c r="BA447" s="3"/>
      <c r="BG447" s="3"/>
      <c r="BH447" s="3"/>
    </row>
    <row r="448" spans="1:60">
      <c r="A448" s="23" t="s">
        <v>22</v>
      </c>
      <c r="B448" s="23" t="s">
        <v>23</v>
      </c>
      <c r="C448" s="27">
        <v>43819.541666666664</v>
      </c>
      <c r="D448" s="23">
        <v>43.4</v>
      </c>
      <c r="E448" s="27">
        <v>43822.385416666664</v>
      </c>
      <c r="F448" s="23">
        <v>43.5</v>
      </c>
      <c r="G448" s="31">
        <v>2.3E-3</v>
      </c>
      <c r="H448" s="23">
        <v>-115.49</v>
      </c>
      <c r="I448" s="31">
        <v>-2.3E-3</v>
      </c>
      <c r="J448" s="23">
        <v>1154.924</v>
      </c>
      <c r="K448" s="23">
        <v>50123.72</v>
      </c>
      <c r="L448" s="23">
        <v>24285.599999999999</v>
      </c>
      <c r="M448" s="23">
        <v>14</v>
      </c>
      <c r="N448" s="23">
        <v>-8.25</v>
      </c>
      <c r="O448" s="31">
        <v>-6.8999999999999999E-3</v>
      </c>
      <c r="P448" s="31">
        <v>4.5999999999999999E-3</v>
      </c>
      <c r="Q448" s="23" t="s">
        <v>24</v>
      </c>
      <c r="R448" s="23">
        <v>0</v>
      </c>
      <c r="S448" s="23">
        <v>43.94</v>
      </c>
      <c r="U448" s="47">
        <f>VLOOKUP(AU448,[1]expiry_dates!$B$2:$C$2894,2,FALSE)</f>
        <v>43825</v>
      </c>
      <c r="V448" s="23" t="s">
        <v>114</v>
      </c>
      <c r="W448" s="23" t="s">
        <v>23</v>
      </c>
      <c r="X448" s="49">
        <v>43819.541666666664</v>
      </c>
      <c r="Y448" s="23">
        <v>1.05</v>
      </c>
      <c r="Z448" s="23">
        <v>43822.385416666664</v>
      </c>
      <c r="AA448" s="23">
        <v>1</v>
      </c>
      <c r="AB448" s="23">
        <v>-4.7600000000000003E-2</v>
      </c>
      <c r="AC448" s="23">
        <v>2720.78</v>
      </c>
      <c r="AD448" s="23">
        <v>4.7600000000000003E-2</v>
      </c>
      <c r="AE448" s="23">
        <v>54415.58</v>
      </c>
      <c r="AF448" s="23">
        <v>57136.36</v>
      </c>
      <c r="AG448" s="23">
        <v>1415690.84</v>
      </c>
      <c r="AH448" s="23">
        <v>14</v>
      </c>
      <c r="AI448" s="23">
        <v>194.34</v>
      </c>
      <c r="AJ448" s="23">
        <v>-9.5200000000000007E-2</v>
      </c>
      <c r="AK448" s="23">
        <v>0.1429</v>
      </c>
      <c r="AL448" s="23" t="s">
        <v>24</v>
      </c>
      <c r="AM448" s="23">
        <v>43.4</v>
      </c>
      <c r="AN448" s="23">
        <v>32343.3</v>
      </c>
      <c r="AO448" s="23">
        <v>43.94</v>
      </c>
      <c r="AP448" s="23">
        <v>0</v>
      </c>
      <c r="AR448" s="46"/>
      <c r="AS448" s="44"/>
      <c r="AT448" s="45"/>
      <c r="AU448" s="2">
        <v>43819</v>
      </c>
      <c r="AV448" s="52">
        <v>4.1666666666666664E-2</v>
      </c>
      <c r="AW448" s="2" t="s">
        <v>213</v>
      </c>
      <c r="AY448" s="3"/>
      <c r="BA448" s="3"/>
      <c r="BG448" s="3"/>
      <c r="BH448" s="3"/>
    </row>
    <row r="449" spans="1:60">
      <c r="A449" s="23" t="s">
        <v>22</v>
      </c>
      <c r="B449" s="23" t="s">
        <v>25</v>
      </c>
      <c r="C449" s="27">
        <v>43822.385416666664</v>
      </c>
      <c r="D449" s="23">
        <v>43.5</v>
      </c>
      <c r="E449" s="27">
        <v>43822.489583333336</v>
      </c>
      <c r="F449" s="23">
        <v>43.3</v>
      </c>
      <c r="G449" s="31">
        <v>-4.5999999999999999E-3</v>
      </c>
      <c r="H449" s="23">
        <v>-230.45</v>
      </c>
      <c r="I449" s="31">
        <v>-4.5999999999999999E-3</v>
      </c>
      <c r="J449" s="23">
        <v>1152.2570000000001</v>
      </c>
      <c r="K449" s="23">
        <v>50123.16</v>
      </c>
      <c r="L449" s="23">
        <v>24055.15</v>
      </c>
      <c r="M449" s="23">
        <v>11</v>
      </c>
      <c r="N449" s="23">
        <v>-20.95</v>
      </c>
      <c r="O449" s="31">
        <v>-5.7000000000000002E-3</v>
      </c>
      <c r="P449" s="31">
        <v>2.3E-3</v>
      </c>
      <c r="Q449" s="23" t="s">
        <v>24</v>
      </c>
      <c r="R449" s="23">
        <v>0</v>
      </c>
      <c r="S449" s="23">
        <v>43.21</v>
      </c>
      <c r="U449" s="47">
        <f>VLOOKUP(AU449,[1]expiry_dates!$B$2:$C$2894,2,FALSE)</f>
        <v>43825</v>
      </c>
      <c r="V449" s="23" t="s">
        <v>115</v>
      </c>
      <c r="W449" s="23" t="s">
        <v>23</v>
      </c>
      <c r="X449" s="49">
        <v>43822.385416666664</v>
      </c>
      <c r="Y449" s="23">
        <v>0.15</v>
      </c>
      <c r="Z449" s="23">
        <v>43822.489583333336</v>
      </c>
      <c r="AA449" s="23">
        <v>0.2</v>
      </c>
      <c r="AB449" s="23">
        <v>0.33329999999999999</v>
      </c>
      <c r="AC449" s="23">
        <v>-19026.150000000001</v>
      </c>
      <c r="AD449" s="23">
        <v>-0.33329999999999999</v>
      </c>
      <c r="AE449" s="23">
        <v>380523</v>
      </c>
      <c r="AF449" s="23">
        <v>57078.45</v>
      </c>
      <c r="AG449" s="23">
        <v>1396664.69</v>
      </c>
      <c r="AH449" s="23">
        <v>11</v>
      </c>
      <c r="AI449" s="23">
        <v>-1729.65</v>
      </c>
      <c r="AJ449" s="23">
        <v>-0.33329999999999999</v>
      </c>
      <c r="AK449" s="23">
        <v>0.33329999999999999</v>
      </c>
      <c r="AL449" s="23" t="s">
        <v>24</v>
      </c>
      <c r="AM449" s="23">
        <v>43.5</v>
      </c>
      <c r="AN449" s="23">
        <v>32390.7</v>
      </c>
      <c r="AO449" s="23">
        <v>43.21</v>
      </c>
      <c r="AP449" s="23">
        <v>0</v>
      </c>
      <c r="AR449" s="46"/>
      <c r="AS449" s="44"/>
      <c r="AT449" s="45"/>
      <c r="AU449" s="2">
        <v>43822</v>
      </c>
      <c r="AV449" s="52">
        <v>0.38541666666666669</v>
      </c>
      <c r="AW449" s="2" t="s">
        <v>212</v>
      </c>
      <c r="AY449" s="3"/>
      <c r="BA449" s="3"/>
      <c r="BG449" s="3"/>
      <c r="BH449" s="3"/>
    </row>
    <row r="450" spans="1:60">
      <c r="A450" s="23" t="s">
        <v>22</v>
      </c>
      <c r="B450" s="23" t="s">
        <v>23</v>
      </c>
      <c r="C450" s="27">
        <v>43822.489583333336</v>
      </c>
      <c r="D450" s="23">
        <v>43.3</v>
      </c>
      <c r="E450" s="27">
        <v>43823.395833333336</v>
      </c>
      <c r="F450" s="23">
        <v>43.25</v>
      </c>
      <c r="G450" s="31">
        <v>-1.1999999999999999E-3</v>
      </c>
      <c r="H450" s="23">
        <v>57.88</v>
      </c>
      <c r="I450" s="31">
        <v>1.1999999999999999E-3</v>
      </c>
      <c r="J450" s="23">
        <v>1157.5260000000001</v>
      </c>
      <c r="K450" s="23">
        <v>50120.86</v>
      </c>
      <c r="L450" s="23">
        <v>24113.02</v>
      </c>
      <c r="M450" s="23">
        <v>20</v>
      </c>
      <c r="N450" s="23">
        <v>2.89</v>
      </c>
      <c r="O450" s="31">
        <v>-3.5000000000000001E-3</v>
      </c>
      <c r="P450" s="31">
        <v>1.04E-2</v>
      </c>
      <c r="Q450" s="23" t="s">
        <v>24</v>
      </c>
      <c r="R450" s="23">
        <v>0</v>
      </c>
      <c r="S450" s="23">
        <v>43.59</v>
      </c>
      <c r="U450" s="47">
        <f>VLOOKUP(AU450,[1]expiry_dates!$B$2:$C$2894,2,FALSE)</f>
        <v>43825</v>
      </c>
      <c r="V450" s="23" t="s">
        <v>114</v>
      </c>
      <c r="W450" s="23" t="s">
        <v>23</v>
      </c>
      <c r="X450" s="49">
        <v>43822.489583333336</v>
      </c>
      <c r="Y450" s="23">
        <v>0.8</v>
      </c>
      <c r="Z450" s="23">
        <v>43823.395833333336</v>
      </c>
      <c r="AA450" s="23">
        <v>0.55000000000000004</v>
      </c>
      <c r="AB450" s="23">
        <v>-0.3125</v>
      </c>
      <c r="AC450" s="23">
        <v>17837.02</v>
      </c>
      <c r="AD450" s="23">
        <v>0.3125</v>
      </c>
      <c r="AE450" s="23">
        <v>71348.070000000007</v>
      </c>
      <c r="AF450" s="23">
        <v>57078.46</v>
      </c>
      <c r="AG450" s="23">
        <v>1414501.71</v>
      </c>
      <c r="AH450" s="23">
        <v>20</v>
      </c>
      <c r="AI450" s="23">
        <v>891.85</v>
      </c>
      <c r="AJ450" s="23">
        <v>0</v>
      </c>
      <c r="AK450" s="23">
        <v>0.4375</v>
      </c>
      <c r="AL450" s="23" t="s">
        <v>24</v>
      </c>
      <c r="AM450" s="23">
        <v>43.3</v>
      </c>
      <c r="AN450" s="23">
        <v>32407</v>
      </c>
      <c r="AO450" s="23">
        <v>43.59</v>
      </c>
      <c r="AP450" s="23">
        <v>0</v>
      </c>
      <c r="AR450" s="46"/>
      <c r="AS450" s="44"/>
      <c r="AT450" s="45"/>
      <c r="AU450" s="2">
        <v>43822</v>
      </c>
      <c r="AV450" s="52">
        <v>0.48958333333333331</v>
      </c>
      <c r="AW450" s="2" t="s">
        <v>212</v>
      </c>
      <c r="AY450" s="3"/>
      <c r="BA450" s="3"/>
      <c r="BG450" s="3"/>
      <c r="BH450" s="3"/>
    </row>
    <row r="451" spans="1:60">
      <c r="A451" s="23" t="s">
        <v>22</v>
      </c>
      <c r="B451" s="23" t="s">
        <v>25</v>
      </c>
      <c r="C451" s="27">
        <v>43823.395833333336</v>
      </c>
      <c r="D451" s="23">
        <v>43.25</v>
      </c>
      <c r="E451" s="27">
        <v>43825.385416666664</v>
      </c>
      <c r="F451" s="23">
        <v>43.5</v>
      </c>
      <c r="G451" s="31">
        <v>5.7999999999999996E-3</v>
      </c>
      <c r="H451" s="23">
        <v>289.72000000000003</v>
      </c>
      <c r="I451" s="31">
        <v>5.7999999999999996E-3</v>
      </c>
      <c r="J451" s="23">
        <v>1158.8699999999999</v>
      </c>
      <c r="K451" s="23">
        <v>50121.14</v>
      </c>
      <c r="L451" s="23">
        <v>24402.74</v>
      </c>
      <c r="M451" s="23">
        <v>28</v>
      </c>
      <c r="N451" s="23">
        <v>10.35</v>
      </c>
      <c r="O451" s="31">
        <v>-6.8999999999999999E-3</v>
      </c>
      <c r="P451" s="31">
        <v>1.3899999999999999E-2</v>
      </c>
      <c r="Q451" s="23" t="s">
        <v>24</v>
      </c>
      <c r="R451" s="23">
        <v>0</v>
      </c>
      <c r="S451" s="23">
        <v>42.87</v>
      </c>
      <c r="U451" s="47">
        <f>VLOOKUP(AU451,[1]expiry_dates!$B$2:$C$2894,2,FALSE)</f>
        <v>43825</v>
      </c>
      <c r="V451" s="23" t="s">
        <v>118</v>
      </c>
      <c r="W451" s="23" t="s">
        <v>23</v>
      </c>
      <c r="X451" s="49">
        <v>43823.395833333336</v>
      </c>
      <c r="Y451" s="23">
        <v>0.3</v>
      </c>
      <c r="Z451" s="23">
        <v>43825.385416666664</v>
      </c>
      <c r="AA451" s="23">
        <v>0.1</v>
      </c>
      <c r="AB451" s="23">
        <v>-0.66669999999999996</v>
      </c>
      <c r="AC451" s="23">
        <v>38060.230000000003</v>
      </c>
      <c r="AD451" s="23">
        <v>0.66669999999999996</v>
      </c>
      <c r="AE451" s="23">
        <v>190301.1</v>
      </c>
      <c r="AF451" s="23">
        <v>57090.34</v>
      </c>
      <c r="AG451" s="23">
        <v>1452561.93</v>
      </c>
      <c r="AH451" s="23">
        <v>28</v>
      </c>
      <c r="AI451" s="23">
        <v>1359.29</v>
      </c>
      <c r="AJ451" s="23">
        <v>-0.5</v>
      </c>
      <c r="AK451" s="23">
        <v>0.83330000000000004</v>
      </c>
      <c r="AL451" s="23" t="s">
        <v>24</v>
      </c>
      <c r="AM451" s="23">
        <v>43.25</v>
      </c>
      <c r="AN451" s="23">
        <v>32377.25</v>
      </c>
      <c r="AO451" s="23">
        <v>42.87</v>
      </c>
      <c r="AP451" s="23">
        <v>0</v>
      </c>
      <c r="AR451" s="46"/>
      <c r="AS451" s="44"/>
      <c r="AT451" s="45"/>
      <c r="AU451" s="2">
        <v>43823</v>
      </c>
      <c r="AV451" s="52">
        <v>0.39583333333333331</v>
      </c>
      <c r="AW451" s="2" t="s">
        <v>212</v>
      </c>
      <c r="AY451" s="3"/>
      <c r="BA451" s="3"/>
      <c r="BG451" s="3"/>
      <c r="BH451" s="3"/>
    </row>
    <row r="452" spans="1:60">
      <c r="A452" s="23" t="s">
        <v>22</v>
      </c>
      <c r="B452" s="23" t="s">
        <v>23</v>
      </c>
      <c r="C452" s="27">
        <v>43825.385416666664</v>
      </c>
      <c r="D452" s="23">
        <v>43.5</v>
      </c>
      <c r="E452" s="27">
        <v>43825.604166666664</v>
      </c>
      <c r="F452" s="23">
        <v>43.3</v>
      </c>
      <c r="G452" s="31">
        <v>-4.5999999999999999E-3</v>
      </c>
      <c r="H452" s="23">
        <v>230.45</v>
      </c>
      <c r="I452" s="31">
        <v>4.5999999999999999E-3</v>
      </c>
      <c r="J452" s="23">
        <v>1152.2370000000001</v>
      </c>
      <c r="K452" s="23">
        <v>50122.3</v>
      </c>
      <c r="L452" s="23">
        <v>24633.19</v>
      </c>
      <c r="M452" s="23">
        <v>22</v>
      </c>
      <c r="N452" s="23">
        <v>10.47</v>
      </c>
      <c r="O452" s="31">
        <v>-4.5999999999999999E-3</v>
      </c>
      <c r="P452" s="31">
        <v>1.38E-2</v>
      </c>
      <c r="Q452" s="23" t="s">
        <v>24</v>
      </c>
      <c r="R452" s="23">
        <v>0</v>
      </c>
      <c r="S452" s="23">
        <v>43.83</v>
      </c>
      <c r="U452" s="47">
        <f>VLOOKUP(AU452,[1]expiry_dates!$B$2:$C$2894,2,FALSE)</f>
        <v>43825</v>
      </c>
      <c r="V452" s="23" t="s">
        <v>117</v>
      </c>
      <c r="W452" s="23" t="s">
        <v>23</v>
      </c>
      <c r="X452" s="49">
        <v>43825.385416666664</v>
      </c>
      <c r="Y452" s="23">
        <v>0.15</v>
      </c>
      <c r="Z452" s="23">
        <v>43825.604166666664</v>
      </c>
      <c r="AA452" s="23">
        <v>0.05</v>
      </c>
      <c r="AB452" s="23">
        <v>-0.66669999999999996</v>
      </c>
      <c r="AC452" s="23">
        <v>38143.49</v>
      </c>
      <c r="AD452" s="23">
        <v>0.66669999999999996</v>
      </c>
      <c r="AE452" s="23">
        <v>381434.9</v>
      </c>
      <c r="AF452" s="23">
        <v>57215.23</v>
      </c>
      <c r="AG452" s="23">
        <v>1490705.42</v>
      </c>
      <c r="AH452" s="23">
        <v>22</v>
      </c>
      <c r="AI452" s="23">
        <v>1733.79</v>
      </c>
      <c r="AJ452" s="23">
        <v>-1.6667000000000001</v>
      </c>
      <c r="AK452" s="23">
        <v>0.66669999999999996</v>
      </c>
      <c r="AL452" s="23" t="s">
        <v>24</v>
      </c>
      <c r="AM452" s="23">
        <v>43.5</v>
      </c>
      <c r="AN452" s="23">
        <v>32251.4</v>
      </c>
      <c r="AO452" s="23">
        <v>43.83</v>
      </c>
      <c r="AP452" s="23">
        <v>0</v>
      </c>
      <c r="AR452" s="46"/>
      <c r="AS452" s="44"/>
      <c r="AT452" s="45"/>
      <c r="AU452" s="2">
        <v>43825</v>
      </c>
      <c r="AV452" s="52">
        <v>0.38541666666666669</v>
      </c>
      <c r="AW452" s="2" t="s">
        <v>212</v>
      </c>
      <c r="AY452" s="3"/>
      <c r="BA452" s="3"/>
      <c r="BG452" s="3"/>
      <c r="BH452" s="3"/>
    </row>
    <row r="453" spans="1:60">
      <c r="A453" s="23" t="s">
        <v>22</v>
      </c>
      <c r="B453" s="23" t="s">
        <v>25</v>
      </c>
      <c r="C453" s="27">
        <v>43825.604166666664</v>
      </c>
      <c r="D453" s="23">
        <v>43.3</v>
      </c>
      <c r="E453" s="27">
        <v>43825.6875</v>
      </c>
      <c r="F453" s="23">
        <v>43.6</v>
      </c>
      <c r="G453" s="31">
        <v>6.8999999999999999E-3</v>
      </c>
      <c r="H453" s="23">
        <v>347.28</v>
      </c>
      <c r="I453" s="31">
        <v>6.8999999999999999E-3</v>
      </c>
      <c r="J453" s="23">
        <v>1157.605</v>
      </c>
      <c r="K453" s="23">
        <v>50124.32</v>
      </c>
      <c r="L453" s="23">
        <v>24980.47</v>
      </c>
      <c r="M453" s="23">
        <v>6</v>
      </c>
      <c r="N453" s="23">
        <v>57.88</v>
      </c>
      <c r="O453" s="31">
        <v>-6.8999999999999999E-3</v>
      </c>
      <c r="P453" s="31">
        <v>1.7299999999999999E-2</v>
      </c>
      <c r="Q453" s="23" t="s">
        <v>24</v>
      </c>
      <c r="R453" s="23">
        <v>0</v>
      </c>
      <c r="S453" s="23">
        <v>42.9</v>
      </c>
      <c r="U453" s="47">
        <f>VLOOKUP(AU453,[1]expiry_dates!$B$2:$C$2894,2,FALSE)</f>
        <v>43825</v>
      </c>
      <c r="V453" s="23" t="s">
        <v>118</v>
      </c>
      <c r="W453" s="23" t="s">
        <v>23</v>
      </c>
      <c r="X453" s="49">
        <v>43825.604166666664</v>
      </c>
      <c r="Y453" s="23">
        <v>0.05</v>
      </c>
      <c r="Z453" s="23">
        <v>43825.6875</v>
      </c>
      <c r="AA453" s="23">
        <v>0.05</v>
      </c>
      <c r="AB453" s="23">
        <v>0</v>
      </c>
      <c r="AC453" s="23">
        <v>0</v>
      </c>
      <c r="AD453" s="23">
        <v>0</v>
      </c>
      <c r="AE453" s="23">
        <v>1147163</v>
      </c>
      <c r="AF453" s="23">
        <v>57358.17</v>
      </c>
      <c r="AG453" s="23">
        <v>1490705.42</v>
      </c>
      <c r="AH453" s="23">
        <v>6</v>
      </c>
      <c r="AI453" s="23">
        <v>0</v>
      </c>
      <c r="AJ453" s="23">
        <v>0</v>
      </c>
      <c r="AK453" s="23">
        <v>0</v>
      </c>
      <c r="AL453" s="23" t="s">
        <v>24</v>
      </c>
      <c r="AM453" s="23">
        <v>43.3</v>
      </c>
      <c r="AN453" s="23">
        <v>32057</v>
      </c>
      <c r="AO453" s="23">
        <v>42.9</v>
      </c>
      <c r="AP453" s="23">
        <v>0</v>
      </c>
      <c r="AR453" s="46"/>
      <c r="AS453" s="44"/>
      <c r="AT453" s="45"/>
      <c r="AU453" s="2">
        <v>43825</v>
      </c>
      <c r="AV453" s="52">
        <v>0.10416666666666667</v>
      </c>
      <c r="AW453" s="2" t="s">
        <v>213</v>
      </c>
      <c r="AY453" s="3"/>
      <c r="BA453" s="3"/>
      <c r="BG453" s="3"/>
      <c r="BH453" s="3"/>
    </row>
    <row r="454" spans="1:60">
      <c r="A454" s="23" t="s">
        <v>22</v>
      </c>
      <c r="B454" s="23" t="s">
        <v>25</v>
      </c>
      <c r="C454" s="27">
        <v>43826.385416666664</v>
      </c>
      <c r="D454" s="23">
        <v>44.4</v>
      </c>
      <c r="E454" s="27">
        <v>43826.583333333336</v>
      </c>
      <c r="F454" s="23">
        <v>44.6</v>
      </c>
      <c r="G454" s="31">
        <v>4.4999999999999997E-3</v>
      </c>
      <c r="H454" s="23">
        <v>225.79</v>
      </c>
      <c r="I454" s="31">
        <v>4.4999999999999997E-3</v>
      </c>
      <c r="J454" s="23">
        <v>1128.9390000000001</v>
      </c>
      <c r="K454" s="23">
        <v>50124.9</v>
      </c>
      <c r="L454" s="23">
        <v>25206.26</v>
      </c>
      <c r="M454" s="23">
        <v>20</v>
      </c>
      <c r="N454" s="23">
        <v>11.29</v>
      </c>
      <c r="O454" s="31">
        <v>-1.35E-2</v>
      </c>
      <c r="P454" s="31">
        <v>2.0299999999999999E-2</v>
      </c>
      <c r="Q454" s="23" t="s">
        <v>24</v>
      </c>
      <c r="R454" s="23">
        <v>0</v>
      </c>
      <c r="S454" s="23">
        <v>43.16</v>
      </c>
      <c r="U454" s="47">
        <f>VLOOKUP(AU454,[1]expiry_dates!$B$2:$C$2894,2,FALSE)</f>
        <v>43860</v>
      </c>
      <c r="V454" s="23" t="s">
        <v>111</v>
      </c>
      <c r="W454" s="23" t="s">
        <v>23</v>
      </c>
      <c r="X454" s="49">
        <v>43826.385416666664</v>
      </c>
      <c r="Y454" s="23">
        <v>1.35</v>
      </c>
      <c r="Z454" s="23">
        <v>43826.583333333336</v>
      </c>
      <c r="AA454" s="23">
        <v>1.2</v>
      </c>
      <c r="AB454" s="23">
        <v>-0.1111</v>
      </c>
      <c r="AC454" s="23">
        <v>6383.73</v>
      </c>
      <c r="AD454" s="23">
        <v>0.1111</v>
      </c>
      <c r="AE454" s="23">
        <v>42558.17</v>
      </c>
      <c r="AF454" s="23">
        <v>57453.53</v>
      </c>
      <c r="AG454" s="23">
        <v>1497089.15</v>
      </c>
      <c r="AH454" s="23">
        <v>20</v>
      </c>
      <c r="AI454" s="23">
        <v>319.19</v>
      </c>
      <c r="AJ454" s="23">
        <v>-0.1111</v>
      </c>
      <c r="AK454" s="23">
        <v>0.22220000000000001</v>
      </c>
      <c r="AL454" s="23" t="s">
        <v>24</v>
      </c>
      <c r="AM454" s="23">
        <v>44.4</v>
      </c>
      <c r="AN454" s="23">
        <v>32166.15</v>
      </c>
      <c r="AO454" s="23">
        <v>43.16</v>
      </c>
      <c r="AP454" s="23">
        <v>0</v>
      </c>
      <c r="AR454" s="46"/>
      <c r="AS454" s="44"/>
      <c r="AT454" s="45"/>
      <c r="AU454" s="2">
        <v>43826</v>
      </c>
      <c r="AV454" s="52">
        <v>0.38541666666666669</v>
      </c>
      <c r="AW454" s="2" t="s">
        <v>212</v>
      </c>
      <c r="AY454" s="3"/>
      <c r="BA454" s="3"/>
      <c r="BG454" s="3"/>
      <c r="BH454" s="3"/>
    </row>
    <row r="455" spans="1:60">
      <c r="A455" s="23" t="s">
        <v>22</v>
      </c>
      <c r="B455" s="23" t="s">
        <v>23</v>
      </c>
      <c r="C455" s="27">
        <v>43826.583333333336</v>
      </c>
      <c r="D455" s="23">
        <v>44.6</v>
      </c>
      <c r="E455" s="27">
        <v>43829.385416666664</v>
      </c>
      <c r="F455" s="23">
        <v>45.3</v>
      </c>
      <c r="G455" s="31">
        <v>1.5699999999999999E-2</v>
      </c>
      <c r="H455" s="23">
        <v>-786.75</v>
      </c>
      <c r="I455" s="31">
        <v>-1.5699999999999999E-2</v>
      </c>
      <c r="J455" s="23">
        <v>1123.934</v>
      </c>
      <c r="K455" s="23">
        <v>50127.44</v>
      </c>
      <c r="L455" s="23">
        <v>24419.5</v>
      </c>
      <c r="M455" s="23">
        <v>10</v>
      </c>
      <c r="N455" s="23">
        <v>-78.680000000000007</v>
      </c>
      <c r="O455" s="31">
        <v>-1.5699999999999999E-2</v>
      </c>
      <c r="P455" s="31">
        <v>6.7000000000000002E-3</v>
      </c>
      <c r="Q455" s="23" t="s">
        <v>24</v>
      </c>
      <c r="R455" s="23">
        <v>0</v>
      </c>
      <c r="S455" s="23">
        <v>45.3</v>
      </c>
      <c r="U455" s="47">
        <f>VLOOKUP(AU455,[1]expiry_dates!$B$2:$C$2894,2,FALSE)</f>
        <v>43860</v>
      </c>
      <c r="V455" s="23" t="s">
        <v>112</v>
      </c>
      <c r="W455" s="23" t="s">
        <v>23</v>
      </c>
      <c r="X455" s="49">
        <v>43826.583333333336</v>
      </c>
      <c r="Y455" s="23">
        <v>1.65</v>
      </c>
      <c r="Z455" s="23">
        <v>43829.385416666664</v>
      </c>
      <c r="AA455" s="23">
        <v>1.75</v>
      </c>
      <c r="AB455" s="23">
        <v>6.0600000000000001E-2</v>
      </c>
      <c r="AC455" s="23">
        <v>-3484.61</v>
      </c>
      <c r="AD455" s="23">
        <v>-6.0600000000000001E-2</v>
      </c>
      <c r="AE455" s="23">
        <v>34846.11</v>
      </c>
      <c r="AF455" s="23">
        <v>57496.09</v>
      </c>
      <c r="AG455" s="23">
        <v>1493604.54</v>
      </c>
      <c r="AH455" s="23">
        <v>10</v>
      </c>
      <c r="AI455" s="23">
        <v>-348.46</v>
      </c>
      <c r="AJ455" s="23">
        <v>-0.1212</v>
      </c>
      <c r="AK455" s="23">
        <v>6.0600000000000001E-2</v>
      </c>
      <c r="AL455" s="23" t="s">
        <v>24</v>
      </c>
      <c r="AM455" s="23">
        <v>44.6</v>
      </c>
      <c r="AN455" s="23">
        <v>32339.9</v>
      </c>
      <c r="AO455" s="23">
        <v>45.3</v>
      </c>
      <c r="AP455" s="23">
        <v>0</v>
      </c>
      <c r="AR455" s="46"/>
      <c r="AS455" s="44"/>
      <c r="AT455" s="45"/>
      <c r="AU455" s="2">
        <v>43826</v>
      </c>
      <c r="AV455" s="52">
        <v>8.3333333333333329E-2</v>
      </c>
      <c r="AW455" s="2" t="s">
        <v>213</v>
      </c>
      <c r="AY455" s="3"/>
      <c r="BA455" s="3"/>
      <c r="BG455" s="3"/>
      <c r="BH455" s="3"/>
    </row>
    <row r="456" spans="1:60" s="17" customFormat="1">
      <c r="A456" s="24" t="s">
        <v>22</v>
      </c>
      <c r="B456" s="24" t="s">
        <v>25</v>
      </c>
      <c r="C456" s="28">
        <v>43829.385416666664</v>
      </c>
      <c r="D456" s="24">
        <v>45.3</v>
      </c>
      <c r="E456" s="28">
        <v>43829.541666666664</v>
      </c>
      <c r="F456" s="24">
        <v>45.15</v>
      </c>
      <c r="G456" s="32">
        <v>-3.3E-3</v>
      </c>
      <c r="H456" s="24">
        <v>-165.97</v>
      </c>
      <c r="I456" s="32">
        <v>-3.3E-3</v>
      </c>
      <c r="J456" s="24">
        <v>1106.491</v>
      </c>
      <c r="K456" s="24">
        <v>50124.06</v>
      </c>
      <c r="L456" s="24">
        <v>24253.53</v>
      </c>
      <c r="M456" s="24">
        <v>16</v>
      </c>
      <c r="N456" s="24">
        <v>-10.37</v>
      </c>
      <c r="O456" s="32">
        <v>-9.9000000000000008E-3</v>
      </c>
      <c r="P456" s="32">
        <v>9.9000000000000008E-3</v>
      </c>
      <c r="Q456" s="24" t="s">
        <v>24</v>
      </c>
      <c r="R456" s="24">
        <v>0</v>
      </c>
      <c r="S456" s="24">
        <v>44.34</v>
      </c>
      <c r="U456" s="47" t="e">
        <f>VLOOKUP(AU456,[1]expiry_dates!$B$2:$C$2894,2,FALSE)</f>
        <v>#N/A</v>
      </c>
      <c r="V456" s="24"/>
      <c r="W456" s="24"/>
      <c r="X456" s="50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24"/>
      <c r="AO456" s="24"/>
      <c r="AP456" s="24"/>
      <c r="AR456" s="46"/>
      <c r="AS456" s="44"/>
      <c r="AT456" s="45"/>
      <c r="AU456" s="18"/>
      <c r="AW456" s="18"/>
      <c r="AY456" s="19"/>
      <c r="BA456" s="19"/>
      <c r="BG456" s="19"/>
      <c r="BH456" s="19"/>
    </row>
    <row r="457" spans="1:60" s="17" customFormat="1">
      <c r="A457" s="24" t="s">
        <v>22</v>
      </c>
      <c r="B457" s="24" t="s">
        <v>23</v>
      </c>
      <c r="C457" s="28">
        <v>43829.541666666664</v>
      </c>
      <c r="D457" s="24">
        <v>45.15</v>
      </c>
      <c r="E457" s="28">
        <v>43830.489583333336</v>
      </c>
      <c r="F457" s="24">
        <v>45</v>
      </c>
      <c r="G457" s="32">
        <v>-3.3E-3</v>
      </c>
      <c r="H457" s="24">
        <v>166.52</v>
      </c>
      <c r="I457" s="32">
        <v>3.3E-3</v>
      </c>
      <c r="J457" s="24">
        <v>1110.106</v>
      </c>
      <c r="K457" s="24">
        <v>50121.27</v>
      </c>
      <c r="L457" s="24">
        <v>24420.05</v>
      </c>
      <c r="M457" s="24">
        <v>24</v>
      </c>
      <c r="N457" s="24">
        <v>6.94</v>
      </c>
      <c r="O457" s="32">
        <v>-1.1000000000000001E-3</v>
      </c>
      <c r="P457" s="32">
        <v>1.66E-2</v>
      </c>
      <c r="Q457" s="24" t="s">
        <v>24</v>
      </c>
      <c r="R457" s="24">
        <v>0</v>
      </c>
      <c r="S457" s="24">
        <v>45.72</v>
      </c>
      <c r="U457" s="47" t="e">
        <f>VLOOKUP(AU457,[1]expiry_dates!$B$2:$C$2894,2,FALSE)</f>
        <v>#N/A</v>
      </c>
      <c r="V457" s="24"/>
      <c r="W457" s="24"/>
      <c r="X457" s="50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24"/>
      <c r="AO457" s="24"/>
      <c r="AP457" s="24"/>
      <c r="AR457" s="46"/>
      <c r="AS457" s="44"/>
      <c r="AT457" s="45"/>
      <c r="AU457" s="18"/>
      <c r="AW457" s="18"/>
      <c r="AY457" s="19"/>
      <c r="BA457" s="19"/>
      <c r="BG457" s="19"/>
      <c r="BH457" s="19"/>
    </row>
    <row r="458" spans="1:60">
      <c r="A458" s="23" t="s">
        <v>22</v>
      </c>
      <c r="B458" s="23" t="s">
        <v>25</v>
      </c>
      <c r="C458" s="27">
        <v>43830.489583333336</v>
      </c>
      <c r="D458" s="23">
        <v>45</v>
      </c>
      <c r="E458" s="27">
        <v>43831.427083333336</v>
      </c>
      <c r="F458" s="23">
        <v>45.2</v>
      </c>
      <c r="G458" s="31">
        <v>4.4000000000000003E-3</v>
      </c>
      <c r="H458" s="23">
        <v>222.77</v>
      </c>
      <c r="I458" s="31">
        <v>4.4000000000000003E-3</v>
      </c>
      <c r="J458" s="23">
        <v>1113.8489999999999</v>
      </c>
      <c r="K458" s="23">
        <v>50123.21</v>
      </c>
      <c r="L458" s="23">
        <v>24642.82</v>
      </c>
      <c r="M458" s="23">
        <v>23</v>
      </c>
      <c r="N458" s="23">
        <v>9.69</v>
      </c>
      <c r="O458" s="31">
        <v>-5.5999999999999999E-3</v>
      </c>
      <c r="P458" s="31">
        <v>1.2200000000000001E-2</v>
      </c>
      <c r="Q458" s="23" t="s">
        <v>24</v>
      </c>
      <c r="R458" s="23">
        <v>0</v>
      </c>
      <c r="S458" s="23">
        <v>44.43</v>
      </c>
      <c r="U458" s="47">
        <f>VLOOKUP(AU458,[1]expiry_dates!$B$2:$C$2894,2,FALSE)</f>
        <v>43860</v>
      </c>
      <c r="V458" s="23" t="s">
        <v>107</v>
      </c>
      <c r="W458" s="23" t="s">
        <v>23</v>
      </c>
      <c r="X458" s="49">
        <v>43831.385416666664</v>
      </c>
      <c r="Y458" s="23">
        <v>1.85</v>
      </c>
      <c r="Z458" s="23">
        <v>43831.427083333336</v>
      </c>
      <c r="AA458" s="23">
        <v>1.9</v>
      </c>
      <c r="AB458" s="23">
        <v>2.7E-2</v>
      </c>
      <c r="AC458" s="23">
        <v>-1553.19</v>
      </c>
      <c r="AD458" s="23">
        <v>-2.7E-2</v>
      </c>
      <c r="AE458" s="23">
        <v>31063.79</v>
      </c>
      <c r="AF458" s="23">
        <v>57468.02</v>
      </c>
      <c r="AG458" s="23">
        <v>1492051.35</v>
      </c>
      <c r="AH458" s="23">
        <v>5</v>
      </c>
      <c r="AI458" s="23">
        <v>-310.64</v>
      </c>
      <c r="AJ458" s="23">
        <v>-2.7E-2</v>
      </c>
      <c r="AK458" s="23">
        <v>0</v>
      </c>
      <c r="AL458" s="23" t="s">
        <v>24</v>
      </c>
      <c r="AM458" s="23">
        <v>45.55</v>
      </c>
      <c r="AN458" s="23">
        <v>32336.85</v>
      </c>
      <c r="AO458" s="23">
        <v>44.98</v>
      </c>
      <c r="AP458" s="23">
        <v>0</v>
      </c>
      <c r="AR458" s="46"/>
      <c r="AS458" s="44"/>
      <c r="AT458" s="45"/>
      <c r="AU458" s="2">
        <v>43831</v>
      </c>
      <c r="AV458" s="52">
        <v>0.38541666666666669</v>
      </c>
      <c r="AW458" s="2" t="s">
        <v>212</v>
      </c>
      <c r="AY458" s="3"/>
      <c r="BA458" s="3"/>
      <c r="BG458" s="3"/>
      <c r="BH458" s="3"/>
    </row>
    <row r="459" spans="1:60">
      <c r="A459" s="23" t="s">
        <v>22</v>
      </c>
      <c r="B459" s="23" t="s">
        <v>23</v>
      </c>
      <c r="C459" s="27">
        <v>43831.427083333336</v>
      </c>
      <c r="D459" s="23">
        <v>45.2</v>
      </c>
      <c r="E459" s="27">
        <v>43831.5</v>
      </c>
      <c r="F459" s="23">
        <v>45.35</v>
      </c>
      <c r="G459" s="31">
        <v>3.3E-3</v>
      </c>
      <c r="H459" s="23">
        <v>-166.34</v>
      </c>
      <c r="I459" s="31">
        <v>-3.3E-3</v>
      </c>
      <c r="J459" s="23">
        <v>1108.9269999999999</v>
      </c>
      <c r="K459" s="23">
        <v>50123.49</v>
      </c>
      <c r="L459" s="23">
        <v>24476.48</v>
      </c>
      <c r="M459" s="23">
        <v>8</v>
      </c>
      <c r="N459" s="23">
        <v>-20.79</v>
      </c>
      <c r="O459" s="31">
        <v>-3.3E-3</v>
      </c>
      <c r="P459" s="31">
        <v>5.4999999999999997E-3</v>
      </c>
      <c r="Q459" s="23" t="s">
        <v>24</v>
      </c>
      <c r="R459" s="23">
        <v>0</v>
      </c>
      <c r="S459" s="23">
        <v>45.55</v>
      </c>
      <c r="U459" s="47">
        <f>VLOOKUP(AU459,[1]expiry_dates!$B$2:$C$2894,2,FALSE)</f>
        <v>43860</v>
      </c>
      <c r="V459" s="23" t="s">
        <v>112</v>
      </c>
      <c r="W459" s="23" t="s">
        <v>23</v>
      </c>
      <c r="X459" s="49">
        <v>43831.427083333336</v>
      </c>
      <c r="Y459" s="23">
        <v>1.8</v>
      </c>
      <c r="Z459" s="23">
        <v>43831.5</v>
      </c>
      <c r="AA459" s="23">
        <v>1.9</v>
      </c>
      <c r="AB459" s="23">
        <v>5.5599999999999997E-2</v>
      </c>
      <c r="AC459" s="23">
        <v>-3192.24</v>
      </c>
      <c r="AD459" s="23">
        <v>-5.5599999999999997E-2</v>
      </c>
      <c r="AE459" s="23">
        <v>31922.37</v>
      </c>
      <c r="AF459" s="23">
        <v>57460.26</v>
      </c>
      <c r="AG459" s="23">
        <v>1488859.11</v>
      </c>
      <c r="AH459" s="23">
        <v>8</v>
      </c>
      <c r="AI459" s="23">
        <v>-399.03</v>
      </c>
      <c r="AJ459" s="23">
        <v>-5.5599999999999997E-2</v>
      </c>
      <c r="AK459" s="23">
        <v>5.5599999999999997E-2</v>
      </c>
      <c r="AL459" s="23" t="s">
        <v>24</v>
      </c>
      <c r="AM459" s="23">
        <v>45.2</v>
      </c>
      <c r="AN459" s="23">
        <v>32171.1</v>
      </c>
      <c r="AO459" s="23">
        <v>45.55</v>
      </c>
      <c r="AP459" s="23">
        <v>0</v>
      </c>
      <c r="AR459" s="46"/>
      <c r="AS459" s="44"/>
      <c r="AT459" s="45"/>
      <c r="AU459" s="2">
        <v>43831</v>
      </c>
      <c r="AV459" s="52">
        <v>0.42708333333333331</v>
      </c>
      <c r="AW459" s="2" t="s">
        <v>212</v>
      </c>
      <c r="AY459" s="3"/>
      <c r="BA459" s="3"/>
      <c r="BG459" s="3"/>
      <c r="BH459" s="3"/>
    </row>
    <row r="460" spans="1:60">
      <c r="A460" s="23" t="s">
        <v>22</v>
      </c>
      <c r="B460" s="23" t="s">
        <v>25</v>
      </c>
      <c r="C460" s="27">
        <v>43831.5</v>
      </c>
      <c r="D460" s="23">
        <v>45.35</v>
      </c>
      <c r="E460" s="27">
        <v>43832.40625</v>
      </c>
      <c r="F460" s="23">
        <v>45.6</v>
      </c>
      <c r="G460" s="31">
        <v>5.4999999999999997E-3</v>
      </c>
      <c r="H460" s="23">
        <v>276.31</v>
      </c>
      <c r="I460" s="31">
        <v>5.4999999999999997E-3</v>
      </c>
      <c r="J460" s="23">
        <v>1105.259</v>
      </c>
      <c r="K460" s="23">
        <v>50123.49</v>
      </c>
      <c r="L460" s="23">
        <v>24752.79</v>
      </c>
      <c r="M460" s="23">
        <v>20</v>
      </c>
      <c r="N460" s="23">
        <v>13.82</v>
      </c>
      <c r="O460" s="31">
        <v>-4.4000000000000003E-3</v>
      </c>
      <c r="P460" s="31">
        <v>1.43E-2</v>
      </c>
      <c r="Q460" s="23" t="s">
        <v>24</v>
      </c>
      <c r="R460" s="23">
        <v>0</v>
      </c>
      <c r="S460" s="23">
        <v>44.96</v>
      </c>
      <c r="U460" s="47">
        <f>VLOOKUP(AU460,[1]expiry_dates!$B$2:$C$2894,2,FALSE)</f>
        <v>43860</v>
      </c>
      <c r="V460" s="23" t="s">
        <v>118</v>
      </c>
      <c r="W460" s="23" t="s">
        <v>23</v>
      </c>
      <c r="X460" s="49">
        <v>43831.5</v>
      </c>
      <c r="Y460" s="23">
        <v>0.6</v>
      </c>
      <c r="Z460" s="23">
        <v>43832.40625</v>
      </c>
      <c r="AA460" s="23">
        <v>0.6</v>
      </c>
      <c r="AB460" s="23">
        <v>0</v>
      </c>
      <c r="AC460" s="23">
        <v>0</v>
      </c>
      <c r="AD460" s="23">
        <v>0</v>
      </c>
      <c r="AE460" s="23">
        <v>95753.79</v>
      </c>
      <c r="AF460" s="23">
        <v>57452.28</v>
      </c>
      <c r="AG460" s="23">
        <v>1488859.11</v>
      </c>
      <c r="AH460" s="23">
        <v>20</v>
      </c>
      <c r="AI460" s="23">
        <v>0</v>
      </c>
      <c r="AJ460" s="23">
        <v>-8.3299999999999999E-2</v>
      </c>
      <c r="AK460" s="23">
        <v>0.16669999999999999</v>
      </c>
      <c r="AL460" s="23" t="s">
        <v>24</v>
      </c>
      <c r="AM460" s="23">
        <v>45.35</v>
      </c>
      <c r="AN460" s="23">
        <v>32147.55</v>
      </c>
      <c r="AO460" s="23">
        <v>44.96</v>
      </c>
      <c r="AP460" s="23">
        <v>0</v>
      </c>
      <c r="AR460" s="46"/>
      <c r="AS460" s="44"/>
      <c r="AT460" s="45"/>
      <c r="AU460" s="2">
        <v>43831</v>
      </c>
      <c r="AV460" s="52">
        <v>0.5</v>
      </c>
      <c r="AW460" s="2" t="s">
        <v>213</v>
      </c>
      <c r="AY460" s="3"/>
      <c r="BA460" s="3"/>
      <c r="BG460" s="3"/>
      <c r="BH460" s="3"/>
    </row>
    <row r="461" spans="1:60">
      <c r="A461" s="23" t="s">
        <v>22</v>
      </c>
      <c r="B461" s="23" t="s">
        <v>23</v>
      </c>
      <c r="C461" s="27">
        <v>43832.40625</v>
      </c>
      <c r="D461" s="23">
        <v>45.6</v>
      </c>
      <c r="E461" s="27">
        <v>43832.427083333336</v>
      </c>
      <c r="F461" s="23">
        <v>45.8</v>
      </c>
      <c r="G461" s="31">
        <v>4.4000000000000003E-3</v>
      </c>
      <c r="H461" s="23">
        <v>-219.84</v>
      </c>
      <c r="I461" s="31">
        <v>-4.4000000000000003E-3</v>
      </c>
      <c r="J461" s="23">
        <v>1099.2049999999999</v>
      </c>
      <c r="K461" s="23">
        <v>50123.77</v>
      </c>
      <c r="L461" s="23">
        <v>24532.95</v>
      </c>
      <c r="M461" s="23">
        <v>3</v>
      </c>
      <c r="N461" s="23">
        <v>-73.28</v>
      </c>
      <c r="O461" s="31">
        <v>-4.4000000000000003E-3</v>
      </c>
      <c r="P461" s="31">
        <v>2.2000000000000001E-3</v>
      </c>
      <c r="Q461" s="23" t="s">
        <v>24</v>
      </c>
      <c r="R461" s="23">
        <v>0</v>
      </c>
      <c r="S461" s="23">
        <v>45.98</v>
      </c>
      <c r="U461" s="47">
        <f>VLOOKUP(AU461,[1]expiry_dates!$B$2:$C$2894,2,FALSE)</f>
        <v>43860</v>
      </c>
      <c r="V461" s="23" t="s">
        <v>110</v>
      </c>
      <c r="W461" s="23" t="s">
        <v>23</v>
      </c>
      <c r="X461" s="49">
        <v>43832.40625</v>
      </c>
      <c r="Y461" s="23">
        <v>1.6</v>
      </c>
      <c r="Z461" s="23">
        <v>43832.427083333336</v>
      </c>
      <c r="AA461" s="23">
        <v>1.8</v>
      </c>
      <c r="AB461" s="23">
        <v>0.125</v>
      </c>
      <c r="AC461" s="23">
        <v>-7177.54</v>
      </c>
      <c r="AD461" s="23">
        <v>-0.125</v>
      </c>
      <c r="AE461" s="23">
        <v>35887.72</v>
      </c>
      <c r="AF461" s="23">
        <v>57420.36</v>
      </c>
      <c r="AG461" s="23">
        <v>1481681.56</v>
      </c>
      <c r="AH461" s="23">
        <v>3</v>
      </c>
      <c r="AI461" s="23">
        <v>-2392.5100000000002</v>
      </c>
      <c r="AJ461" s="23">
        <v>-0.125</v>
      </c>
      <c r="AK461" s="23">
        <v>0</v>
      </c>
      <c r="AL461" s="23" t="s">
        <v>24</v>
      </c>
      <c r="AM461" s="23">
        <v>45.6</v>
      </c>
      <c r="AN461" s="23">
        <v>32160.9</v>
      </c>
      <c r="AO461" s="23">
        <v>45.98</v>
      </c>
      <c r="AP461" s="23">
        <v>0</v>
      </c>
      <c r="AR461" s="46"/>
      <c r="AS461" s="44"/>
      <c r="AT461" s="45"/>
      <c r="AU461" s="2">
        <v>43832</v>
      </c>
      <c r="AV461" s="52">
        <v>0.40625</v>
      </c>
      <c r="AW461" s="2" t="s">
        <v>212</v>
      </c>
      <c r="AY461" s="3"/>
      <c r="BA461" s="3"/>
      <c r="BG461" s="3"/>
      <c r="BH461" s="3"/>
    </row>
    <row r="462" spans="1:60">
      <c r="A462" s="23" t="s">
        <v>22</v>
      </c>
      <c r="B462" s="23" t="s">
        <v>25</v>
      </c>
      <c r="C462" s="27">
        <v>43832.427083333336</v>
      </c>
      <c r="D462" s="23">
        <v>45.8</v>
      </c>
      <c r="E462" s="27">
        <v>43832.53125</v>
      </c>
      <c r="F462" s="23">
        <v>45.85</v>
      </c>
      <c r="G462" s="31">
        <v>1.1000000000000001E-3</v>
      </c>
      <c r="H462" s="23">
        <v>54.72</v>
      </c>
      <c r="I462" s="31">
        <v>1.1000000000000001E-3</v>
      </c>
      <c r="J462" s="23">
        <v>1094.3989999999999</v>
      </c>
      <c r="K462" s="23">
        <v>50123.49</v>
      </c>
      <c r="L462" s="23">
        <v>24587.67</v>
      </c>
      <c r="M462" s="23">
        <v>11</v>
      </c>
      <c r="N462" s="23">
        <v>4.97</v>
      </c>
      <c r="O462" s="31">
        <v>-4.4000000000000003E-3</v>
      </c>
      <c r="P462" s="31">
        <v>9.7999999999999997E-3</v>
      </c>
      <c r="Q462" s="23" t="s">
        <v>24</v>
      </c>
      <c r="R462" s="23">
        <v>0</v>
      </c>
      <c r="S462" s="23">
        <v>45.51</v>
      </c>
      <c r="U462" s="47">
        <f>VLOOKUP(AU462,[1]expiry_dates!$B$2:$C$2894,2,FALSE)</f>
        <v>43860</v>
      </c>
      <c r="V462" s="23" t="s">
        <v>109</v>
      </c>
      <c r="W462" s="23" t="s">
        <v>23</v>
      </c>
      <c r="X462" s="49">
        <v>43832.427083333336</v>
      </c>
      <c r="Y462" s="23">
        <v>1.25</v>
      </c>
      <c r="Z462" s="23">
        <v>43832.53125</v>
      </c>
      <c r="AA462" s="23">
        <v>1.1499999999999999</v>
      </c>
      <c r="AB462" s="23">
        <v>-0.08</v>
      </c>
      <c r="AC462" s="23">
        <v>4594.83</v>
      </c>
      <c r="AD462" s="23">
        <v>0.08</v>
      </c>
      <c r="AE462" s="23">
        <v>45948.26</v>
      </c>
      <c r="AF462" s="23">
        <v>57435.32</v>
      </c>
      <c r="AG462" s="23">
        <v>1486276.39</v>
      </c>
      <c r="AH462" s="23">
        <v>11</v>
      </c>
      <c r="AI462" s="23">
        <v>417.71</v>
      </c>
      <c r="AJ462" s="23">
        <v>-0.04</v>
      </c>
      <c r="AK462" s="23">
        <v>0.16</v>
      </c>
      <c r="AL462" s="23" t="s">
        <v>24</v>
      </c>
      <c r="AM462" s="23">
        <v>45.8</v>
      </c>
      <c r="AN462" s="23">
        <v>32206.25</v>
      </c>
      <c r="AO462" s="23">
        <v>45.51</v>
      </c>
      <c r="AP462" s="23">
        <v>0</v>
      </c>
      <c r="AR462" s="46"/>
      <c r="AS462" s="44"/>
      <c r="AT462" s="45"/>
      <c r="AU462" s="2">
        <v>43832</v>
      </c>
      <c r="AV462" s="52">
        <v>0.42708333333333331</v>
      </c>
      <c r="AW462" s="2" t="s">
        <v>212</v>
      </c>
      <c r="AY462" s="3"/>
      <c r="BA462" s="3"/>
      <c r="BG462" s="3"/>
      <c r="BH462" s="3"/>
    </row>
    <row r="463" spans="1:60">
      <c r="A463" s="23" t="s">
        <v>22</v>
      </c>
      <c r="B463" s="23" t="s">
        <v>23</v>
      </c>
      <c r="C463" s="27">
        <v>43832.53125</v>
      </c>
      <c r="D463" s="23">
        <v>45.85</v>
      </c>
      <c r="E463" s="27">
        <v>43832.5625</v>
      </c>
      <c r="F463" s="23">
        <v>46.15</v>
      </c>
      <c r="G463" s="31">
        <v>6.4999999999999997E-3</v>
      </c>
      <c r="H463" s="23">
        <v>-327.97</v>
      </c>
      <c r="I463" s="31">
        <v>-6.4999999999999997E-3</v>
      </c>
      <c r="J463" s="23">
        <v>1093.2180000000001</v>
      </c>
      <c r="K463" s="23">
        <v>50124.04</v>
      </c>
      <c r="L463" s="23">
        <v>24259.71</v>
      </c>
      <c r="M463" s="23">
        <v>4</v>
      </c>
      <c r="N463" s="23">
        <v>-81.99</v>
      </c>
      <c r="O463" s="31">
        <v>-6.4999999999999997E-3</v>
      </c>
      <c r="P463" s="31">
        <v>1.1000000000000001E-3</v>
      </c>
      <c r="Q463" s="23" t="s">
        <v>24</v>
      </c>
      <c r="R463" s="23">
        <v>0</v>
      </c>
      <c r="S463" s="23">
        <v>46.25</v>
      </c>
      <c r="U463" s="47">
        <f>VLOOKUP(AU463,[1]expiry_dates!$B$2:$C$2894,2,FALSE)</f>
        <v>43860</v>
      </c>
      <c r="V463" s="23" t="s">
        <v>110</v>
      </c>
      <c r="W463" s="23" t="s">
        <v>23</v>
      </c>
      <c r="X463" s="49">
        <v>43832.53125</v>
      </c>
      <c r="Y463" s="23">
        <v>1.75</v>
      </c>
      <c r="Z463" s="23">
        <v>43832.5625</v>
      </c>
      <c r="AA463" s="23">
        <v>1.9</v>
      </c>
      <c r="AB463" s="23">
        <v>8.5699999999999998E-2</v>
      </c>
      <c r="AC463" s="23">
        <v>-4923.67</v>
      </c>
      <c r="AD463" s="23">
        <v>-8.5699999999999998E-2</v>
      </c>
      <c r="AE463" s="23">
        <v>32824.5</v>
      </c>
      <c r="AF463" s="23">
        <v>57442.87</v>
      </c>
      <c r="AG463" s="23">
        <v>1481352.72</v>
      </c>
      <c r="AH463" s="23">
        <v>4</v>
      </c>
      <c r="AI463" s="23">
        <v>-1230.92</v>
      </c>
      <c r="AJ463" s="23">
        <v>-8.5699999999999998E-2</v>
      </c>
      <c r="AK463" s="23">
        <v>0</v>
      </c>
      <c r="AL463" s="23" t="s">
        <v>24</v>
      </c>
      <c r="AM463" s="23">
        <v>45.85</v>
      </c>
      <c r="AN463" s="23">
        <v>32236.35</v>
      </c>
      <c r="AO463" s="23">
        <v>46.25</v>
      </c>
      <c r="AP463" s="23">
        <v>0</v>
      </c>
      <c r="AR463" s="46"/>
      <c r="AS463" s="44"/>
      <c r="AT463" s="45"/>
      <c r="AU463" s="2">
        <v>43832</v>
      </c>
      <c r="AV463" s="52">
        <v>0.53125</v>
      </c>
      <c r="AW463" s="2" t="s">
        <v>213</v>
      </c>
      <c r="AY463" s="3"/>
      <c r="BA463" s="3"/>
      <c r="BG463" s="3"/>
      <c r="BH463" s="3"/>
    </row>
    <row r="464" spans="1:60">
      <c r="A464" s="23" t="s">
        <v>22</v>
      </c>
      <c r="B464" s="23" t="s">
        <v>25</v>
      </c>
      <c r="C464" s="27">
        <v>43832.5625</v>
      </c>
      <c r="D464" s="23">
        <v>46.15</v>
      </c>
      <c r="E464" s="27">
        <v>43832.635416666664</v>
      </c>
      <c r="F464" s="23">
        <v>46.05</v>
      </c>
      <c r="G464" s="31">
        <v>-2.2000000000000001E-3</v>
      </c>
      <c r="H464" s="23">
        <v>-108.61</v>
      </c>
      <c r="I464" s="31">
        <v>-2.2000000000000001E-3</v>
      </c>
      <c r="J464" s="23">
        <v>1086.058</v>
      </c>
      <c r="K464" s="23">
        <v>50121.57</v>
      </c>
      <c r="L464" s="23">
        <v>24151.1</v>
      </c>
      <c r="M464" s="23">
        <v>8</v>
      </c>
      <c r="N464" s="23">
        <v>-13.58</v>
      </c>
      <c r="O464" s="31">
        <v>-2.2000000000000001E-3</v>
      </c>
      <c r="P464" s="31">
        <v>8.6999999999999994E-3</v>
      </c>
      <c r="Q464" s="23" t="s">
        <v>24</v>
      </c>
      <c r="R464" s="23">
        <v>0</v>
      </c>
      <c r="S464" s="23">
        <v>45.82</v>
      </c>
      <c r="U464" s="47">
        <f>VLOOKUP(AU464,[1]expiry_dates!$B$2:$C$2894,2,FALSE)</f>
        <v>43860</v>
      </c>
      <c r="V464" s="23" t="s">
        <v>111</v>
      </c>
      <c r="W464" s="23" t="s">
        <v>23</v>
      </c>
      <c r="X464" s="49">
        <v>43832.5625</v>
      </c>
      <c r="Y464" s="23">
        <v>0.75</v>
      </c>
      <c r="Z464" s="23">
        <v>43832.635416666664</v>
      </c>
      <c r="AA464" s="23">
        <v>0.75</v>
      </c>
      <c r="AB464" s="23">
        <v>0</v>
      </c>
      <c r="AC464" s="23">
        <v>0</v>
      </c>
      <c r="AD464" s="23">
        <v>0</v>
      </c>
      <c r="AE464" s="23">
        <v>76542.350000000006</v>
      </c>
      <c r="AF464" s="23">
        <v>57406.77</v>
      </c>
      <c r="AG464" s="23">
        <v>1481352.72</v>
      </c>
      <c r="AH464" s="23">
        <v>8</v>
      </c>
      <c r="AI464" s="23">
        <v>0</v>
      </c>
      <c r="AJ464" s="23">
        <v>0</v>
      </c>
      <c r="AK464" s="23">
        <v>0.1333</v>
      </c>
      <c r="AL464" s="23" t="s">
        <v>24</v>
      </c>
      <c r="AM464" s="23">
        <v>46.15</v>
      </c>
      <c r="AN464" s="23">
        <v>32315.35</v>
      </c>
      <c r="AO464" s="23">
        <v>45.82</v>
      </c>
      <c r="AP464" s="23">
        <v>0</v>
      </c>
      <c r="AR464" s="46"/>
      <c r="AS464" s="44"/>
      <c r="AT464" s="45"/>
      <c r="AU464" s="2">
        <v>43832</v>
      </c>
      <c r="AV464" s="52">
        <v>6.25E-2</v>
      </c>
      <c r="AW464" s="2" t="s">
        <v>213</v>
      </c>
      <c r="AY464" s="3"/>
      <c r="BA464" s="3"/>
      <c r="BG464" s="3"/>
      <c r="BH464" s="3"/>
    </row>
    <row r="465" spans="1:60">
      <c r="A465" s="23" t="s">
        <v>22</v>
      </c>
      <c r="B465" s="23" t="s">
        <v>23</v>
      </c>
      <c r="C465" s="27">
        <v>43832.635416666664</v>
      </c>
      <c r="D465" s="23">
        <v>46.05</v>
      </c>
      <c r="E465" s="27">
        <v>43833.427083333336</v>
      </c>
      <c r="F465" s="23">
        <v>46.2</v>
      </c>
      <c r="G465" s="31">
        <v>3.3E-3</v>
      </c>
      <c r="H465" s="23">
        <v>-163.26</v>
      </c>
      <c r="I465" s="31">
        <v>-3.3E-3</v>
      </c>
      <c r="J465" s="23">
        <v>1088.4100000000001</v>
      </c>
      <c r="K465" s="23">
        <v>50121.3</v>
      </c>
      <c r="L465" s="23">
        <v>23987.84</v>
      </c>
      <c r="M465" s="23">
        <v>9</v>
      </c>
      <c r="N465" s="23">
        <v>-18.14</v>
      </c>
      <c r="O465" s="31">
        <v>-3.3E-3</v>
      </c>
      <c r="P465" s="31">
        <v>8.6999999999999994E-3</v>
      </c>
      <c r="Q465" s="23" t="s">
        <v>24</v>
      </c>
      <c r="R465" s="23">
        <v>0</v>
      </c>
      <c r="S465" s="23">
        <v>46.55</v>
      </c>
      <c r="U465" s="47">
        <f>VLOOKUP(AU465,[1]expiry_dates!$B$2:$C$2894,2,FALSE)</f>
        <v>43860</v>
      </c>
      <c r="V465" s="23" t="s">
        <v>110</v>
      </c>
      <c r="W465" s="23" t="s">
        <v>23</v>
      </c>
      <c r="X465" s="49">
        <v>43832.635416666664</v>
      </c>
      <c r="Y465" s="23">
        <v>1.85</v>
      </c>
      <c r="Z465" s="23">
        <v>43833.427083333336</v>
      </c>
      <c r="AA465" s="23">
        <v>1.9</v>
      </c>
      <c r="AB465" s="23">
        <v>2.7E-2</v>
      </c>
      <c r="AC465" s="23">
        <v>-1551.53</v>
      </c>
      <c r="AD465" s="23">
        <v>-2.7E-2</v>
      </c>
      <c r="AE465" s="23">
        <v>31030.68</v>
      </c>
      <c r="AF465" s="23">
        <v>57406.76</v>
      </c>
      <c r="AG465" s="23">
        <v>1479801.18</v>
      </c>
      <c r="AH465" s="23">
        <v>9</v>
      </c>
      <c r="AI465" s="23">
        <v>-172.39</v>
      </c>
      <c r="AJ465" s="23">
        <v>-5.4100000000000002E-2</v>
      </c>
      <c r="AK465" s="23">
        <v>0.1351</v>
      </c>
      <c r="AL465" s="23" t="s">
        <v>24</v>
      </c>
      <c r="AM465" s="23">
        <v>46.05</v>
      </c>
      <c r="AN465" s="23">
        <v>32432.65</v>
      </c>
      <c r="AO465" s="23">
        <v>46.55</v>
      </c>
      <c r="AP465" s="23">
        <v>0</v>
      </c>
      <c r="AR465" s="46"/>
      <c r="AS465" s="44"/>
      <c r="AT465" s="45"/>
      <c r="AU465" s="2">
        <v>43832</v>
      </c>
      <c r="AV465" s="52">
        <v>0.13541666666666666</v>
      </c>
      <c r="AW465" s="2" t="s">
        <v>213</v>
      </c>
      <c r="AY465" s="3"/>
      <c r="BA465" s="3"/>
      <c r="BG465" s="3"/>
      <c r="BH465" s="3"/>
    </row>
    <row r="466" spans="1:60">
      <c r="A466" s="23" t="s">
        <v>22</v>
      </c>
      <c r="B466" s="23" t="s">
        <v>25</v>
      </c>
      <c r="C466" s="27">
        <v>43833.427083333336</v>
      </c>
      <c r="D466" s="23">
        <v>46.2</v>
      </c>
      <c r="E466" s="27">
        <v>43833.489583333336</v>
      </c>
      <c r="F466" s="23">
        <v>45.8</v>
      </c>
      <c r="G466" s="31">
        <v>-8.6999999999999994E-3</v>
      </c>
      <c r="H466" s="23">
        <v>-433.94</v>
      </c>
      <c r="I466" s="31">
        <v>-8.6999999999999994E-3</v>
      </c>
      <c r="J466" s="23">
        <v>1084.8589999999999</v>
      </c>
      <c r="K466" s="23">
        <v>50120.480000000003</v>
      </c>
      <c r="L466" s="23">
        <v>23553.9</v>
      </c>
      <c r="M466" s="23">
        <v>7</v>
      </c>
      <c r="N466" s="23">
        <v>-61.99</v>
      </c>
      <c r="O466" s="31">
        <v>-8.6999999999999994E-3</v>
      </c>
      <c r="P466" s="31">
        <v>6.4999999999999997E-3</v>
      </c>
      <c r="Q466" s="23" t="s">
        <v>24</v>
      </c>
      <c r="R466" s="23">
        <v>0</v>
      </c>
      <c r="S466" s="23">
        <v>45.68</v>
      </c>
      <c r="U466" s="47">
        <f>VLOOKUP(AU466,[1]expiry_dates!$B$2:$C$2894,2,FALSE)</f>
        <v>43860</v>
      </c>
      <c r="V466" s="23" t="s">
        <v>105</v>
      </c>
      <c r="W466" s="23" t="s">
        <v>23</v>
      </c>
      <c r="X466" s="49">
        <v>43833.427083333336</v>
      </c>
      <c r="Y466" s="23">
        <v>1.95</v>
      </c>
      <c r="Z466" s="23">
        <v>43833.489583333336</v>
      </c>
      <c r="AA466" s="23">
        <v>1.95</v>
      </c>
      <c r="AB466" s="23">
        <v>0</v>
      </c>
      <c r="AC466" s="23">
        <v>0</v>
      </c>
      <c r="AD466" s="23">
        <v>0</v>
      </c>
      <c r="AE466" s="23">
        <v>29439.37</v>
      </c>
      <c r="AF466" s="23">
        <v>57406.76</v>
      </c>
      <c r="AG466" s="23">
        <v>1479801.18</v>
      </c>
      <c r="AH466" s="23">
        <v>7</v>
      </c>
      <c r="AI466" s="23">
        <v>0</v>
      </c>
      <c r="AJ466" s="23">
        <v>-0.12820000000000001</v>
      </c>
      <c r="AK466" s="23">
        <v>0</v>
      </c>
      <c r="AL466" s="23" t="s">
        <v>24</v>
      </c>
      <c r="AM466" s="23">
        <v>46.2</v>
      </c>
      <c r="AN466" s="23">
        <v>32193</v>
      </c>
      <c r="AO466" s="23">
        <v>45.68</v>
      </c>
      <c r="AP466" s="23">
        <v>0</v>
      </c>
      <c r="AR466" s="46"/>
      <c r="AS466" s="44"/>
      <c r="AT466" s="45"/>
      <c r="AU466" s="2">
        <v>43833</v>
      </c>
      <c r="AV466" s="52">
        <v>0.42708333333333331</v>
      </c>
      <c r="AW466" s="2" t="s">
        <v>212</v>
      </c>
      <c r="AY466" s="3"/>
      <c r="BA466" s="3"/>
      <c r="BG466" s="3"/>
      <c r="BH466" s="3"/>
    </row>
    <row r="467" spans="1:60">
      <c r="A467" s="23" t="s">
        <v>22</v>
      </c>
      <c r="B467" s="23" t="s">
        <v>23</v>
      </c>
      <c r="C467" s="27">
        <v>43833.489583333336</v>
      </c>
      <c r="D467" s="23">
        <v>45.8</v>
      </c>
      <c r="E467" s="27">
        <v>43837.385416666664</v>
      </c>
      <c r="F467" s="23">
        <v>44.4</v>
      </c>
      <c r="G467" s="31">
        <v>-3.0599999999999999E-2</v>
      </c>
      <c r="H467" s="23">
        <v>1532</v>
      </c>
      <c r="I467" s="31">
        <v>3.0599999999999999E-2</v>
      </c>
      <c r="J467" s="23">
        <v>1094.2860000000001</v>
      </c>
      <c r="K467" s="23">
        <v>50118.31</v>
      </c>
      <c r="L467" s="23">
        <v>25085.9</v>
      </c>
      <c r="M467" s="23">
        <v>47</v>
      </c>
      <c r="N467" s="23">
        <v>32.6</v>
      </c>
      <c r="O467" s="31">
        <v>-2.2000000000000001E-3</v>
      </c>
      <c r="P467" s="31">
        <v>5.0200000000000002E-2</v>
      </c>
      <c r="Q467" s="23" t="s">
        <v>24</v>
      </c>
      <c r="R467" s="23">
        <v>0</v>
      </c>
      <c r="S467" s="23">
        <v>46.47</v>
      </c>
      <c r="U467" s="47">
        <f>VLOOKUP(AU467,[1]expiry_dates!$B$2:$C$2894,2,FALSE)</f>
        <v>43860</v>
      </c>
      <c r="V467" s="23" t="s">
        <v>110</v>
      </c>
      <c r="W467" s="23" t="s">
        <v>23</v>
      </c>
      <c r="X467" s="49">
        <v>43833.489583333336</v>
      </c>
      <c r="Y467" s="23">
        <v>1.7</v>
      </c>
      <c r="Z467" s="23">
        <v>43837.385416666664</v>
      </c>
      <c r="AA467" s="23">
        <v>1.05</v>
      </c>
      <c r="AB467" s="23">
        <v>-0.38240000000000002</v>
      </c>
      <c r="AC467" s="23">
        <v>21946.68</v>
      </c>
      <c r="AD467" s="23">
        <v>0.38240000000000002</v>
      </c>
      <c r="AE467" s="23">
        <v>33764.120000000003</v>
      </c>
      <c r="AF467" s="23">
        <v>57399.01</v>
      </c>
      <c r="AG467" s="23">
        <v>1501747.86</v>
      </c>
      <c r="AH467" s="23">
        <v>47</v>
      </c>
      <c r="AI467" s="23">
        <v>466.95</v>
      </c>
      <c r="AJ467" s="23">
        <v>-2.9399999999999999E-2</v>
      </c>
      <c r="AK467" s="23">
        <v>0.52939999999999998</v>
      </c>
      <c r="AL467" s="23" t="s">
        <v>24</v>
      </c>
      <c r="AM467" s="23">
        <v>45.8</v>
      </c>
      <c r="AN467" s="23">
        <v>32079.15</v>
      </c>
      <c r="AO467" s="23">
        <v>46.47</v>
      </c>
      <c r="AP467" s="23">
        <v>0</v>
      </c>
      <c r="AR467" s="46"/>
      <c r="AS467" s="44"/>
      <c r="AT467" s="45"/>
      <c r="AU467" s="2">
        <v>43833</v>
      </c>
      <c r="AV467" s="52">
        <v>0.48958333333333331</v>
      </c>
      <c r="AW467" s="2" t="s">
        <v>212</v>
      </c>
      <c r="AY467" s="3"/>
      <c r="BA467" s="3"/>
      <c r="BG467" s="3"/>
      <c r="BH467" s="3"/>
    </row>
    <row r="468" spans="1:60">
      <c r="A468" s="23" t="s">
        <v>22</v>
      </c>
      <c r="B468" s="23" t="s">
        <v>25</v>
      </c>
      <c r="C468" s="27">
        <v>43837.385416666664</v>
      </c>
      <c r="D468" s="23">
        <v>44.4</v>
      </c>
      <c r="E468" s="27">
        <v>43837.447916666664</v>
      </c>
      <c r="F468" s="23">
        <v>43.75</v>
      </c>
      <c r="G468" s="31">
        <v>-1.46E-2</v>
      </c>
      <c r="H468" s="23">
        <v>-733.85</v>
      </c>
      <c r="I468" s="31">
        <v>-1.46E-2</v>
      </c>
      <c r="J468" s="23">
        <v>1129</v>
      </c>
      <c r="K468" s="23">
        <v>50127.62</v>
      </c>
      <c r="L468" s="23">
        <v>24352.05</v>
      </c>
      <c r="M468" s="23">
        <v>7</v>
      </c>
      <c r="N468" s="23">
        <v>-104.84</v>
      </c>
      <c r="O468" s="31">
        <v>-1.46E-2</v>
      </c>
      <c r="P468" s="31">
        <v>5.5999999999999999E-3</v>
      </c>
      <c r="Q468" s="23" t="s">
        <v>24</v>
      </c>
      <c r="R468" s="23">
        <v>0</v>
      </c>
      <c r="S468" s="23">
        <v>43.55</v>
      </c>
      <c r="U468" s="47">
        <f>VLOOKUP(AU468,[1]expiry_dates!$B$2:$C$2894,2,FALSE)</f>
        <v>43860</v>
      </c>
      <c r="V468" s="23" t="s">
        <v>111</v>
      </c>
      <c r="W468" s="23" t="s">
        <v>23</v>
      </c>
      <c r="X468" s="49">
        <v>43837.385416666664</v>
      </c>
      <c r="Y468" s="23">
        <v>1.2</v>
      </c>
      <c r="Z468" s="23">
        <v>43837.447916666664</v>
      </c>
      <c r="AA468" s="23">
        <v>1.55</v>
      </c>
      <c r="AB468" s="23">
        <v>0.29170000000000001</v>
      </c>
      <c r="AC468" s="23">
        <v>-16780.77</v>
      </c>
      <c r="AD468" s="23">
        <v>-0.29170000000000001</v>
      </c>
      <c r="AE468" s="23">
        <v>47945.05</v>
      </c>
      <c r="AF468" s="23">
        <v>57534.06</v>
      </c>
      <c r="AG468" s="23">
        <v>1484967.09</v>
      </c>
      <c r="AH468" s="23">
        <v>7</v>
      </c>
      <c r="AI468" s="23">
        <v>-2397.25</v>
      </c>
      <c r="AJ468" s="23">
        <v>-0.29170000000000001</v>
      </c>
      <c r="AK468" s="23">
        <v>0</v>
      </c>
      <c r="AL468" s="23" t="s">
        <v>24</v>
      </c>
      <c r="AM468" s="23">
        <v>44.4</v>
      </c>
      <c r="AN468" s="23">
        <v>31772.5</v>
      </c>
      <c r="AO468" s="23">
        <v>43.55</v>
      </c>
      <c r="AP468" s="23">
        <v>0</v>
      </c>
      <c r="AR468" s="46"/>
      <c r="AS468" s="44"/>
      <c r="AT468" s="45"/>
      <c r="AU468" s="2">
        <v>43837</v>
      </c>
      <c r="AV468" s="52">
        <v>0.38541666666666669</v>
      </c>
      <c r="AW468" s="2" t="s">
        <v>212</v>
      </c>
      <c r="AY468" s="3"/>
      <c r="BA468" s="3"/>
      <c r="BG468" s="3"/>
      <c r="BH468" s="3"/>
    </row>
    <row r="469" spans="1:60">
      <c r="A469" s="23" t="s">
        <v>22</v>
      </c>
      <c r="B469" s="23" t="s">
        <v>23</v>
      </c>
      <c r="C469" s="27">
        <v>43837.447916666664</v>
      </c>
      <c r="D469" s="23">
        <v>43.75</v>
      </c>
      <c r="E469" s="27">
        <v>43837.635416666664</v>
      </c>
      <c r="F469" s="23">
        <v>43.7</v>
      </c>
      <c r="G469" s="31">
        <v>-1.1000000000000001E-3</v>
      </c>
      <c r="H469" s="23">
        <v>57.28</v>
      </c>
      <c r="I469" s="31">
        <v>1.1000000000000001E-3</v>
      </c>
      <c r="J469" s="23">
        <v>1145.6849999999999</v>
      </c>
      <c r="K469" s="23">
        <v>50123.74</v>
      </c>
      <c r="L469" s="23">
        <v>24409.33</v>
      </c>
      <c r="M469" s="23">
        <v>19</v>
      </c>
      <c r="N469" s="23">
        <v>3.01</v>
      </c>
      <c r="O469" s="31">
        <v>-1.03E-2</v>
      </c>
      <c r="P469" s="31">
        <v>1.7100000000000001E-2</v>
      </c>
      <c r="Q469" s="23" t="s">
        <v>24</v>
      </c>
      <c r="R469" s="23">
        <v>0</v>
      </c>
      <c r="S469" s="23">
        <v>44.65</v>
      </c>
      <c r="U469" s="47">
        <f>VLOOKUP(AU469,[1]expiry_dates!$B$2:$C$2894,2,FALSE)</f>
        <v>43860</v>
      </c>
      <c r="V469" s="23" t="s">
        <v>117</v>
      </c>
      <c r="W469" s="23" t="s">
        <v>23</v>
      </c>
      <c r="X469" s="49">
        <v>43837.447916666664</v>
      </c>
      <c r="Y469" s="23">
        <v>1.55</v>
      </c>
      <c r="Z469" s="23">
        <v>43837.635416666664</v>
      </c>
      <c r="AA469" s="23">
        <v>1.55</v>
      </c>
      <c r="AB469" s="23">
        <v>0</v>
      </c>
      <c r="AC469" s="23">
        <v>0</v>
      </c>
      <c r="AD469" s="23">
        <v>0</v>
      </c>
      <c r="AE469" s="23">
        <v>37071.480000000003</v>
      </c>
      <c r="AF469" s="23">
        <v>57460.79</v>
      </c>
      <c r="AG469" s="23">
        <v>1484967.09</v>
      </c>
      <c r="AH469" s="23">
        <v>19</v>
      </c>
      <c r="AI469" s="23">
        <v>0</v>
      </c>
      <c r="AJ469" s="23">
        <v>-0.129</v>
      </c>
      <c r="AK469" s="23">
        <v>0.1613</v>
      </c>
      <c r="AL469" s="23" t="s">
        <v>24</v>
      </c>
      <c r="AM469" s="23">
        <v>43.75</v>
      </c>
      <c r="AN469" s="23">
        <v>31528.65</v>
      </c>
      <c r="AO469" s="23">
        <v>44.65</v>
      </c>
      <c r="AP469" s="23">
        <v>0</v>
      </c>
      <c r="AR469" s="46"/>
      <c r="AS469" s="44"/>
      <c r="AT469" s="45"/>
      <c r="AU469" s="2">
        <v>43837</v>
      </c>
      <c r="AV469" s="52">
        <v>0.44791666666666669</v>
      </c>
      <c r="AW469" s="2" t="s">
        <v>212</v>
      </c>
      <c r="AY469" s="3"/>
      <c r="BA469" s="3"/>
      <c r="BG469" s="3"/>
      <c r="BH469" s="3"/>
    </row>
    <row r="470" spans="1:60">
      <c r="A470" s="23" t="s">
        <v>22</v>
      </c>
      <c r="B470" s="23" t="s">
        <v>25</v>
      </c>
      <c r="C470" s="27">
        <v>43837.635416666664</v>
      </c>
      <c r="D470" s="23">
        <v>43.7</v>
      </c>
      <c r="E470" s="27">
        <v>43838.385416666664</v>
      </c>
      <c r="F470" s="23">
        <v>43.05</v>
      </c>
      <c r="G470" s="31">
        <v>-1.49E-2</v>
      </c>
      <c r="H470" s="23">
        <v>-745.54</v>
      </c>
      <c r="I470" s="31">
        <v>-1.49E-2</v>
      </c>
      <c r="J470" s="23">
        <v>1146.9839999999999</v>
      </c>
      <c r="K470" s="23">
        <v>50123.19</v>
      </c>
      <c r="L470" s="23">
        <v>23663.79</v>
      </c>
      <c r="M470" s="23">
        <v>5</v>
      </c>
      <c r="N470" s="23">
        <v>-149.11000000000001</v>
      </c>
      <c r="O470" s="31">
        <v>-1.6E-2</v>
      </c>
      <c r="P470" s="31">
        <v>0</v>
      </c>
      <c r="Q470" s="23" t="s">
        <v>24</v>
      </c>
      <c r="R470" s="23">
        <v>0</v>
      </c>
      <c r="S470" s="23">
        <v>43</v>
      </c>
      <c r="U470" s="47">
        <f>VLOOKUP(AU470,[1]expiry_dates!$B$2:$C$2894,2,FALSE)</f>
        <v>43860</v>
      </c>
      <c r="V470" s="23" t="s">
        <v>118</v>
      </c>
      <c r="W470" s="23" t="s">
        <v>23</v>
      </c>
      <c r="X470" s="49">
        <v>43837.635416666664</v>
      </c>
      <c r="Y470" s="23">
        <v>1.1499999999999999</v>
      </c>
      <c r="Z470" s="23">
        <v>43838.385416666664</v>
      </c>
      <c r="AA470" s="23">
        <v>1.5</v>
      </c>
      <c r="AB470" s="23">
        <v>0.30430000000000001</v>
      </c>
      <c r="AC470" s="23">
        <v>-17485.59</v>
      </c>
      <c r="AD470" s="23">
        <v>-0.30430000000000001</v>
      </c>
      <c r="AE470" s="23">
        <v>49958.82</v>
      </c>
      <c r="AF470" s="23">
        <v>57452.639999999999</v>
      </c>
      <c r="AG470" s="23">
        <v>1467481.51</v>
      </c>
      <c r="AH470" s="23">
        <v>5</v>
      </c>
      <c r="AI470" s="23">
        <v>-3497.12</v>
      </c>
      <c r="AJ470" s="23">
        <v>-0.39129999999999998</v>
      </c>
      <c r="AK470" s="23">
        <v>0</v>
      </c>
      <c r="AL470" s="23" t="s">
        <v>24</v>
      </c>
      <c r="AM470" s="23">
        <v>43.7</v>
      </c>
      <c r="AN470" s="23">
        <v>31409.1</v>
      </c>
      <c r="AO470" s="23">
        <v>43</v>
      </c>
      <c r="AP470" s="23">
        <v>0</v>
      </c>
      <c r="AR470" s="46"/>
      <c r="AS470" s="44"/>
      <c r="AT470" s="45"/>
      <c r="AU470" s="2">
        <v>43837</v>
      </c>
      <c r="AV470" s="52">
        <v>0.13541666666666666</v>
      </c>
      <c r="AW470" s="2" t="s">
        <v>213</v>
      </c>
      <c r="AY470" s="3"/>
      <c r="BA470" s="3"/>
      <c r="BG470" s="3"/>
      <c r="BH470" s="3"/>
    </row>
    <row r="471" spans="1:60">
      <c r="A471" s="23" t="s">
        <v>22</v>
      </c>
      <c r="B471" s="23" t="s">
        <v>23</v>
      </c>
      <c r="C471" s="27">
        <v>43838.385416666664</v>
      </c>
      <c r="D471" s="23">
        <v>43.05</v>
      </c>
      <c r="E471" s="27">
        <v>43838.520833333336</v>
      </c>
      <c r="F471" s="23">
        <v>43.05</v>
      </c>
      <c r="G471" s="31">
        <v>0</v>
      </c>
      <c r="H471" s="23">
        <v>0</v>
      </c>
      <c r="I471" s="31">
        <v>0</v>
      </c>
      <c r="J471" s="23">
        <v>1164.182</v>
      </c>
      <c r="K471" s="23">
        <v>50118.04</v>
      </c>
      <c r="L471" s="23">
        <v>23663.79</v>
      </c>
      <c r="M471" s="23">
        <v>14</v>
      </c>
      <c r="N471" s="23">
        <v>0</v>
      </c>
      <c r="O471" s="31">
        <v>-8.0999999999999996E-3</v>
      </c>
      <c r="P471" s="31">
        <v>1.0500000000000001E-2</v>
      </c>
      <c r="Q471" s="23" t="s">
        <v>24</v>
      </c>
      <c r="R471" s="23">
        <v>0</v>
      </c>
      <c r="S471" s="23">
        <v>43.65</v>
      </c>
      <c r="U471" s="47">
        <f>VLOOKUP(AU471,[1]expiry_dates!$B$2:$C$2894,2,FALSE)</f>
        <v>43860</v>
      </c>
      <c r="V471" s="23" t="s">
        <v>114</v>
      </c>
      <c r="W471" s="23" t="s">
        <v>23</v>
      </c>
      <c r="X471" s="49">
        <v>43838.385416666664</v>
      </c>
      <c r="Y471" s="23">
        <v>1.65</v>
      </c>
      <c r="Z471" s="23">
        <v>43838.520833333336</v>
      </c>
      <c r="AA471" s="23">
        <v>1.65</v>
      </c>
      <c r="AB471" s="23">
        <v>0</v>
      </c>
      <c r="AC471" s="23">
        <v>0</v>
      </c>
      <c r="AD471" s="23">
        <v>0</v>
      </c>
      <c r="AE471" s="23">
        <v>34802.93</v>
      </c>
      <c r="AF471" s="23">
        <v>57424.83</v>
      </c>
      <c r="AG471" s="23">
        <v>1467481.51</v>
      </c>
      <c r="AH471" s="23">
        <v>14</v>
      </c>
      <c r="AI471" s="23">
        <v>0</v>
      </c>
      <c r="AJ471" s="23">
        <v>-0.1212</v>
      </c>
      <c r="AK471" s="23">
        <v>0.18179999999999999</v>
      </c>
      <c r="AL471" s="23" t="s">
        <v>24</v>
      </c>
      <c r="AM471" s="23">
        <v>43.05</v>
      </c>
      <c r="AN471" s="23">
        <v>31070.1</v>
      </c>
      <c r="AO471" s="23">
        <v>43.65</v>
      </c>
      <c r="AP471" s="23">
        <v>0</v>
      </c>
      <c r="AR471" s="46"/>
      <c r="AS471" s="44"/>
      <c r="AT471" s="45"/>
      <c r="AU471" s="2">
        <v>43838</v>
      </c>
      <c r="AV471" s="52">
        <v>0.38541666666666669</v>
      </c>
      <c r="AW471" s="2" t="s">
        <v>212</v>
      </c>
      <c r="AY471" s="3"/>
      <c r="BA471" s="3"/>
      <c r="BG471" s="3"/>
      <c r="BH471" s="3"/>
    </row>
    <row r="472" spans="1:60">
      <c r="A472" s="23" t="s">
        <v>22</v>
      </c>
      <c r="B472" s="23" t="s">
        <v>25</v>
      </c>
      <c r="C472" s="27">
        <v>43838.520833333336</v>
      </c>
      <c r="D472" s="23">
        <v>43.05</v>
      </c>
      <c r="E472" s="27">
        <v>43839.572916666664</v>
      </c>
      <c r="F472" s="23">
        <v>44.05</v>
      </c>
      <c r="G472" s="31">
        <v>2.3199999999999998E-2</v>
      </c>
      <c r="H472" s="23">
        <v>1164.19</v>
      </c>
      <c r="I472" s="31">
        <v>2.3199999999999998E-2</v>
      </c>
      <c r="J472" s="23">
        <v>1164.1890000000001</v>
      </c>
      <c r="K472" s="23">
        <v>50118.32</v>
      </c>
      <c r="L472" s="23">
        <v>24827.98</v>
      </c>
      <c r="M472" s="23">
        <v>34</v>
      </c>
      <c r="N472" s="23">
        <v>34.24</v>
      </c>
      <c r="O472" s="31">
        <v>-3.5000000000000001E-3</v>
      </c>
      <c r="P472" s="31">
        <v>3.95E-2</v>
      </c>
      <c r="Q472" s="23" t="s">
        <v>24</v>
      </c>
      <c r="R472" s="23">
        <v>0</v>
      </c>
      <c r="S472" s="23">
        <v>42.61</v>
      </c>
      <c r="U472" s="47">
        <f>VLOOKUP(AU472,[1]expiry_dates!$B$2:$C$2894,2,FALSE)</f>
        <v>43860</v>
      </c>
      <c r="V472" s="23" t="s">
        <v>118</v>
      </c>
      <c r="W472" s="23" t="s">
        <v>23</v>
      </c>
      <c r="X472" s="49">
        <v>43838.520833333336</v>
      </c>
      <c r="Y472" s="23">
        <v>1.45</v>
      </c>
      <c r="Z472" s="23">
        <v>43839.572916666664</v>
      </c>
      <c r="AA472" s="23">
        <v>0.85</v>
      </c>
      <c r="AB472" s="23">
        <v>-0.4138</v>
      </c>
      <c r="AC472" s="23">
        <v>23729.42</v>
      </c>
      <c r="AD472" s="23">
        <v>0.4138</v>
      </c>
      <c r="AE472" s="23">
        <v>39549.040000000001</v>
      </c>
      <c r="AF472" s="23">
        <v>57346.11</v>
      </c>
      <c r="AG472" s="23">
        <v>1491210.93</v>
      </c>
      <c r="AH472" s="23">
        <v>34</v>
      </c>
      <c r="AI472" s="23">
        <v>697.92</v>
      </c>
      <c r="AJ472" s="23">
        <v>-6.9000000000000006E-2</v>
      </c>
      <c r="AK472" s="23">
        <v>0.55169999999999997</v>
      </c>
      <c r="AL472" s="23" t="s">
        <v>24</v>
      </c>
      <c r="AM472" s="23">
        <v>43.05</v>
      </c>
      <c r="AN472" s="23">
        <v>31220.1</v>
      </c>
      <c r="AO472" s="23">
        <v>42.61</v>
      </c>
      <c r="AP472" s="23">
        <v>0</v>
      </c>
      <c r="AR472" s="46"/>
      <c r="AS472" s="44"/>
      <c r="AT472" s="45"/>
      <c r="AU472" s="2">
        <v>43838</v>
      </c>
      <c r="AV472" s="52">
        <v>0.52083333333333337</v>
      </c>
      <c r="AW472" s="2" t="s">
        <v>213</v>
      </c>
      <c r="AY472" s="3"/>
      <c r="BA472" s="3"/>
      <c r="BG472" s="3"/>
      <c r="BH472" s="3"/>
    </row>
    <row r="473" spans="1:60">
      <c r="A473" s="23" t="s">
        <v>22</v>
      </c>
      <c r="B473" s="23" t="s">
        <v>23</v>
      </c>
      <c r="C473" s="27">
        <v>43839.572916666664</v>
      </c>
      <c r="D473" s="23">
        <v>44.05</v>
      </c>
      <c r="E473" s="27">
        <v>43839.625</v>
      </c>
      <c r="F473" s="23">
        <v>44.3</v>
      </c>
      <c r="G473" s="31">
        <v>5.7000000000000002E-3</v>
      </c>
      <c r="H473" s="23">
        <v>-284.48</v>
      </c>
      <c r="I473" s="31">
        <v>-5.7000000000000002E-3</v>
      </c>
      <c r="J473" s="23">
        <v>1137.905</v>
      </c>
      <c r="K473" s="23">
        <v>50124.72</v>
      </c>
      <c r="L473" s="23">
        <v>24543.5</v>
      </c>
      <c r="M473" s="23">
        <v>6</v>
      </c>
      <c r="N473" s="23">
        <v>-47.41</v>
      </c>
      <c r="O473" s="31">
        <v>-1.0200000000000001E-2</v>
      </c>
      <c r="P473" s="31">
        <v>4.4999999999999997E-3</v>
      </c>
      <c r="Q473" s="23" t="s">
        <v>24</v>
      </c>
      <c r="R473" s="23">
        <v>0</v>
      </c>
      <c r="S473" s="23">
        <v>44.75</v>
      </c>
      <c r="U473" s="47">
        <f>VLOOKUP(AU473,[1]expiry_dates!$B$2:$C$2894,2,FALSE)</f>
        <v>43860</v>
      </c>
      <c r="V473" s="23" t="s">
        <v>117</v>
      </c>
      <c r="W473" s="23" t="s">
        <v>23</v>
      </c>
      <c r="X473" s="49">
        <v>43839.572916666664</v>
      </c>
      <c r="Y473" s="23">
        <v>1.6</v>
      </c>
      <c r="Z473" s="23">
        <v>43839.625</v>
      </c>
      <c r="AA473" s="23">
        <v>1.8</v>
      </c>
      <c r="AB473" s="23">
        <v>0.125</v>
      </c>
      <c r="AC473" s="23">
        <v>-7182.01</v>
      </c>
      <c r="AD473" s="23">
        <v>-0.125</v>
      </c>
      <c r="AE473" s="23">
        <v>35910.04</v>
      </c>
      <c r="AF473" s="23">
        <v>57456.06</v>
      </c>
      <c r="AG473" s="23">
        <v>1484028.92</v>
      </c>
      <c r="AH473" s="23">
        <v>6</v>
      </c>
      <c r="AI473" s="23">
        <v>-1197</v>
      </c>
      <c r="AJ473" s="23">
        <v>-0.125</v>
      </c>
      <c r="AK473" s="23">
        <v>6.25E-2</v>
      </c>
      <c r="AL473" s="23" t="s">
        <v>24</v>
      </c>
      <c r="AM473" s="23">
        <v>44.05</v>
      </c>
      <c r="AN473" s="23">
        <v>32065.200000000001</v>
      </c>
      <c r="AO473" s="23">
        <v>44.75</v>
      </c>
      <c r="AP473" s="23">
        <v>0</v>
      </c>
      <c r="AR473" s="46"/>
      <c r="AS473" s="44"/>
      <c r="AT473" s="45"/>
      <c r="AU473" s="2">
        <v>43839</v>
      </c>
      <c r="AV473" s="52">
        <v>7.2916666666666671E-2</v>
      </c>
      <c r="AW473" s="2" t="s">
        <v>213</v>
      </c>
      <c r="AY473" s="3"/>
      <c r="BA473" s="3"/>
      <c r="BG473" s="3"/>
      <c r="BH473" s="3"/>
    </row>
    <row r="474" spans="1:60">
      <c r="A474" s="23" t="s">
        <v>22</v>
      </c>
      <c r="B474" s="23" t="s">
        <v>25</v>
      </c>
      <c r="C474" s="27">
        <v>43839.625</v>
      </c>
      <c r="D474" s="23">
        <v>44.3</v>
      </c>
      <c r="E474" s="27">
        <v>43840.53125</v>
      </c>
      <c r="F474" s="23">
        <v>44.2</v>
      </c>
      <c r="G474" s="31">
        <v>-2.3E-3</v>
      </c>
      <c r="H474" s="23">
        <v>-113.14</v>
      </c>
      <c r="I474" s="31">
        <v>-2.3E-3</v>
      </c>
      <c r="J474" s="23">
        <v>1131.4259999999999</v>
      </c>
      <c r="K474" s="23">
        <v>50122.15</v>
      </c>
      <c r="L474" s="23">
        <v>24430.36</v>
      </c>
      <c r="M474" s="23">
        <v>20</v>
      </c>
      <c r="N474" s="23">
        <v>-5.66</v>
      </c>
      <c r="O474" s="31">
        <v>-3.3999999999999998E-3</v>
      </c>
      <c r="P474" s="31">
        <v>1.0200000000000001E-2</v>
      </c>
      <c r="Q474" s="23" t="s">
        <v>24</v>
      </c>
      <c r="R474" s="23">
        <v>0</v>
      </c>
      <c r="S474" s="23">
        <v>43.88</v>
      </c>
      <c r="U474" s="47">
        <f>VLOOKUP(AU474,[1]expiry_dates!$B$2:$C$2894,2,FALSE)</f>
        <v>43860</v>
      </c>
      <c r="V474" s="23" t="s">
        <v>134</v>
      </c>
      <c r="W474" s="23" t="s">
        <v>23</v>
      </c>
      <c r="X474" s="49">
        <v>43839.625</v>
      </c>
      <c r="Y474" s="23">
        <v>0.35</v>
      </c>
      <c r="Z474" s="23">
        <v>43840.53125</v>
      </c>
      <c r="AA474" s="23">
        <v>0.3</v>
      </c>
      <c r="AB474" s="23">
        <v>-0.1429</v>
      </c>
      <c r="AC474" s="23">
        <v>8204.16</v>
      </c>
      <c r="AD474" s="23">
        <v>0.1429</v>
      </c>
      <c r="AE474" s="23">
        <v>164083.20000000001</v>
      </c>
      <c r="AF474" s="23">
        <v>57429.120000000003</v>
      </c>
      <c r="AG474" s="23">
        <v>1492233.08</v>
      </c>
      <c r="AH474" s="23">
        <v>20</v>
      </c>
      <c r="AI474" s="23">
        <v>410.21</v>
      </c>
      <c r="AJ474" s="23">
        <v>0</v>
      </c>
      <c r="AK474" s="23">
        <v>0.28570000000000001</v>
      </c>
      <c r="AL474" s="23" t="s">
        <v>24</v>
      </c>
      <c r="AM474" s="23">
        <v>44.3</v>
      </c>
      <c r="AN474" s="23">
        <v>32103.200000000001</v>
      </c>
      <c r="AO474" s="23">
        <v>43.88</v>
      </c>
      <c r="AP474" s="23">
        <v>0</v>
      </c>
      <c r="AR474" s="46"/>
      <c r="AS474" s="44"/>
      <c r="AT474" s="45"/>
      <c r="AU474" s="2">
        <v>43839</v>
      </c>
      <c r="AV474" s="52">
        <v>0.125</v>
      </c>
      <c r="AW474" s="2" t="s">
        <v>213</v>
      </c>
      <c r="AY474" s="3"/>
      <c r="BA474" s="3"/>
      <c r="BG474" s="3"/>
      <c r="BH474" s="3"/>
    </row>
    <row r="475" spans="1:60">
      <c r="A475" s="23" t="s">
        <v>22</v>
      </c>
      <c r="B475" s="23" t="s">
        <v>23</v>
      </c>
      <c r="C475" s="27">
        <v>43840.53125</v>
      </c>
      <c r="D475" s="23">
        <v>44.2</v>
      </c>
      <c r="E475" s="27">
        <v>43843.385416666664</v>
      </c>
      <c r="F475" s="23">
        <v>44.15</v>
      </c>
      <c r="G475" s="31">
        <v>-1.1000000000000001E-3</v>
      </c>
      <c r="H475" s="23">
        <v>56.7</v>
      </c>
      <c r="I475" s="31">
        <v>1.1000000000000001E-3</v>
      </c>
      <c r="J475" s="23">
        <v>1134.03</v>
      </c>
      <c r="K475" s="23">
        <v>50124.13</v>
      </c>
      <c r="L475" s="23">
        <v>24487.06</v>
      </c>
      <c r="M475" s="23">
        <v>15</v>
      </c>
      <c r="N475" s="23">
        <v>3.78</v>
      </c>
      <c r="O475" s="31">
        <v>-7.9000000000000008E-3</v>
      </c>
      <c r="P475" s="31">
        <v>8.9999999999999993E-3</v>
      </c>
      <c r="Q475" s="23" t="s">
        <v>24</v>
      </c>
      <c r="R475" s="23">
        <v>0</v>
      </c>
      <c r="S475" s="23">
        <v>44.74</v>
      </c>
      <c r="U475" s="47">
        <f>VLOOKUP(AU475,[1]expiry_dates!$B$2:$C$2894,2,FALSE)</f>
        <v>43860</v>
      </c>
      <c r="V475" s="23" t="s">
        <v>117</v>
      </c>
      <c r="W475" s="23" t="s">
        <v>23</v>
      </c>
      <c r="X475" s="49">
        <v>43840.53125</v>
      </c>
      <c r="Y475" s="23">
        <v>1.6</v>
      </c>
      <c r="Z475" s="23">
        <v>43843.385416666664</v>
      </c>
      <c r="AA475" s="23">
        <v>1.6</v>
      </c>
      <c r="AB475" s="23">
        <v>0</v>
      </c>
      <c r="AC475" s="23">
        <v>0</v>
      </c>
      <c r="AD475" s="23">
        <v>0</v>
      </c>
      <c r="AE475" s="23">
        <v>35938.870000000003</v>
      </c>
      <c r="AF475" s="23">
        <v>57502.19</v>
      </c>
      <c r="AG475" s="23">
        <v>1492233.08</v>
      </c>
      <c r="AH475" s="23">
        <v>15</v>
      </c>
      <c r="AI475" s="23">
        <v>0</v>
      </c>
      <c r="AJ475" s="23">
        <v>-0.125</v>
      </c>
      <c r="AK475" s="23">
        <v>0.15620000000000001</v>
      </c>
      <c r="AL475" s="23" t="s">
        <v>24</v>
      </c>
      <c r="AM475" s="23">
        <v>44.2</v>
      </c>
      <c r="AN475" s="23">
        <v>32229.45</v>
      </c>
      <c r="AO475" s="23">
        <v>44.74</v>
      </c>
      <c r="AP475" s="23">
        <v>0</v>
      </c>
      <c r="AR475" s="46"/>
      <c r="AS475" s="44"/>
      <c r="AT475" s="45"/>
      <c r="AU475" s="2">
        <v>43840</v>
      </c>
      <c r="AV475" s="52">
        <v>0.53125</v>
      </c>
      <c r="AW475" s="2" t="s">
        <v>213</v>
      </c>
      <c r="AY475" s="3"/>
      <c r="BA475" s="3"/>
      <c r="BG475" s="3"/>
      <c r="BH475" s="3"/>
    </row>
    <row r="476" spans="1:60">
      <c r="A476" s="23" t="s">
        <v>22</v>
      </c>
      <c r="B476" s="23" t="s">
        <v>25</v>
      </c>
      <c r="C476" s="27">
        <v>43843.385416666664</v>
      </c>
      <c r="D476" s="23">
        <v>44.15</v>
      </c>
      <c r="E476" s="27">
        <v>43843.447916666664</v>
      </c>
      <c r="F476" s="23">
        <v>44.1</v>
      </c>
      <c r="G476" s="31">
        <v>-1.1000000000000001E-3</v>
      </c>
      <c r="H476" s="23">
        <v>-56.76</v>
      </c>
      <c r="I476" s="31">
        <v>-1.1000000000000001E-3</v>
      </c>
      <c r="J476" s="23">
        <v>1135.27</v>
      </c>
      <c r="K476" s="23">
        <v>50122.15</v>
      </c>
      <c r="L476" s="23">
        <v>24430.3</v>
      </c>
      <c r="M476" s="23">
        <v>7</v>
      </c>
      <c r="N476" s="23">
        <v>-8.11</v>
      </c>
      <c r="O476" s="31">
        <v>-5.7000000000000002E-3</v>
      </c>
      <c r="P476" s="31">
        <v>6.7999999999999996E-3</v>
      </c>
      <c r="Q476" s="23" t="s">
        <v>24</v>
      </c>
      <c r="R476" s="23">
        <v>0</v>
      </c>
      <c r="S476" s="23">
        <v>43.83</v>
      </c>
      <c r="U476" s="47">
        <f>VLOOKUP(AU476,[1]expiry_dates!$B$2:$C$2894,2,FALSE)</f>
        <v>43860</v>
      </c>
      <c r="V476" s="23" t="s">
        <v>115</v>
      </c>
      <c r="W476" s="23" t="s">
        <v>23</v>
      </c>
      <c r="X476" s="49">
        <v>43843.385416666664</v>
      </c>
      <c r="Y476" s="23">
        <v>0.45</v>
      </c>
      <c r="Z476" s="23">
        <v>43843.447916666664</v>
      </c>
      <c r="AA476" s="23">
        <v>0.45</v>
      </c>
      <c r="AB476" s="23">
        <v>0</v>
      </c>
      <c r="AC476" s="23">
        <v>0</v>
      </c>
      <c r="AD476" s="23">
        <v>0</v>
      </c>
      <c r="AE476" s="23">
        <v>127731.4</v>
      </c>
      <c r="AF476" s="23">
        <v>57479.14</v>
      </c>
      <c r="AG476" s="23">
        <v>1492233.08</v>
      </c>
      <c r="AH476" s="23">
        <v>7</v>
      </c>
      <c r="AI476" s="23">
        <v>0</v>
      </c>
      <c r="AJ476" s="23">
        <v>-0.1111</v>
      </c>
      <c r="AK476" s="23">
        <v>0</v>
      </c>
      <c r="AL476" s="23" t="s">
        <v>24</v>
      </c>
      <c r="AM476" s="23">
        <v>44.15</v>
      </c>
      <c r="AN476" s="23">
        <v>32277.35</v>
      </c>
      <c r="AO476" s="23">
        <v>43.83</v>
      </c>
      <c r="AP476" s="23">
        <v>0</v>
      </c>
      <c r="AR476" s="46"/>
      <c r="AS476" s="44"/>
      <c r="AT476" s="45"/>
      <c r="AU476" s="2">
        <v>43843</v>
      </c>
      <c r="AV476" s="52">
        <v>0.38541666666666669</v>
      </c>
      <c r="AW476" s="2" t="s">
        <v>212</v>
      </c>
      <c r="AY476" s="3"/>
      <c r="BA476" s="3"/>
      <c r="BG476" s="3"/>
      <c r="BH476" s="3"/>
    </row>
    <row r="477" spans="1:60">
      <c r="A477" s="23" t="s">
        <v>22</v>
      </c>
      <c r="B477" s="23" t="s">
        <v>23</v>
      </c>
      <c r="C477" s="27">
        <v>43843.447916666664</v>
      </c>
      <c r="D477" s="23">
        <v>44.1</v>
      </c>
      <c r="E477" s="27">
        <v>43843.510416666664</v>
      </c>
      <c r="F477" s="23">
        <v>44.25</v>
      </c>
      <c r="G477" s="31">
        <v>3.3999999999999998E-3</v>
      </c>
      <c r="H477" s="23">
        <v>-170.48</v>
      </c>
      <c r="I477" s="31">
        <v>-3.3999999999999998E-3</v>
      </c>
      <c r="J477" s="23">
        <v>1136.55</v>
      </c>
      <c r="K477" s="23">
        <v>50121.87</v>
      </c>
      <c r="L477" s="23">
        <v>24259.82</v>
      </c>
      <c r="M477" s="23">
        <v>7</v>
      </c>
      <c r="N477" s="23">
        <v>-24.35</v>
      </c>
      <c r="O477" s="31">
        <v>-3.3999999999999998E-3</v>
      </c>
      <c r="P477" s="31">
        <v>4.4999999999999997E-3</v>
      </c>
      <c r="Q477" s="23" t="s">
        <v>24</v>
      </c>
      <c r="R477" s="23">
        <v>0</v>
      </c>
      <c r="S477" s="23">
        <v>44.43</v>
      </c>
      <c r="U477" s="47">
        <f>VLOOKUP(AU477,[1]expiry_dates!$B$2:$C$2894,2,FALSE)</f>
        <v>43860</v>
      </c>
      <c r="V477" s="23" t="s">
        <v>117</v>
      </c>
      <c r="W477" s="23" t="s">
        <v>23</v>
      </c>
      <c r="X477" s="49">
        <v>43843.447916666664</v>
      </c>
      <c r="Y477" s="23">
        <v>1.5</v>
      </c>
      <c r="Z477" s="23">
        <v>43843.510416666664</v>
      </c>
      <c r="AA477" s="23">
        <v>1.6</v>
      </c>
      <c r="AB477" s="23">
        <v>6.6699999999999995E-2</v>
      </c>
      <c r="AC477" s="23">
        <v>-3830.74</v>
      </c>
      <c r="AD477" s="23">
        <v>-6.6699999999999995E-2</v>
      </c>
      <c r="AE477" s="23">
        <v>38307.449999999997</v>
      </c>
      <c r="AF477" s="23">
        <v>57461.17</v>
      </c>
      <c r="AG477" s="23">
        <v>1488402.34</v>
      </c>
      <c r="AH477" s="23">
        <v>7</v>
      </c>
      <c r="AI477" s="23">
        <v>-547.25</v>
      </c>
      <c r="AJ477" s="23">
        <v>-6.6699999999999995E-2</v>
      </c>
      <c r="AK477" s="23">
        <v>3.3300000000000003E-2</v>
      </c>
      <c r="AL477" s="23" t="s">
        <v>24</v>
      </c>
      <c r="AM477" s="23">
        <v>44.1</v>
      </c>
      <c r="AN477" s="23">
        <v>32174.85</v>
      </c>
      <c r="AO477" s="23">
        <v>44.43</v>
      </c>
      <c r="AP477" s="23">
        <v>0</v>
      </c>
      <c r="AR477" s="46"/>
      <c r="AS477" s="44"/>
      <c r="AT477" s="45"/>
      <c r="AU477" s="2">
        <v>43843</v>
      </c>
      <c r="AV477" s="52">
        <v>0.44791666666666669</v>
      </c>
      <c r="AW477" s="2" t="s">
        <v>212</v>
      </c>
      <c r="AY477" s="3"/>
      <c r="BA477" s="3"/>
      <c r="BG477" s="3"/>
      <c r="BH477" s="3"/>
    </row>
    <row r="478" spans="1:60">
      <c r="A478" s="23" t="s">
        <v>22</v>
      </c>
      <c r="B478" s="23" t="s">
        <v>25</v>
      </c>
      <c r="C478" s="27">
        <v>43843.510416666664</v>
      </c>
      <c r="D478" s="23">
        <v>44.25</v>
      </c>
      <c r="E478" s="27">
        <v>43843.59375</v>
      </c>
      <c r="F478" s="23">
        <v>44.2</v>
      </c>
      <c r="G478" s="31">
        <v>-1.1000000000000001E-3</v>
      </c>
      <c r="H478" s="23">
        <v>-56.63</v>
      </c>
      <c r="I478" s="31">
        <v>-1.1000000000000001E-3</v>
      </c>
      <c r="J478" s="23">
        <v>1132.691</v>
      </c>
      <c r="K478" s="23">
        <v>50121.58</v>
      </c>
      <c r="L478" s="23">
        <v>24203.18</v>
      </c>
      <c r="M478" s="23">
        <v>9</v>
      </c>
      <c r="N478" s="23">
        <v>-6.29</v>
      </c>
      <c r="O478" s="31">
        <v>-4.4999999999999997E-3</v>
      </c>
      <c r="P478" s="31">
        <v>5.5999999999999999E-3</v>
      </c>
      <c r="Q478" s="23" t="s">
        <v>24</v>
      </c>
      <c r="R478" s="23">
        <v>0</v>
      </c>
      <c r="S478" s="23">
        <v>43.9</v>
      </c>
      <c r="U478" s="47">
        <f>VLOOKUP(AU478,[1]expiry_dates!$B$2:$C$2894,2,FALSE)</f>
        <v>43860</v>
      </c>
      <c r="V478" s="23" t="s">
        <v>113</v>
      </c>
      <c r="W478" s="23" t="s">
        <v>23</v>
      </c>
      <c r="X478" s="49">
        <v>43843.510416666664</v>
      </c>
      <c r="Y478" s="23">
        <v>0.2</v>
      </c>
      <c r="Z478" s="23">
        <v>43843.59375</v>
      </c>
      <c r="AA478" s="23">
        <v>0.15</v>
      </c>
      <c r="AB478" s="23">
        <v>-0.25</v>
      </c>
      <c r="AC478" s="23">
        <v>14365.29</v>
      </c>
      <c r="AD478" s="23">
        <v>0.25</v>
      </c>
      <c r="AE478" s="23">
        <v>287305.8</v>
      </c>
      <c r="AF478" s="23">
        <v>57461.16</v>
      </c>
      <c r="AG478" s="23">
        <v>1502767.63</v>
      </c>
      <c r="AH478" s="23">
        <v>9</v>
      </c>
      <c r="AI478" s="23">
        <v>1596.14</v>
      </c>
      <c r="AJ478" s="23">
        <v>0</v>
      </c>
      <c r="AK478" s="23">
        <v>0.25</v>
      </c>
      <c r="AL478" s="23" t="s">
        <v>24</v>
      </c>
      <c r="AM478" s="23">
        <v>44.25</v>
      </c>
      <c r="AN478" s="23">
        <v>32233.35</v>
      </c>
      <c r="AO478" s="23">
        <v>43.9</v>
      </c>
      <c r="AP478" s="23">
        <v>0</v>
      </c>
      <c r="AR478" s="46"/>
      <c r="AS478" s="44"/>
      <c r="AT478" s="45"/>
      <c r="AU478" s="2">
        <v>43843</v>
      </c>
      <c r="AV478" s="52">
        <v>0.51041666666666663</v>
      </c>
      <c r="AW478" s="2" t="s">
        <v>213</v>
      </c>
      <c r="AY478" s="3"/>
      <c r="BA478" s="3"/>
      <c r="BG478" s="3"/>
      <c r="BH478" s="3"/>
    </row>
    <row r="479" spans="1:60">
      <c r="A479" s="23" t="s">
        <v>22</v>
      </c>
      <c r="B479" s="23" t="s">
        <v>23</v>
      </c>
      <c r="C479" s="27">
        <v>43843.59375</v>
      </c>
      <c r="D479" s="23">
        <v>44.2</v>
      </c>
      <c r="E479" s="27">
        <v>43844.385416666664</v>
      </c>
      <c r="F479" s="23">
        <v>44.45</v>
      </c>
      <c r="G479" s="31">
        <v>5.7000000000000002E-3</v>
      </c>
      <c r="H479" s="23">
        <v>-283.49</v>
      </c>
      <c r="I479" s="31">
        <v>-5.7000000000000002E-3</v>
      </c>
      <c r="J479" s="23">
        <v>1133.953</v>
      </c>
      <c r="K479" s="23">
        <v>50120.73</v>
      </c>
      <c r="L479" s="23">
        <v>23919.69</v>
      </c>
      <c r="M479" s="23">
        <v>9</v>
      </c>
      <c r="N479" s="23">
        <v>-31.5</v>
      </c>
      <c r="O479" s="31">
        <v>-5.7000000000000002E-3</v>
      </c>
      <c r="P479" s="31">
        <v>2.3E-3</v>
      </c>
      <c r="Q479" s="23" t="s">
        <v>24</v>
      </c>
      <c r="R479" s="23">
        <v>0</v>
      </c>
      <c r="S479" s="23">
        <v>44.48</v>
      </c>
      <c r="U479" s="47">
        <f>VLOOKUP(AU479,[1]expiry_dates!$B$2:$C$2894,2,FALSE)</f>
        <v>43860</v>
      </c>
      <c r="V479" s="23" t="s">
        <v>117</v>
      </c>
      <c r="W479" s="23" t="s">
        <v>23</v>
      </c>
      <c r="X479" s="49">
        <v>43843.59375</v>
      </c>
      <c r="Y479" s="23">
        <v>1.6</v>
      </c>
      <c r="Z479" s="23">
        <v>43844.385416666664</v>
      </c>
      <c r="AA479" s="23">
        <v>1.7</v>
      </c>
      <c r="AB479" s="23">
        <v>6.25E-2</v>
      </c>
      <c r="AC479" s="23">
        <v>-3594.61</v>
      </c>
      <c r="AD479" s="23">
        <v>-6.25E-2</v>
      </c>
      <c r="AE479" s="23">
        <v>35946.15</v>
      </c>
      <c r="AF479" s="23">
        <v>57513.84</v>
      </c>
      <c r="AG479" s="23">
        <v>1499173.01</v>
      </c>
      <c r="AH479" s="23">
        <v>9</v>
      </c>
      <c r="AI479" s="23">
        <v>-399.4</v>
      </c>
      <c r="AJ479" s="23">
        <v>-6.25E-2</v>
      </c>
      <c r="AK479" s="23">
        <v>3.1300000000000001E-2</v>
      </c>
      <c r="AL479" s="23" t="s">
        <v>24</v>
      </c>
      <c r="AM479" s="23">
        <v>44.2</v>
      </c>
      <c r="AN479" s="23">
        <v>32155.599999999999</v>
      </c>
      <c r="AO479" s="23">
        <v>44.48</v>
      </c>
      <c r="AP479" s="23">
        <v>0</v>
      </c>
      <c r="AR479" s="46"/>
      <c r="AS479" s="44"/>
      <c r="AT479" s="45"/>
      <c r="AU479" s="2">
        <v>43843</v>
      </c>
      <c r="AV479" s="52">
        <v>9.375E-2</v>
      </c>
      <c r="AW479" s="2" t="s">
        <v>213</v>
      </c>
      <c r="AY479" s="3"/>
      <c r="BA479" s="3"/>
      <c r="BG479" s="3"/>
      <c r="BH479" s="3"/>
    </row>
    <row r="480" spans="1:60">
      <c r="A480" s="23" t="s">
        <v>22</v>
      </c>
      <c r="B480" s="23" t="s">
        <v>25</v>
      </c>
      <c r="C480" s="27">
        <v>43844.385416666664</v>
      </c>
      <c r="D480" s="23">
        <v>44.45</v>
      </c>
      <c r="E480" s="27">
        <v>43844.447916666664</v>
      </c>
      <c r="F480" s="23">
        <v>44.3</v>
      </c>
      <c r="G480" s="31">
        <v>-3.3999999999999998E-3</v>
      </c>
      <c r="H480" s="23">
        <v>-169.14</v>
      </c>
      <c r="I480" s="31">
        <v>-3.3999999999999998E-3</v>
      </c>
      <c r="J480" s="23">
        <v>1127.569</v>
      </c>
      <c r="K480" s="23">
        <v>50120.45</v>
      </c>
      <c r="L480" s="23">
        <v>23750.560000000001</v>
      </c>
      <c r="M480" s="23">
        <v>7</v>
      </c>
      <c r="N480" s="23">
        <v>-24.16</v>
      </c>
      <c r="O480" s="31">
        <v>-7.9000000000000008E-3</v>
      </c>
      <c r="P480" s="31">
        <v>3.3999999999999998E-3</v>
      </c>
      <c r="Q480" s="23" t="s">
        <v>24</v>
      </c>
      <c r="R480" s="23">
        <v>0</v>
      </c>
      <c r="S480" s="23">
        <v>44.1</v>
      </c>
      <c r="U480" s="47">
        <f>VLOOKUP(AU480,[1]expiry_dates!$B$2:$C$2894,2,FALSE)</f>
        <v>43860</v>
      </c>
      <c r="V480" s="23" t="s">
        <v>118</v>
      </c>
      <c r="W480" s="23" t="s">
        <v>23</v>
      </c>
      <c r="X480" s="49">
        <v>43844.385416666664</v>
      </c>
      <c r="Y480" s="23">
        <v>0.7</v>
      </c>
      <c r="Z480" s="23">
        <v>43844.447916666664</v>
      </c>
      <c r="AA480" s="23">
        <v>0.65</v>
      </c>
      <c r="AB480" s="23">
        <v>-7.1400000000000005E-2</v>
      </c>
      <c r="AC480" s="23">
        <v>4107.49</v>
      </c>
      <c r="AD480" s="23">
        <v>7.1400000000000005E-2</v>
      </c>
      <c r="AE480" s="23">
        <v>82149.789999999994</v>
      </c>
      <c r="AF480" s="23">
        <v>57504.85</v>
      </c>
      <c r="AG480" s="23">
        <v>1503280.5</v>
      </c>
      <c r="AH480" s="23">
        <v>7</v>
      </c>
      <c r="AI480" s="23">
        <v>586.78</v>
      </c>
      <c r="AJ480" s="23">
        <v>0</v>
      </c>
      <c r="AK480" s="23">
        <v>0.1429</v>
      </c>
      <c r="AL480" s="23" t="s">
        <v>24</v>
      </c>
      <c r="AM480" s="23">
        <v>44.45</v>
      </c>
      <c r="AN480" s="23">
        <v>32081.4</v>
      </c>
      <c r="AO480" s="23">
        <v>44.1</v>
      </c>
      <c r="AP480" s="23">
        <v>0</v>
      </c>
      <c r="AR480" s="46"/>
      <c r="AS480" s="44"/>
      <c r="AT480" s="45"/>
      <c r="AU480" s="2">
        <v>43844</v>
      </c>
      <c r="AV480" s="52">
        <v>0.38541666666666669</v>
      </c>
      <c r="AW480" s="2" t="s">
        <v>212</v>
      </c>
      <c r="AY480" s="3"/>
      <c r="BA480" s="3"/>
      <c r="BG480" s="3"/>
      <c r="BH480" s="3"/>
    </row>
    <row r="481" spans="1:60">
      <c r="A481" s="23" t="s">
        <v>22</v>
      </c>
      <c r="B481" s="23" t="s">
        <v>23</v>
      </c>
      <c r="C481" s="27">
        <v>43844.447916666664</v>
      </c>
      <c r="D481" s="23">
        <v>44.3</v>
      </c>
      <c r="E481" s="27">
        <v>43844.489583333336</v>
      </c>
      <c r="F481" s="23">
        <v>44.45</v>
      </c>
      <c r="G481" s="31">
        <v>3.3999999999999998E-3</v>
      </c>
      <c r="H481" s="23">
        <v>-169.7</v>
      </c>
      <c r="I481" s="31">
        <v>-3.3999999999999998E-3</v>
      </c>
      <c r="J481" s="23">
        <v>1131.355</v>
      </c>
      <c r="K481" s="23">
        <v>50119.040000000001</v>
      </c>
      <c r="L481" s="23">
        <v>23580.85</v>
      </c>
      <c r="M481" s="23">
        <v>5</v>
      </c>
      <c r="N481" s="23">
        <v>-33.94</v>
      </c>
      <c r="O481" s="31">
        <v>-3.3999999999999998E-3</v>
      </c>
      <c r="P481" s="31">
        <v>6.7999999999999996E-3</v>
      </c>
      <c r="Q481" s="23" t="s">
        <v>24</v>
      </c>
      <c r="R481" s="23">
        <v>0</v>
      </c>
      <c r="S481" s="23">
        <v>44.58</v>
      </c>
      <c r="U481" s="47">
        <f>VLOOKUP(AU481,[1]expiry_dates!$B$2:$C$2894,2,FALSE)</f>
        <v>43860</v>
      </c>
      <c r="V481" s="23" t="s">
        <v>117</v>
      </c>
      <c r="W481" s="23" t="s">
        <v>23</v>
      </c>
      <c r="X481" s="49">
        <v>43844.447916666664</v>
      </c>
      <c r="Y481" s="23">
        <v>1.55</v>
      </c>
      <c r="Z481" s="23">
        <v>43844.489583333336</v>
      </c>
      <c r="AA481" s="23">
        <v>1.65</v>
      </c>
      <c r="AB481" s="23">
        <v>6.4500000000000002E-2</v>
      </c>
      <c r="AC481" s="23">
        <v>-3710.74</v>
      </c>
      <c r="AD481" s="23">
        <v>-6.4500000000000002E-2</v>
      </c>
      <c r="AE481" s="23">
        <v>37107.360000000001</v>
      </c>
      <c r="AF481" s="23">
        <v>57516.41</v>
      </c>
      <c r="AG481" s="23">
        <v>1499569.77</v>
      </c>
      <c r="AH481" s="23">
        <v>5</v>
      </c>
      <c r="AI481" s="23">
        <v>-742.15</v>
      </c>
      <c r="AJ481" s="23">
        <v>-6.4500000000000002E-2</v>
      </c>
      <c r="AK481" s="23">
        <v>3.2300000000000002E-2</v>
      </c>
      <c r="AL481" s="23" t="s">
        <v>24</v>
      </c>
      <c r="AM481" s="23">
        <v>44.3</v>
      </c>
      <c r="AN481" s="23">
        <v>32027.5</v>
      </c>
      <c r="AO481" s="23">
        <v>44.58</v>
      </c>
      <c r="AP481" s="23">
        <v>0</v>
      </c>
      <c r="AR481" s="46"/>
      <c r="AS481" s="44"/>
      <c r="AT481" s="45"/>
      <c r="AU481" s="2">
        <v>43844</v>
      </c>
      <c r="AV481" s="52">
        <v>0.44791666666666669</v>
      </c>
      <c r="AW481" s="2" t="s">
        <v>212</v>
      </c>
      <c r="AY481" s="3"/>
      <c r="BA481" s="3"/>
      <c r="BG481" s="3"/>
      <c r="BH481" s="3"/>
    </row>
    <row r="482" spans="1:60">
      <c r="A482" s="23" t="s">
        <v>22</v>
      </c>
      <c r="B482" s="23" t="s">
        <v>25</v>
      </c>
      <c r="C482" s="27">
        <v>43844.489583333336</v>
      </c>
      <c r="D482" s="23">
        <v>44.45</v>
      </c>
      <c r="E482" s="27">
        <v>43845.395833333336</v>
      </c>
      <c r="F482" s="23">
        <v>44.2</v>
      </c>
      <c r="G482" s="31">
        <v>-5.5999999999999999E-3</v>
      </c>
      <c r="H482" s="23">
        <v>-281.88</v>
      </c>
      <c r="I482" s="31">
        <v>-5.5999999999999999E-3</v>
      </c>
      <c r="J482" s="23">
        <v>1127.5119999999999</v>
      </c>
      <c r="K482" s="23">
        <v>50117.9</v>
      </c>
      <c r="L482" s="23">
        <v>23298.98</v>
      </c>
      <c r="M482" s="23">
        <v>20</v>
      </c>
      <c r="N482" s="23">
        <v>-14.09</v>
      </c>
      <c r="O482" s="31">
        <v>-6.7000000000000002E-3</v>
      </c>
      <c r="P482" s="31">
        <v>7.9000000000000008E-3</v>
      </c>
      <c r="Q482" s="23" t="s">
        <v>24</v>
      </c>
      <c r="R482" s="23">
        <v>0</v>
      </c>
      <c r="S482" s="23">
        <v>44.01</v>
      </c>
      <c r="U482" s="47">
        <f>VLOOKUP(AU482,[1]expiry_dates!$B$2:$C$2894,2,FALSE)</f>
        <v>43860</v>
      </c>
      <c r="V482" s="23" t="s">
        <v>115</v>
      </c>
      <c r="W482" s="23" t="s">
        <v>23</v>
      </c>
      <c r="X482" s="49">
        <v>43844.489583333336</v>
      </c>
      <c r="Y482" s="23">
        <v>0.35</v>
      </c>
      <c r="Z482" s="23">
        <v>43845.395833333336</v>
      </c>
      <c r="AA482" s="23">
        <v>0.35</v>
      </c>
      <c r="AB482" s="23">
        <v>0</v>
      </c>
      <c r="AC482" s="23">
        <v>0</v>
      </c>
      <c r="AD482" s="23">
        <v>0</v>
      </c>
      <c r="AE482" s="23">
        <v>164306.1</v>
      </c>
      <c r="AF482" s="23">
        <v>57507.13</v>
      </c>
      <c r="AG482" s="23">
        <v>1499569.77</v>
      </c>
      <c r="AH482" s="23">
        <v>20</v>
      </c>
      <c r="AI482" s="23">
        <v>0</v>
      </c>
      <c r="AJ482" s="23">
        <v>-0.1429</v>
      </c>
      <c r="AK482" s="23">
        <v>0.1429</v>
      </c>
      <c r="AL482" s="23" t="s">
        <v>24</v>
      </c>
      <c r="AM482" s="23">
        <v>44.45</v>
      </c>
      <c r="AN482" s="23">
        <v>32059.95</v>
      </c>
      <c r="AO482" s="23">
        <v>44.01</v>
      </c>
      <c r="AP482" s="23">
        <v>0</v>
      </c>
      <c r="AR482" s="46"/>
      <c r="AS482" s="44"/>
      <c r="AT482" s="45"/>
      <c r="AU482" s="2">
        <v>43844</v>
      </c>
      <c r="AV482" s="52">
        <v>0.48958333333333331</v>
      </c>
      <c r="AW482" s="2" t="s">
        <v>212</v>
      </c>
      <c r="AY482" s="3"/>
      <c r="BA482" s="3"/>
      <c r="BG482" s="3"/>
      <c r="BH482" s="3"/>
    </row>
    <row r="483" spans="1:60">
      <c r="A483" s="23" t="s">
        <v>22</v>
      </c>
      <c r="B483" s="23" t="s">
        <v>23</v>
      </c>
      <c r="C483" s="27">
        <v>43845.395833333336</v>
      </c>
      <c r="D483" s="23">
        <v>44.2</v>
      </c>
      <c r="E483" s="27">
        <v>43845.458333333336</v>
      </c>
      <c r="F483" s="23">
        <v>44.5</v>
      </c>
      <c r="G483" s="31">
        <v>6.7999999999999996E-3</v>
      </c>
      <c r="H483" s="23">
        <v>-340.17</v>
      </c>
      <c r="I483" s="31">
        <v>-6.7999999999999996E-3</v>
      </c>
      <c r="J483" s="23">
        <v>1133.8889999999999</v>
      </c>
      <c r="K483" s="23">
        <v>50117.9</v>
      </c>
      <c r="L483" s="23">
        <v>22958.81</v>
      </c>
      <c r="M483" s="23">
        <v>7</v>
      </c>
      <c r="N483" s="23">
        <v>-48.6</v>
      </c>
      <c r="O483" s="31">
        <v>-8.9999999999999993E-3</v>
      </c>
      <c r="P483" s="31">
        <v>2.3E-3</v>
      </c>
      <c r="Q483" s="23" t="s">
        <v>24</v>
      </c>
      <c r="R483" s="23">
        <v>0</v>
      </c>
      <c r="S483" s="23">
        <v>44.78</v>
      </c>
      <c r="U483" s="47">
        <f>VLOOKUP(AU483,[1]expiry_dates!$B$2:$C$2894,2,FALSE)</f>
        <v>43860</v>
      </c>
      <c r="V483" s="23" t="s">
        <v>117</v>
      </c>
      <c r="W483" s="23" t="s">
        <v>23</v>
      </c>
      <c r="X483" s="49">
        <v>43845.395833333336</v>
      </c>
      <c r="Y483" s="23">
        <v>1.55</v>
      </c>
      <c r="Z483" s="23">
        <v>43845.458333333336</v>
      </c>
      <c r="AA483" s="23">
        <v>1.7</v>
      </c>
      <c r="AB483" s="23">
        <v>9.6799999999999997E-2</v>
      </c>
      <c r="AC483" s="23">
        <v>-5564.31</v>
      </c>
      <c r="AD483" s="23">
        <v>-9.6799999999999997E-2</v>
      </c>
      <c r="AE483" s="23">
        <v>37095.39</v>
      </c>
      <c r="AF483" s="23">
        <v>57497.85</v>
      </c>
      <c r="AG483" s="23">
        <v>1494005.46</v>
      </c>
      <c r="AH483" s="23">
        <v>7</v>
      </c>
      <c r="AI483" s="23">
        <v>-794.9</v>
      </c>
      <c r="AJ483" s="23">
        <v>-0.129</v>
      </c>
      <c r="AK483" s="23">
        <v>6.4500000000000002E-2</v>
      </c>
      <c r="AL483" s="23" t="s">
        <v>24</v>
      </c>
      <c r="AM483" s="23">
        <v>44.2</v>
      </c>
      <c r="AN483" s="23">
        <v>31792</v>
      </c>
      <c r="AO483" s="23">
        <v>44.78</v>
      </c>
      <c r="AP483" s="23">
        <v>0</v>
      </c>
      <c r="AR483" s="46"/>
      <c r="AS483" s="44"/>
      <c r="AT483" s="45"/>
      <c r="AU483" s="2">
        <v>43845</v>
      </c>
      <c r="AV483" s="52">
        <v>0.39583333333333331</v>
      </c>
      <c r="AW483" s="2" t="s">
        <v>212</v>
      </c>
      <c r="AY483" s="3"/>
      <c r="BA483" s="3"/>
      <c r="BG483" s="3"/>
      <c r="BH483" s="3"/>
    </row>
    <row r="484" spans="1:60">
      <c r="A484" s="23" t="s">
        <v>22</v>
      </c>
      <c r="B484" s="23" t="s">
        <v>25</v>
      </c>
      <c r="C484" s="27">
        <v>43845.458333333336</v>
      </c>
      <c r="D484" s="23">
        <v>44.5</v>
      </c>
      <c r="E484" s="27">
        <v>43845.635416666664</v>
      </c>
      <c r="F484" s="23">
        <v>45</v>
      </c>
      <c r="G484" s="31">
        <v>1.12E-2</v>
      </c>
      <c r="H484" s="23">
        <v>563.1</v>
      </c>
      <c r="I484" s="31">
        <v>1.12E-2</v>
      </c>
      <c r="J484" s="23">
        <v>1126.194</v>
      </c>
      <c r="K484" s="23">
        <v>50115.64</v>
      </c>
      <c r="L484" s="23">
        <v>23521.91</v>
      </c>
      <c r="M484" s="23">
        <v>18</v>
      </c>
      <c r="N484" s="23">
        <v>31.28</v>
      </c>
      <c r="O484" s="31">
        <v>-3.3999999999999998E-3</v>
      </c>
      <c r="P484" s="31">
        <v>2.1299999999999999E-2</v>
      </c>
      <c r="Q484" s="23" t="s">
        <v>24</v>
      </c>
      <c r="R484" s="23">
        <v>0</v>
      </c>
      <c r="S484" s="23">
        <v>44.11</v>
      </c>
      <c r="U484" s="47">
        <f>VLOOKUP(AU484,[1]expiry_dates!$B$2:$C$2894,2,FALSE)</f>
        <v>43860</v>
      </c>
      <c r="V484" s="23" t="s">
        <v>134</v>
      </c>
      <c r="W484" s="23" t="s">
        <v>23</v>
      </c>
      <c r="X484" s="49">
        <v>43845.458333333336</v>
      </c>
      <c r="Y484" s="23">
        <v>0.2</v>
      </c>
      <c r="Z484" s="23">
        <v>43845.635416666664</v>
      </c>
      <c r="AA484" s="23">
        <v>0.15</v>
      </c>
      <c r="AB484" s="23">
        <v>-0.25</v>
      </c>
      <c r="AC484" s="23">
        <v>14372.14</v>
      </c>
      <c r="AD484" s="23">
        <v>0.25</v>
      </c>
      <c r="AE484" s="23">
        <v>287442.90000000002</v>
      </c>
      <c r="AF484" s="23">
        <v>57488.57</v>
      </c>
      <c r="AG484" s="23">
        <v>1508377.6000000001</v>
      </c>
      <c r="AH484" s="23">
        <v>18</v>
      </c>
      <c r="AI484" s="23">
        <v>798.45</v>
      </c>
      <c r="AJ484" s="23">
        <v>0</v>
      </c>
      <c r="AK484" s="23">
        <v>0.25</v>
      </c>
      <c r="AL484" s="23" t="s">
        <v>24</v>
      </c>
      <c r="AM484" s="23">
        <v>44.5</v>
      </c>
      <c r="AN484" s="23">
        <v>31748.25</v>
      </c>
      <c r="AO484" s="23">
        <v>44.11</v>
      </c>
      <c r="AP484" s="23">
        <v>0</v>
      </c>
      <c r="AR484" s="46"/>
      <c r="AS484" s="44"/>
      <c r="AT484" s="45"/>
      <c r="AU484" s="2">
        <v>43845</v>
      </c>
      <c r="AV484" s="52">
        <v>0.45833333333333331</v>
      </c>
      <c r="AW484" s="2" t="s">
        <v>212</v>
      </c>
      <c r="AY484" s="3"/>
      <c r="BA484" s="3"/>
      <c r="BG484" s="3"/>
      <c r="BH484" s="3"/>
    </row>
    <row r="485" spans="1:60">
      <c r="A485" s="23" t="s">
        <v>22</v>
      </c>
      <c r="B485" s="23" t="s">
        <v>23</v>
      </c>
      <c r="C485" s="27">
        <v>43845.635416666664</v>
      </c>
      <c r="D485" s="23">
        <v>45</v>
      </c>
      <c r="E485" s="27">
        <v>43846.40625</v>
      </c>
      <c r="F485" s="23">
        <v>45.2</v>
      </c>
      <c r="G485" s="31">
        <v>4.4000000000000003E-3</v>
      </c>
      <c r="H485" s="23">
        <v>-222.74</v>
      </c>
      <c r="I485" s="31">
        <v>-4.4000000000000003E-3</v>
      </c>
      <c r="J485" s="23">
        <v>1113.7249999999999</v>
      </c>
      <c r="K485" s="23">
        <v>50117.61</v>
      </c>
      <c r="L485" s="23">
        <v>23299.16</v>
      </c>
      <c r="M485" s="23">
        <v>7</v>
      </c>
      <c r="N485" s="23">
        <v>-31.82</v>
      </c>
      <c r="O485" s="31">
        <v>-7.7999999999999996E-3</v>
      </c>
      <c r="P485" s="31">
        <v>2.2000000000000001E-3</v>
      </c>
      <c r="Q485" s="23" t="s">
        <v>24</v>
      </c>
      <c r="R485" s="23">
        <v>0</v>
      </c>
      <c r="S485" s="23">
        <v>45.44</v>
      </c>
      <c r="U485" s="47">
        <f>VLOOKUP(AU485,[1]expiry_dates!$B$2:$C$2894,2,FALSE)</f>
        <v>43860</v>
      </c>
      <c r="V485" s="23" t="s">
        <v>112</v>
      </c>
      <c r="W485" s="23" t="s">
        <v>23</v>
      </c>
      <c r="X485" s="49">
        <v>43845.635416666664</v>
      </c>
      <c r="Y485" s="23">
        <v>1.6</v>
      </c>
      <c r="Z485" s="23">
        <v>43846.40625</v>
      </c>
      <c r="AA485" s="23">
        <v>1.7</v>
      </c>
      <c r="AB485" s="23">
        <v>6.25E-2</v>
      </c>
      <c r="AC485" s="23">
        <v>-3596.37</v>
      </c>
      <c r="AD485" s="23">
        <v>-6.25E-2</v>
      </c>
      <c r="AE485" s="23">
        <v>35963.68</v>
      </c>
      <c r="AF485" s="23">
        <v>57541.89</v>
      </c>
      <c r="AG485" s="23">
        <v>1504781.24</v>
      </c>
      <c r="AH485" s="23">
        <v>7</v>
      </c>
      <c r="AI485" s="23">
        <v>-513.77</v>
      </c>
      <c r="AJ485" s="23">
        <v>-6.25E-2</v>
      </c>
      <c r="AK485" s="23">
        <v>6.25E-2</v>
      </c>
      <c r="AL485" s="23" t="s">
        <v>24</v>
      </c>
      <c r="AM485" s="23">
        <v>45</v>
      </c>
      <c r="AN485" s="23">
        <v>31835.85</v>
      </c>
      <c r="AO485" s="23">
        <v>45.44</v>
      </c>
      <c r="AP485" s="23">
        <v>0</v>
      </c>
      <c r="AR485" s="46"/>
      <c r="AS485" s="44"/>
      <c r="AT485" s="45"/>
      <c r="AU485" s="2">
        <v>43845</v>
      </c>
      <c r="AV485" s="52">
        <v>0.13541666666666666</v>
      </c>
      <c r="AW485" s="2" t="s">
        <v>213</v>
      </c>
      <c r="AY485" s="3"/>
      <c r="BA485" s="3"/>
      <c r="BG485" s="3"/>
      <c r="BH485" s="3"/>
    </row>
    <row r="486" spans="1:60">
      <c r="A486" s="23" t="s">
        <v>22</v>
      </c>
      <c r="B486" s="23" t="s">
        <v>25</v>
      </c>
      <c r="C486" s="27">
        <v>43846.40625</v>
      </c>
      <c r="D486" s="23">
        <v>45.2</v>
      </c>
      <c r="E486" s="27">
        <v>43846.510416666664</v>
      </c>
      <c r="F486" s="23">
        <v>45.1</v>
      </c>
      <c r="G486" s="31">
        <v>-2.2000000000000001E-3</v>
      </c>
      <c r="H486" s="23">
        <v>-110.88</v>
      </c>
      <c r="I486" s="31">
        <v>-2.2000000000000001E-3</v>
      </c>
      <c r="J486" s="23">
        <v>1108.7840000000001</v>
      </c>
      <c r="K486" s="23">
        <v>50117.05</v>
      </c>
      <c r="L486" s="23">
        <v>23188.28</v>
      </c>
      <c r="M486" s="23">
        <v>11</v>
      </c>
      <c r="N486" s="23">
        <v>-10.08</v>
      </c>
      <c r="O486" s="31">
        <v>-3.3E-3</v>
      </c>
      <c r="P486" s="31">
        <v>5.4999999999999997E-3</v>
      </c>
      <c r="Q486" s="23" t="s">
        <v>24</v>
      </c>
      <c r="R486" s="23">
        <v>0</v>
      </c>
      <c r="S486" s="23">
        <v>44.92</v>
      </c>
      <c r="U486" s="47">
        <f>VLOOKUP(AU486,[1]expiry_dates!$B$2:$C$2894,2,FALSE)</f>
        <v>43860</v>
      </c>
      <c r="V486" s="23" t="s">
        <v>118</v>
      </c>
      <c r="W486" s="23" t="s">
        <v>23</v>
      </c>
      <c r="X486" s="49">
        <v>43846.40625</v>
      </c>
      <c r="Y486" s="23">
        <v>0.45</v>
      </c>
      <c r="Z486" s="23">
        <v>43846.510416666664</v>
      </c>
      <c r="AA486" s="23">
        <v>0.45</v>
      </c>
      <c r="AB486" s="23">
        <v>0</v>
      </c>
      <c r="AC486" s="23">
        <v>0</v>
      </c>
      <c r="AD486" s="23">
        <v>0</v>
      </c>
      <c r="AE486" s="23">
        <v>127870.9</v>
      </c>
      <c r="AF486" s="23">
        <v>57541.89</v>
      </c>
      <c r="AG486" s="23">
        <v>1504781.24</v>
      </c>
      <c r="AH486" s="23">
        <v>11</v>
      </c>
      <c r="AI486" s="23">
        <v>0</v>
      </c>
      <c r="AJ486" s="23">
        <v>-0.1111</v>
      </c>
      <c r="AK486" s="23">
        <v>0.1111</v>
      </c>
      <c r="AL486" s="23" t="s">
        <v>24</v>
      </c>
      <c r="AM486" s="23">
        <v>45.2</v>
      </c>
      <c r="AN486" s="23">
        <v>31936.45</v>
      </c>
      <c r="AO486" s="23">
        <v>44.92</v>
      </c>
      <c r="AP486" s="23">
        <v>0</v>
      </c>
      <c r="AR486" s="46"/>
      <c r="AS486" s="44"/>
      <c r="AT486" s="45"/>
      <c r="AU486" s="2">
        <v>43846</v>
      </c>
      <c r="AV486" s="52">
        <v>0.40625</v>
      </c>
      <c r="AW486" s="2" t="s">
        <v>212</v>
      </c>
      <c r="AY486" s="3"/>
      <c r="BA486" s="3"/>
      <c r="BG486" s="3"/>
      <c r="BH486" s="3"/>
    </row>
    <row r="487" spans="1:60">
      <c r="A487" s="23" t="s">
        <v>22</v>
      </c>
      <c r="B487" s="23" t="s">
        <v>23</v>
      </c>
      <c r="C487" s="27">
        <v>43846.510416666664</v>
      </c>
      <c r="D487" s="23">
        <v>45.1</v>
      </c>
      <c r="E487" s="27">
        <v>43846.59375</v>
      </c>
      <c r="F487" s="23">
        <v>45.2</v>
      </c>
      <c r="G487" s="31">
        <v>2.2000000000000001E-3</v>
      </c>
      <c r="H487" s="23">
        <v>-111.12</v>
      </c>
      <c r="I487" s="31">
        <v>-2.2000000000000001E-3</v>
      </c>
      <c r="J487" s="23">
        <v>1111.2370000000001</v>
      </c>
      <c r="K487" s="23">
        <v>50116.77</v>
      </c>
      <c r="L487" s="23">
        <v>23077.16</v>
      </c>
      <c r="M487" s="23">
        <v>9</v>
      </c>
      <c r="N487" s="23">
        <v>-12.35</v>
      </c>
      <c r="O487" s="31">
        <v>-4.4000000000000003E-3</v>
      </c>
      <c r="P487" s="31">
        <v>1.1000000000000001E-3</v>
      </c>
      <c r="Q487" s="23" t="s">
        <v>24</v>
      </c>
      <c r="R487" s="23">
        <v>0</v>
      </c>
      <c r="S487" s="23">
        <v>45.43</v>
      </c>
      <c r="U487" s="47">
        <f>VLOOKUP(AU487,[1]expiry_dates!$B$2:$C$2894,2,FALSE)</f>
        <v>43860</v>
      </c>
      <c r="V487" s="23" t="s">
        <v>110</v>
      </c>
      <c r="W487" s="23" t="s">
        <v>23</v>
      </c>
      <c r="X487" s="49">
        <v>43846.510416666664</v>
      </c>
      <c r="Y487" s="23">
        <v>1.2</v>
      </c>
      <c r="Z487" s="23">
        <v>43846.59375</v>
      </c>
      <c r="AA487" s="23">
        <v>1.2</v>
      </c>
      <c r="AB487" s="23">
        <v>0</v>
      </c>
      <c r="AC487" s="23">
        <v>0</v>
      </c>
      <c r="AD487" s="23">
        <v>0</v>
      </c>
      <c r="AE487" s="23">
        <v>47936.59</v>
      </c>
      <c r="AF487" s="23">
        <v>57523.91</v>
      </c>
      <c r="AG487" s="23">
        <v>1504781.24</v>
      </c>
      <c r="AH487" s="23">
        <v>9</v>
      </c>
      <c r="AI487" s="23">
        <v>0</v>
      </c>
      <c r="AJ487" s="23">
        <v>0</v>
      </c>
      <c r="AK487" s="23">
        <v>4.1700000000000001E-2</v>
      </c>
      <c r="AL487" s="23" t="s">
        <v>24</v>
      </c>
      <c r="AM487" s="23">
        <v>45.1</v>
      </c>
      <c r="AN487" s="23">
        <v>31752.95</v>
      </c>
      <c r="AO487" s="23">
        <v>45.43</v>
      </c>
      <c r="AP487" s="23">
        <v>0</v>
      </c>
      <c r="AR487" s="46"/>
      <c r="AS487" s="44"/>
      <c r="AT487" s="45"/>
      <c r="AU487" s="2">
        <v>43846</v>
      </c>
      <c r="AV487" s="52">
        <v>0.51041666666666663</v>
      </c>
      <c r="AW487" s="2" t="s">
        <v>213</v>
      </c>
      <c r="AY487" s="3"/>
      <c r="BA487" s="3"/>
      <c r="BG487" s="3"/>
      <c r="BH487" s="3"/>
    </row>
    <row r="488" spans="1:60">
      <c r="A488" s="23" t="s">
        <v>22</v>
      </c>
      <c r="B488" s="23" t="s">
        <v>25</v>
      </c>
      <c r="C488" s="27">
        <v>43846.59375</v>
      </c>
      <c r="D488" s="23">
        <v>45.2</v>
      </c>
      <c r="E488" s="27">
        <v>43846.604166666664</v>
      </c>
      <c r="F488" s="23">
        <v>45</v>
      </c>
      <c r="G488" s="31">
        <v>-4.4000000000000003E-3</v>
      </c>
      <c r="H488" s="23">
        <v>-221.75</v>
      </c>
      <c r="I488" s="31">
        <v>-4.4000000000000003E-3</v>
      </c>
      <c r="J488" s="23">
        <v>1108.7349999999999</v>
      </c>
      <c r="K488" s="23">
        <v>50114.83</v>
      </c>
      <c r="L488" s="23">
        <v>22855.41</v>
      </c>
      <c r="M488" s="23">
        <v>2</v>
      </c>
      <c r="N488" s="23">
        <v>-110.87</v>
      </c>
      <c r="O488" s="31">
        <v>-4.4000000000000003E-3</v>
      </c>
      <c r="P488" s="31">
        <v>2.2000000000000001E-3</v>
      </c>
      <c r="Q488" s="23" t="s">
        <v>24</v>
      </c>
      <c r="R488" s="23">
        <v>0</v>
      </c>
      <c r="S488" s="23">
        <v>45.06</v>
      </c>
      <c r="U488" s="47">
        <f>VLOOKUP(AU488,[1]expiry_dates!$B$2:$C$2894,2,FALSE)</f>
        <v>43860</v>
      </c>
      <c r="V488" s="23" t="s">
        <v>111</v>
      </c>
      <c r="W488" s="23" t="s">
        <v>23</v>
      </c>
      <c r="X488" s="49">
        <v>43846.59375</v>
      </c>
      <c r="Y488" s="23">
        <v>0.7</v>
      </c>
      <c r="Z488" s="23">
        <v>43846.604166666664</v>
      </c>
      <c r="AA488" s="23">
        <v>0.75</v>
      </c>
      <c r="AB488" s="23">
        <v>7.1400000000000005E-2</v>
      </c>
      <c r="AC488" s="23">
        <v>-4108.8500000000004</v>
      </c>
      <c r="AD488" s="23">
        <v>-7.1400000000000005E-2</v>
      </c>
      <c r="AE488" s="23">
        <v>82177.009999999995</v>
      </c>
      <c r="AF488" s="23">
        <v>57523.91</v>
      </c>
      <c r="AG488" s="23">
        <v>1500672.39</v>
      </c>
      <c r="AH488" s="23">
        <v>2</v>
      </c>
      <c r="AI488" s="23">
        <v>-2054.4299999999998</v>
      </c>
      <c r="AJ488" s="23">
        <v>-7.1400000000000005E-2</v>
      </c>
      <c r="AK488" s="23">
        <v>0</v>
      </c>
      <c r="AL488" s="23" t="s">
        <v>24</v>
      </c>
      <c r="AM488" s="23">
        <v>45.2</v>
      </c>
      <c r="AN488" s="23">
        <v>31886.7</v>
      </c>
      <c r="AO488" s="23">
        <v>45.06</v>
      </c>
      <c r="AP488" s="23">
        <v>0</v>
      </c>
      <c r="AR488" s="46"/>
      <c r="AS488" s="44"/>
      <c r="AT488" s="45"/>
      <c r="AU488" s="2">
        <v>43846</v>
      </c>
      <c r="AV488" s="52">
        <v>9.375E-2</v>
      </c>
      <c r="AW488" s="2" t="s">
        <v>213</v>
      </c>
      <c r="AY488" s="3"/>
      <c r="BA488" s="3"/>
      <c r="BG488" s="3"/>
      <c r="BH488" s="3"/>
    </row>
    <row r="489" spans="1:60">
      <c r="A489" s="23" t="s">
        <v>22</v>
      </c>
      <c r="B489" s="23" t="s">
        <v>23</v>
      </c>
      <c r="C489" s="27">
        <v>43846.604166666664</v>
      </c>
      <c r="D489" s="23">
        <v>45</v>
      </c>
      <c r="E489" s="27">
        <v>43847.447916666664</v>
      </c>
      <c r="F489" s="23">
        <v>43.95</v>
      </c>
      <c r="G489" s="31">
        <v>-2.3300000000000001E-2</v>
      </c>
      <c r="H489" s="23">
        <v>1169.3599999999999</v>
      </c>
      <c r="I489" s="31">
        <v>2.3300000000000001E-2</v>
      </c>
      <c r="J489" s="23">
        <v>1113.675</v>
      </c>
      <c r="K489" s="23">
        <v>50115.39</v>
      </c>
      <c r="L489" s="23">
        <v>24024.77</v>
      </c>
      <c r="M489" s="23">
        <v>14</v>
      </c>
      <c r="N489" s="23">
        <v>83.53</v>
      </c>
      <c r="O489" s="31">
        <v>-4.4000000000000003E-3</v>
      </c>
      <c r="P489" s="31">
        <v>8.1100000000000005E-2</v>
      </c>
      <c r="Q489" s="23" t="s">
        <v>24</v>
      </c>
      <c r="R489" s="23">
        <v>0</v>
      </c>
      <c r="S489" s="23">
        <v>45.29</v>
      </c>
      <c r="U489" s="47">
        <f>VLOOKUP(AU489,[1]expiry_dates!$B$2:$C$2894,2,FALSE)</f>
        <v>43860</v>
      </c>
      <c r="V489" s="23" t="s">
        <v>112</v>
      </c>
      <c r="W489" s="23" t="s">
        <v>23</v>
      </c>
      <c r="X489" s="49">
        <v>43846.604166666664</v>
      </c>
      <c r="Y489" s="23">
        <v>1.55</v>
      </c>
      <c r="Z489" s="23">
        <v>43847.447916666664</v>
      </c>
      <c r="AA489" s="23">
        <v>0.89999989999999996</v>
      </c>
      <c r="AB489" s="23">
        <v>-0.4194</v>
      </c>
      <c r="AC489" s="23">
        <v>24122.93</v>
      </c>
      <c r="AD489" s="23">
        <v>0.4194</v>
      </c>
      <c r="AE489" s="23">
        <v>37112.199999999997</v>
      </c>
      <c r="AF489" s="23">
        <v>57523.91</v>
      </c>
      <c r="AG489" s="23">
        <v>1524795.31</v>
      </c>
      <c r="AH489" s="23">
        <v>14</v>
      </c>
      <c r="AI489" s="23">
        <v>1723.07</v>
      </c>
      <c r="AJ489" s="23">
        <v>-3.2300000000000002E-2</v>
      </c>
      <c r="AK489" s="23">
        <v>0.7419</v>
      </c>
      <c r="AL489" s="23" t="s">
        <v>24</v>
      </c>
      <c r="AM489" s="23">
        <v>45</v>
      </c>
      <c r="AN489" s="23">
        <v>31880</v>
      </c>
      <c r="AO489" s="23">
        <v>45.29</v>
      </c>
      <c r="AP489" s="23">
        <v>0</v>
      </c>
      <c r="AR489" s="46"/>
      <c r="AS489" s="44"/>
      <c r="AT489" s="45"/>
      <c r="AU489" s="2">
        <v>43846</v>
      </c>
      <c r="AV489" s="52">
        <v>0.10416666666666667</v>
      </c>
      <c r="AW489" s="2" t="s">
        <v>213</v>
      </c>
      <c r="AY489" s="3"/>
      <c r="BA489" s="3"/>
      <c r="BG489" s="3"/>
      <c r="BH489" s="3"/>
    </row>
    <row r="490" spans="1:60">
      <c r="A490" s="23" t="s">
        <v>22</v>
      </c>
      <c r="B490" s="23" t="s">
        <v>25</v>
      </c>
      <c r="C490" s="27">
        <v>43847.447916666664</v>
      </c>
      <c r="D490" s="23">
        <v>43.95</v>
      </c>
      <c r="E490" s="27">
        <v>43850.395833333336</v>
      </c>
      <c r="F490" s="23">
        <v>43.7</v>
      </c>
      <c r="G490" s="31">
        <v>-5.7000000000000002E-3</v>
      </c>
      <c r="H490" s="23">
        <v>-285.11</v>
      </c>
      <c r="I490" s="31">
        <v>-5.7000000000000002E-3</v>
      </c>
      <c r="J490" s="23">
        <v>1140.421</v>
      </c>
      <c r="K490" s="23">
        <v>50121.52</v>
      </c>
      <c r="L490" s="23">
        <v>23739.67</v>
      </c>
      <c r="M490" s="23">
        <v>24</v>
      </c>
      <c r="N490" s="23">
        <v>-11.88</v>
      </c>
      <c r="O490" s="31">
        <v>-1.2500000000000001E-2</v>
      </c>
      <c r="P490" s="31">
        <v>3.4099999999999998E-2</v>
      </c>
      <c r="Q490" s="23" t="s">
        <v>24</v>
      </c>
      <c r="R490" s="23">
        <v>0</v>
      </c>
      <c r="S490" s="23">
        <v>41.35</v>
      </c>
      <c r="U490" s="47">
        <f>VLOOKUP(AU490,[1]expiry_dates!$B$2:$C$2894,2,FALSE)</f>
        <v>43860</v>
      </c>
      <c r="V490" s="23" t="s">
        <v>111</v>
      </c>
      <c r="W490" s="23" t="s">
        <v>23</v>
      </c>
      <c r="X490" s="49">
        <v>43847.447916666664</v>
      </c>
      <c r="Y490" s="23">
        <v>1.25</v>
      </c>
      <c r="Z490" s="23">
        <v>43850.395833333336</v>
      </c>
      <c r="AA490" s="23">
        <v>1.25</v>
      </c>
      <c r="AB490" s="23">
        <v>0</v>
      </c>
      <c r="AC490" s="23">
        <v>0</v>
      </c>
      <c r="AD490" s="23">
        <v>0</v>
      </c>
      <c r="AE490" s="23">
        <v>46099.18</v>
      </c>
      <c r="AF490" s="23">
        <v>57623.98</v>
      </c>
      <c r="AG490" s="23">
        <v>1524795.31</v>
      </c>
      <c r="AH490" s="23">
        <v>24</v>
      </c>
      <c r="AI490" s="23">
        <v>0</v>
      </c>
      <c r="AJ490" s="23">
        <v>-0.28000000000000003</v>
      </c>
      <c r="AK490" s="23">
        <v>0.12</v>
      </c>
      <c r="AL490" s="23" t="s">
        <v>24</v>
      </c>
      <c r="AM490" s="23">
        <v>43.95</v>
      </c>
      <c r="AN490" s="23">
        <v>31715.95</v>
      </c>
      <c r="AO490" s="23">
        <v>41.35</v>
      </c>
      <c r="AP490" s="23">
        <v>0</v>
      </c>
      <c r="AR490" s="46"/>
      <c r="AS490" s="44"/>
      <c r="AT490" s="45"/>
      <c r="AU490" s="2">
        <v>43847</v>
      </c>
      <c r="AV490" s="52">
        <v>0.44791666666666669</v>
      </c>
      <c r="AW490" s="2" t="s">
        <v>212</v>
      </c>
      <c r="AY490" s="3"/>
      <c r="BA490" s="3"/>
      <c r="BG490" s="3"/>
      <c r="BH490" s="3"/>
    </row>
    <row r="491" spans="1:60">
      <c r="A491" s="23" t="s">
        <v>22</v>
      </c>
      <c r="B491" s="23" t="s">
        <v>23</v>
      </c>
      <c r="C491" s="27">
        <v>43850.395833333336</v>
      </c>
      <c r="D491" s="23">
        <v>43.7</v>
      </c>
      <c r="E491" s="27">
        <v>43851.385416666664</v>
      </c>
      <c r="F491" s="23">
        <v>43.4</v>
      </c>
      <c r="G491" s="31">
        <v>-6.8999999999999999E-3</v>
      </c>
      <c r="H491" s="23">
        <v>344.07</v>
      </c>
      <c r="I491" s="31">
        <v>6.8999999999999999E-3</v>
      </c>
      <c r="J491" s="23">
        <v>1146.894</v>
      </c>
      <c r="K491" s="23">
        <v>50119.27</v>
      </c>
      <c r="L491" s="23">
        <v>24083.73</v>
      </c>
      <c r="M491" s="23">
        <v>28</v>
      </c>
      <c r="N491" s="23">
        <v>12.29</v>
      </c>
      <c r="O491" s="31">
        <v>-5.7000000000000002E-3</v>
      </c>
      <c r="P491" s="31">
        <v>2.29E-2</v>
      </c>
      <c r="Q491" s="23" t="s">
        <v>24</v>
      </c>
      <c r="R491" s="23">
        <v>0</v>
      </c>
      <c r="S491" s="23">
        <v>45.41</v>
      </c>
      <c r="U491" s="47">
        <f>VLOOKUP(AU491,[1]expiry_dates!$B$2:$C$2894,2,FALSE)</f>
        <v>43860</v>
      </c>
      <c r="V491" s="23" t="s">
        <v>117</v>
      </c>
      <c r="W491" s="23" t="s">
        <v>23</v>
      </c>
      <c r="X491" s="49">
        <v>43850.395833333336</v>
      </c>
      <c r="Y491" s="23">
        <v>1.1499999999999999</v>
      </c>
      <c r="Z491" s="23">
        <v>43851.385416666664</v>
      </c>
      <c r="AA491" s="23">
        <v>1.05</v>
      </c>
      <c r="AB491" s="23">
        <v>-8.6999999999999994E-2</v>
      </c>
      <c r="AC491" s="23">
        <v>5010.78</v>
      </c>
      <c r="AD491" s="23">
        <v>8.6999999999999994E-2</v>
      </c>
      <c r="AE491" s="23">
        <v>50107.81</v>
      </c>
      <c r="AF491" s="23">
        <v>57623.98</v>
      </c>
      <c r="AG491" s="23">
        <v>1529806.1</v>
      </c>
      <c r="AH491" s="23">
        <v>28</v>
      </c>
      <c r="AI491" s="23">
        <v>178.96</v>
      </c>
      <c r="AJ491" s="23">
        <v>-4.3499999999999997E-2</v>
      </c>
      <c r="AK491" s="23">
        <v>0.30430000000000001</v>
      </c>
      <c r="AL491" s="23" t="s">
        <v>24</v>
      </c>
      <c r="AM491" s="23">
        <v>43.7</v>
      </c>
      <c r="AN491" s="23">
        <v>31531.1</v>
      </c>
      <c r="AO491" s="23">
        <v>45.41</v>
      </c>
      <c r="AP491" s="23">
        <v>0</v>
      </c>
      <c r="AR491" s="46"/>
      <c r="AS491" s="44"/>
      <c r="AT491" s="45"/>
      <c r="AU491" s="2">
        <v>43850</v>
      </c>
      <c r="AV491" s="52">
        <v>0.39583333333333331</v>
      </c>
      <c r="AW491" s="2" t="s">
        <v>212</v>
      </c>
      <c r="AY491" s="3"/>
      <c r="BA491" s="3"/>
      <c r="BG491" s="3"/>
      <c r="BH491" s="3"/>
    </row>
    <row r="492" spans="1:60">
      <c r="A492" s="23" t="s">
        <v>22</v>
      </c>
      <c r="B492" s="23" t="s">
        <v>25</v>
      </c>
      <c r="C492" s="27">
        <v>43851.385416666664</v>
      </c>
      <c r="D492" s="23">
        <v>43.4</v>
      </c>
      <c r="E492" s="27">
        <v>43851.458333333336</v>
      </c>
      <c r="F492" s="23">
        <v>43.15</v>
      </c>
      <c r="G492" s="31">
        <v>-5.7999999999999996E-3</v>
      </c>
      <c r="H492" s="23">
        <v>-288.73</v>
      </c>
      <c r="I492" s="31">
        <v>-5.7999999999999996E-3</v>
      </c>
      <c r="J492" s="23">
        <v>1154.9010000000001</v>
      </c>
      <c r="K492" s="23">
        <v>50122.71</v>
      </c>
      <c r="L492" s="23">
        <v>23795.01</v>
      </c>
      <c r="M492" s="23">
        <v>8</v>
      </c>
      <c r="N492" s="23">
        <v>-36.090000000000003</v>
      </c>
      <c r="O492" s="31">
        <v>-1.04E-2</v>
      </c>
      <c r="P492" s="31">
        <v>1.04E-2</v>
      </c>
      <c r="Q492" s="23" t="s">
        <v>24</v>
      </c>
      <c r="R492" s="23">
        <v>0</v>
      </c>
      <c r="S492" s="23">
        <v>42.72</v>
      </c>
      <c r="U492" s="47">
        <f>VLOOKUP(AU492,[1]expiry_dates!$B$2:$C$2894,2,FALSE)</f>
        <v>43860</v>
      </c>
      <c r="V492" s="23" t="s">
        <v>118</v>
      </c>
      <c r="W492" s="23" t="s">
        <v>23</v>
      </c>
      <c r="X492" s="49">
        <v>43851.385416666664</v>
      </c>
      <c r="Y492" s="23">
        <v>1.05</v>
      </c>
      <c r="Z492" s="23">
        <v>43851.458333333336</v>
      </c>
      <c r="AA492" s="23">
        <v>1.1000000000000001</v>
      </c>
      <c r="AB492" s="23">
        <v>4.7600000000000003E-2</v>
      </c>
      <c r="AC492" s="23">
        <v>-2746.98</v>
      </c>
      <c r="AD492" s="23">
        <v>-4.7600000000000003E-2</v>
      </c>
      <c r="AE492" s="23">
        <v>54939.63</v>
      </c>
      <c r="AF492" s="23">
        <v>57686.61</v>
      </c>
      <c r="AG492" s="23">
        <v>1527059.11</v>
      </c>
      <c r="AH492" s="23">
        <v>8</v>
      </c>
      <c r="AI492" s="23">
        <v>-343.37</v>
      </c>
      <c r="AJ492" s="23">
        <v>-4.7600000000000003E-2</v>
      </c>
      <c r="AK492" s="23">
        <v>0.1429</v>
      </c>
      <c r="AL492" s="23" t="s">
        <v>24</v>
      </c>
      <c r="AM492" s="23">
        <v>43.4</v>
      </c>
      <c r="AN492" s="23">
        <v>31036.05</v>
      </c>
      <c r="AO492" s="23">
        <v>42.72</v>
      </c>
      <c r="AP492" s="23">
        <v>0</v>
      </c>
      <c r="AR492" s="46"/>
      <c r="AS492" s="44"/>
      <c r="AT492" s="45"/>
      <c r="AU492" s="2">
        <v>43851</v>
      </c>
      <c r="AV492" s="52">
        <v>0.38541666666666669</v>
      </c>
      <c r="AW492" s="2" t="s">
        <v>212</v>
      </c>
      <c r="AY492" s="3"/>
      <c r="BA492" s="3"/>
      <c r="BG492" s="3"/>
      <c r="BH492" s="3"/>
    </row>
    <row r="493" spans="1:60">
      <c r="A493" s="23" t="s">
        <v>22</v>
      </c>
      <c r="B493" s="23" t="s">
        <v>23</v>
      </c>
      <c r="C493" s="27">
        <v>43851.458333333336</v>
      </c>
      <c r="D493" s="23">
        <v>43.15</v>
      </c>
      <c r="E493" s="27">
        <v>43851.614583333336</v>
      </c>
      <c r="F493" s="23">
        <v>43.35</v>
      </c>
      <c r="G493" s="31">
        <v>4.5999999999999999E-3</v>
      </c>
      <c r="H493" s="23">
        <v>-232.3</v>
      </c>
      <c r="I493" s="31">
        <v>-4.5999999999999999E-3</v>
      </c>
      <c r="J493" s="23">
        <v>1161.5060000000001</v>
      </c>
      <c r="K493" s="23">
        <v>50118.97</v>
      </c>
      <c r="L493" s="23">
        <v>23562.71</v>
      </c>
      <c r="M493" s="23">
        <v>16</v>
      </c>
      <c r="N493" s="23">
        <v>-14.52</v>
      </c>
      <c r="O493" s="31">
        <v>-9.2999999999999992E-3</v>
      </c>
      <c r="P493" s="31">
        <v>3.5000000000000001E-3</v>
      </c>
      <c r="Q493" s="23" t="s">
        <v>24</v>
      </c>
      <c r="R493" s="23">
        <v>0</v>
      </c>
      <c r="S493" s="23">
        <v>43.82</v>
      </c>
      <c r="U493" s="47">
        <f>VLOOKUP(AU493,[1]expiry_dates!$B$2:$C$2894,2,FALSE)</f>
        <v>43860</v>
      </c>
      <c r="V493" s="23" t="s">
        <v>114</v>
      </c>
      <c r="W493" s="23" t="s">
        <v>23</v>
      </c>
      <c r="X493" s="49">
        <v>43851.458333333336</v>
      </c>
      <c r="Y493" s="23">
        <v>1.3</v>
      </c>
      <c r="Z493" s="23">
        <v>43851.614583333336</v>
      </c>
      <c r="AA493" s="23">
        <v>1.4</v>
      </c>
      <c r="AB493" s="23">
        <v>7.6899999999999996E-2</v>
      </c>
      <c r="AC493" s="23">
        <v>-4433.4799999999996</v>
      </c>
      <c r="AD493" s="23">
        <v>-7.6899999999999996E-2</v>
      </c>
      <c r="AE493" s="23">
        <v>44334.84</v>
      </c>
      <c r="AF493" s="23">
        <v>57635.29</v>
      </c>
      <c r="AG493" s="23">
        <v>1522625.63</v>
      </c>
      <c r="AH493" s="23">
        <v>16</v>
      </c>
      <c r="AI493" s="23">
        <v>-277.08999999999997</v>
      </c>
      <c r="AJ493" s="23">
        <v>-0.1923</v>
      </c>
      <c r="AK493" s="23">
        <v>0</v>
      </c>
      <c r="AL493" s="23" t="s">
        <v>24</v>
      </c>
      <c r="AM493" s="23">
        <v>43.15</v>
      </c>
      <c r="AN493" s="23">
        <v>30980.95</v>
      </c>
      <c r="AO493" s="23">
        <v>43.82</v>
      </c>
      <c r="AP493" s="23">
        <v>0</v>
      </c>
      <c r="AR493" s="46"/>
      <c r="AS493" s="44"/>
      <c r="AT493" s="45"/>
      <c r="AU493" s="2">
        <v>43851</v>
      </c>
      <c r="AV493" s="52">
        <v>0.45833333333333331</v>
      </c>
      <c r="AW493" s="2" t="s">
        <v>212</v>
      </c>
      <c r="AY493" s="3"/>
      <c r="BA493" s="3"/>
      <c r="BG493" s="3"/>
      <c r="BH493" s="3"/>
    </row>
    <row r="494" spans="1:60">
      <c r="A494" s="23" t="s">
        <v>22</v>
      </c>
      <c r="B494" s="23" t="s">
        <v>25</v>
      </c>
      <c r="C494" s="27">
        <v>43851.614583333336</v>
      </c>
      <c r="D494" s="23">
        <v>43.35</v>
      </c>
      <c r="E494" s="27">
        <v>43852.416666666664</v>
      </c>
      <c r="F494" s="23">
        <v>43.3</v>
      </c>
      <c r="G494" s="31">
        <v>-1.1999999999999999E-3</v>
      </c>
      <c r="H494" s="23">
        <v>-57.81</v>
      </c>
      <c r="I494" s="31">
        <v>-1.1999999999999999E-3</v>
      </c>
      <c r="J494" s="23">
        <v>1156.1400000000001</v>
      </c>
      <c r="K494" s="23">
        <v>50118.68</v>
      </c>
      <c r="L494" s="23">
        <v>23504.9</v>
      </c>
      <c r="M494" s="23">
        <v>10</v>
      </c>
      <c r="N494" s="23">
        <v>-5.78</v>
      </c>
      <c r="O494" s="31">
        <v>-5.7999999999999996E-3</v>
      </c>
      <c r="P494" s="31">
        <v>5.7999999999999996E-3</v>
      </c>
      <c r="Q494" s="23" t="s">
        <v>24</v>
      </c>
      <c r="R494" s="23">
        <v>0</v>
      </c>
      <c r="S494" s="23">
        <v>43</v>
      </c>
      <c r="U494" s="47">
        <f>VLOOKUP(AU494,[1]expiry_dates!$B$2:$C$2894,2,FALSE)</f>
        <v>43860</v>
      </c>
      <c r="V494" s="23" t="s">
        <v>118</v>
      </c>
      <c r="W494" s="23" t="s">
        <v>23</v>
      </c>
      <c r="X494" s="49">
        <v>43851.614583333336</v>
      </c>
      <c r="Y494" s="23">
        <v>0.95</v>
      </c>
      <c r="Z494" s="23">
        <v>43852.416666666664</v>
      </c>
      <c r="AA494" s="23">
        <v>0.95</v>
      </c>
      <c r="AB494" s="23">
        <v>0</v>
      </c>
      <c r="AC494" s="23">
        <v>0</v>
      </c>
      <c r="AD494" s="23">
        <v>0</v>
      </c>
      <c r="AE494" s="23">
        <v>60645.4</v>
      </c>
      <c r="AF494" s="23">
        <v>57613.13</v>
      </c>
      <c r="AG494" s="23">
        <v>1522625.63</v>
      </c>
      <c r="AH494" s="23">
        <v>10</v>
      </c>
      <c r="AI494" s="23">
        <v>0</v>
      </c>
      <c r="AJ494" s="23">
        <v>-0.1053</v>
      </c>
      <c r="AK494" s="23">
        <v>0</v>
      </c>
      <c r="AL494" s="23" t="s">
        <v>24</v>
      </c>
      <c r="AM494" s="23">
        <v>43.35</v>
      </c>
      <c r="AN494" s="23">
        <v>30980.5</v>
      </c>
      <c r="AO494" s="23">
        <v>43</v>
      </c>
      <c r="AP494" s="23">
        <v>0</v>
      </c>
      <c r="AR494" s="46"/>
      <c r="AS494" s="44"/>
      <c r="AT494" s="45"/>
      <c r="AU494" s="2">
        <v>43851</v>
      </c>
      <c r="AV494" s="52">
        <v>0.11458333333333333</v>
      </c>
      <c r="AW494" s="2" t="s">
        <v>213</v>
      </c>
      <c r="AY494" s="3"/>
      <c r="BA494" s="3"/>
      <c r="BG494" s="3"/>
      <c r="BH494" s="3"/>
    </row>
    <row r="495" spans="1:60">
      <c r="A495" s="23" t="s">
        <v>22</v>
      </c>
      <c r="B495" s="23" t="s">
        <v>23</v>
      </c>
      <c r="C495" s="27">
        <v>43852.416666666664</v>
      </c>
      <c r="D495" s="23">
        <v>43.3</v>
      </c>
      <c r="E495" s="27">
        <v>43852.53125</v>
      </c>
      <c r="F495" s="23">
        <v>43.4</v>
      </c>
      <c r="G495" s="31">
        <v>2.3E-3</v>
      </c>
      <c r="H495" s="23">
        <v>-115.74</v>
      </c>
      <c r="I495" s="31">
        <v>-2.3E-3</v>
      </c>
      <c r="J495" s="23">
        <v>1157.4490000000001</v>
      </c>
      <c r="K495" s="23">
        <v>50117.52</v>
      </c>
      <c r="L495" s="23">
        <v>23389.16</v>
      </c>
      <c r="M495" s="23">
        <v>12</v>
      </c>
      <c r="N495" s="23">
        <v>-9.65</v>
      </c>
      <c r="O495" s="31">
        <v>-2.3E-3</v>
      </c>
      <c r="P495" s="31">
        <v>5.7999999999999996E-3</v>
      </c>
      <c r="Q495" s="23" t="s">
        <v>24</v>
      </c>
      <c r="R495" s="23">
        <v>0</v>
      </c>
      <c r="S495" s="23">
        <v>43.58</v>
      </c>
      <c r="U495" s="47">
        <f>VLOOKUP(AU495,[1]expiry_dates!$B$2:$C$2894,2,FALSE)</f>
        <v>43860</v>
      </c>
      <c r="V495" s="23" t="s">
        <v>114</v>
      </c>
      <c r="W495" s="23" t="s">
        <v>23</v>
      </c>
      <c r="X495" s="49">
        <v>43852.416666666664</v>
      </c>
      <c r="Y495" s="23">
        <v>1.35</v>
      </c>
      <c r="Z495" s="23">
        <v>43852.53125</v>
      </c>
      <c r="AA495" s="23">
        <v>1.35</v>
      </c>
      <c r="AB495" s="23">
        <v>0</v>
      </c>
      <c r="AC495" s="23">
        <v>0</v>
      </c>
      <c r="AD495" s="23">
        <v>0</v>
      </c>
      <c r="AE495" s="23">
        <v>42676.39</v>
      </c>
      <c r="AF495" s="23">
        <v>57613.13</v>
      </c>
      <c r="AG495" s="23">
        <v>1522625.63</v>
      </c>
      <c r="AH495" s="23">
        <v>12</v>
      </c>
      <c r="AI495" s="23">
        <v>0</v>
      </c>
      <c r="AJ495" s="23">
        <v>0</v>
      </c>
      <c r="AK495" s="23">
        <v>0.1852</v>
      </c>
      <c r="AL495" s="23" t="s">
        <v>24</v>
      </c>
      <c r="AM495" s="23">
        <v>43.3</v>
      </c>
      <c r="AN495" s="23">
        <v>30898.75</v>
      </c>
      <c r="AO495" s="23">
        <v>43.58</v>
      </c>
      <c r="AP495" s="23">
        <v>0</v>
      </c>
      <c r="AR495" s="46"/>
      <c r="AS495" s="44"/>
      <c r="AT495" s="45"/>
      <c r="AU495" s="2">
        <v>43852</v>
      </c>
      <c r="AV495" s="52">
        <v>0.41666666666666669</v>
      </c>
      <c r="AW495" s="2" t="s">
        <v>212</v>
      </c>
      <c r="AY495" s="3"/>
      <c r="BA495" s="3"/>
      <c r="BG495" s="3"/>
      <c r="BH495" s="3"/>
    </row>
    <row r="496" spans="1:60">
      <c r="A496" s="23" t="s">
        <v>22</v>
      </c>
      <c r="B496" s="23" t="s">
        <v>25</v>
      </c>
      <c r="C496" s="27">
        <v>43852.53125</v>
      </c>
      <c r="D496" s="23">
        <v>43.4</v>
      </c>
      <c r="E496" s="27">
        <v>43852.583333333336</v>
      </c>
      <c r="F496" s="23">
        <v>43.2</v>
      </c>
      <c r="G496" s="31">
        <v>-4.5999999999999999E-3</v>
      </c>
      <c r="H496" s="23">
        <v>-230.96</v>
      </c>
      <c r="I496" s="31">
        <v>-4.5999999999999999E-3</v>
      </c>
      <c r="J496" s="23">
        <v>1154.788</v>
      </c>
      <c r="K496" s="23">
        <v>50117.82</v>
      </c>
      <c r="L496" s="23">
        <v>23158.2</v>
      </c>
      <c r="M496" s="23">
        <v>6</v>
      </c>
      <c r="N496" s="23">
        <v>-38.49</v>
      </c>
      <c r="O496" s="31">
        <v>-4.5999999999999999E-3</v>
      </c>
      <c r="P496" s="31">
        <v>4.5999999999999999E-3</v>
      </c>
      <c r="Q496" s="23" t="s">
        <v>24</v>
      </c>
      <c r="R496" s="23">
        <v>0</v>
      </c>
      <c r="S496" s="23">
        <v>43.06</v>
      </c>
      <c r="U496" s="47">
        <f>VLOOKUP(AU496,[1]expiry_dates!$B$2:$C$2894,2,FALSE)</f>
        <v>43860</v>
      </c>
      <c r="V496" s="23" t="s">
        <v>113</v>
      </c>
      <c r="W496" s="23" t="s">
        <v>23</v>
      </c>
      <c r="X496" s="49">
        <v>43852.53125</v>
      </c>
      <c r="Y496" s="23">
        <v>0.15</v>
      </c>
      <c r="Z496" s="23">
        <v>43852.583333333336</v>
      </c>
      <c r="AA496" s="23">
        <v>0.15</v>
      </c>
      <c r="AB496" s="23">
        <v>0</v>
      </c>
      <c r="AC496" s="23">
        <v>0</v>
      </c>
      <c r="AD496" s="23">
        <v>0</v>
      </c>
      <c r="AE496" s="23">
        <v>384443.2</v>
      </c>
      <c r="AF496" s="23">
        <v>57666.48</v>
      </c>
      <c r="AG496" s="23">
        <v>1522625.63</v>
      </c>
      <c r="AH496" s="23">
        <v>6</v>
      </c>
      <c r="AI496" s="23">
        <v>0</v>
      </c>
      <c r="AJ496" s="23">
        <v>0</v>
      </c>
      <c r="AK496" s="23">
        <v>0</v>
      </c>
      <c r="AL496" s="23" t="s">
        <v>24</v>
      </c>
      <c r="AM496" s="23">
        <v>43.4</v>
      </c>
      <c r="AN496" s="23">
        <v>30779.9</v>
      </c>
      <c r="AO496" s="23">
        <v>43.06</v>
      </c>
      <c r="AP496" s="23">
        <v>0</v>
      </c>
      <c r="AR496" s="46"/>
      <c r="AS496" s="44"/>
      <c r="AT496" s="45"/>
      <c r="AU496" s="2">
        <v>43852</v>
      </c>
      <c r="AV496" s="52">
        <v>0.53125</v>
      </c>
      <c r="AW496" s="2" t="s">
        <v>213</v>
      </c>
      <c r="AY496" s="3"/>
      <c r="BA496" s="3"/>
      <c r="BG496" s="3"/>
      <c r="BH496" s="3"/>
    </row>
    <row r="497" spans="1:60">
      <c r="A497" s="23" t="s">
        <v>22</v>
      </c>
      <c r="B497" s="23" t="s">
        <v>23</v>
      </c>
      <c r="C497" s="27">
        <v>43852.583333333336</v>
      </c>
      <c r="D497" s="23">
        <v>43.2</v>
      </c>
      <c r="E497" s="27">
        <v>43852.614583333336</v>
      </c>
      <c r="F497" s="23">
        <v>43.5</v>
      </c>
      <c r="G497" s="31">
        <v>6.8999999999999999E-3</v>
      </c>
      <c r="H497" s="23">
        <v>-348.04</v>
      </c>
      <c r="I497" s="31">
        <v>-6.8999999999999999E-3</v>
      </c>
      <c r="J497" s="23">
        <v>1160.135</v>
      </c>
      <c r="K497" s="23">
        <v>50117.81</v>
      </c>
      <c r="L497" s="23">
        <v>22810.16</v>
      </c>
      <c r="M497" s="23">
        <v>4</v>
      </c>
      <c r="N497" s="23">
        <v>-87.01</v>
      </c>
      <c r="O497" s="31">
        <v>-8.0999999999999996E-3</v>
      </c>
      <c r="P497" s="31">
        <v>1.1999999999999999E-3</v>
      </c>
      <c r="Q497" s="23" t="s">
        <v>24</v>
      </c>
      <c r="R497" s="23">
        <v>0</v>
      </c>
      <c r="S497" s="23">
        <v>43.59</v>
      </c>
      <c r="U497" s="47">
        <f>VLOOKUP(AU497,[1]expiry_dates!$B$2:$C$2894,2,FALSE)</f>
        <v>43860</v>
      </c>
      <c r="V497" s="23" t="s">
        <v>114</v>
      </c>
      <c r="W497" s="23" t="s">
        <v>23</v>
      </c>
      <c r="X497" s="49">
        <v>43852.583333333336</v>
      </c>
      <c r="Y497" s="23">
        <v>1.25</v>
      </c>
      <c r="Z497" s="23">
        <v>43852.614583333336</v>
      </c>
      <c r="AA497" s="23">
        <v>1.4</v>
      </c>
      <c r="AB497" s="23">
        <v>0.12</v>
      </c>
      <c r="AC497" s="23">
        <v>-6913.58</v>
      </c>
      <c r="AD497" s="23">
        <v>-0.12</v>
      </c>
      <c r="AE497" s="23">
        <v>46090.5</v>
      </c>
      <c r="AF497" s="23">
        <v>57613.13</v>
      </c>
      <c r="AG497" s="23">
        <v>1515712.05</v>
      </c>
      <c r="AH497" s="23">
        <v>4</v>
      </c>
      <c r="AI497" s="23">
        <v>-1728.39</v>
      </c>
      <c r="AJ497" s="23">
        <v>-0.16</v>
      </c>
      <c r="AK497" s="23">
        <v>0</v>
      </c>
      <c r="AL497" s="23" t="s">
        <v>24</v>
      </c>
      <c r="AM497" s="23">
        <v>43.2</v>
      </c>
      <c r="AN497" s="23">
        <v>30663.65</v>
      </c>
      <c r="AO497" s="23">
        <v>43.59</v>
      </c>
      <c r="AP497" s="23">
        <v>0</v>
      </c>
      <c r="AR497" s="46"/>
      <c r="AS497" s="44"/>
      <c r="AT497" s="45"/>
      <c r="AU497" s="2">
        <v>43852</v>
      </c>
      <c r="AV497" s="52">
        <v>8.3333333333333329E-2</v>
      </c>
      <c r="AW497" s="2" t="s">
        <v>213</v>
      </c>
      <c r="AY497" s="3"/>
      <c r="BA497" s="3"/>
      <c r="BG497" s="3"/>
      <c r="BH497" s="3"/>
    </row>
    <row r="498" spans="1:60">
      <c r="A498" s="23" t="s">
        <v>22</v>
      </c>
      <c r="B498" s="23" t="s">
        <v>25</v>
      </c>
      <c r="C498" s="27">
        <v>43852.614583333336</v>
      </c>
      <c r="D498" s="23">
        <v>43.5</v>
      </c>
      <c r="E498" s="27">
        <v>43853.385416666664</v>
      </c>
      <c r="F498" s="23">
        <v>43.45</v>
      </c>
      <c r="G498" s="31">
        <v>-1.1000000000000001E-3</v>
      </c>
      <c r="H498" s="23">
        <v>-57.6</v>
      </c>
      <c r="I498" s="31">
        <v>-1.1000000000000001E-3</v>
      </c>
      <c r="J498" s="23">
        <v>1152.06</v>
      </c>
      <c r="K498" s="23">
        <v>50114.63</v>
      </c>
      <c r="L498" s="23">
        <v>22752.560000000001</v>
      </c>
      <c r="M498" s="23">
        <v>7</v>
      </c>
      <c r="N498" s="23">
        <v>-8.23</v>
      </c>
      <c r="O498" s="31">
        <v>-6.8999999999999999E-3</v>
      </c>
      <c r="P498" s="31">
        <v>1.1000000000000001E-3</v>
      </c>
      <c r="Q498" s="23" t="s">
        <v>24</v>
      </c>
      <c r="R498" s="23">
        <v>0</v>
      </c>
      <c r="S498" s="23">
        <v>43.17</v>
      </c>
      <c r="U498" s="47">
        <f>VLOOKUP(AU498,[1]expiry_dates!$B$2:$C$2894,2,FALSE)</f>
        <v>43860</v>
      </c>
      <c r="V498" s="23" t="s">
        <v>118</v>
      </c>
      <c r="W498" s="23" t="s">
        <v>23</v>
      </c>
      <c r="X498" s="49">
        <v>43852.614583333336</v>
      </c>
      <c r="Y498" s="23">
        <v>0.8</v>
      </c>
      <c r="Z498" s="23">
        <v>43853.385416666664</v>
      </c>
      <c r="AA498" s="23">
        <v>0.8</v>
      </c>
      <c r="AB498" s="23">
        <v>0</v>
      </c>
      <c r="AC498" s="23">
        <v>0</v>
      </c>
      <c r="AD498" s="23">
        <v>0</v>
      </c>
      <c r="AE498" s="23">
        <v>72016.41</v>
      </c>
      <c r="AF498" s="23">
        <v>57613.13</v>
      </c>
      <c r="AG498" s="23">
        <v>1515712.05</v>
      </c>
      <c r="AH498" s="23">
        <v>7</v>
      </c>
      <c r="AI498" s="23">
        <v>0</v>
      </c>
      <c r="AJ498" s="23">
        <v>-0.125</v>
      </c>
      <c r="AK498" s="23">
        <v>6.25E-2</v>
      </c>
      <c r="AL498" s="23" t="s">
        <v>24</v>
      </c>
      <c r="AM498" s="23">
        <v>43.5</v>
      </c>
      <c r="AN498" s="23">
        <v>30691.8</v>
      </c>
      <c r="AO498" s="23">
        <v>43.17</v>
      </c>
      <c r="AP498" s="23">
        <v>0</v>
      </c>
      <c r="AR498" s="46"/>
      <c r="AS498" s="44"/>
      <c r="AT498" s="45"/>
      <c r="AU498" s="2">
        <v>43852</v>
      </c>
      <c r="AV498" s="52">
        <v>0.11458333333333333</v>
      </c>
      <c r="AW498" s="2" t="s">
        <v>213</v>
      </c>
      <c r="AY498" s="3"/>
      <c r="BA498" s="3"/>
      <c r="BG498" s="3"/>
      <c r="BH498" s="3"/>
    </row>
    <row r="499" spans="1:60">
      <c r="A499" s="23" t="s">
        <v>22</v>
      </c>
      <c r="B499" s="23" t="s">
        <v>23</v>
      </c>
      <c r="C499" s="27">
        <v>43853.385416666664</v>
      </c>
      <c r="D499" s="23">
        <v>43.45</v>
      </c>
      <c r="E499" s="27">
        <v>43853.395833333336</v>
      </c>
      <c r="F499" s="23">
        <v>43.45</v>
      </c>
      <c r="G499" s="31">
        <v>0</v>
      </c>
      <c r="H499" s="23">
        <v>0</v>
      </c>
      <c r="I499" s="31">
        <v>0</v>
      </c>
      <c r="J499" s="23">
        <v>1153.346</v>
      </c>
      <c r="K499" s="23">
        <v>50112.9</v>
      </c>
      <c r="L499" s="23">
        <v>22752.560000000001</v>
      </c>
      <c r="M499" s="23">
        <v>2</v>
      </c>
      <c r="N499" s="23">
        <v>0</v>
      </c>
      <c r="O499" s="31">
        <v>0</v>
      </c>
      <c r="P499" s="31">
        <v>9.1999999999999998E-3</v>
      </c>
      <c r="Q499" s="23" t="s">
        <v>24</v>
      </c>
      <c r="R499" s="23">
        <v>0</v>
      </c>
      <c r="S499" s="23">
        <v>43.53</v>
      </c>
      <c r="U499" s="47">
        <f>VLOOKUP(AU499,[1]expiry_dates!$B$2:$C$2894,2,FALSE)</f>
        <v>43860</v>
      </c>
      <c r="V499" s="23" t="s">
        <v>114</v>
      </c>
      <c r="W499" s="23" t="s">
        <v>23</v>
      </c>
      <c r="X499" s="49">
        <v>43853.385416666664</v>
      </c>
      <c r="Y499" s="23">
        <v>1.3</v>
      </c>
      <c r="Z499" s="23">
        <v>43853.395833333336</v>
      </c>
      <c r="AA499" s="23">
        <v>1.4</v>
      </c>
      <c r="AB499" s="23">
        <v>7.6899999999999996E-2</v>
      </c>
      <c r="AC499" s="23">
        <v>-4427.74</v>
      </c>
      <c r="AD499" s="23">
        <v>-7.6899999999999996E-2</v>
      </c>
      <c r="AE499" s="23">
        <v>44277.35</v>
      </c>
      <c r="AF499" s="23">
        <v>57560.55</v>
      </c>
      <c r="AG499" s="23">
        <v>1511284.32</v>
      </c>
      <c r="AH499" s="23">
        <v>2</v>
      </c>
      <c r="AI499" s="23">
        <v>-2213.87</v>
      </c>
      <c r="AJ499" s="23">
        <v>-7.6899999999999996E-2</v>
      </c>
      <c r="AK499" s="23">
        <v>0</v>
      </c>
      <c r="AL499" s="23" t="s">
        <v>24</v>
      </c>
      <c r="AM499" s="23">
        <v>43.45</v>
      </c>
      <c r="AN499" s="23">
        <v>30875.200000000001</v>
      </c>
      <c r="AO499" s="23">
        <v>43.53</v>
      </c>
      <c r="AP499" s="23">
        <v>0</v>
      </c>
      <c r="AR499" s="46"/>
      <c r="AS499" s="44"/>
      <c r="AT499" s="45"/>
      <c r="AU499" s="2">
        <v>43853</v>
      </c>
      <c r="AV499" s="52">
        <v>0.38541666666666669</v>
      </c>
      <c r="AW499" s="2" t="s">
        <v>212</v>
      </c>
      <c r="AY499" s="3"/>
      <c r="BA499" s="3"/>
      <c r="BG499" s="3"/>
      <c r="BH499" s="3"/>
    </row>
    <row r="500" spans="1:60">
      <c r="A500" s="23" t="s">
        <v>22</v>
      </c>
      <c r="B500" s="23" t="s">
        <v>25</v>
      </c>
      <c r="C500" s="27">
        <v>43853.395833333336</v>
      </c>
      <c r="D500" s="23">
        <v>43.45</v>
      </c>
      <c r="E500" s="27">
        <v>43853.59375</v>
      </c>
      <c r="F500" s="23">
        <v>43.65</v>
      </c>
      <c r="G500" s="31">
        <v>4.5999999999999999E-3</v>
      </c>
      <c r="H500" s="23">
        <v>230.67</v>
      </c>
      <c r="I500" s="31">
        <v>4.5999999999999999E-3</v>
      </c>
      <c r="J500" s="23">
        <v>1153.366</v>
      </c>
      <c r="K500" s="23">
        <v>50113.760000000002</v>
      </c>
      <c r="L500" s="23">
        <v>22983.23</v>
      </c>
      <c r="M500" s="23">
        <v>20</v>
      </c>
      <c r="N500" s="23">
        <v>11.53</v>
      </c>
      <c r="O500" s="31">
        <v>-2.3E-3</v>
      </c>
      <c r="P500" s="31">
        <v>1.38E-2</v>
      </c>
      <c r="Q500" s="23" t="s">
        <v>24</v>
      </c>
      <c r="R500" s="23">
        <v>0</v>
      </c>
      <c r="S500" s="23">
        <v>43.07</v>
      </c>
      <c r="U500" s="47">
        <f>VLOOKUP(AU500,[1]expiry_dates!$B$2:$C$2894,2,FALSE)</f>
        <v>43860</v>
      </c>
      <c r="V500" s="23" t="s">
        <v>118</v>
      </c>
      <c r="W500" s="23" t="s">
        <v>23</v>
      </c>
      <c r="X500" s="49">
        <v>43853.395833333336</v>
      </c>
      <c r="Y500" s="23">
        <v>0.75</v>
      </c>
      <c r="Z500" s="23">
        <v>43853.59375</v>
      </c>
      <c r="AA500" s="23">
        <v>0.65</v>
      </c>
      <c r="AB500" s="23">
        <v>-0.1333</v>
      </c>
      <c r="AC500" s="23">
        <v>7677.14</v>
      </c>
      <c r="AD500" s="23">
        <v>0.1333</v>
      </c>
      <c r="AE500" s="23">
        <v>76771.41</v>
      </c>
      <c r="AF500" s="23">
        <v>57578.559999999998</v>
      </c>
      <c r="AG500" s="23">
        <v>1518961.46</v>
      </c>
      <c r="AH500" s="23">
        <v>20</v>
      </c>
      <c r="AI500" s="23">
        <v>383.86</v>
      </c>
      <c r="AJ500" s="23">
        <v>0</v>
      </c>
      <c r="AK500" s="23">
        <v>0.33329999999999999</v>
      </c>
      <c r="AL500" s="23" t="s">
        <v>24</v>
      </c>
      <c r="AM500" s="23">
        <v>43.45</v>
      </c>
      <c r="AN500" s="23">
        <v>30887</v>
      </c>
      <c r="AO500" s="23">
        <v>43.07</v>
      </c>
      <c r="AP500" s="23">
        <v>0</v>
      </c>
      <c r="AR500" s="46"/>
      <c r="AS500" s="44"/>
      <c r="AT500" s="45"/>
      <c r="AU500" s="2">
        <v>43853</v>
      </c>
      <c r="AV500" s="52">
        <v>0.39583333333333331</v>
      </c>
      <c r="AW500" s="2" t="s">
        <v>212</v>
      </c>
      <c r="AY500" s="3"/>
      <c r="BA500" s="3"/>
      <c r="BG500" s="3"/>
      <c r="BH500" s="3"/>
    </row>
    <row r="501" spans="1:60">
      <c r="A501" s="23" t="s">
        <v>22</v>
      </c>
      <c r="B501" s="23" t="s">
        <v>23</v>
      </c>
      <c r="C501" s="27">
        <v>43853.59375</v>
      </c>
      <c r="D501" s="23">
        <v>43.65</v>
      </c>
      <c r="E501" s="27">
        <v>43854.385416666664</v>
      </c>
      <c r="F501" s="23">
        <v>43.9</v>
      </c>
      <c r="G501" s="31">
        <v>5.7000000000000002E-3</v>
      </c>
      <c r="H501" s="23">
        <v>-287.02999999999997</v>
      </c>
      <c r="I501" s="31">
        <v>-5.7000000000000002E-3</v>
      </c>
      <c r="J501" s="23">
        <v>1148.1010000000001</v>
      </c>
      <c r="K501" s="23">
        <v>50114.63</v>
      </c>
      <c r="L501" s="23">
        <v>22696.2</v>
      </c>
      <c r="M501" s="23">
        <v>9</v>
      </c>
      <c r="N501" s="23">
        <v>-31.89</v>
      </c>
      <c r="O501" s="31">
        <v>-5.7000000000000002E-3</v>
      </c>
      <c r="P501" s="31">
        <v>6.8999999999999999E-3</v>
      </c>
      <c r="Q501" s="23" t="s">
        <v>24</v>
      </c>
      <c r="R501" s="23">
        <v>0</v>
      </c>
      <c r="S501" s="23">
        <v>44.05</v>
      </c>
      <c r="U501" s="47">
        <f>VLOOKUP(AU501,[1]expiry_dates!$B$2:$C$2894,2,FALSE)</f>
        <v>43860</v>
      </c>
      <c r="V501" s="23" t="s">
        <v>117</v>
      </c>
      <c r="W501" s="23" t="s">
        <v>23</v>
      </c>
      <c r="X501" s="49">
        <v>43853.59375</v>
      </c>
      <c r="Y501" s="23">
        <v>0.95</v>
      </c>
      <c r="Z501" s="23">
        <v>43854.385416666664</v>
      </c>
      <c r="AA501" s="23">
        <v>1</v>
      </c>
      <c r="AB501" s="23">
        <v>5.2600000000000001E-2</v>
      </c>
      <c r="AC501" s="23">
        <v>-3031.31</v>
      </c>
      <c r="AD501" s="23">
        <v>-5.2600000000000001E-2</v>
      </c>
      <c r="AE501" s="23">
        <v>60626.11</v>
      </c>
      <c r="AF501" s="23">
        <v>57594.81</v>
      </c>
      <c r="AG501" s="23">
        <v>1515930.15</v>
      </c>
      <c r="AH501" s="23">
        <v>9</v>
      </c>
      <c r="AI501" s="23">
        <v>-336.81</v>
      </c>
      <c r="AJ501" s="23">
        <v>-5.2600000000000001E-2</v>
      </c>
      <c r="AK501" s="23">
        <v>0.1053</v>
      </c>
      <c r="AL501" s="23" t="s">
        <v>24</v>
      </c>
      <c r="AM501" s="23">
        <v>43.65</v>
      </c>
      <c r="AN501" s="23">
        <v>31021.200000000001</v>
      </c>
      <c r="AO501" s="23">
        <v>44.05</v>
      </c>
      <c r="AP501" s="23">
        <v>0</v>
      </c>
      <c r="AR501" s="46"/>
      <c r="AS501" s="44"/>
      <c r="AT501" s="45"/>
      <c r="AU501" s="2">
        <v>43853</v>
      </c>
      <c r="AV501" s="52">
        <v>9.375E-2</v>
      </c>
      <c r="AW501" s="2" t="s">
        <v>213</v>
      </c>
      <c r="AY501" s="3"/>
      <c r="BA501" s="3"/>
      <c r="BG501" s="3"/>
      <c r="BH501" s="3"/>
    </row>
    <row r="502" spans="1:60">
      <c r="A502" s="23" t="s">
        <v>22</v>
      </c>
      <c r="B502" s="23" t="s">
        <v>25</v>
      </c>
      <c r="C502" s="27">
        <v>43854.385416666664</v>
      </c>
      <c r="D502" s="23">
        <v>43.9</v>
      </c>
      <c r="E502" s="27">
        <v>43854.625</v>
      </c>
      <c r="F502" s="23">
        <v>44.05</v>
      </c>
      <c r="G502" s="31">
        <v>3.3999999999999998E-3</v>
      </c>
      <c r="H502" s="23">
        <v>171.24</v>
      </c>
      <c r="I502" s="31">
        <v>3.3999999999999998E-3</v>
      </c>
      <c r="J502" s="23">
        <v>1141.5889999999999</v>
      </c>
      <c r="K502" s="23">
        <v>50115.78</v>
      </c>
      <c r="L502" s="23">
        <v>22867.439999999999</v>
      </c>
      <c r="M502" s="23">
        <v>24</v>
      </c>
      <c r="N502" s="23">
        <v>7.13</v>
      </c>
      <c r="O502" s="31">
        <v>-9.1000000000000004E-3</v>
      </c>
      <c r="P502" s="31">
        <v>8.0000000000000002E-3</v>
      </c>
      <c r="Q502" s="23" t="s">
        <v>24</v>
      </c>
      <c r="R502" s="23">
        <v>0</v>
      </c>
      <c r="S502" s="23">
        <v>43.35</v>
      </c>
      <c r="U502" s="47">
        <f>VLOOKUP(AU502,[1]expiry_dates!$B$2:$C$2894,2,FALSE)</f>
        <v>43860</v>
      </c>
      <c r="V502" s="23" t="s">
        <v>118</v>
      </c>
      <c r="W502" s="23" t="s">
        <v>23</v>
      </c>
      <c r="X502" s="49">
        <v>43854.385416666664</v>
      </c>
      <c r="Y502" s="23">
        <v>0.6</v>
      </c>
      <c r="Z502" s="23">
        <v>43854.625</v>
      </c>
      <c r="AA502" s="23">
        <v>0.45</v>
      </c>
      <c r="AB502" s="23">
        <v>-0.25</v>
      </c>
      <c r="AC502" s="23">
        <v>14394.91</v>
      </c>
      <c r="AD502" s="23">
        <v>0.25</v>
      </c>
      <c r="AE502" s="23">
        <v>95966.080000000002</v>
      </c>
      <c r="AF502" s="23">
        <v>57579.65</v>
      </c>
      <c r="AG502" s="23">
        <v>1530325.07</v>
      </c>
      <c r="AH502" s="23">
        <v>24</v>
      </c>
      <c r="AI502" s="23">
        <v>599.79</v>
      </c>
      <c r="AJ502" s="23">
        <v>0</v>
      </c>
      <c r="AK502" s="23">
        <v>0.33329999999999999</v>
      </c>
      <c r="AL502" s="23" t="s">
        <v>24</v>
      </c>
      <c r="AM502" s="23">
        <v>43.9</v>
      </c>
      <c r="AN502" s="23">
        <v>31000.2</v>
      </c>
      <c r="AO502" s="23">
        <v>43.35</v>
      </c>
      <c r="AP502" s="23">
        <v>0</v>
      </c>
      <c r="AR502" s="46"/>
      <c r="AS502" s="44"/>
      <c r="AT502" s="45"/>
      <c r="AU502" s="2">
        <v>43854</v>
      </c>
      <c r="AV502" s="52">
        <v>0.38541666666666669</v>
      </c>
      <c r="AW502" s="2" t="s">
        <v>212</v>
      </c>
      <c r="AY502" s="3"/>
      <c r="BA502" s="3"/>
      <c r="BG502" s="3"/>
      <c r="BH502" s="3"/>
    </row>
    <row r="503" spans="1:60">
      <c r="A503" s="23" t="s">
        <v>22</v>
      </c>
      <c r="B503" s="23" t="s">
        <v>23</v>
      </c>
      <c r="C503" s="27">
        <v>43854.625</v>
      </c>
      <c r="D503" s="23">
        <v>44.05</v>
      </c>
      <c r="E503" s="27">
        <v>43857.416666666664</v>
      </c>
      <c r="F503" s="23">
        <v>44</v>
      </c>
      <c r="G503" s="31">
        <v>-1.1000000000000001E-3</v>
      </c>
      <c r="H503" s="23">
        <v>56.88</v>
      </c>
      <c r="I503" s="31">
        <v>1.1000000000000001E-3</v>
      </c>
      <c r="J503" s="23">
        <v>1137.6759999999999</v>
      </c>
      <c r="K503" s="23">
        <v>50114.62</v>
      </c>
      <c r="L503" s="23">
        <v>22924.33</v>
      </c>
      <c r="M503" s="23">
        <v>9</v>
      </c>
      <c r="N503" s="23">
        <v>6.32</v>
      </c>
      <c r="O503" s="31">
        <v>-1.1000000000000001E-3</v>
      </c>
      <c r="P503" s="31">
        <v>1.5900000000000001E-2</v>
      </c>
      <c r="Q503" s="23" t="s">
        <v>24</v>
      </c>
      <c r="R503" s="23">
        <v>0</v>
      </c>
      <c r="S503" s="23">
        <v>44.24</v>
      </c>
      <c r="U503" s="47">
        <f>VLOOKUP(AU503,[1]expiry_dates!$B$2:$C$2894,2,FALSE)</f>
        <v>43860</v>
      </c>
      <c r="V503" s="23" t="s">
        <v>117</v>
      </c>
      <c r="W503" s="23" t="s">
        <v>23</v>
      </c>
      <c r="X503" s="49">
        <v>43854.625</v>
      </c>
      <c r="Y503" s="23">
        <v>1.05</v>
      </c>
      <c r="Z503" s="23">
        <v>43857.416666666664</v>
      </c>
      <c r="AA503" s="23">
        <v>0.9</v>
      </c>
      <c r="AB503" s="23">
        <v>-0.1429</v>
      </c>
      <c r="AC503" s="23">
        <v>8235.9500000000007</v>
      </c>
      <c r="AD503" s="23">
        <v>0.1429</v>
      </c>
      <c r="AE503" s="23">
        <v>54906.31</v>
      </c>
      <c r="AF503" s="23">
        <v>57651.63</v>
      </c>
      <c r="AG503" s="23">
        <v>1538561.01</v>
      </c>
      <c r="AH503" s="23">
        <v>9</v>
      </c>
      <c r="AI503" s="23">
        <v>915.11</v>
      </c>
      <c r="AJ503" s="23">
        <v>0</v>
      </c>
      <c r="AK503" s="23">
        <v>0.33329999999999999</v>
      </c>
      <c r="AL503" s="23" t="s">
        <v>24</v>
      </c>
      <c r="AM503" s="23">
        <v>44.05</v>
      </c>
      <c r="AN503" s="23">
        <v>31256.45</v>
      </c>
      <c r="AO503" s="23">
        <v>44.24</v>
      </c>
      <c r="AP503" s="23">
        <v>0</v>
      </c>
      <c r="AR503" s="46"/>
      <c r="AS503" s="44"/>
      <c r="AT503" s="45"/>
      <c r="AU503" s="2">
        <v>43854</v>
      </c>
      <c r="AV503" s="52">
        <v>0.125</v>
      </c>
      <c r="AW503" s="2" t="s">
        <v>213</v>
      </c>
      <c r="AY503" s="3"/>
      <c r="BA503" s="3"/>
      <c r="BG503" s="3"/>
      <c r="BH503" s="3"/>
    </row>
    <row r="504" spans="1:60">
      <c r="A504" s="23" t="s">
        <v>22</v>
      </c>
      <c r="B504" s="23" t="s">
        <v>25</v>
      </c>
      <c r="C504" s="27">
        <v>43857.416666666664</v>
      </c>
      <c r="D504" s="23">
        <v>44</v>
      </c>
      <c r="E504" s="27">
        <v>43857.552083333336</v>
      </c>
      <c r="F504" s="23">
        <v>43.9</v>
      </c>
      <c r="G504" s="31">
        <v>-2.3E-3</v>
      </c>
      <c r="H504" s="23">
        <v>-113.9</v>
      </c>
      <c r="I504" s="31">
        <v>-2.3E-3</v>
      </c>
      <c r="J504" s="23">
        <v>1138.9749999999999</v>
      </c>
      <c r="K504" s="23">
        <v>50114.91</v>
      </c>
      <c r="L504" s="23">
        <v>22810.43</v>
      </c>
      <c r="M504" s="23">
        <v>14</v>
      </c>
      <c r="N504" s="23">
        <v>-8.14</v>
      </c>
      <c r="O504" s="31">
        <v>-4.4999999999999997E-3</v>
      </c>
      <c r="P504" s="31">
        <v>6.7999999999999996E-3</v>
      </c>
      <c r="Q504" s="23" t="s">
        <v>24</v>
      </c>
      <c r="R504" s="23">
        <v>0</v>
      </c>
      <c r="S504" s="23">
        <v>43.36</v>
      </c>
      <c r="U504" s="47">
        <f>VLOOKUP(AU504,[1]expiry_dates!$B$2:$C$2894,2,FALSE)</f>
        <v>43860</v>
      </c>
      <c r="V504" s="23" t="s">
        <v>118</v>
      </c>
      <c r="W504" s="23" t="s">
        <v>23</v>
      </c>
      <c r="X504" s="49">
        <v>43857.416666666664</v>
      </c>
      <c r="Y504" s="23">
        <v>0.45</v>
      </c>
      <c r="Z504" s="23">
        <v>43857.552083333336</v>
      </c>
      <c r="AA504" s="23">
        <v>0.5</v>
      </c>
      <c r="AB504" s="23">
        <v>0.1111</v>
      </c>
      <c r="AC504" s="23">
        <v>-6408.79</v>
      </c>
      <c r="AD504" s="23">
        <v>-0.1111</v>
      </c>
      <c r="AE504" s="23">
        <v>128175.7</v>
      </c>
      <c r="AF504" s="23">
        <v>57679.08</v>
      </c>
      <c r="AG504" s="23">
        <v>1532152.23</v>
      </c>
      <c r="AH504" s="23">
        <v>14</v>
      </c>
      <c r="AI504" s="23">
        <v>-457.77</v>
      </c>
      <c r="AJ504" s="23">
        <v>-0.22220000000000001</v>
      </c>
      <c r="AK504" s="23">
        <v>0.1111</v>
      </c>
      <c r="AL504" s="23" t="s">
        <v>24</v>
      </c>
      <c r="AM504" s="23">
        <v>44</v>
      </c>
      <c r="AN504" s="23">
        <v>31159.65</v>
      </c>
      <c r="AO504" s="23">
        <v>43.36</v>
      </c>
      <c r="AP504" s="23">
        <v>0</v>
      </c>
      <c r="AR504" s="46"/>
      <c r="AS504" s="44"/>
      <c r="AT504" s="45"/>
      <c r="AU504" s="2">
        <v>43857</v>
      </c>
      <c r="AV504" s="52">
        <v>0.41666666666666669</v>
      </c>
      <c r="AW504" s="2" t="s">
        <v>212</v>
      </c>
      <c r="AY504" s="3"/>
      <c r="BA504" s="3"/>
      <c r="BG504" s="3"/>
      <c r="BH504" s="3"/>
    </row>
    <row r="505" spans="1:60">
      <c r="A505" s="23" t="s">
        <v>22</v>
      </c>
      <c r="B505" s="23" t="s">
        <v>23</v>
      </c>
      <c r="C505" s="27">
        <v>43857.552083333336</v>
      </c>
      <c r="D505" s="23">
        <v>43.9</v>
      </c>
      <c r="E505" s="27">
        <v>43858.46875</v>
      </c>
      <c r="F505" s="23">
        <v>43.85</v>
      </c>
      <c r="G505" s="31">
        <v>-1.1000000000000001E-3</v>
      </c>
      <c r="H505" s="23">
        <v>57.08</v>
      </c>
      <c r="I505" s="31">
        <v>1.1000000000000001E-3</v>
      </c>
      <c r="J505" s="23">
        <v>1141.5830000000001</v>
      </c>
      <c r="K505" s="23">
        <v>50115.47</v>
      </c>
      <c r="L505" s="23">
        <v>22867.51</v>
      </c>
      <c r="M505" s="23">
        <v>21</v>
      </c>
      <c r="N505" s="23">
        <v>2.72</v>
      </c>
      <c r="O505" s="31">
        <v>-5.7000000000000002E-3</v>
      </c>
      <c r="P505" s="31">
        <v>8.0000000000000002E-3</v>
      </c>
      <c r="Q505" s="23" t="s">
        <v>24</v>
      </c>
      <c r="R505" s="23">
        <v>0</v>
      </c>
      <c r="S505" s="23">
        <v>44.29</v>
      </c>
      <c r="U505" s="47">
        <f>VLOOKUP(AU505,[1]expiry_dates!$B$2:$C$2894,2,FALSE)</f>
        <v>43860</v>
      </c>
      <c r="V505" s="23" t="s">
        <v>117</v>
      </c>
      <c r="W505" s="23" t="s">
        <v>23</v>
      </c>
      <c r="X505" s="49">
        <v>43857.552083333336</v>
      </c>
      <c r="Y505" s="23">
        <v>0.9</v>
      </c>
      <c r="Z505" s="23">
        <v>43858.46875</v>
      </c>
      <c r="AA505" s="23">
        <v>0.74999990000000005</v>
      </c>
      <c r="AB505" s="23">
        <v>-0.16669999999999999</v>
      </c>
      <c r="AC505" s="23">
        <v>9615.4699999999993</v>
      </c>
      <c r="AD505" s="23">
        <v>0.16669999999999999</v>
      </c>
      <c r="AE505" s="23">
        <v>64103.12</v>
      </c>
      <c r="AF505" s="23">
        <v>57692.800000000003</v>
      </c>
      <c r="AG505" s="23">
        <v>1541767.69</v>
      </c>
      <c r="AH505" s="23">
        <v>21</v>
      </c>
      <c r="AI505" s="23">
        <v>457.88</v>
      </c>
      <c r="AJ505" s="23">
        <v>-5.5599999999999997E-2</v>
      </c>
      <c r="AK505" s="23">
        <v>0.22220000000000001</v>
      </c>
      <c r="AL505" s="23" t="s">
        <v>24</v>
      </c>
      <c r="AM505" s="23">
        <v>43.9</v>
      </c>
      <c r="AN505" s="23">
        <v>31015.5</v>
      </c>
      <c r="AO505" s="23">
        <v>44.29</v>
      </c>
      <c r="AP505" s="23">
        <v>0</v>
      </c>
      <c r="AR505" s="46"/>
      <c r="AS505" s="44"/>
      <c r="AT505" s="45"/>
      <c r="AU505" s="2">
        <v>43857</v>
      </c>
      <c r="AV505" s="52">
        <v>5.2083333333333336E-2</v>
      </c>
      <c r="AW505" s="2" t="s">
        <v>213</v>
      </c>
      <c r="AY505" s="3"/>
      <c r="BA505" s="3"/>
      <c r="BG505" s="3"/>
      <c r="BH505" s="3"/>
    </row>
    <row r="506" spans="1:60">
      <c r="A506" s="23" t="s">
        <v>22</v>
      </c>
      <c r="B506" s="23" t="s">
        <v>25</v>
      </c>
      <c r="C506" s="27">
        <v>43858.46875</v>
      </c>
      <c r="D506" s="23">
        <v>43.85</v>
      </c>
      <c r="E506" s="27">
        <v>43858.5625</v>
      </c>
      <c r="F506" s="23">
        <v>43.7</v>
      </c>
      <c r="G506" s="31">
        <v>-3.3999999999999998E-3</v>
      </c>
      <c r="H506" s="23">
        <v>-171.43</v>
      </c>
      <c r="I506" s="31">
        <v>-3.3999999999999998E-3</v>
      </c>
      <c r="J506" s="23">
        <v>1142.8710000000001</v>
      </c>
      <c r="K506" s="23">
        <v>50114.91</v>
      </c>
      <c r="L506" s="23">
        <v>22696.080000000002</v>
      </c>
      <c r="M506" s="23">
        <v>10</v>
      </c>
      <c r="N506" s="23">
        <v>-17.14</v>
      </c>
      <c r="O506" s="31">
        <v>-3.3999999999999998E-3</v>
      </c>
      <c r="P506" s="31">
        <v>0</v>
      </c>
      <c r="Q506" s="23" t="s">
        <v>24</v>
      </c>
      <c r="R506" s="23">
        <v>0</v>
      </c>
      <c r="S506" s="23">
        <v>43.56</v>
      </c>
      <c r="U506" s="47">
        <f>VLOOKUP(AU506,[1]expiry_dates!$B$2:$C$2894,2,FALSE)</f>
        <v>43860</v>
      </c>
      <c r="V506" s="23" t="s">
        <v>111</v>
      </c>
      <c r="W506" s="23" t="s">
        <v>23</v>
      </c>
      <c r="X506" s="49">
        <v>43858.46875</v>
      </c>
      <c r="Y506" s="23">
        <v>1</v>
      </c>
      <c r="Z506" s="23">
        <v>43858.5625</v>
      </c>
      <c r="AA506" s="23">
        <v>0.95</v>
      </c>
      <c r="AB506" s="23">
        <v>-0.05</v>
      </c>
      <c r="AC506" s="23">
        <v>2884.64</v>
      </c>
      <c r="AD506" s="23">
        <v>0.05</v>
      </c>
      <c r="AE506" s="23">
        <v>57692.81</v>
      </c>
      <c r="AF506" s="23">
        <v>57692.81</v>
      </c>
      <c r="AG506" s="23">
        <v>1544652.33</v>
      </c>
      <c r="AH506" s="23">
        <v>10</v>
      </c>
      <c r="AI506" s="23">
        <v>288.45999999999998</v>
      </c>
      <c r="AJ506" s="23">
        <v>0</v>
      </c>
      <c r="AK506" s="23">
        <v>0.15</v>
      </c>
      <c r="AL506" s="23" t="s">
        <v>24</v>
      </c>
      <c r="AM506" s="23">
        <v>43.85</v>
      </c>
      <c r="AN506" s="23">
        <v>30969.15</v>
      </c>
      <c r="AO506" s="23">
        <v>43.56</v>
      </c>
      <c r="AP506" s="23">
        <v>0</v>
      </c>
      <c r="AR506" s="46"/>
      <c r="AS506" s="44"/>
      <c r="AT506" s="45"/>
      <c r="AU506" s="2">
        <v>43858</v>
      </c>
      <c r="AV506" s="52">
        <v>0.46875</v>
      </c>
      <c r="AW506" s="2" t="s">
        <v>212</v>
      </c>
      <c r="AY506" s="3"/>
      <c r="BA506" s="3"/>
      <c r="BG506" s="3"/>
      <c r="BH506" s="3"/>
    </row>
    <row r="507" spans="1:60">
      <c r="A507" s="23" t="s">
        <v>22</v>
      </c>
      <c r="B507" s="23" t="s">
        <v>23</v>
      </c>
      <c r="C507" s="27">
        <v>43858.5625</v>
      </c>
      <c r="D507" s="23">
        <v>43.7</v>
      </c>
      <c r="E507" s="27">
        <v>43859.385416666664</v>
      </c>
      <c r="F507" s="23">
        <v>44.25</v>
      </c>
      <c r="G507" s="31">
        <v>1.26E-2</v>
      </c>
      <c r="H507" s="23">
        <v>-630.73</v>
      </c>
      <c r="I507" s="31">
        <v>-1.26E-2</v>
      </c>
      <c r="J507" s="23">
        <v>1146.7750000000001</v>
      </c>
      <c r="K507" s="23">
        <v>50114.05</v>
      </c>
      <c r="L507" s="23">
        <v>22065.35</v>
      </c>
      <c r="M507" s="23">
        <v>12</v>
      </c>
      <c r="N507" s="23">
        <v>-52.56</v>
      </c>
      <c r="O507" s="31">
        <v>-1.26E-2</v>
      </c>
      <c r="P507" s="31">
        <v>1.49E-2</v>
      </c>
      <c r="Q507" s="23" t="s">
        <v>24</v>
      </c>
      <c r="R507" s="23">
        <v>0</v>
      </c>
      <c r="S507" s="23">
        <v>43.85</v>
      </c>
      <c r="U507" s="47">
        <f>VLOOKUP(AU507,[1]expiry_dates!$B$2:$C$2894,2,FALSE)</f>
        <v>43860</v>
      </c>
      <c r="V507" s="23" t="s">
        <v>117</v>
      </c>
      <c r="W507" s="23" t="s">
        <v>23</v>
      </c>
      <c r="X507" s="49">
        <v>43858.5625</v>
      </c>
      <c r="Y507" s="23">
        <v>0.65</v>
      </c>
      <c r="Z507" s="23">
        <v>43859.385416666664</v>
      </c>
      <c r="AA507" s="23">
        <v>1</v>
      </c>
      <c r="AB507" s="23">
        <v>0.53849999999999998</v>
      </c>
      <c r="AC507" s="23">
        <v>-31081.759999999998</v>
      </c>
      <c r="AD507" s="23">
        <v>-0.53849999999999998</v>
      </c>
      <c r="AE507" s="23">
        <v>88805.02</v>
      </c>
      <c r="AF507" s="23">
        <v>57723.26</v>
      </c>
      <c r="AG507" s="23">
        <v>1513570.58</v>
      </c>
      <c r="AH507" s="23">
        <v>12</v>
      </c>
      <c r="AI507" s="23">
        <v>-2590.15</v>
      </c>
      <c r="AJ507" s="23">
        <v>-0.53849999999999998</v>
      </c>
      <c r="AK507" s="23">
        <v>0.23080000000000001</v>
      </c>
      <c r="AL507" s="23" t="s">
        <v>24</v>
      </c>
      <c r="AM507" s="23">
        <v>43.7</v>
      </c>
      <c r="AN507" s="23">
        <v>30979.95</v>
      </c>
      <c r="AO507" s="23">
        <v>43.85</v>
      </c>
      <c r="AP507" s="23">
        <v>0</v>
      </c>
      <c r="AR507" s="46"/>
      <c r="AS507" s="44"/>
      <c r="AT507" s="45"/>
      <c r="AU507" s="2">
        <v>43858</v>
      </c>
      <c r="AV507" s="52">
        <v>6.25E-2</v>
      </c>
      <c r="AW507" s="2" t="s">
        <v>213</v>
      </c>
      <c r="AY507" s="3"/>
      <c r="BA507" s="3"/>
      <c r="BG507" s="3"/>
      <c r="BH507" s="3"/>
    </row>
    <row r="508" spans="1:60">
      <c r="A508" s="23" t="s">
        <v>22</v>
      </c>
      <c r="B508" s="23" t="s">
        <v>25</v>
      </c>
      <c r="C508" s="27">
        <v>43859.385416666664</v>
      </c>
      <c r="D508" s="23">
        <v>44.25</v>
      </c>
      <c r="E508" s="27">
        <v>43859.59375</v>
      </c>
      <c r="F508" s="23">
        <v>44.15</v>
      </c>
      <c r="G508" s="31">
        <v>-2.3E-3</v>
      </c>
      <c r="H508" s="23">
        <v>-113.25</v>
      </c>
      <c r="I508" s="31">
        <v>-2.3E-3</v>
      </c>
      <c r="J508" s="23">
        <v>1132.547</v>
      </c>
      <c r="K508" s="23">
        <v>50115.199999999997</v>
      </c>
      <c r="L508" s="23">
        <v>21952.1</v>
      </c>
      <c r="M508" s="23">
        <v>21</v>
      </c>
      <c r="N508" s="23">
        <v>-5.39</v>
      </c>
      <c r="O508" s="31">
        <v>-1.8100000000000002E-2</v>
      </c>
      <c r="P508" s="31">
        <v>8.9999999999999993E-3</v>
      </c>
      <c r="Q508" s="23" t="s">
        <v>24</v>
      </c>
      <c r="R508" s="23">
        <v>0</v>
      </c>
      <c r="S508" s="23">
        <v>43.08</v>
      </c>
      <c r="U508" s="47">
        <f>VLOOKUP(AU508,[1]expiry_dates!$B$2:$C$2894,2,FALSE)</f>
        <v>43860</v>
      </c>
      <c r="V508" s="23" t="s">
        <v>111</v>
      </c>
      <c r="W508" s="23" t="s">
        <v>23</v>
      </c>
      <c r="X508" s="49">
        <v>43859.385416666664</v>
      </c>
      <c r="Y508" s="23">
        <v>0.75</v>
      </c>
      <c r="Z508" s="23">
        <v>43859.59375</v>
      </c>
      <c r="AA508" s="23">
        <v>0.65</v>
      </c>
      <c r="AB508" s="23">
        <v>-0.1333</v>
      </c>
      <c r="AC508" s="23">
        <v>7699.4</v>
      </c>
      <c r="AD508" s="23">
        <v>0.1333</v>
      </c>
      <c r="AE508" s="23">
        <v>76993.95</v>
      </c>
      <c r="AF508" s="23">
        <v>57745.46</v>
      </c>
      <c r="AG508" s="23">
        <v>1521269.97</v>
      </c>
      <c r="AH508" s="23">
        <v>21</v>
      </c>
      <c r="AI508" s="23">
        <v>366.64</v>
      </c>
      <c r="AJ508" s="23">
        <v>-0.2</v>
      </c>
      <c r="AK508" s="23">
        <v>0.4667</v>
      </c>
      <c r="AL508" s="23" t="s">
        <v>24</v>
      </c>
      <c r="AM508" s="23">
        <v>44.25</v>
      </c>
      <c r="AN508" s="23">
        <v>30917.95</v>
      </c>
      <c r="AO508" s="23">
        <v>43.08</v>
      </c>
      <c r="AP508" s="23">
        <v>0</v>
      </c>
      <c r="AR508" s="46"/>
      <c r="AS508" s="44"/>
      <c r="AT508" s="45"/>
      <c r="AU508" s="2">
        <v>43859</v>
      </c>
      <c r="AV508" s="52">
        <v>0.38541666666666669</v>
      </c>
      <c r="AW508" s="2" t="s">
        <v>212</v>
      </c>
      <c r="AY508" s="3"/>
      <c r="BA508" s="3"/>
      <c r="BG508" s="3"/>
      <c r="BH508" s="3"/>
    </row>
    <row r="509" spans="1:60">
      <c r="A509" s="23" t="s">
        <v>22</v>
      </c>
      <c r="B509" s="23" t="s">
        <v>23</v>
      </c>
      <c r="C509" s="27">
        <v>43859.59375</v>
      </c>
      <c r="D509" s="23">
        <v>44.15</v>
      </c>
      <c r="E509" s="27">
        <v>43860.6875</v>
      </c>
      <c r="F509" s="23">
        <v>40.75</v>
      </c>
      <c r="G509" s="31">
        <v>-7.6999999999999999E-2</v>
      </c>
      <c r="H509" s="23">
        <v>3859.03</v>
      </c>
      <c r="I509" s="31">
        <v>7.6999999999999999E-2</v>
      </c>
      <c r="J509" s="23">
        <v>1135.008</v>
      </c>
      <c r="K509" s="23">
        <v>50110.61</v>
      </c>
      <c r="L509" s="23">
        <v>25811.119999999999</v>
      </c>
      <c r="M509" s="23">
        <v>35</v>
      </c>
      <c r="N509" s="23">
        <v>110.26</v>
      </c>
      <c r="O509" s="31">
        <v>-4.4999999999999997E-3</v>
      </c>
      <c r="P509" s="31">
        <v>8.8300000000000003E-2</v>
      </c>
      <c r="Q509" s="23" t="s">
        <v>24</v>
      </c>
      <c r="R509" s="23">
        <v>0</v>
      </c>
      <c r="S509" s="23">
        <v>44.65</v>
      </c>
      <c r="U509" s="47">
        <f>VLOOKUP(AU509,[1]expiry_dates!$B$2:$C$2894,2,FALSE)</f>
        <v>43860</v>
      </c>
      <c r="V509" s="23" t="s">
        <v>117</v>
      </c>
      <c r="W509" s="23" t="s">
        <v>23</v>
      </c>
      <c r="X509" s="49">
        <v>43859.59375</v>
      </c>
      <c r="Y509" s="23">
        <v>1</v>
      </c>
      <c r="Z509" s="23">
        <v>43860.6875</v>
      </c>
      <c r="AA509" s="23">
        <v>0.05</v>
      </c>
      <c r="AB509" s="23">
        <v>-0.95</v>
      </c>
      <c r="AC509" s="23">
        <v>54726.03</v>
      </c>
      <c r="AD509" s="23">
        <v>0.95</v>
      </c>
      <c r="AE509" s="23">
        <v>57606.35</v>
      </c>
      <c r="AF509" s="23">
        <v>57606.35</v>
      </c>
      <c r="AG509" s="23">
        <v>1575996.01</v>
      </c>
      <c r="AH509" s="23">
        <v>35</v>
      </c>
      <c r="AI509" s="23">
        <v>1563.6</v>
      </c>
      <c r="AJ509" s="23">
        <v>-0.1</v>
      </c>
      <c r="AK509" s="23">
        <v>0.95</v>
      </c>
      <c r="AL509" s="23" t="s">
        <v>24</v>
      </c>
      <c r="AM509" s="23">
        <v>44.15</v>
      </c>
      <c r="AN509" s="23">
        <v>30975.9</v>
      </c>
      <c r="AO509" s="23">
        <v>44.65</v>
      </c>
      <c r="AP509" s="23">
        <v>0</v>
      </c>
      <c r="AR509" s="46"/>
      <c r="AS509" s="44"/>
      <c r="AT509" s="45"/>
      <c r="AU509" s="2">
        <v>43859</v>
      </c>
      <c r="AV509" s="52">
        <v>9.375E-2</v>
      </c>
      <c r="AW509" s="2" t="s">
        <v>213</v>
      </c>
      <c r="AY509" s="3"/>
      <c r="BA509" s="3"/>
      <c r="BG509" s="3"/>
      <c r="BH509" s="3"/>
    </row>
    <row r="510" spans="1:60">
      <c r="A510" s="23" t="s">
        <v>22</v>
      </c>
      <c r="B510" s="23" t="s">
        <v>23</v>
      </c>
      <c r="C510" s="27">
        <v>43861.385416666664</v>
      </c>
      <c r="D510" s="23">
        <v>40.799999999999997</v>
      </c>
      <c r="E510" s="27">
        <v>43861.552083333336</v>
      </c>
      <c r="F510" s="23">
        <v>40.700000000000003</v>
      </c>
      <c r="G510" s="31">
        <v>-2.5000000000000001E-3</v>
      </c>
      <c r="H510" s="23">
        <v>122.87</v>
      </c>
      <c r="I510" s="31">
        <v>2.5000000000000001E-3</v>
      </c>
      <c r="J510" s="23">
        <v>1228.653</v>
      </c>
      <c r="K510" s="23">
        <v>50129.05</v>
      </c>
      <c r="L510" s="23">
        <v>25933.99</v>
      </c>
      <c r="M510" s="23">
        <v>17</v>
      </c>
      <c r="N510" s="23">
        <v>7.23</v>
      </c>
      <c r="O510" s="31">
        <v>-1.47E-2</v>
      </c>
      <c r="P510" s="31">
        <v>1.47E-2</v>
      </c>
      <c r="Q510" s="23" t="s">
        <v>24</v>
      </c>
      <c r="R510" s="23">
        <v>0</v>
      </c>
      <c r="S510" s="23">
        <v>41.48</v>
      </c>
      <c r="U510" s="47">
        <f>VLOOKUP(AU510,[1]expiry_dates!$B$2:$C$2894,2,FALSE)</f>
        <v>43888</v>
      </c>
      <c r="V510" s="23" t="s">
        <v>136</v>
      </c>
      <c r="W510" s="23" t="s">
        <v>23</v>
      </c>
      <c r="X510" s="49">
        <v>43861.385416666664</v>
      </c>
      <c r="Y510" s="23">
        <v>1.65</v>
      </c>
      <c r="Z510" s="23">
        <v>43861.552083333336</v>
      </c>
      <c r="AA510" s="23">
        <v>1.65</v>
      </c>
      <c r="AB510" s="23">
        <v>0</v>
      </c>
      <c r="AC510" s="23">
        <v>0</v>
      </c>
      <c r="AD510" s="23">
        <v>0</v>
      </c>
      <c r="AE510" s="23">
        <v>35078.78</v>
      </c>
      <c r="AF510" s="23">
        <v>57879.98</v>
      </c>
      <c r="AG510" s="23">
        <v>1575996.01</v>
      </c>
      <c r="AH510" s="23">
        <v>17</v>
      </c>
      <c r="AI510" s="23">
        <v>0</v>
      </c>
      <c r="AJ510" s="23">
        <v>-0.1515</v>
      </c>
      <c r="AK510" s="23">
        <v>0.1212</v>
      </c>
      <c r="AL510" s="23" t="s">
        <v>24</v>
      </c>
      <c r="AM510" s="23">
        <v>40.799999999999997</v>
      </c>
      <c r="AN510" s="23">
        <v>30951.3</v>
      </c>
      <c r="AO510" s="23">
        <v>41.48</v>
      </c>
      <c r="AP510" s="23">
        <v>0</v>
      </c>
      <c r="AR510" s="46"/>
      <c r="AS510" s="44"/>
      <c r="AT510" s="45"/>
      <c r="AU510" s="2">
        <v>43861</v>
      </c>
      <c r="AV510" s="52">
        <v>0.38541666666666669</v>
      </c>
      <c r="AW510" s="2" t="s">
        <v>212</v>
      </c>
      <c r="AY510" s="3"/>
      <c r="BA510" s="3"/>
      <c r="BG510" s="3"/>
      <c r="BH510" s="3"/>
    </row>
    <row r="511" spans="1:60" s="17" customFormat="1">
      <c r="A511" s="24" t="s">
        <v>22</v>
      </c>
      <c r="B511" s="24" t="s">
        <v>25</v>
      </c>
      <c r="C511" s="28">
        <v>43861.552083333336</v>
      </c>
      <c r="D511" s="24">
        <v>40.700000000000003</v>
      </c>
      <c r="E511" s="28">
        <v>43861.6875</v>
      </c>
      <c r="F511" s="24">
        <v>40.700000000000003</v>
      </c>
      <c r="G511" s="32">
        <v>0</v>
      </c>
      <c r="H511" s="24">
        <v>0</v>
      </c>
      <c r="I511" s="32">
        <v>0</v>
      </c>
      <c r="J511" s="24">
        <v>1231.702</v>
      </c>
      <c r="K511" s="24">
        <v>50130.29</v>
      </c>
      <c r="L511" s="24">
        <v>25933.99</v>
      </c>
      <c r="M511" s="24">
        <v>11</v>
      </c>
      <c r="N511" s="24">
        <v>0</v>
      </c>
      <c r="O511" s="32">
        <v>-3.7000000000000002E-3</v>
      </c>
      <c r="P511" s="32">
        <v>8.6E-3</v>
      </c>
      <c r="Q511" s="24" t="s">
        <v>24</v>
      </c>
      <c r="R511" s="24">
        <v>0</v>
      </c>
      <c r="S511" s="24">
        <v>40.21</v>
      </c>
      <c r="U511" s="47" t="e">
        <f>VLOOKUP(AU511,[1]expiry_dates!$B$2:$C$2894,2,FALSE)</f>
        <v>#N/A</v>
      </c>
      <c r="V511" s="24"/>
      <c r="W511" s="24"/>
      <c r="X511" s="50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R511" s="46"/>
      <c r="AS511" s="44"/>
      <c r="AT511" s="45"/>
      <c r="AU511" s="18"/>
      <c r="AW511" s="18"/>
      <c r="AY511" s="19"/>
      <c r="BA511" s="19"/>
      <c r="BG511" s="19"/>
      <c r="BH511" s="19"/>
    </row>
    <row r="512" spans="1:60">
      <c r="A512" s="23" t="s">
        <v>22</v>
      </c>
      <c r="B512" s="23" t="s">
        <v>23</v>
      </c>
      <c r="C512" s="27">
        <v>43862.385416666664</v>
      </c>
      <c r="D512" s="23">
        <v>40.4</v>
      </c>
      <c r="E512" s="27">
        <v>43862.458333333336</v>
      </c>
      <c r="F512" s="23">
        <v>40.799999999999997</v>
      </c>
      <c r="G512" s="31">
        <v>9.9000000000000008E-3</v>
      </c>
      <c r="H512" s="23">
        <v>-496.33</v>
      </c>
      <c r="I512" s="31">
        <v>-9.9000000000000008E-3</v>
      </c>
      <c r="J512" s="23">
        <v>1240.8330000000001</v>
      </c>
      <c r="K512" s="23">
        <v>50129.67</v>
      </c>
      <c r="L512" s="23">
        <v>25437.65</v>
      </c>
      <c r="M512" s="23">
        <v>8</v>
      </c>
      <c r="N512" s="23">
        <v>-62.04</v>
      </c>
      <c r="O512" s="31">
        <v>-9.9000000000000008E-3</v>
      </c>
      <c r="P512" s="31">
        <v>2.5000000000000001E-3</v>
      </c>
      <c r="Q512" s="23" t="s">
        <v>24</v>
      </c>
      <c r="R512" s="23">
        <v>0</v>
      </c>
      <c r="S512" s="23">
        <v>41.02</v>
      </c>
      <c r="U512" s="47">
        <f>VLOOKUP(AU512,[1]expiry_dates!$B$2:$C$2894,2,FALSE)</f>
        <v>43888</v>
      </c>
      <c r="V512" s="23" t="s">
        <v>139</v>
      </c>
      <c r="W512" s="23" t="s">
        <v>23</v>
      </c>
      <c r="X512" s="49">
        <v>43862.385416666664</v>
      </c>
      <c r="Y512" s="23">
        <v>1.85</v>
      </c>
      <c r="Z512" s="23">
        <v>43862.458333333336</v>
      </c>
      <c r="AA512" s="23">
        <v>2</v>
      </c>
      <c r="AB512" s="23">
        <v>8.1100000000000005E-2</v>
      </c>
      <c r="AC512" s="23">
        <v>-4695.32</v>
      </c>
      <c r="AD512" s="23">
        <v>-8.1100000000000005E-2</v>
      </c>
      <c r="AE512" s="23">
        <v>31302.12</v>
      </c>
      <c r="AF512" s="23">
        <v>57908.93</v>
      </c>
      <c r="AG512" s="23">
        <v>1574195.56</v>
      </c>
      <c r="AH512" s="23">
        <v>8</v>
      </c>
      <c r="AI512" s="23">
        <v>-586.91</v>
      </c>
      <c r="AJ512" s="23">
        <v>-8.1100000000000005E-2</v>
      </c>
      <c r="AK512" s="23">
        <v>0</v>
      </c>
      <c r="AL512" s="23" t="s">
        <v>24</v>
      </c>
      <c r="AM512" s="23">
        <v>40.4</v>
      </c>
      <c r="AN512" s="23">
        <v>30680.799999999999</v>
      </c>
      <c r="AO512" s="23">
        <v>41.02</v>
      </c>
      <c r="AP512" s="23">
        <v>0</v>
      </c>
      <c r="AR512" s="46"/>
      <c r="AS512" s="44"/>
      <c r="AT512" s="45"/>
      <c r="AU512" s="2">
        <v>43862</v>
      </c>
      <c r="AV512" s="52">
        <v>0.38541666666666669</v>
      </c>
      <c r="AW512" s="2" t="s">
        <v>212</v>
      </c>
      <c r="AY512" s="3"/>
      <c r="BA512" s="3"/>
      <c r="BG512" s="3"/>
      <c r="BH512" s="3"/>
    </row>
    <row r="513" spans="1:60">
      <c r="A513" s="23" t="s">
        <v>22</v>
      </c>
      <c r="B513" s="23" t="s">
        <v>25</v>
      </c>
      <c r="C513" s="27">
        <v>43862.458333333336</v>
      </c>
      <c r="D513" s="23">
        <v>40.799999999999997</v>
      </c>
      <c r="E513" s="27">
        <v>43862.5</v>
      </c>
      <c r="F513" s="23">
        <v>40.450000000000003</v>
      </c>
      <c r="G513" s="31">
        <v>-8.6E-3</v>
      </c>
      <c r="H513" s="23">
        <v>-430.01</v>
      </c>
      <c r="I513" s="31">
        <v>-8.6E-3</v>
      </c>
      <c r="J513" s="23">
        <v>1228.6079999999999</v>
      </c>
      <c r="K513" s="23">
        <v>50127.19</v>
      </c>
      <c r="L513" s="23">
        <v>25007.64</v>
      </c>
      <c r="M513" s="23">
        <v>5</v>
      </c>
      <c r="N513" s="23">
        <v>-86</v>
      </c>
      <c r="O513" s="31">
        <v>-8.6E-3</v>
      </c>
      <c r="P513" s="31">
        <v>1.1999999999999999E-3</v>
      </c>
      <c r="Q513" s="23" t="s">
        <v>24</v>
      </c>
      <c r="R513" s="23">
        <v>0</v>
      </c>
      <c r="S513" s="23">
        <v>40.32</v>
      </c>
      <c r="U513" s="47">
        <f>VLOOKUP(AU513,[1]expiry_dates!$B$2:$C$2894,2,FALSE)</f>
        <v>43888</v>
      </c>
      <c r="V513" s="23" t="s">
        <v>113</v>
      </c>
      <c r="W513" s="23" t="s">
        <v>23</v>
      </c>
      <c r="X513" s="49">
        <v>43862.458333333336</v>
      </c>
      <c r="Y513" s="23">
        <v>1.25</v>
      </c>
      <c r="Z513" s="23">
        <v>43862.5</v>
      </c>
      <c r="AA513" s="23">
        <v>1.35</v>
      </c>
      <c r="AB513" s="23">
        <v>0.08</v>
      </c>
      <c r="AC513" s="23">
        <v>-4629.68</v>
      </c>
      <c r="AD513" s="23">
        <v>-0.08</v>
      </c>
      <c r="AE513" s="23">
        <v>46296.78</v>
      </c>
      <c r="AF513" s="23">
        <v>57870.98</v>
      </c>
      <c r="AG513" s="23">
        <v>1569565.89</v>
      </c>
      <c r="AH513" s="23">
        <v>5</v>
      </c>
      <c r="AI513" s="23">
        <v>-925.94</v>
      </c>
      <c r="AJ513" s="23">
        <v>-0.12</v>
      </c>
      <c r="AK513" s="23">
        <v>0.04</v>
      </c>
      <c r="AL513" s="23" t="s">
        <v>24</v>
      </c>
      <c r="AM513" s="23">
        <v>40.799999999999997</v>
      </c>
      <c r="AN513" s="23">
        <v>30872.85</v>
      </c>
      <c r="AO513" s="23">
        <v>40.32</v>
      </c>
      <c r="AP513" s="23">
        <v>0</v>
      </c>
      <c r="AR513" s="46"/>
      <c r="AS513" s="44"/>
      <c r="AT513" s="45"/>
      <c r="AU513" s="2">
        <v>43862</v>
      </c>
      <c r="AV513" s="52">
        <v>0.45833333333333331</v>
      </c>
      <c r="AW513" s="2" t="s">
        <v>212</v>
      </c>
      <c r="AY513" s="3"/>
      <c r="BA513" s="3"/>
      <c r="BG513" s="3"/>
      <c r="BH513" s="3"/>
    </row>
    <row r="514" spans="1:60">
      <c r="A514" s="23" t="s">
        <v>22</v>
      </c>
      <c r="B514" s="23" t="s">
        <v>23</v>
      </c>
      <c r="C514" s="27">
        <v>43862.5</v>
      </c>
      <c r="D514" s="23">
        <v>40.450000000000003</v>
      </c>
      <c r="E514" s="27">
        <v>43864.427083333336</v>
      </c>
      <c r="F514" s="23">
        <v>39.65</v>
      </c>
      <c r="G514" s="31">
        <v>-1.9800000000000002E-2</v>
      </c>
      <c r="H514" s="23">
        <v>991.37</v>
      </c>
      <c r="I514" s="31">
        <v>1.9800000000000002E-2</v>
      </c>
      <c r="J514" s="23">
        <v>1239.2080000000001</v>
      </c>
      <c r="K514" s="23">
        <v>50125.96</v>
      </c>
      <c r="L514" s="23">
        <v>25999.01</v>
      </c>
      <c r="M514" s="23">
        <v>22</v>
      </c>
      <c r="N514" s="23">
        <v>45.06</v>
      </c>
      <c r="O514" s="31">
        <v>-4.8999999999999998E-3</v>
      </c>
      <c r="P514" s="31">
        <v>4.0800000000000003E-2</v>
      </c>
      <c r="Q514" s="23" t="s">
        <v>24</v>
      </c>
      <c r="R514" s="23">
        <v>0</v>
      </c>
      <c r="S514" s="23">
        <v>40.85</v>
      </c>
      <c r="U514" s="47">
        <f>VLOOKUP(AU514,[1]expiry_dates!$B$2:$C$2894,2,FALSE)</f>
        <v>43888</v>
      </c>
      <c r="V514" s="23" t="s">
        <v>136</v>
      </c>
      <c r="W514" s="23" t="s">
        <v>23</v>
      </c>
      <c r="X514" s="49">
        <v>43862.5</v>
      </c>
      <c r="Y514" s="23">
        <v>1.4</v>
      </c>
      <c r="Z514" s="23">
        <v>43864.427083333336</v>
      </c>
      <c r="AA514" s="23">
        <v>0.9</v>
      </c>
      <c r="AB514" s="23">
        <v>-0.35709999999999997</v>
      </c>
      <c r="AC514" s="23">
        <v>20659.939999999999</v>
      </c>
      <c r="AD514" s="23">
        <v>0.35709999999999997</v>
      </c>
      <c r="AE514" s="23">
        <v>41319.879999999997</v>
      </c>
      <c r="AF514" s="23">
        <v>57847.83</v>
      </c>
      <c r="AG514" s="23">
        <v>1590225.82</v>
      </c>
      <c r="AH514" s="23">
        <v>22</v>
      </c>
      <c r="AI514" s="23">
        <v>939.09</v>
      </c>
      <c r="AJ514" s="23">
        <v>0</v>
      </c>
      <c r="AK514" s="23">
        <v>0.57140000000000002</v>
      </c>
      <c r="AL514" s="23" t="s">
        <v>24</v>
      </c>
      <c r="AM514" s="23">
        <v>40.450000000000003</v>
      </c>
      <c r="AN514" s="23">
        <v>30638.7</v>
      </c>
      <c r="AO514" s="23">
        <v>40.85</v>
      </c>
      <c r="AP514" s="23">
        <v>0</v>
      </c>
      <c r="AR514" s="46"/>
      <c r="AS514" s="44"/>
      <c r="AT514" s="45"/>
      <c r="AU514" s="2">
        <v>43862</v>
      </c>
      <c r="AV514" s="52">
        <v>0.5</v>
      </c>
      <c r="AW514" s="2" t="s">
        <v>213</v>
      </c>
      <c r="AY514" s="3"/>
      <c r="BA514" s="3"/>
      <c r="BG514" s="3"/>
      <c r="BH514" s="3"/>
    </row>
    <row r="515" spans="1:60">
      <c r="A515" s="23" t="s">
        <v>22</v>
      </c>
      <c r="B515" s="23" t="s">
        <v>25</v>
      </c>
      <c r="C515" s="27">
        <v>43864.427083333336</v>
      </c>
      <c r="D515" s="23">
        <v>39.65</v>
      </c>
      <c r="E515" s="27">
        <v>43864.46875</v>
      </c>
      <c r="F515" s="23">
        <v>39.15</v>
      </c>
      <c r="G515" s="31">
        <v>-1.26E-2</v>
      </c>
      <c r="H515" s="23">
        <v>-632.16999999999996</v>
      </c>
      <c r="I515" s="31">
        <v>-1.26E-2</v>
      </c>
      <c r="J515" s="23">
        <v>1264.3440000000001</v>
      </c>
      <c r="K515" s="23">
        <v>50131.24</v>
      </c>
      <c r="L515" s="23">
        <v>25366.84</v>
      </c>
      <c r="M515" s="23">
        <v>5</v>
      </c>
      <c r="N515" s="23">
        <v>-126.43</v>
      </c>
      <c r="O515" s="31">
        <v>-1.26E-2</v>
      </c>
      <c r="P515" s="31">
        <v>3.8E-3</v>
      </c>
      <c r="Q515" s="23" t="s">
        <v>24</v>
      </c>
      <c r="R515" s="23">
        <v>0</v>
      </c>
      <c r="S515" s="23">
        <v>38.840000000000003</v>
      </c>
      <c r="U515" s="47">
        <f>VLOOKUP(AU515,[1]expiry_dates!$B$2:$C$2894,2,FALSE)</f>
        <v>43888</v>
      </c>
      <c r="V515" s="23" t="s">
        <v>137</v>
      </c>
      <c r="W515" s="23" t="s">
        <v>23</v>
      </c>
      <c r="X515" s="49">
        <v>43864.427083333336</v>
      </c>
      <c r="Y515" s="23">
        <v>1.1499999999999999</v>
      </c>
      <c r="Z515" s="23">
        <v>43864.46875</v>
      </c>
      <c r="AA515" s="23">
        <v>1.5</v>
      </c>
      <c r="AB515" s="23">
        <v>0.30430000000000001</v>
      </c>
      <c r="AC515" s="23">
        <v>-17640.439999999999</v>
      </c>
      <c r="AD515" s="23">
        <v>-0.30430000000000001</v>
      </c>
      <c r="AE515" s="23">
        <v>50401.27</v>
      </c>
      <c r="AF515" s="23">
        <v>57961.46</v>
      </c>
      <c r="AG515" s="23">
        <v>1572585.38</v>
      </c>
      <c r="AH515" s="23">
        <v>5</v>
      </c>
      <c r="AI515" s="23">
        <v>-3528.09</v>
      </c>
      <c r="AJ515" s="23">
        <v>-0.30430000000000001</v>
      </c>
      <c r="AK515" s="23">
        <v>0</v>
      </c>
      <c r="AL515" s="23" t="s">
        <v>24</v>
      </c>
      <c r="AM515" s="23">
        <v>39.65</v>
      </c>
      <c r="AN515" s="23">
        <v>30051.1</v>
      </c>
      <c r="AO515" s="23">
        <v>38.840000000000003</v>
      </c>
      <c r="AP515" s="23">
        <v>0</v>
      </c>
      <c r="AR515" s="46"/>
      <c r="AS515" s="44"/>
      <c r="AT515" s="45"/>
      <c r="AU515" s="2">
        <v>43864</v>
      </c>
      <c r="AV515" s="52">
        <v>0.42708333333333331</v>
      </c>
      <c r="AW515" s="2" t="s">
        <v>212</v>
      </c>
      <c r="AY515" s="3"/>
      <c r="BA515" s="3"/>
      <c r="BG515" s="3"/>
      <c r="BH515" s="3"/>
    </row>
    <row r="516" spans="1:60">
      <c r="A516" s="23" t="s">
        <v>22</v>
      </c>
      <c r="B516" s="23" t="s">
        <v>23</v>
      </c>
      <c r="C516" s="27">
        <v>43864.46875</v>
      </c>
      <c r="D516" s="23">
        <v>39.15</v>
      </c>
      <c r="E516" s="27">
        <v>43864.541666666664</v>
      </c>
      <c r="F516" s="23">
        <v>39.35</v>
      </c>
      <c r="G516" s="31">
        <v>5.1000000000000004E-3</v>
      </c>
      <c r="H516" s="23">
        <v>-256.08999999999997</v>
      </c>
      <c r="I516" s="31">
        <v>-5.1000000000000004E-3</v>
      </c>
      <c r="J516" s="23">
        <v>1280.443</v>
      </c>
      <c r="K516" s="23">
        <v>50129.36</v>
      </c>
      <c r="L516" s="23">
        <v>25110.75</v>
      </c>
      <c r="M516" s="23">
        <v>8</v>
      </c>
      <c r="N516" s="23">
        <v>-32.01</v>
      </c>
      <c r="O516" s="31">
        <v>-1.0200000000000001E-2</v>
      </c>
      <c r="P516" s="31">
        <v>3.8E-3</v>
      </c>
      <c r="Q516" s="23" t="s">
        <v>24</v>
      </c>
      <c r="R516" s="23">
        <v>0</v>
      </c>
      <c r="S516" s="23">
        <v>39.78</v>
      </c>
      <c r="U516" s="47">
        <f>VLOOKUP(AU516,[1]expiry_dates!$B$2:$C$2894,2,FALSE)</f>
        <v>43888</v>
      </c>
      <c r="V516" s="23" t="s">
        <v>141</v>
      </c>
      <c r="W516" s="23" t="s">
        <v>23</v>
      </c>
      <c r="X516" s="49">
        <v>43864.46875</v>
      </c>
      <c r="Y516" s="23">
        <v>1.4</v>
      </c>
      <c r="Z516" s="23">
        <v>43864.541666666664</v>
      </c>
      <c r="AA516" s="23">
        <v>1.6</v>
      </c>
      <c r="AB516" s="23">
        <v>0.1429</v>
      </c>
      <c r="AC516" s="23">
        <v>-8275.1299999999992</v>
      </c>
      <c r="AD516" s="23">
        <v>-0.1429</v>
      </c>
      <c r="AE516" s="23">
        <v>41375.660000000003</v>
      </c>
      <c r="AF516" s="23">
        <v>57925.93</v>
      </c>
      <c r="AG516" s="23">
        <v>1564310.25</v>
      </c>
      <c r="AH516" s="23">
        <v>8</v>
      </c>
      <c r="AI516" s="23">
        <v>-1034.3900000000001</v>
      </c>
      <c r="AJ516" s="23">
        <v>-0.1429</v>
      </c>
      <c r="AK516" s="23">
        <v>0</v>
      </c>
      <c r="AL516" s="23" t="s">
        <v>24</v>
      </c>
      <c r="AM516" s="23">
        <v>39.15</v>
      </c>
      <c r="AN516" s="23">
        <v>29879.95</v>
      </c>
      <c r="AO516" s="23">
        <v>39.78</v>
      </c>
      <c r="AP516" s="23">
        <v>0</v>
      </c>
      <c r="AR516" s="46"/>
      <c r="AS516" s="44"/>
      <c r="AT516" s="45"/>
      <c r="AU516" s="2">
        <v>43864</v>
      </c>
      <c r="AV516" s="52">
        <v>0.46875</v>
      </c>
      <c r="AW516" s="2" t="s">
        <v>212</v>
      </c>
      <c r="AY516" s="3"/>
      <c r="BA516" s="3"/>
      <c r="BG516" s="3"/>
      <c r="BH516" s="3"/>
    </row>
    <row r="517" spans="1:60">
      <c r="A517" s="23" t="s">
        <v>22</v>
      </c>
      <c r="B517" s="23" t="s">
        <v>25</v>
      </c>
      <c r="C517" s="27">
        <v>43864.541666666664</v>
      </c>
      <c r="D517" s="23">
        <v>39.35</v>
      </c>
      <c r="E517" s="27">
        <v>43864.59375</v>
      </c>
      <c r="F517" s="23">
        <v>39.25</v>
      </c>
      <c r="G517" s="31">
        <v>-2.5000000000000001E-3</v>
      </c>
      <c r="H517" s="23">
        <v>-127.38</v>
      </c>
      <c r="I517" s="31">
        <v>-2.5000000000000001E-3</v>
      </c>
      <c r="J517" s="23">
        <v>1273.8140000000001</v>
      </c>
      <c r="K517" s="23">
        <v>50124.59</v>
      </c>
      <c r="L517" s="23">
        <v>24983.37</v>
      </c>
      <c r="M517" s="23">
        <v>6</v>
      </c>
      <c r="N517" s="23">
        <v>-21.23</v>
      </c>
      <c r="O517" s="31">
        <v>-5.1000000000000004E-3</v>
      </c>
      <c r="P517" s="31">
        <v>6.4000000000000003E-3</v>
      </c>
      <c r="Q517" s="23" t="s">
        <v>24</v>
      </c>
      <c r="R517" s="23">
        <v>0</v>
      </c>
      <c r="S517" s="23">
        <v>39.020000000000003</v>
      </c>
      <c r="U517" s="47">
        <f>VLOOKUP(AU517,[1]expiry_dates!$B$2:$C$2894,2,FALSE)</f>
        <v>43888</v>
      </c>
      <c r="V517" s="23" t="s">
        <v>137</v>
      </c>
      <c r="W517" s="23" t="s">
        <v>23</v>
      </c>
      <c r="X517" s="49">
        <v>43864.541666666664</v>
      </c>
      <c r="Y517" s="23">
        <v>1.3</v>
      </c>
      <c r="Z517" s="23">
        <v>43864.59375</v>
      </c>
      <c r="AA517" s="23">
        <v>1.35</v>
      </c>
      <c r="AB517" s="23">
        <v>3.85E-2</v>
      </c>
      <c r="AC517" s="23">
        <v>-2223.91</v>
      </c>
      <c r="AD517" s="23">
        <v>-3.85E-2</v>
      </c>
      <c r="AE517" s="23">
        <v>44478.12</v>
      </c>
      <c r="AF517" s="23">
        <v>57821.55</v>
      </c>
      <c r="AG517" s="23">
        <v>1562086.34</v>
      </c>
      <c r="AH517" s="23">
        <v>6</v>
      </c>
      <c r="AI517" s="23">
        <v>-370.65</v>
      </c>
      <c r="AJ517" s="23">
        <v>-3.85E-2</v>
      </c>
      <c r="AK517" s="23">
        <v>3.85E-2</v>
      </c>
      <c r="AL517" s="23" t="s">
        <v>24</v>
      </c>
      <c r="AM517" s="23">
        <v>39.35</v>
      </c>
      <c r="AN517" s="23">
        <v>29959.45</v>
      </c>
      <c r="AO517" s="23">
        <v>39.020000000000003</v>
      </c>
      <c r="AP517" s="23">
        <v>0</v>
      </c>
      <c r="AR517" s="46"/>
      <c r="AS517" s="44"/>
      <c r="AT517" s="45"/>
      <c r="AU517" s="2">
        <v>43864</v>
      </c>
      <c r="AV517" s="52">
        <v>4.1666666666666664E-2</v>
      </c>
      <c r="AW517" s="2" t="s">
        <v>213</v>
      </c>
      <c r="AY517" s="3"/>
      <c r="BA517" s="3"/>
      <c r="BG517" s="3"/>
      <c r="BH517" s="3"/>
    </row>
    <row r="518" spans="1:60">
      <c r="A518" s="23" t="s">
        <v>22</v>
      </c>
      <c r="B518" s="23" t="s">
        <v>23</v>
      </c>
      <c r="C518" s="27">
        <v>43864.59375</v>
      </c>
      <c r="D518" s="23">
        <v>39.25</v>
      </c>
      <c r="E518" s="27">
        <v>43864.635416666664</v>
      </c>
      <c r="F518" s="23">
        <v>39.35</v>
      </c>
      <c r="G518" s="31">
        <v>2.5000000000000001E-3</v>
      </c>
      <c r="H518" s="23">
        <v>-127.71</v>
      </c>
      <c r="I518" s="31">
        <v>-2.5000000000000001E-3</v>
      </c>
      <c r="J518" s="23">
        <v>1277.068</v>
      </c>
      <c r="K518" s="23">
        <v>50124.92</v>
      </c>
      <c r="L518" s="23">
        <v>24855.66</v>
      </c>
      <c r="M518" s="23">
        <v>5</v>
      </c>
      <c r="N518" s="23">
        <v>-25.54</v>
      </c>
      <c r="O518" s="31">
        <v>-2.5000000000000001E-3</v>
      </c>
      <c r="P518" s="31">
        <v>5.1000000000000004E-3</v>
      </c>
      <c r="Q518" s="23" t="s">
        <v>24</v>
      </c>
      <c r="R518" s="23">
        <v>0</v>
      </c>
      <c r="S518" s="23">
        <v>39.58</v>
      </c>
      <c r="U518" s="47">
        <f>VLOOKUP(AU518,[1]expiry_dates!$B$2:$C$2894,2,FALSE)</f>
        <v>43888</v>
      </c>
      <c r="V518" s="23" t="s">
        <v>139</v>
      </c>
      <c r="W518" s="23" t="s">
        <v>23</v>
      </c>
      <c r="X518" s="49">
        <v>43864.59375</v>
      </c>
      <c r="Y518" s="23">
        <v>1.05</v>
      </c>
      <c r="Z518" s="23">
        <v>43864.635416666664</v>
      </c>
      <c r="AA518" s="23">
        <v>1.3</v>
      </c>
      <c r="AB518" s="23">
        <v>0.23810000000000001</v>
      </c>
      <c r="AC518" s="23">
        <v>-13764.39</v>
      </c>
      <c r="AD518" s="23">
        <v>-0.23810000000000001</v>
      </c>
      <c r="AE518" s="23">
        <v>55057.55</v>
      </c>
      <c r="AF518" s="23">
        <v>57810.43</v>
      </c>
      <c r="AG518" s="23">
        <v>1548321.95</v>
      </c>
      <c r="AH518" s="23">
        <v>5</v>
      </c>
      <c r="AI518" s="23">
        <v>-2752.88</v>
      </c>
      <c r="AJ518" s="23">
        <v>-0.23810000000000001</v>
      </c>
      <c r="AK518" s="23">
        <v>4.7600000000000003E-2</v>
      </c>
      <c r="AL518" s="23" t="s">
        <v>24</v>
      </c>
      <c r="AM518" s="23">
        <v>39.25</v>
      </c>
      <c r="AN518" s="23">
        <v>29979.3</v>
      </c>
      <c r="AO518" s="23">
        <v>39.58</v>
      </c>
      <c r="AP518" s="23">
        <v>0</v>
      </c>
      <c r="AR518" s="46"/>
      <c r="AS518" s="44"/>
      <c r="AT518" s="45"/>
      <c r="AU518" s="2">
        <v>43864</v>
      </c>
      <c r="AV518" s="52">
        <v>9.375E-2</v>
      </c>
      <c r="AW518" s="2" t="s">
        <v>213</v>
      </c>
      <c r="AY518" s="3"/>
      <c r="BA518" s="3"/>
      <c r="BG518" s="3"/>
      <c r="BH518" s="3"/>
    </row>
    <row r="519" spans="1:60">
      <c r="A519" s="23" t="s">
        <v>22</v>
      </c>
      <c r="B519" s="23" t="s">
        <v>25</v>
      </c>
      <c r="C519" s="27">
        <v>43864.635416666664</v>
      </c>
      <c r="D519" s="23">
        <v>39.35</v>
      </c>
      <c r="E519" s="27">
        <v>43866.5625</v>
      </c>
      <c r="F519" s="23">
        <v>41.1</v>
      </c>
      <c r="G519" s="31">
        <v>4.4499999999999998E-2</v>
      </c>
      <c r="H519" s="23">
        <v>2229.23</v>
      </c>
      <c r="I519" s="31">
        <v>4.4499999999999998E-2</v>
      </c>
      <c r="J519" s="23">
        <v>1273.847</v>
      </c>
      <c r="K519" s="23">
        <v>50125.88</v>
      </c>
      <c r="L519" s="23">
        <v>27084.89</v>
      </c>
      <c r="M519" s="23">
        <v>50</v>
      </c>
      <c r="N519" s="23">
        <v>44.58</v>
      </c>
      <c r="O519" s="31">
        <v>-7.6E-3</v>
      </c>
      <c r="P519" s="31">
        <v>5.7200000000000001E-2</v>
      </c>
      <c r="Q519" s="23" t="s">
        <v>24</v>
      </c>
      <c r="R519" s="23">
        <v>0</v>
      </c>
      <c r="S519" s="23">
        <v>39.049999999999997</v>
      </c>
      <c r="U519" s="47">
        <f>VLOOKUP(AU519,[1]expiry_dates!$B$2:$C$2894,2,FALSE)</f>
        <v>43888</v>
      </c>
      <c r="V519" s="23" t="s">
        <v>137</v>
      </c>
      <c r="W519" s="23" t="s">
        <v>23</v>
      </c>
      <c r="X519" s="49">
        <v>43864.635416666664</v>
      </c>
      <c r="Y519" s="23">
        <v>1.1499999999999999</v>
      </c>
      <c r="Z519" s="23">
        <v>43866.5625</v>
      </c>
      <c r="AA519" s="23">
        <v>0.55000000000000004</v>
      </c>
      <c r="AB519" s="23">
        <v>-0.52170000000000005</v>
      </c>
      <c r="AC519" s="23">
        <v>30154.78</v>
      </c>
      <c r="AD519" s="23">
        <v>0.52170000000000005</v>
      </c>
      <c r="AE519" s="23">
        <v>50257.97</v>
      </c>
      <c r="AF519" s="23">
        <v>57796.67</v>
      </c>
      <c r="AG519" s="23">
        <v>1578476.74</v>
      </c>
      <c r="AH519" s="23">
        <v>50</v>
      </c>
      <c r="AI519" s="23">
        <v>603.1</v>
      </c>
      <c r="AJ519" s="23">
        <v>-0.21740000000000001</v>
      </c>
      <c r="AK519" s="23">
        <v>0.60870000000000002</v>
      </c>
      <c r="AL519" s="23" t="s">
        <v>24</v>
      </c>
      <c r="AM519" s="23">
        <v>39.35</v>
      </c>
      <c r="AN519" s="23">
        <v>30046.5</v>
      </c>
      <c r="AO519" s="23">
        <v>39.049999999999997</v>
      </c>
      <c r="AP519" s="23">
        <v>0</v>
      </c>
      <c r="AR519" s="46"/>
      <c r="AS519" s="44"/>
      <c r="AT519" s="45"/>
      <c r="AU519" s="2">
        <v>43864</v>
      </c>
      <c r="AV519" s="52">
        <v>0.13541666666666666</v>
      </c>
      <c r="AW519" s="2" t="s">
        <v>213</v>
      </c>
      <c r="AY519" s="3"/>
      <c r="BA519" s="3"/>
      <c r="BG519" s="3"/>
      <c r="BH519" s="3"/>
    </row>
    <row r="520" spans="1:60">
      <c r="A520" s="23" t="s">
        <v>22</v>
      </c>
      <c r="B520" s="23" t="s">
        <v>23</v>
      </c>
      <c r="C520" s="27">
        <v>43866.5625</v>
      </c>
      <c r="D520" s="23">
        <v>41.1</v>
      </c>
      <c r="E520" s="27">
        <v>43867.385416666664</v>
      </c>
      <c r="F520" s="23">
        <v>41.4</v>
      </c>
      <c r="G520" s="31">
        <v>7.3000000000000001E-3</v>
      </c>
      <c r="H520" s="23">
        <v>-365.95</v>
      </c>
      <c r="I520" s="31">
        <v>-7.3000000000000001E-3</v>
      </c>
      <c r="J520" s="23">
        <v>1219.848</v>
      </c>
      <c r="K520" s="23">
        <v>50135.74</v>
      </c>
      <c r="L520" s="23">
        <v>26718.94</v>
      </c>
      <c r="M520" s="23">
        <v>12</v>
      </c>
      <c r="N520" s="23">
        <v>-30.5</v>
      </c>
      <c r="O520" s="31">
        <v>-8.5000000000000006E-3</v>
      </c>
      <c r="P520" s="31">
        <v>2.3999999999999998E-3</v>
      </c>
      <c r="Q520" s="23" t="s">
        <v>24</v>
      </c>
      <c r="R520" s="23">
        <v>0</v>
      </c>
      <c r="S520" s="23">
        <v>41.59</v>
      </c>
      <c r="U520" s="47">
        <f>VLOOKUP(AU520,[1]expiry_dates!$B$2:$C$2894,2,FALSE)</f>
        <v>43888</v>
      </c>
      <c r="V520" s="23" t="s">
        <v>116</v>
      </c>
      <c r="W520" s="23" t="s">
        <v>23</v>
      </c>
      <c r="X520" s="49">
        <v>43866.5625</v>
      </c>
      <c r="Y520" s="23">
        <v>0.95</v>
      </c>
      <c r="Z520" s="23">
        <v>43867.385416666664</v>
      </c>
      <c r="AA520" s="23">
        <v>1.1000000000000001</v>
      </c>
      <c r="AB520" s="23">
        <v>0.15790000000000001</v>
      </c>
      <c r="AC520" s="23">
        <v>-9140.9</v>
      </c>
      <c r="AD520" s="23">
        <v>-0.15790000000000001</v>
      </c>
      <c r="AE520" s="23">
        <v>60939.35</v>
      </c>
      <c r="AF520" s="23">
        <v>57892.38</v>
      </c>
      <c r="AG520" s="23">
        <v>1569335.83</v>
      </c>
      <c r="AH520" s="23">
        <v>12</v>
      </c>
      <c r="AI520" s="23">
        <v>-761.74</v>
      </c>
      <c r="AJ520" s="23">
        <v>-0.21049999999999999</v>
      </c>
      <c r="AK520" s="23">
        <v>0</v>
      </c>
      <c r="AL520" s="23" t="s">
        <v>24</v>
      </c>
      <c r="AM520" s="23">
        <v>41.1</v>
      </c>
      <c r="AN520" s="23">
        <v>30825.8</v>
      </c>
      <c r="AO520" s="23">
        <v>41.59</v>
      </c>
      <c r="AP520" s="23">
        <v>0</v>
      </c>
      <c r="AR520" s="46"/>
      <c r="AS520" s="44"/>
      <c r="AT520" s="45"/>
      <c r="AU520" s="2">
        <v>43866</v>
      </c>
      <c r="AV520" s="52">
        <v>6.25E-2</v>
      </c>
      <c r="AW520" s="2" t="s">
        <v>213</v>
      </c>
      <c r="AY520" s="3"/>
      <c r="BA520" s="3"/>
      <c r="BG520" s="3"/>
      <c r="BH520" s="3"/>
    </row>
    <row r="521" spans="1:60">
      <c r="A521" s="23" t="s">
        <v>22</v>
      </c>
      <c r="B521" s="23" t="s">
        <v>25</v>
      </c>
      <c r="C521" s="27">
        <v>43867.385416666664</v>
      </c>
      <c r="D521" s="23">
        <v>41.4</v>
      </c>
      <c r="E521" s="27">
        <v>43867.479166666664</v>
      </c>
      <c r="F521" s="23">
        <v>41.25</v>
      </c>
      <c r="G521" s="31">
        <v>-3.5999999999999999E-3</v>
      </c>
      <c r="H521" s="23">
        <v>-181.65</v>
      </c>
      <c r="I521" s="31">
        <v>-3.5999999999999999E-3</v>
      </c>
      <c r="J521" s="23">
        <v>1210.9929999999999</v>
      </c>
      <c r="K521" s="23">
        <v>50135.12</v>
      </c>
      <c r="L521" s="23">
        <v>26537.29</v>
      </c>
      <c r="M521" s="23">
        <v>10</v>
      </c>
      <c r="N521" s="23">
        <v>-18.16</v>
      </c>
      <c r="O521" s="31">
        <v>-1.21E-2</v>
      </c>
      <c r="P521" s="31">
        <v>3.5999999999999999E-3</v>
      </c>
      <c r="Q521" s="23" t="s">
        <v>24</v>
      </c>
      <c r="R521" s="23">
        <v>0</v>
      </c>
      <c r="S521" s="23">
        <v>40.9</v>
      </c>
      <c r="U521" s="47">
        <f>VLOOKUP(AU521,[1]expiry_dates!$B$2:$C$2894,2,FALSE)</f>
        <v>43888</v>
      </c>
      <c r="V521" s="23" t="s">
        <v>142</v>
      </c>
      <c r="W521" s="23" t="s">
        <v>23</v>
      </c>
      <c r="X521" s="49">
        <v>43867.385416666664</v>
      </c>
      <c r="Y521" s="23">
        <v>0.2</v>
      </c>
      <c r="Z521" s="23">
        <v>43867.479166666664</v>
      </c>
      <c r="AA521" s="23">
        <v>0.2</v>
      </c>
      <c r="AB521" s="23">
        <v>0</v>
      </c>
      <c r="AC521" s="23">
        <v>0</v>
      </c>
      <c r="AD521" s="23">
        <v>0</v>
      </c>
      <c r="AE521" s="23">
        <v>289309.59999999998</v>
      </c>
      <c r="AF521" s="23">
        <v>57861.91</v>
      </c>
      <c r="AG521" s="23">
        <v>1569335.83</v>
      </c>
      <c r="AH521" s="23">
        <v>10</v>
      </c>
      <c r="AI521" s="23">
        <v>0</v>
      </c>
      <c r="AJ521" s="23">
        <v>0</v>
      </c>
      <c r="AK521" s="23">
        <v>0</v>
      </c>
      <c r="AL521" s="23" t="s">
        <v>24</v>
      </c>
      <c r="AM521" s="23">
        <v>41.4</v>
      </c>
      <c r="AN521" s="23">
        <v>31041.9</v>
      </c>
      <c r="AO521" s="23">
        <v>40.9</v>
      </c>
      <c r="AP521" s="23">
        <v>0</v>
      </c>
      <c r="AR521" s="46"/>
      <c r="AS521" s="44"/>
      <c r="AT521" s="45"/>
      <c r="AU521" s="2">
        <v>43867</v>
      </c>
      <c r="AV521" s="52">
        <v>0.38541666666666669</v>
      </c>
      <c r="AW521" s="2" t="s">
        <v>212</v>
      </c>
      <c r="AY521" s="3"/>
      <c r="BA521" s="3"/>
      <c r="BG521" s="3"/>
      <c r="BH521" s="3"/>
    </row>
    <row r="522" spans="1:60">
      <c r="A522" s="23" t="s">
        <v>22</v>
      </c>
      <c r="B522" s="23" t="s">
        <v>23</v>
      </c>
      <c r="C522" s="27">
        <v>43867.479166666664</v>
      </c>
      <c r="D522" s="23">
        <v>41.25</v>
      </c>
      <c r="E522" s="27">
        <v>43867.520833333336</v>
      </c>
      <c r="F522" s="23">
        <v>41.65</v>
      </c>
      <c r="G522" s="31">
        <v>9.7000000000000003E-3</v>
      </c>
      <c r="H522" s="23">
        <v>-486.14</v>
      </c>
      <c r="I522" s="31">
        <v>-9.7000000000000003E-3</v>
      </c>
      <c r="J522" s="23">
        <v>1215.345</v>
      </c>
      <c r="K522" s="23">
        <v>50132.99</v>
      </c>
      <c r="L522" s="23">
        <v>26051.15</v>
      </c>
      <c r="M522" s="23">
        <v>5</v>
      </c>
      <c r="N522" s="23">
        <v>-97.23</v>
      </c>
      <c r="O522" s="31">
        <v>-9.7000000000000003E-3</v>
      </c>
      <c r="P522" s="31">
        <v>2.3999999999999998E-3</v>
      </c>
      <c r="Q522" s="23" t="s">
        <v>24</v>
      </c>
      <c r="R522" s="23">
        <v>0</v>
      </c>
      <c r="S522" s="23">
        <v>41.55</v>
      </c>
      <c r="U522" s="47">
        <f>VLOOKUP(AU522,[1]expiry_dates!$B$2:$C$2894,2,FALSE)</f>
        <v>43888</v>
      </c>
      <c r="V522" s="23" t="s">
        <v>116</v>
      </c>
      <c r="W522" s="23" t="s">
        <v>23</v>
      </c>
      <c r="X522" s="49">
        <v>43867.479166666664</v>
      </c>
      <c r="Y522" s="23">
        <v>1.05</v>
      </c>
      <c r="Z522" s="23">
        <v>43867.520833333336</v>
      </c>
      <c r="AA522" s="23">
        <v>1.3</v>
      </c>
      <c r="AB522" s="23">
        <v>0.23810000000000001</v>
      </c>
      <c r="AC522" s="23">
        <v>-13773.02</v>
      </c>
      <c r="AD522" s="23">
        <v>-0.23810000000000001</v>
      </c>
      <c r="AE522" s="23">
        <v>55092.08</v>
      </c>
      <c r="AF522" s="23">
        <v>57846.68</v>
      </c>
      <c r="AG522" s="23">
        <v>1555562.81</v>
      </c>
      <c r="AH522" s="23">
        <v>5</v>
      </c>
      <c r="AI522" s="23">
        <v>-2754.6</v>
      </c>
      <c r="AJ522" s="23">
        <v>-0.23810000000000001</v>
      </c>
      <c r="AK522" s="23">
        <v>0</v>
      </c>
      <c r="AL522" s="23" t="s">
        <v>24</v>
      </c>
      <c r="AM522" s="23">
        <v>41.25</v>
      </c>
      <c r="AN522" s="23">
        <v>30969.05</v>
      </c>
      <c r="AO522" s="23">
        <v>41.55</v>
      </c>
      <c r="AP522" s="23">
        <v>0</v>
      </c>
      <c r="AR522" s="46"/>
      <c r="AS522" s="44"/>
      <c r="AT522" s="45"/>
      <c r="AU522" s="2">
        <v>43867</v>
      </c>
      <c r="AV522" s="52">
        <v>0.47916666666666669</v>
      </c>
      <c r="AW522" s="2" t="s">
        <v>212</v>
      </c>
      <c r="AY522" s="3"/>
      <c r="BA522" s="3"/>
      <c r="BG522" s="3"/>
      <c r="BH522" s="3"/>
    </row>
    <row r="523" spans="1:60">
      <c r="A523" s="23" t="s">
        <v>22</v>
      </c>
      <c r="B523" s="23" t="s">
        <v>25</v>
      </c>
      <c r="C523" s="27">
        <v>43867.520833333336</v>
      </c>
      <c r="D523" s="23">
        <v>41.65</v>
      </c>
      <c r="E523" s="27">
        <v>43868.385416666664</v>
      </c>
      <c r="F523" s="23">
        <v>41.95</v>
      </c>
      <c r="G523" s="31">
        <v>7.1999999999999998E-3</v>
      </c>
      <c r="H523" s="23">
        <v>361.09</v>
      </c>
      <c r="I523" s="31">
        <v>7.1999999999999998E-3</v>
      </c>
      <c r="J523" s="23">
        <v>1203.6369999999999</v>
      </c>
      <c r="K523" s="23">
        <v>50131.47</v>
      </c>
      <c r="L523" s="23">
        <v>26412.240000000002</v>
      </c>
      <c r="M523" s="23">
        <v>16</v>
      </c>
      <c r="N523" s="23">
        <v>22.57</v>
      </c>
      <c r="O523" s="31">
        <v>-7.1999999999999998E-3</v>
      </c>
      <c r="P523" s="31">
        <v>2.52E-2</v>
      </c>
      <c r="Q523" s="23" t="s">
        <v>24</v>
      </c>
      <c r="R523" s="23">
        <v>0</v>
      </c>
      <c r="S523" s="23">
        <v>41.16</v>
      </c>
      <c r="U523" s="47">
        <f>VLOOKUP(AU523,[1]expiry_dates!$B$2:$C$2894,2,FALSE)</f>
        <v>43888</v>
      </c>
      <c r="V523" s="23" t="s">
        <v>115</v>
      </c>
      <c r="W523" s="23" t="s">
        <v>23</v>
      </c>
      <c r="X523" s="49">
        <v>43867.520833333336</v>
      </c>
      <c r="Y523" s="23">
        <v>1.45</v>
      </c>
      <c r="Z523" s="23">
        <v>43868.385416666664</v>
      </c>
      <c r="AA523" s="23">
        <v>1.3</v>
      </c>
      <c r="AB523" s="23">
        <v>-0.10340000000000001</v>
      </c>
      <c r="AC523" s="23">
        <v>5981.29</v>
      </c>
      <c r="AD523" s="23">
        <v>0.10340000000000001</v>
      </c>
      <c r="AE523" s="23">
        <v>39875.26</v>
      </c>
      <c r="AF523" s="23">
        <v>57819.13</v>
      </c>
      <c r="AG523" s="23">
        <v>1561544.1</v>
      </c>
      <c r="AH523" s="23">
        <v>16</v>
      </c>
      <c r="AI523" s="23">
        <v>373.83</v>
      </c>
      <c r="AJ523" s="23">
        <v>0</v>
      </c>
      <c r="AK523" s="23">
        <v>0.3448</v>
      </c>
      <c r="AL523" s="23" t="s">
        <v>24</v>
      </c>
      <c r="AM523" s="23">
        <v>41.65</v>
      </c>
      <c r="AN523" s="23">
        <v>31316.7</v>
      </c>
      <c r="AO523" s="23">
        <v>41.16</v>
      </c>
      <c r="AP523" s="23">
        <v>0</v>
      </c>
      <c r="AR523" s="46"/>
      <c r="AS523" s="44"/>
      <c r="AT523" s="45"/>
      <c r="AU523" s="2">
        <v>43867</v>
      </c>
      <c r="AV523" s="52">
        <v>0.52083333333333337</v>
      </c>
      <c r="AW523" s="2" t="s">
        <v>213</v>
      </c>
      <c r="AY523" s="3"/>
      <c r="BA523" s="3"/>
      <c r="BG523" s="3"/>
      <c r="BH523" s="3"/>
    </row>
    <row r="524" spans="1:60">
      <c r="A524" s="23" t="s">
        <v>22</v>
      </c>
      <c r="B524" s="23" t="s">
        <v>23</v>
      </c>
      <c r="C524" s="27">
        <v>43868.385416666664</v>
      </c>
      <c r="D524" s="23">
        <v>41.95</v>
      </c>
      <c r="E524" s="27">
        <v>43868.520833333336</v>
      </c>
      <c r="F524" s="23">
        <v>42.05</v>
      </c>
      <c r="G524" s="31">
        <v>2.3999999999999998E-3</v>
      </c>
      <c r="H524" s="23">
        <v>-119.51</v>
      </c>
      <c r="I524" s="31">
        <v>-2.3999999999999998E-3</v>
      </c>
      <c r="J524" s="23">
        <v>1195.079</v>
      </c>
      <c r="K524" s="23">
        <v>50133.56</v>
      </c>
      <c r="L524" s="23">
        <v>26292.73</v>
      </c>
      <c r="M524" s="23">
        <v>14</v>
      </c>
      <c r="N524" s="23">
        <v>-8.5399999999999991</v>
      </c>
      <c r="O524" s="31">
        <v>-9.4999999999999998E-3</v>
      </c>
      <c r="P524" s="31">
        <v>7.1999999999999998E-3</v>
      </c>
      <c r="Q524" s="23" t="s">
        <v>24</v>
      </c>
      <c r="R524" s="23">
        <v>0</v>
      </c>
      <c r="S524" s="23">
        <v>42.68</v>
      </c>
      <c r="U524" s="47">
        <f>VLOOKUP(AU524,[1]expiry_dates!$B$2:$C$2894,2,FALSE)</f>
        <v>43888</v>
      </c>
      <c r="V524" s="23" t="s">
        <v>116</v>
      </c>
      <c r="W524" s="23" t="s">
        <v>23</v>
      </c>
      <c r="X524" s="49">
        <v>43868.385416666664</v>
      </c>
      <c r="Y524" s="23">
        <v>1.3</v>
      </c>
      <c r="Z524" s="23">
        <v>43868.520833333336</v>
      </c>
      <c r="AA524" s="23">
        <v>1.4</v>
      </c>
      <c r="AB524" s="23">
        <v>7.6899999999999996E-2</v>
      </c>
      <c r="AC524" s="23">
        <v>-4447.51</v>
      </c>
      <c r="AD524" s="23">
        <v>-7.6899999999999996E-2</v>
      </c>
      <c r="AE524" s="23">
        <v>44475.15</v>
      </c>
      <c r="AF524" s="23">
        <v>57817.69</v>
      </c>
      <c r="AG524" s="23">
        <v>1557096.59</v>
      </c>
      <c r="AH524" s="23">
        <v>14</v>
      </c>
      <c r="AI524" s="23">
        <v>-317.68</v>
      </c>
      <c r="AJ524" s="23">
        <v>-0.1154</v>
      </c>
      <c r="AK524" s="23">
        <v>7.6899999999999996E-2</v>
      </c>
      <c r="AL524" s="23" t="s">
        <v>24</v>
      </c>
      <c r="AM524" s="23">
        <v>41.95</v>
      </c>
      <c r="AN524" s="23">
        <v>31173.85</v>
      </c>
      <c r="AO524" s="23">
        <v>42.68</v>
      </c>
      <c r="AP524" s="23">
        <v>0</v>
      </c>
      <c r="AR524" s="46"/>
      <c r="AS524" s="44"/>
      <c r="AT524" s="45"/>
      <c r="AU524" s="2">
        <v>43868</v>
      </c>
      <c r="AV524" s="52">
        <v>0.38541666666666669</v>
      </c>
      <c r="AW524" s="2" t="s">
        <v>212</v>
      </c>
      <c r="AY524" s="3"/>
      <c r="BA524" s="3"/>
      <c r="BG524" s="3"/>
      <c r="BH524" s="3"/>
    </row>
    <row r="525" spans="1:60">
      <c r="A525" s="23" t="s">
        <v>22</v>
      </c>
      <c r="B525" s="23" t="s">
        <v>25</v>
      </c>
      <c r="C525" s="27">
        <v>43868.520833333336</v>
      </c>
      <c r="D525" s="23">
        <v>42.05</v>
      </c>
      <c r="E525" s="27">
        <v>43871.385416666664</v>
      </c>
      <c r="F525" s="23">
        <v>41.95</v>
      </c>
      <c r="G525" s="31">
        <v>-2.3999999999999998E-3</v>
      </c>
      <c r="H525" s="23">
        <v>-119.22</v>
      </c>
      <c r="I525" s="31">
        <v>-2.3999999999999998E-3</v>
      </c>
      <c r="J525" s="23">
        <v>1192.2080000000001</v>
      </c>
      <c r="K525" s="23">
        <v>50132.36</v>
      </c>
      <c r="L525" s="23">
        <v>26173.51</v>
      </c>
      <c r="M525" s="23">
        <v>16</v>
      </c>
      <c r="N525" s="23">
        <v>-7.45</v>
      </c>
      <c r="O525" s="31">
        <v>-3.5999999999999999E-3</v>
      </c>
      <c r="P525" s="31">
        <v>4.7999999999999996E-3</v>
      </c>
      <c r="Q525" s="23" t="s">
        <v>24</v>
      </c>
      <c r="R525" s="23">
        <v>0</v>
      </c>
      <c r="S525" s="23">
        <v>41.66</v>
      </c>
      <c r="U525" s="47">
        <f>VLOOKUP(AU525,[1]expiry_dates!$B$2:$C$2894,2,FALSE)</f>
        <v>43888</v>
      </c>
      <c r="V525" s="23" t="s">
        <v>134</v>
      </c>
      <c r="W525" s="23" t="s">
        <v>23</v>
      </c>
      <c r="X525" s="49">
        <v>43868.520833333336</v>
      </c>
      <c r="Y525" s="23">
        <v>0.85</v>
      </c>
      <c r="Z525" s="23">
        <v>43871.385416666664</v>
      </c>
      <c r="AA525" s="23">
        <v>0.8</v>
      </c>
      <c r="AB525" s="23">
        <v>-5.8799999999999998E-2</v>
      </c>
      <c r="AC525" s="23">
        <v>3400.45</v>
      </c>
      <c r="AD525" s="23">
        <v>5.8799999999999998E-2</v>
      </c>
      <c r="AE525" s="23">
        <v>68009.08</v>
      </c>
      <c r="AF525" s="23">
        <v>57807.72</v>
      </c>
      <c r="AG525" s="23">
        <v>1560497.04</v>
      </c>
      <c r="AH525" s="23">
        <v>16</v>
      </c>
      <c r="AI525" s="23">
        <v>212.53</v>
      </c>
      <c r="AJ525" s="23">
        <v>-5.8799999999999998E-2</v>
      </c>
      <c r="AK525" s="23">
        <v>0.17649999999999999</v>
      </c>
      <c r="AL525" s="23" t="s">
        <v>24</v>
      </c>
      <c r="AM525" s="23">
        <v>42.05</v>
      </c>
      <c r="AN525" s="23">
        <v>31230.6</v>
      </c>
      <c r="AO525" s="23">
        <v>41.66</v>
      </c>
      <c r="AP525" s="23">
        <v>0</v>
      </c>
      <c r="AR525" s="46"/>
      <c r="AS525" s="44"/>
      <c r="AT525" s="45"/>
      <c r="AU525" s="2">
        <v>43868</v>
      </c>
      <c r="AV525" s="52">
        <v>0.52083333333333337</v>
      </c>
      <c r="AW525" s="2" t="s">
        <v>213</v>
      </c>
      <c r="AY525" s="3"/>
      <c r="BA525" s="3"/>
      <c r="BG525" s="3"/>
      <c r="BH525" s="3"/>
    </row>
    <row r="526" spans="1:60">
      <c r="A526" s="23" t="s">
        <v>22</v>
      </c>
      <c r="B526" s="23" t="s">
        <v>23</v>
      </c>
      <c r="C526" s="27">
        <v>43871.385416666664</v>
      </c>
      <c r="D526" s="23">
        <v>41.95</v>
      </c>
      <c r="E526" s="27">
        <v>43872.385416666664</v>
      </c>
      <c r="F526" s="23">
        <v>41.6</v>
      </c>
      <c r="G526" s="31">
        <v>-8.3000000000000001E-3</v>
      </c>
      <c r="H526" s="23">
        <v>418.27</v>
      </c>
      <c r="I526" s="31">
        <v>8.3000000000000001E-3</v>
      </c>
      <c r="J526" s="23">
        <v>1195.0429999999999</v>
      </c>
      <c r="K526" s="23">
        <v>50132.06</v>
      </c>
      <c r="L526" s="23">
        <v>26591.78</v>
      </c>
      <c r="M526" s="23">
        <v>29</v>
      </c>
      <c r="N526" s="23">
        <v>14.42</v>
      </c>
      <c r="O526" s="31">
        <v>-7.1999999999999998E-3</v>
      </c>
      <c r="P526" s="31">
        <v>2.0299999999999999E-2</v>
      </c>
      <c r="Q526" s="23" t="s">
        <v>24</v>
      </c>
      <c r="R526" s="23">
        <v>0</v>
      </c>
      <c r="S526" s="23">
        <v>42.25</v>
      </c>
      <c r="U526" s="47">
        <f>VLOOKUP(AU526,[1]expiry_dates!$B$2:$C$2894,2,FALSE)</f>
        <v>43888</v>
      </c>
      <c r="V526" s="23" t="s">
        <v>116</v>
      </c>
      <c r="W526" s="23" t="s">
        <v>23</v>
      </c>
      <c r="X526" s="49">
        <v>43871.385416666664</v>
      </c>
      <c r="Y526" s="23">
        <v>1.25</v>
      </c>
      <c r="Z526" s="23">
        <v>43872.385416666664</v>
      </c>
      <c r="AA526" s="23">
        <v>1.05</v>
      </c>
      <c r="AB526" s="23">
        <v>-0.16</v>
      </c>
      <c r="AC526" s="23">
        <v>9248.4</v>
      </c>
      <c r="AD526" s="23">
        <v>0.16</v>
      </c>
      <c r="AE526" s="23">
        <v>46241.99</v>
      </c>
      <c r="AF526" s="23">
        <v>57802.48</v>
      </c>
      <c r="AG526" s="23">
        <v>1569745.44</v>
      </c>
      <c r="AH526" s="23">
        <v>29</v>
      </c>
      <c r="AI526" s="23">
        <v>318.91000000000003</v>
      </c>
      <c r="AJ526" s="23">
        <v>-0.08</v>
      </c>
      <c r="AK526" s="23">
        <v>0.28000000000000003</v>
      </c>
      <c r="AL526" s="23" t="s">
        <v>24</v>
      </c>
      <c r="AM526" s="23">
        <v>41.95</v>
      </c>
      <c r="AN526" s="23">
        <v>31083.75</v>
      </c>
      <c r="AO526" s="23">
        <v>42.25</v>
      </c>
      <c r="AP526" s="23">
        <v>0</v>
      </c>
      <c r="AR526" s="46"/>
      <c r="AS526" s="44"/>
      <c r="AT526" s="45"/>
      <c r="AU526" s="2">
        <v>43871</v>
      </c>
      <c r="AV526" s="52">
        <v>0.38541666666666669</v>
      </c>
      <c r="AW526" s="2" t="s">
        <v>212</v>
      </c>
      <c r="AY526" s="3"/>
      <c r="BA526" s="3"/>
      <c r="BG526" s="3"/>
      <c r="BH526" s="3"/>
    </row>
    <row r="527" spans="1:60">
      <c r="A527" s="23" t="s">
        <v>22</v>
      </c>
      <c r="B527" s="23" t="s">
        <v>25</v>
      </c>
      <c r="C527" s="27">
        <v>43872.385416666664</v>
      </c>
      <c r="D527" s="23">
        <v>41.6</v>
      </c>
      <c r="E527" s="27">
        <v>43872.53125</v>
      </c>
      <c r="F527" s="23">
        <v>41.6</v>
      </c>
      <c r="G527" s="31">
        <v>0</v>
      </c>
      <c r="H527" s="23">
        <v>0</v>
      </c>
      <c r="I527" s="31">
        <v>0</v>
      </c>
      <c r="J527" s="23">
        <v>1205.1479999999999</v>
      </c>
      <c r="K527" s="23">
        <v>50134.15</v>
      </c>
      <c r="L527" s="23">
        <v>26591.78</v>
      </c>
      <c r="M527" s="23">
        <v>15</v>
      </c>
      <c r="N527" s="23">
        <v>0</v>
      </c>
      <c r="O527" s="31">
        <v>-7.1999999999999998E-3</v>
      </c>
      <c r="P527" s="31">
        <v>4.7999999999999996E-3</v>
      </c>
      <c r="Q527" s="23" t="s">
        <v>24</v>
      </c>
      <c r="R527" s="23">
        <v>0</v>
      </c>
      <c r="S527" s="23">
        <v>41.13</v>
      </c>
      <c r="U527" s="47">
        <f>VLOOKUP(AU527,[1]expiry_dates!$B$2:$C$2894,2,FALSE)</f>
        <v>43888</v>
      </c>
      <c r="V527" s="23" t="s">
        <v>115</v>
      </c>
      <c r="W527" s="23" t="s">
        <v>23</v>
      </c>
      <c r="X527" s="49">
        <v>43872.385416666664</v>
      </c>
      <c r="Y527" s="23">
        <v>1.35</v>
      </c>
      <c r="Z527" s="23">
        <v>43872.53125</v>
      </c>
      <c r="AA527" s="23">
        <v>1.3</v>
      </c>
      <c r="AB527" s="23">
        <v>-3.6999999999999998E-2</v>
      </c>
      <c r="AC527" s="23">
        <v>2143.4</v>
      </c>
      <c r="AD527" s="23">
        <v>3.6999999999999998E-2</v>
      </c>
      <c r="AE527" s="23">
        <v>42868.04</v>
      </c>
      <c r="AF527" s="23">
        <v>57871.85</v>
      </c>
      <c r="AG527" s="23">
        <v>1571888.84</v>
      </c>
      <c r="AH527" s="23">
        <v>15</v>
      </c>
      <c r="AI527" s="23">
        <v>142.88999999999999</v>
      </c>
      <c r="AJ527" s="23">
        <v>0</v>
      </c>
      <c r="AK527" s="23">
        <v>0.1111</v>
      </c>
      <c r="AL527" s="23" t="s">
        <v>24</v>
      </c>
      <c r="AM527" s="23">
        <v>41.6</v>
      </c>
      <c r="AN527" s="23">
        <v>31398.05</v>
      </c>
      <c r="AO527" s="23">
        <v>41.13</v>
      </c>
      <c r="AP527" s="23">
        <v>0</v>
      </c>
      <c r="AR527" s="46"/>
      <c r="AS527" s="44"/>
      <c r="AT527" s="45"/>
      <c r="AU527" s="2">
        <v>43872</v>
      </c>
      <c r="AV527" s="52">
        <v>0.38541666666666669</v>
      </c>
      <c r="AW527" s="2" t="s">
        <v>212</v>
      </c>
      <c r="AY527" s="3"/>
      <c r="BA527" s="3"/>
      <c r="BG527" s="3"/>
      <c r="BH527" s="3"/>
    </row>
    <row r="528" spans="1:60">
      <c r="A528" s="23" t="s">
        <v>22</v>
      </c>
      <c r="B528" s="23" t="s">
        <v>23</v>
      </c>
      <c r="C528" s="27">
        <v>43872.53125</v>
      </c>
      <c r="D528" s="23">
        <v>41.6</v>
      </c>
      <c r="E528" s="27">
        <v>43872.552083333336</v>
      </c>
      <c r="F528" s="23">
        <v>41.9</v>
      </c>
      <c r="G528" s="31">
        <v>7.1999999999999998E-3</v>
      </c>
      <c r="H528" s="23">
        <v>-361.53</v>
      </c>
      <c r="I528" s="31">
        <v>-7.1999999999999998E-3</v>
      </c>
      <c r="J528" s="23">
        <v>1205.1120000000001</v>
      </c>
      <c r="K528" s="23">
        <v>50132.66</v>
      </c>
      <c r="L528" s="23">
        <v>26230.240000000002</v>
      </c>
      <c r="M528" s="23">
        <v>3</v>
      </c>
      <c r="N528" s="23">
        <v>-120.51</v>
      </c>
      <c r="O528" s="31">
        <v>-7.1999999999999998E-3</v>
      </c>
      <c r="P528" s="31">
        <v>2.3999999999999998E-3</v>
      </c>
      <c r="Q528" s="23" t="s">
        <v>24</v>
      </c>
      <c r="R528" s="23">
        <v>0</v>
      </c>
      <c r="S528" s="23">
        <v>41.79</v>
      </c>
      <c r="U528" s="47">
        <f>VLOOKUP(AU528,[1]expiry_dates!$B$2:$C$2894,2,FALSE)</f>
        <v>43888</v>
      </c>
      <c r="V528" s="23" t="s">
        <v>116</v>
      </c>
      <c r="W528" s="23" t="s">
        <v>23</v>
      </c>
      <c r="X528" s="49">
        <v>43872.53125</v>
      </c>
      <c r="Y528" s="23">
        <v>1.05</v>
      </c>
      <c r="Z528" s="23">
        <v>43872.552083333336</v>
      </c>
      <c r="AA528" s="23">
        <v>1.2</v>
      </c>
      <c r="AB528" s="23">
        <v>0.1429</v>
      </c>
      <c r="AC528" s="23">
        <v>-8265.64</v>
      </c>
      <c r="AD528" s="23">
        <v>-0.1429</v>
      </c>
      <c r="AE528" s="23">
        <v>55104.23</v>
      </c>
      <c r="AF528" s="23">
        <v>57859.45</v>
      </c>
      <c r="AG528" s="23">
        <v>1563623.21</v>
      </c>
      <c r="AH528" s="23">
        <v>3</v>
      </c>
      <c r="AI528" s="23">
        <v>-2755.21</v>
      </c>
      <c r="AJ528" s="23">
        <v>-0.1429</v>
      </c>
      <c r="AK528" s="23">
        <v>4.7600000000000003E-2</v>
      </c>
      <c r="AL528" s="23" t="s">
        <v>24</v>
      </c>
      <c r="AM528" s="23">
        <v>41.6</v>
      </c>
      <c r="AN528" s="23">
        <v>31340.15</v>
      </c>
      <c r="AO528" s="23">
        <v>41.79</v>
      </c>
      <c r="AP528" s="23">
        <v>0</v>
      </c>
      <c r="AR528" s="46"/>
      <c r="AS528" s="44"/>
      <c r="AT528" s="45"/>
      <c r="AU528" s="2">
        <v>43872</v>
      </c>
      <c r="AV528" s="52">
        <v>0.53125</v>
      </c>
      <c r="AW528" s="2" t="s">
        <v>213</v>
      </c>
      <c r="AY528" s="3"/>
      <c r="BA528" s="3"/>
      <c r="BG528" s="3"/>
      <c r="BH528" s="3"/>
    </row>
    <row r="529" spans="1:60">
      <c r="A529" s="23" t="s">
        <v>22</v>
      </c>
      <c r="B529" s="23" t="s">
        <v>25</v>
      </c>
      <c r="C529" s="27">
        <v>43872.552083333336</v>
      </c>
      <c r="D529" s="23">
        <v>41.9</v>
      </c>
      <c r="E529" s="27">
        <v>43872.604166666664</v>
      </c>
      <c r="F529" s="23">
        <v>41.6</v>
      </c>
      <c r="G529" s="31">
        <v>-7.1999999999999998E-3</v>
      </c>
      <c r="H529" s="23">
        <v>-358.95</v>
      </c>
      <c r="I529" s="31">
        <v>-7.1999999999999998E-3</v>
      </c>
      <c r="J529" s="23">
        <v>1196.4829999999999</v>
      </c>
      <c r="K529" s="23">
        <v>50132.66</v>
      </c>
      <c r="L529" s="23">
        <v>25871.3</v>
      </c>
      <c r="M529" s="23">
        <v>6</v>
      </c>
      <c r="N529" s="23">
        <v>-59.82</v>
      </c>
      <c r="O529" s="31">
        <v>-7.1999999999999998E-3</v>
      </c>
      <c r="P529" s="31">
        <v>1.1999999999999999E-3</v>
      </c>
      <c r="Q529" s="23" t="s">
        <v>24</v>
      </c>
      <c r="R529" s="23">
        <v>0</v>
      </c>
      <c r="S529" s="23">
        <v>41.51</v>
      </c>
      <c r="U529" s="47">
        <f>VLOOKUP(AU529,[1]expiry_dates!$B$2:$C$2894,2,FALSE)</f>
        <v>43888</v>
      </c>
      <c r="V529" s="23" t="s">
        <v>115</v>
      </c>
      <c r="W529" s="23" t="s">
        <v>23</v>
      </c>
      <c r="X529" s="49">
        <v>43872.552083333336</v>
      </c>
      <c r="Y529" s="23">
        <v>1.2</v>
      </c>
      <c r="Z529" s="23">
        <v>43872.604166666664</v>
      </c>
      <c r="AA529" s="23">
        <v>1.1000000000000001</v>
      </c>
      <c r="AB529" s="23">
        <v>-8.3299999999999999E-2</v>
      </c>
      <c r="AC529" s="23">
        <v>4821.62</v>
      </c>
      <c r="AD529" s="23">
        <v>8.3299999999999999E-2</v>
      </c>
      <c r="AE529" s="23">
        <v>48216.2</v>
      </c>
      <c r="AF529" s="23">
        <v>57859.45</v>
      </c>
      <c r="AG529" s="23">
        <v>1568444.83</v>
      </c>
      <c r="AH529" s="23">
        <v>6</v>
      </c>
      <c r="AI529" s="23">
        <v>803.6</v>
      </c>
      <c r="AJ529" s="23">
        <v>0</v>
      </c>
      <c r="AK529" s="23">
        <v>8.3299999999999999E-2</v>
      </c>
      <c r="AL529" s="23" t="s">
        <v>24</v>
      </c>
      <c r="AM529" s="23">
        <v>41.9</v>
      </c>
      <c r="AN529" s="23">
        <v>31324.799999999999</v>
      </c>
      <c r="AO529" s="23">
        <v>41.51</v>
      </c>
      <c r="AP529" s="23">
        <v>0</v>
      </c>
      <c r="AR529" s="46"/>
      <c r="AS529" s="44"/>
      <c r="AT529" s="45"/>
      <c r="AU529" s="2">
        <v>43872</v>
      </c>
      <c r="AV529" s="52">
        <v>5.2083333333333336E-2</v>
      </c>
      <c r="AW529" s="2" t="s">
        <v>213</v>
      </c>
      <c r="AY529" s="3"/>
      <c r="BA529" s="3"/>
      <c r="BG529" s="3"/>
      <c r="BH529" s="3"/>
    </row>
    <row r="530" spans="1:60">
      <c r="A530" s="23" t="s">
        <v>22</v>
      </c>
      <c r="B530" s="23" t="s">
        <v>23</v>
      </c>
      <c r="C530" s="27">
        <v>43872.604166666664</v>
      </c>
      <c r="D530" s="23">
        <v>41.6</v>
      </c>
      <c r="E530" s="27">
        <v>43873.385416666664</v>
      </c>
      <c r="F530" s="23">
        <v>41.75</v>
      </c>
      <c r="G530" s="31">
        <v>3.5999999999999999E-3</v>
      </c>
      <c r="H530" s="23">
        <v>-180.76</v>
      </c>
      <c r="I530" s="31">
        <v>-3.5999999999999999E-3</v>
      </c>
      <c r="J530" s="23">
        <v>1205.047</v>
      </c>
      <c r="K530" s="23">
        <v>50129.95</v>
      </c>
      <c r="L530" s="23">
        <v>25690.54</v>
      </c>
      <c r="M530" s="23">
        <v>8</v>
      </c>
      <c r="N530" s="23">
        <v>-22.59</v>
      </c>
      <c r="O530" s="31">
        <v>-4.7999999999999996E-3</v>
      </c>
      <c r="P530" s="31">
        <v>4.7999999999999996E-3</v>
      </c>
      <c r="Q530" s="23" t="s">
        <v>24</v>
      </c>
      <c r="R530" s="23">
        <v>0</v>
      </c>
      <c r="S530" s="23">
        <v>41.95</v>
      </c>
      <c r="U530" s="47">
        <f>VLOOKUP(AU530,[1]expiry_dates!$B$2:$C$2894,2,FALSE)</f>
        <v>43888</v>
      </c>
      <c r="V530" s="23" t="s">
        <v>116</v>
      </c>
      <c r="W530" s="23" t="s">
        <v>23</v>
      </c>
      <c r="X530" s="49">
        <v>43872.604166666664</v>
      </c>
      <c r="Y530" s="23">
        <v>1.1000000000000001</v>
      </c>
      <c r="Z530" s="23">
        <v>43873.385416666664</v>
      </c>
      <c r="AA530" s="23">
        <v>1.05</v>
      </c>
      <c r="AB530" s="23">
        <v>-4.5499999999999999E-2</v>
      </c>
      <c r="AC530" s="23">
        <v>2629.19</v>
      </c>
      <c r="AD530" s="23">
        <v>4.5499999999999999E-2</v>
      </c>
      <c r="AE530" s="23">
        <v>52583.839999999997</v>
      </c>
      <c r="AF530" s="23">
        <v>57842.23</v>
      </c>
      <c r="AG530" s="23">
        <v>1571074.02</v>
      </c>
      <c r="AH530" s="23">
        <v>8</v>
      </c>
      <c r="AI530" s="23">
        <v>328.65</v>
      </c>
      <c r="AJ530" s="23">
        <v>0</v>
      </c>
      <c r="AK530" s="23">
        <v>0.13639999999999999</v>
      </c>
      <c r="AL530" s="23" t="s">
        <v>24</v>
      </c>
      <c r="AM530" s="23">
        <v>41.6</v>
      </c>
      <c r="AN530" s="23">
        <v>31296.65</v>
      </c>
      <c r="AO530" s="23">
        <v>41.95</v>
      </c>
      <c r="AP530" s="23">
        <v>0</v>
      </c>
      <c r="AR530" s="46"/>
      <c r="AS530" s="44"/>
      <c r="AT530" s="45"/>
      <c r="AU530" s="2">
        <v>43872</v>
      </c>
      <c r="AV530" s="52">
        <v>0.10416666666666667</v>
      </c>
      <c r="AW530" s="2" t="s">
        <v>213</v>
      </c>
      <c r="AY530" s="3"/>
      <c r="BA530" s="3"/>
      <c r="BG530" s="3"/>
      <c r="BH530" s="3"/>
    </row>
    <row r="531" spans="1:60">
      <c r="A531" s="23" t="s">
        <v>22</v>
      </c>
      <c r="B531" s="23" t="s">
        <v>25</v>
      </c>
      <c r="C531" s="27">
        <v>43873.385416666664</v>
      </c>
      <c r="D531" s="23">
        <v>41.75</v>
      </c>
      <c r="E531" s="27">
        <v>43873.427083333336</v>
      </c>
      <c r="F531" s="23">
        <v>41.55</v>
      </c>
      <c r="G531" s="31">
        <v>-4.7999999999999996E-3</v>
      </c>
      <c r="H531" s="23">
        <v>-240.14</v>
      </c>
      <c r="I531" s="31">
        <v>-4.7999999999999996E-3</v>
      </c>
      <c r="J531" s="23">
        <v>1200.6890000000001</v>
      </c>
      <c r="K531" s="23">
        <v>50128.75</v>
      </c>
      <c r="L531" s="23">
        <v>25450.400000000001</v>
      </c>
      <c r="M531" s="23">
        <v>5</v>
      </c>
      <c r="N531" s="23">
        <v>-48.03</v>
      </c>
      <c r="O531" s="31">
        <v>-4.7999999999999996E-3</v>
      </c>
      <c r="P531" s="31">
        <v>2.3999999999999998E-3</v>
      </c>
      <c r="Q531" s="23" t="s">
        <v>24</v>
      </c>
      <c r="R531" s="23">
        <v>0</v>
      </c>
      <c r="S531" s="23">
        <v>41.42</v>
      </c>
      <c r="U531" s="47">
        <f>VLOOKUP(AU531,[1]expiry_dates!$B$2:$C$2894,2,FALSE)</f>
        <v>43888</v>
      </c>
      <c r="V531" s="23" t="s">
        <v>113</v>
      </c>
      <c r="W531" s="23" t="s">
        <v>23</v>
      </c>
      <c r="X531" s="49">
        <v>43873.385416666664</v>
      </c>
      <c r="Y531" s="23">
        <v>0.4</v>
      </c>
      <c r="Z531" s="23">
        <v>43873.427083333336</v>
      </c>
      <c r="AA531" s="23">
        <v>0.4</v>
      </c>
      <c r="AB531" s="23">
        <v>0</v>
      </c>
      <c r="AC531" s="23">
        <v>0</v>
      </c>
      <c r="AD531" s="23">
        <v>0</v>
      </c>
      <c r="AE531" s="23">
        <v>144671.29999999999</v>
      </c>
      <c r="AF531" s="23">
        <v>57868.51</v>
      </c>
      <c r="AG531" s="23">
        <v>1571074.02</v>
      </c>
      <c r="AH531" s="23">
        <v>5</v>
      </c>
      <c r="AI531" s="23">
        <v>0</v>
      </c>
      <c r="AJ531" s="23">
        <v>-0.125</v>
      </c>
      <c r="AK531" s="23">
        <v>0.125</v>
      </c>
      <c r="AL531" s="23" t="s">
        <v>24</v>
      </c>
      <c r="AM531" s="23">
        <v>41.75</v>
      </c>
      <c r="AN531" s="23">
        <v>31530.95</v>
      </c>
      <c r="AO531" s="23">
        <v>41.42</v>
      </c>
      <c r="AP531" s="23">
        <v>0</v>
      </c>
      <c r="AR531" s="46"/>
      <c r="AS531" s="44"/>
      <c r="AT531" s="45"/>
      <c r="AU531" s="2">
        <v>43873</v>
      </c>
      <c r="AV531" s="52">
        <v>0.38541666666666669</v>
      </c>
      <c r="AW531" s="2" t="s">
        <v>212</v>
      </c>
      <c r="AY531" s="3"/>
      <c r="BA531" s="3"/>
      <c r="BG531" s="3"/>
      <c r="BH531" s="3"/>
    </row>
    <row r="532" spans="1:60">
      <c r="A532" s="23" t="s">
        <v>22</v>
      </c>
      <c r="B532" s="23" t="s">
        <v>23</v>
      </c>
      <c r="C532" s="27">
        <v>43873.427083333336</v>
      </c>
      <c r="D532" s="23">
        <v>41.55</v>
      </c>
      <c r="E532" s="27">
        <v>43874.46875</v>
      </c>
      <c r="F532" s="23">
        <v>40.9</v>
      </c>
      <c r="G532" s="31">
        <v>-1.5599999999999999E-2</v>
      </c>
      <c r="H532" s="23">
        <v>784.19</v>
      </c>
      <c r="I532" s="31">
        <v>1.5599999999999999E-2</v>
      </c>
      <c r="J532" s="23">
        <v>1206.4390000000001</v>
      </c>
      <c r="K532" s="23">
        <v>50127.55</v>
      </c>
      <c r="L532" s="23">
        <v>26234.59</v>
      </c>
      <c r="M532" s="23">
        <v>33</v>
      </c>
      <c r="N532" s="23">
        <v>23.76</v>
      </c>
      <c r="O532" s="31">
        <v>-1.1999999999999999E-3</v>
      </c>
      <c r="P532" s="31">
        <v>2.1700000000000001E-2</v>
      </c>
      <c r="Q532" s="23" t="s">
        <v>24</v>
      </c>
      <c r="R532" s="23">
        <v>0</v>
      </c>
      <c r="S532" s="23">
        <v>41.84</v>
      </c>
      <c r="U532" s="47">
        <f>VLOOKUP(AU532,[1]expiry_dates!$B$2:$C$2894,2,FALSE)</f>
        <v>43888</v>
      </c>
      <c r="V532" s="23" t="s">
        <v>116</v>
      </c>
      <c r="W532" s="23" t="s">
        <v>23</v>
      </c>
      <c r="X532" s="49">
        <v>43873.427083333336</v>
      </c>
      <c r="Y532" s="23">
        <v>0.9</v>
      </c>
      <c r="Z532" s="23">
        <v>43874.46875</v>
      </c>
      <c r="AA532" s="23">
        <v>0.7</v>
      </c>
      <c r="AB532" s="23">
        <v>-0.22220000000000001</v>
      </c>
      <c r="AC532" s="23">
        <v>12848.71</v>
      </c>
      <c r="AD532" s="23">
        <v>0.22220000000000001</v>
      </c>
      <c r="AE532" s="23">
        <v>64243.56</v>
      </c>
      <c r="AF532" s="23">
        <v>57819.199999999997</v>
      </c>
      <c r="AG532" s="23">
        <v>1583922.73</v>
      </c>
      <c r="AH532" s="23">
        <v>33</v>
      </c>
      <c r="AI532" s="23">
        <v>389.35</v>
      </c>
      <c r="AJ532" s="23">
        <v>-5.5599999999999997E-2</v>
      </c>
      <c r="AK532" s="23">
        <v>0.33329999999999999</v>
      </c>
      <c r="AL532" s="23" t="s">
        <v>24</v>
      </c>
      <c r="AM532" s="23">
        <v>41.55</v>
      </c>
      <c r="AN532" s="23">
        <v>31549.5</v>
      </c>
      <c r="AO532" s="23">
        <v>41.84</v>
      </c>
      <c r="AP532" s="23">
        <v>0</v>
      </c>
      <c r="AR532" s="46"/>
      <c r="AS532" s="44"/>
      <c r="AT532" s="45"/>
      <c r="AU532" s="2">
        <v>43873</v>
      </c>
      <c r="AV532" s="52">
        <v>0.42708333333333331</v>
      </c>
      <c r="AW532" s="2" t="s">
        <v>212</v>
      </c>
      <c r="AY532" s="3"/>
      <c r="BA532" s="3"/>
      <c r="BG532" s="3"/>
      <c r="BH532" s="3"/>
    </row>
    <row r="533" spans="1:60">
      <c r="A533" s="23" t="s">
        <v>22</v>
      </c>
      <c r="B533" s="23" t="s">
        <v>25</v>
      </c>
      <c r="C533" s="27">
        <v>43874.46875</v>
      </c>
      <c r="D533" s="23">
        <v>40.9</v>
      </c>
      <c r="E533" s="27">
        <v>43874.5625</v>
      </c>
      <c r="F533" s="23">
        <v>40.799999999999997</v>
      </c>
      <c r="G533" s="31">
        <v>-2.3999999999999998E-3</v>
      </c>
      <c r="H533" s="23">
        <v>-122.57</v>
      </c>
      <c r="I533" s="31">
        <v>-2.3999999999999998E-3</v>
      </c>
      <c r="J533" s="23">
        <v>1225.701</v>
      </c>
      <c r="K533" s="23">
        <v>50131.18</v>
      </c>
      <c r="L533" s="23">
        <v>26112.02</v>
      </c>
      <c r="M533" s="23">
        <v>10</v>
      </c>
      <c r="N533" s="23">
        <v>-12.26</v>
      </c>
      <c r="O533" s="31">
        <v>-2.3999999999999998E-3</v>
      </c>
      <c r="P533" s="31">
        <v>4.8999999999999998E-3</v>
      </c>
      <c r="Q533" s="23" t="s">
        <v>24</v>
      </c>
      <c r="R533" s="23">
        <v>0</v>
      </c>
      <c r="S533" s="23">
        <v>40.65</v>
      </c>
      <c r="U533" s="47">
        <f>VLOOKUP(AU533,[1]expiry_dates!$B$2:$C$2894,2,FALSE)</f>
        <v>43888</v>
      </c>
      <c r="V533" s="23" t="s">
        <v>113</v>
      </c>
      <c r="W533" s="23" t="s">
        <v>23</v>
      </c>
      <c r="X533" s="49">
        <v>43874.46875</v>
      </c>
      <c r="Y533" s="23">
        <v>0.55000000000000004</v>
      </c>
      <c r="Z533" s="23">
        <v>43874.5625</v>
      </c>
      <c r="AA533" s="23">
        <v>0.6</v>
      </c>
      <c r="AB533" s="23">
        <v>9.0899999999999995E-2</v>
      </c>
      <c r="AC533" s="23">
        <v>-5265.42</v>
      </c>
      <c r="AD533" s="23">
        <v>-9.0899999999999995E-2</v>
      </c>
      <c r="AE533" s="23">
        <v>105308.4</v>
      </c>
      <c r="AF533" s="23">
        <v>57919.61</v>
      </c>
      <c r="AG533" s="23">
        <v>1578657.31</v>
      </c>
      <c r="AH533" s="23">
        <v>10</v>
      </c>
      <c r="AI533" s="23">
        <v>-526.54</v>
      </c>
      <c r="AJ533" s="23">
        <v>-9.0899999999999995E-2</v>
      </c>
      <c r="AK533" s="23">
        <v>0</v>
      </c>
      <c r="AL533" s="23" t="s">
        <v>24</v>
      </c>
      <c r="AM533" s="23">
        <v>40.9</v>
      </c>
      <c r="AN533" s="23">
        <v>31328.3</v>
      </c>
      <c r="AO533" s="23">
        <v>40.65</v>
      </c>
      <c r="AP533" s="23">
        <v>0</v>
      </c>
      <c r="AR533" s="46"/>
      <c r="AS533" s="44"/>
      <c r="AT533" s="45"/>
      <c r="AU533" s="2">
        <v>43874</v>
      </c>
      <c r="AV533" s="52">
        <v>0.46875</v>
      </c>
      <c r="AW533" s="2" t="s">
        <v>212</v>
      </c>
      <c r="AY533" s="3"/>
      <c r="BA533" s="3"/>
      <c r="BG533" s="3"/>
      <c r="BH533" s="3"/>
    </row>
    <row r="534" spans="1:60">
      <c r="A534" s="23" t="s">
        <v>22</v>
      </c>
      <c r="B534" s="23" t="s">
        <v>23</v>
      </c>
      <c r="C534" s="27">
        <v>43874.5625</v>
      </c>
      <c r="D534" s="23">
        <v>40.799999999999997</v>
      </c>
      <c r="E534" s="27">
        <v>43875.385416666664</v>
      </c>
      <c r="F534" s="23">
        <v>41.1</v>
      </c>
      <c r="G534" s="31">
        <v>7.4000000000000003E-3</v>
      </c>
      <c r="H534" s="23">
        <v>-368.61</v>
      </c>
      <c r="I534" s="31">
        <v>-7.4000000000000003E-3</v>
      </c>
      <c r="J534" s="23">
        <v>1228.69</v>
      </c>
      <c r="K534" s="23">
        <v>50130.559999999998</v>
      </c>
      <c r="L534" s="23">
        <v>25743.41</v>
      </c>
      <c r="M534" s="23">
        <v>12</v>
      </c>
      <c r="N534" s="23">
        <v>-30.72</v>
      </c>
      <c r="O534" s="31">
        <v>-7.4000000000000003E-3</v>
      </c>
      <c r="P534" s="31">
        <v>0</v>
      </c>
      <c r="Q534" s="23" t="s">
        <v>24</v>
      </c>
      <c r="R534" s="23">
        <v>0</v>
      </c>
      <c r="S534" s="23">
        <v>41.09</v>
      </c>
      <c r="U534" s="47">
        <f>VLOOKUP(AU534,[1]expiry_dates!$B$2:$C$2894,2,FALSE)</f>
        <v>43888</v>
      </c>
      <c r="V534" s="23" t="s">
        <v>136</v>
      </c>
      <c r="W534" s="23" t="s">
        <v>23</v>
      </c>
      <c r="X534" s="49">
        <v>43874.5625</v>
      </c>
      <c r="Y534" s="23">
        <v>1</v>
      </c>
      <c r="Z534" s="23">
        <v>43875.385416666664</v>
      </c>
      <c r="AA534" s="23">
        <v>1.05</v>
      </c>
      <c r="AB534" s="23">
        <v>0.05</v>
      </c>
      <c r="AC534" s="23">
        <v>-2894.66</v>
      </c>
      <c r="AD534" s="23">
        <v>-0.05</v>
      </c>
      <c r="AE534" s="23">
        <v>57893.29</v>
      </c>
      <c r="AF534" s="23">
        <v>57893.29</v>
      </c>
      <c r="AG534" s="23">
        <v>1575762.65</v>
      </c>
      <c r="AH534" s="23">
        <v>12</v>
      </c>
      <c r="AI534" s="23">
        <v>-241.22</v>
      </c>
      <c r="AJ534" s="23">
        <v>-0.05</v>
      </c>
      <c r="AK534" s="23">
        <v>0</v>
      </c>
      <c r="AL534" s="23" t="s">
        <v>24</v>
      </c>
      <c r="AM534" s="23">
        <v>40.799999999999997</v>
      </c>
      <c r="AN534" s="23">
        <v>31199.7</v>
      </c>
      <c r="AO534" s="23">
        <v>41.09</v>
      </c>
      <c r="AP534" s="23">
        <v>0</v>
      </c>
      <c r="AR534" s="46"/>
      <c r="AS534" s="44"/>
      <c r="AT534" s="45"/>
      <c r="AU534" s="2">
        <v>43874</v>
      </c>
      <c r="AV534" s="52">
        <v>6.25E-2</v>
      </c>
      <c r="AW534" s="2" t="s">
        <v>213</v>
      </c>
      <c r="AY534" s="3"/>
      <c r="BA534" s="3"/>
      <c r="BG534" s="3"/>
      <c r="BH534" s="3"/>
    </row>
    <row r="535" spans="1:60">
      <c r="A535" s="23" t="s">
        <v>22</v>
      </c>
      <c r="B535" s="23" t="s">
        <v>25</v>
      </c>
      <c r="C535" s="27">
        <v>43875.385416666664</v>
      </c>
      <c r="D535" s="23">
        <v>41.1</v>
      </c>
      <c r="E535" s="27">
        <v>43875.447916666664</v>
      </c>
      <c r="F535" s="23">
        <v>40.700000000000003</v>
      </c>
      <c r="G535" s="31">
        <v>-9.7000000000000003E-3</v>
      </c>
      <c r="H535" s="23">
        <v>-487.89</v>
      </c>
      <c r="I535" s="31">
        <v>-9.7000000000000003E-3</v>
      </c>
      <c r="J535" s="23">
        <v>1219.7139999999999</v>
      </c>
      <c r="K535" s="23">
        <v>50130.25</v>
      </c>
      <c r="L535" s="23">
        <v>25255.53</v>
      </c>
      <c r="M535" s="23">
        <v>7</v>
      </c>
      <c r="N535" s="23">
        <v>-69.7</v>
      </c>
      <c r="O535" s="31">
        <v>-9.7000000000000003E-3</v>
      </c>
      <c r="P535" s="31">
        <v>1.2200000000000001E-2</v>
      </c>
      <c r="Q535" s="23" t="s">
        <v>24</v>
      </c>
      <c r="R535" s="23">
        <v>0</v>
      </c>
      <c r="S535" s="23">
        <v>40.75</v>
      </c>
      <c r="U535" s="47">
        <f>VLOOKUP(AU535,[1]expiry_dates!$B$2:$C$2894,2,FALSE)</f>
        <v>43888</v>
      </c>
      <c r="V535" s="23" t="s">
        <v>137</v>
      </c>
      <c r="W535" s="23" t="s">
        <v>23</v>
      </c>
      <c r="X535" s="49">
        <v>43875.385416666664</v>
      </c>
      <c r="Y535" s="23">
        <v>0.25</v>
      </c>
      <c r="Z535" s="23">
        <v>43875.447916666664</v>
      </c>
      <c r="AA535" s="23">
        <v>0.3</v>
      </c>
      <c r="AB535" s="23">
        <v>0.2</v>
      </c>
      <c r="AC535" s="23">
        <v>-11578.66</v>
      </c>
      <c r="AD535" s="23">
        <v>-0.2</v>
      </c>
      <c r="AE535" s="23">
        <v>231573.1</v>
      </c>
      <c r="AF535" s="23">
        <v>57893.29</v>
      </c>
      <c r="AG535" s="23">
        <v>1564183.99</v>
      </c>
      <c r="AH535" s="23">
        <v>7</v>
      </c>
      <c r="AI535" s="23">
        <v>-1654.09</v>
      </c>
      <c r="AJ535" s="23">
        <v>-0.2</v>
      </c>
      <c r="AK535" s="23">
        <v>0.2</v>
      </c>
      <c r="AL535" s="23" t="s">
        <v>24</v>
      </c>
      <c r="AM535" s="23">
        <v>41.1</v>
      </c>
      <c r="AN535" s="23">
        <v>31378.35</v>
      </c>
      <c r="AO535" s="23">
        <v>40.75</v>
      </c>
      <c r="AP535" s="23">
        <v>0</v>
      </c>
      <c r="AR535" s="46"/>
      <c r="AS535" s="44"/>
      <c r="AT535" s="45"/>
      <c r="AU535" s="2">
        <v>43875</v>
      </c>
      <c r="AV535" s="52">
        <v>0.38541666666666669</v>
      </c>
      <c r="AW535" s="2" t="s">
        <v>212</v>
      </c>
      <c r="AY535" s="3"/>
      <c r="BA535" s="3"/>
      <c r="BG535" s="3"/>
      <c r="BH535" s="3"/>
    </row>
    <row r="536" spans="1:60">
      <c r="A536" s="23" t="s">
        <v>22</v>
      </c>
      <c r="B536" s="23" t="s">
        <v>23</v>
      </c>
      <c r="C536" s="27">
        <v>43875.447916666664</v>
      </c>
      <c r="D536" s="23">
        <v>40.700000000000003</v>
      </c>
      <c r="E536" s="27">
        <v>43879.625</v>
      </c>
      <c r="F536" s="23">
        <v>38.6</v>
      </c>
      <c r="G536" s="31">
        <v>-5.16E-2</v>
      </c>
      <c r="H536" s="23">
        <v>2586.59</v>
      </c>
      <c r="I536" s="31">
        <v>5.16E-2</v>
      </c>
      <c r="J536" s="23">
        <v>1231.7090000000001</v>
      </c>
      <c r="K536" s="23">
        <v>50130.55</v>
      </c>
      <c r="L536" s="23">
        <v>27842.12</v>
      </c>
      <c r="M536" s="23">
        <v>74</v>
      </c>
      <c r="N536" s="23">
        <v>34.950000000000003</v>
      </c>
      <c r="O536" s="31">
        <v>-1.72E-2</v>
      </c>
      <c r="P536" s="31">
        <v>7.2499999999999995E-2</v>
      </c>
      <c r="Q536" s="23" t="s">
        <v>24</v>
      </c>
      <c r="R536" s="23">
        <v>0</v>
      </c>
      <c r="S536" s="23">
        <v>41.58</v>
      </c>
      <c r="U536" s="47">
        <f>VLOOKUP(AU536,[1]expiry_dates!$B$2:$C$2894,2,FALSE)</f>
        <v>43888</v>
      </c>
      <c r="V536" s="23" t="s">
        <v>136</v>
      </c>
      <c r="W536" s="23" t="s">
        <v>23</v>
      </c>
      <c r="X536" s="49">
        <v>43875.447916666664</v>
      </c>
      <c r="Y536" s="23">
        <v>0.85</v>
      </c>
      <c r="Z536" s="23">
        <v>43879.625</v>
      </c>
      <c r="AA536" s="23">
        <v>0.25</v>
      </c>
      <c r="AB536" s="23">
        <v>-0.70589999999999997</v>
      </c>
      <c r="AC536" s="23">
        <v>40896.5</v>
      </c>
      <c r="AD536" s="23">
        <v>0.70589999999999997</v>
      </c>
      <c r="AE536" s="23">
        <v>68160.83</v>
      </c>
      <c r="AF536" s="23">
        <v>57936.71</v>
      </c>
      <c r="AG536" s="23">
        <v>1605080.49</v>
      </c>
      <c r="AH536" s="23">
        <v>74</v>
      </c>
      <c r="AI536" s="23">
        <v>552.66</v>
      </c>
      <c r="AJ536" s="23">
        <v>-0.4118</v>
      </c>
      <c r="AK536" s="23">
        <v>0.82350000000000001</v>
      </c>
      <c r="AL536" s="23" t="s">
        <v>24</v>
      </c>
      <c r="AM536" s="23">
        <v>40.700000000000003</v>
      </c>
      <c r="AN536" s="23">
        <v>30947</v>
      </c>
      <c r="AO536" s="23">
        <v>41.58</v>
      </c>
      <c r="AP536" s="23">
        <v>0</v>
      </c>
      <c r="AR536" s="46"/>
      <c r="AS536" s="44"/>
      <c r="AT536" s="45"/>
      <c r="AU536" s="2">
        <v>43875</v>
      </c>
      <c r="AV536" s="52">
        <v>0.44791666666666669</v>
      </c>
      <c r="AW536" s="2" t="s">
        <v>212</v>
      </c>
      <c r="AY536" s="3"/>
      <c r="BA536" s="3"/>
      <c r="BG536" s="3"/>
      <c r="BH536" s="3"/>
    </row>
    <row r="537" spans="1:60">
      <c r="A537" s="23" t="s">
        <v>22</v>
      </c>
      <c r="B537" s="23" t="s">
        <v>25</v>
      </c>
      <c r="C537" s="27">
        <v>43879.625</v>
      </c>
      <c r="D537" s="23">
        <v>38.6</v>
      </c>
      <c r="E537" s="27">
        <v>43881.572916666664</v>
      </c>
      <c r="F537" s="23">
        <v>40.35</v>
      </c>
      <c r="G537" s="31">
        <v>4.53E-2</v>
      </c>
      <c r="H537" s="23">
        <v>2273.3200000000002</v>
      </c>
      <c r="I537" s="31">
        <v>4.53E-2</v>
      </c>
      <c r="J537" s="23">
        <v>1299.039</v>
      </c>
      <c r="K537" s="23">
        <v>50142.91</v>
      </c>
      <c r="L537" s="23">
        <v>30115.43</v>
      </c>
      <c r="M537" s="23">
        <v>52</v>
      </c>
      <c r="N537" s="23">
        <v>43.72</v>
      </c>
      <c r="O537" s="31">
        <v>-1.6799999999999999E-2</v>
      </c>
      <c r="P537" s="31">
        <v>5.8299999999999998E-2</v>
      </c>
      <c r="Q537" s="23" t="s">
        <v>24</v>
      </c>
      <c r="R537" s="23">
        <v>0</v>
      </c>
      <c r="S537" s="23">
        <v>37.78</v>
      </c>
      <c r="U537" s="47">
        <f>VLOOKUP(AU537,[1]expiry_dates!$B$2:$C$2894,2,FALSE)</f>
        <v>43888</v>
      </c>
      <c r="V537" s="23" t="s">
        <v>137</v>
      </c>
      <c r="W537" s="23" t="s">
        <v>23</v>
      </c>
      <c r="X537" s="49">
        <v>43879.625</v>
      </c>
      <c r="Y537" s="23">
        <v>0.95</v>
      </c>
      <c r="Z537" s="23">
        <v>43881.572916666664</v>
      </c>
      <c r="AA537" s="23">
        <v>0.2</v>
      </c>
      <c r="AB537" s="23">
        <v>-0.78949999999999998</v>
      </c>
      <c r="AC537" s="23">
        <v>45836.43</v>
      </c>
      <c r="AD537" s="23">
        <v>0.78949999999999998</v>
      </c>
      <c r="AE537" s="23">
        <v>61115.25</v>
      </c>
      <c r="AF537" s="23">
        <v>58059.48</v>
      </c>
      <c r="AG537" s="23">
        <v>1650916.92</v>
      </c>
      <c r="AH537" s="23">
        <v>52</v>
      </c>
      <c r="AI537" s="23">
        <v>881.47</v>
      </c>
      <c r="AJ537" s="23">
        <v>-0.36840000000000001</v>
      </c>
      <c r="AK537" s="23">
        <v>0.84209999999999996</v>
      </c>
      <c r="AL537" s="23" t="s">
        <v>24</v>
      </c>
      <c r="AM537" s="23">
        <v>38.6</v>
      </c>
      <c r="AN537" s="23">
        <v>30615.200000000001</v>
      </c>
      <c r="AO537" s="23">
        <v>37.78</v>
      </c>
      <c r="AP537" s="23">
        <v>0</v>
      </c>
      <c r="AR537" s="46"/>
      <c r="AS537" s="44"/>
      <c r="AT537" s="45"/>
      <c r="AU537" s="2">
        <v>43879</v>
      </c>
      <c r="AV537" s="52">
        <v>0.125</v>
      </c>
      <c r="AW537" s="2" t="s">
        <v>213</v>
      </c>
      <c r="AY537" s="3"/>
      <c r="BA537" s="3"/>
      <c r="BG537" s="3"/>
      <c r="BH537" s="3"/>
    </row>
    <row r="538" spans="1:60">
      <c r="A538" s="23" t="s">
        <v>22</v>
      </c>
      <c r="B538" s="23" t="s">
        <v>23</v>
      </c>
      <c r="C538" s="27">
        <v>43881.572916666664</v>
      </c>
      <c r="D538" s="23">
        <v>40.35</v>
      </c>
      <c r="E538" s="27">
        <v>43885.479166666664</v>
      </c>
      <c r="F538" s="23">
        <v>40.049999999999997</v>
      </c>
      <c r="G538" s="31">
        <v>-7.4000000000000003E-3</v>
      </c>
      <c r="H538" s="23">
        <v>372.87</v>
      </c>
      <c r="I538" s="31">
        <v>7.4000000000000003E-3</v>
      </c>
      <c r="J538" s="23">
        <v>1242.905</v>
      </c>
      <c r="K538" s="23">
        <v>50151.23</v>
      </c>
      <c r="L538" s="23">
        <v>30488.31</v>
      </c>
      <c r="M538" s="23">
        <v>20</v>
      </c>
      <c r="N538" s="23">
        <v>18.64</v>
      </c>
      <c r="O538" s="31">
        <v>-3.7000000000000002E-3</v>
      </c>
      <c r="P538" s="31">
        <v>2.23E-2</v>
      </c>
      <c r="Q538" s="23" t="s">
        <v>24</v>
      </c>
      <c r="R538" s="23">
        <v>0</v>
      </c>
      <c r="S538" s="23">
        <v>40.85</v>
      </c>
      <c r="U538" s="47">
        <f>VLOOKUP(AU538,[1]expiry_dates!$B$2:$C$2894,2,FALSE)</f>
        <v>43888</v>
      </c>
      <c r="V538" s="23" t="s">
        <v>139</v>
      </c>
      <c r="W538" s="23" t="s">
        <v>23</v>
      </c>
      <c r="X538" s="49">
        <v>43881.572916666664</v>
      </c>
      <c r="Y538" s="23">
        <v>0.9</v>
      </c>
      <c r="Z538" s="23">
        <v>43885.479166666664</v>
      </c>
      <c r="AA538" s="23">
        <v>0.65</v>
      </c>
      <c r="AB538" s="23">
        <v>-0.27779999999999999</v>
      </c>
      <c r="AC538" s="23">
        <v>16181.83</v>
      </c>
      <c r="AD538" s="23">
        <v>0.27779999999999999</v>
      </c>
      <c r="AE538" s="23">
        <v>64727.32</v>
      </c>
      <c r="AF538" s="23">
        <v>58254.58</v>
      </c>
      <c r="AG538" s="23">
        <v>1667098.75</v>
      </c>
      <c r="AH538" s="23">
        <v>20</v>
      </c>
      <c r="AI538" s="23">
        <v>809.09</v>
      </c>
      <c r="AJ538" s="23">
        <v>-0.16669999999999999</v>
      </c>
      <c r="AK538" s="23">
        <v>0.5</v>
      </c>
      <c r="AL538" s="23" t="s">
        <v>24</v>
      </c>
      <c r="AM538" s="23">
        <v>40.35</v>
      </c>
      <c r="AN538" s="23">
        <v>30994.3</v>
      </c>
      <c r="AO538" s="23">
        <v>40.85</v>
      </c>
      <c r="AP538" s="23">
        <v>0</v>
      </c>
      <c r="AR538" s="46"/>
      <c r="AS538" s="44"/>
      <c r="AT538" s="45"/>
      <c r="AU538" s="2">
        <v>43881</v>
      </c>
      <c r="AV538" s="52">
        <v>7.2916666666666671E-2</v>
      </c>
      <c r="AW538" s="2" t="s">
        <v>213</v>
      </c>
      <c r="AY538" s="3"/>
      <c r="BA538" s="3"/>
      <c r="BG538" s="3"/>
      <c r="BH538" s="3"/>
    </row>
    <row r="539" spans="1:60">
      <c r="A539" s="23" t="s">
        <v>22</v>
      </c>
      <c r="B539" s="23" t="s">
        <v>25</v>
      </c>
      <c r="C539" s="27">
        <v>43885.479166666664</v>
      </c>
      <c r="D539" s="23">
        <v>40.049999999999997</v>
      </c>
      <c r="E539" s="27">
        <v>43885.541666666664</v>
      </c>
      <c r="F539" s="23">
        <v>39.75</v>
      </c>
      <c r="G539" s="31">
        <v>-7.4999999999999997E-3</v>
      </c>
      <c r="H539" s="23">
        <v>-375.68</v>
      </c>
      <c r="I539" s="31">
        <v>-7.4999999999999997E-3</v>
      </c>
      <c r="J539" s="23">
        <v>1252.261</v>
      </c>
      <c r="K539" s="23">
        <v>50153.06</v>
      </c>
      <c r="L539" s="23">
        <v>30112.63</v>
      </c>
      <c r="M539" s="23">
        <v>7</v>
      </c>
      <c r="N539" s="23">
        <v>-53.67</v>
      </c>
      <c r="O539" s="31">
        <v>-7.4999999999999997E-3</v>
      </c>
      <c r="P539" s="31">
        <v>2.5000000000000001E-3</v>
      </c>
      <c r="Q539" s="23" t="s">
        <v>24</v>
      </c>
      <c r="R539" s="23">
        <v>0</v>
      </c>
      <c r="S539" s="23">
        <v>39.46</v>
      </c>
      <c r="U539" s="47">
        <f>VLOOKUP(AU539,[1]expiry_dates!$B$2:$C$2894,2,FALSE)</f>
        <v>43888</v>
      </c>
      <c r="V539" s="23" t="s">
        <v>113</v>
      </c>
      <c r="W539" s="23" t="s">
        <v>23</v>
      </c>
      <c r="X539" s="49">
        <v>43885.479166666664</v>
      </c>
      <c r="Y539" s="23">
        <v>0.55000000000000004</v>
      </c>
      <c r="Z539" s="23">
        <v>43885.541666666664</v>
      </c>
      <c r="AA539" s="23">
        <v>0.7</v>
      </c>
      <c r="AB539" s="23">
        <v>0.2727</v>
      </c>
      <c r="AC539" s="23">
        <v>-15918.51</v>
      </c>
      <c r="AD539" s="23">
        <v>-0.2727</v>
      </c>
      <c r="AE539" s="23">
        <v>106123.4</v>
      </c>
      <c r="AF539" s="23">
        <v>58367.86</v>
      </c>
      <c r="AG539" s="23">
        <v>1651180.24</v>
      </c>
      <c r="AH539" s="23">
        <v>7</v>
      </c>
      <c r="AI539" s="23">
        <v>-2274.0700000000002</v>
      </c>
      <c r="AJ539" s="23">
        <v>-0.2727</v>
      </c>
      <c r="AK539" s="23">
        <v>9.0899999999999995E-2</v>
      </c>
      <c r="AL539" s="23" t="s">
        <v>24</v>
      </c>
      <c r="AM539" s="23">
        <v>40.049999999999997</v>
      </c>
      <c r="AN539" s="23">
        <v>30614.799999999999</v>
      </c>
      <c r="AO539" s="23">
        <v>39.46</v>
      </c>
      <c r="AP539" s="23">
        <v>0</v>
      </c>
      <c r="AR539" s="46"/>
      <c r="AS539" s="44"/>
      <c r="AT539" s="45"/>
      <c r="AU539" s="2">
        <v>43885</v>
      </c>
      <c r="AV539" s="52">
        <v>0.47916666666666669</v>
      </c>
      <c r="AW539" s="2" t="s">
        <v>212</v>
      </c>
      <c r="AY539" s="3"/>
      <c r="BA539" s="3"/>
      <c r="BG539" s="3"/>
      <c r="BH539" s="3"/>
    </row>
    <row r="540" spans="1:60">
      <c r="A540" s="23" t="s">
        <v>22</v>
      </c>
      <c r="B540" s="23" t="s">
        <v>23</v>
      </c>
      <c r="C540" s="27">
        <v>43885.541666666664</v>
      </c>
      <c r="D540" s="23">
        <v>39.75</v>
      </c>
      <c r="E540" s="27">
        <v>43886.5</v>
      </c>
      <c r="F540" s="23">
        <v>39.75</v>
      </c>
      <c r="G540" s="31">
        <v>0</v>
      </c>
      <c r="H540" s="23">
        <v>0</v>
      </c>
      <c r="I540" s="31">
        <v>0</v>
      </c>
      <c r="J540" s="23">
        <v>1261.6569999999999</v>
      </c>
      <c r="K540" s="23">
        <v>50150.879999999997</v>
      </c>
      <c r="L540" s="23">
        <v>30112.63</v>
      </c>
      <c r="M540" s="23">
        <v>25</v>
      </c>
      <c r="N540" s="23">
        <v>0</v>
      </c>
      <c r="O540" s="31">
        <v>-2.5000000000000001E-3</v>
      </c>
      <c r="P540" s="31">
        <v>2.2599999999999999E-2</v>
      </c>
      <c r="Q540" s="23" t="s">
        <v>24</v>
      </c>
      <c r="R540" s="23">
        <v>0</v>
      </c>
      <c r="S540" s="23">
        <v>40.14</v>
      </c>
      <c r="U540" s="47">
        <f>VLOOKUP(AU540,[1]expiry_dates!$B$2:$C$2894,2,FALSE)</f>
        <v>43888</v>
      </c>
      <c r="V540" s="23" t="s">
        <v>139</v>
      </c>
      <c r="W540" s="23" t="s">
        <v>23</v>
      </c>
      <c r="X540" s="49">
        <v>43885.541666666664</v>
      </c>
      <c r="Y540" s="23">
        <v>0.5</v>
      </c>
      <c r="Z540" s="23">
        <v>43886.5</v>
      </c>
      <c r="AA540" s="23">
        <v>0.5</v>
      </c>
      <c r="AB540" s="23">
        <v>0</v>
      </c>
      <c r="AC540" s="23">
        <v>0</v>
      </c>
      <c r="AD540" s="23">
        <v>0</v>
      </c>
      <c r="AE540" s="23">
        <v>116511.8</v>
      </c>
      <c r="AF540" s="23">
        <v>58255.9</v>
      </c>
      <c r="AG540" s="23">
        <v>1651180.24</v>
      </c>
      <c r="AH540" s="23">
        <v>25</v>
      </c>
      <c r="AI540" s="23">
        <v>0</v>
      </c>
      <c r="AJ540" s="23">
        <v>-0.1</v>
      </c>
      <c r="AK540" s="23">
        <v>0.6</v>
      </c>
      <c r="AL540" s="23" t="s">
        <v>24</v>
      </c>
      <c r="AM540" s="23">
        <v>39.75</v>
      </c>
      <c r="AN540" s="23">
        <v>30634.3</v>
      </c>
      <c r="AO540" s="23">
        <v>40.14</v>
      </c>
      <c r="AP540" s="23">
        <v>0</v>
      </c>
      <c r="AR540" s="46"/>
      <c r="AS540" s="44"/>
      <c r="AT540" s="45"/>
      <c r="AU540" s="2">
        <v>43885</v>
      </c>
      <c r="AV540" s="52">
        <v>4.1666666666666664E-2</v>
      </c>
      <c r="AW540" s="2" t="s">
        <v>213</v>
      </c>
      <c r="AY540" s="3"/>
      <c r="BA540" s="3"/>
      <c r="BG540" s="3"/>
      <c r="BH540" s="3"/>
    </row>
    <row r="541" spans="1:60">
      <c r="A541" s="23" t="s">
        <v>22</v>
      </c>
      <c r="B541" s="23" t="s">
        <v>25</v>
      </c>
      <c r="C541" s="27">
        <v>43886.5</v>
      </c>
      <c r="D541" s="23">
        <v>39.75</v>
      </c>
      <c r="E541" s="27">
        <v>43886.552083333336</v>
      </c>
      <c r="F541" s="23">
        <v>39.299999999999997</v>
      </c>
      <c r="G541" s="31">
        <v>-1.1299999999999999E-2</v>
      </c>
      <c r="H541" s="23">
        <v>-567.77</v>
      </c>
      <c r="I541" s="31">
        <v>-1.1299999999999999E-2</v>
      </c>
      <c r="J541" s="23">
        <v>1261.713</v>
      </c>
      <c r="K541" s="23">
        <v>50153.09</v>
      </c>
      <c r="L541" s="23">
        <v>29544.86</v>
      </c>
      <c r="M541" s="23">
        <v>6</v>
      </c>
      <c r="N541" s="23">
        <v>-94.63</v>
      </c>
      <c r="O541" s="31">
        <v>-1.6400000000000001E-2</v>
      </c>
      <c r="P541" s="31">
        <v>2.5000000000000001E-3</v>
      </c>
      <c r="Q541" s="23" t="s">
        <v>24</v>
      </c>
      <c r="R541" s="23">
        <v>0</v>
      </c>
      <c r="S541" s="23">
        <v>38.89</v>
      </c>
      <c r="U541" s="47">
        <f>VLOOKUP(AU541,[1]expiry_dates!$B$2:$C$2894,2,FALSE)</f>
        <v>43888</v>
      </c>
      <c r="V541" s="23" t="s">
        <v>113</v>
      </c>
      <c r="W541" s="23" t="s">
        <v>23</v>
      </c>
      <c r="X541" s="49">
        <v>43886.5</v>
      </c>
      <c r="Y541" s="23">
        <v>0.65</v>
      </c>
      <c r="Z541" s="23">
        <v>43886.552083333336</v>
      </c>
      <c r="AA541" s="23">
        <v>0.95</v>
      </c>
      <c r="AB541" s="23">
        <v>0.46150000000000002</v>
      </c>
      <c r="AC541" s="23">
        <v>-26927.67</v>
      </c>
      <c r="AD541" s="23">
        <v>-0.46150000000000002</v>
      </c>
      <c r="AE541" s="23">
        <v>89758.91</v>
      </c>
      <c r="AF541" s="23">
        <v>58343.29</v>
      </c>
      <c r="AG541" s="23">
        <v>1624252.57</v>
      </c>
      <c r="AH541" s="23">
        <v>6</v>
      </c>
      <c r="AI541" s="23">
        <v>-4487.95</v>
      </c>
      <c r="AJ541" s="23">
        <v>-0.46150000000000002</v>
      </c>
      <c r="AK541" s="23">
        <v>0</v>
      </c>
      <c r="AL541" s="23" t="s">
        <v>24</v>
      </c>
      <c r="AM541" s="23">
        <v>39.75</v>
      </c>
      <c r="AN541" s="23">
        <v>30583.599999999999</v>
      </c>
      <c r="AO541" s="23">
        <v>38.89</v>
      </c>
      <c r="AP541" s="23">
        <v>0</v>
      </c>
      <c r="AR541" s="46"/>
      <c r="AS541" s="44"/>
      <c r="AT541" s="45"/>
      <c r="AU541" s="2">
        <v>43886</v>
      </c>
      <c r="AV541" s="52">
        <v>0.5</v>
      </c>
      <c r="AW541" s="2" t="s">
        <v>213</v>
      </c>
      <c r="AY541" s="3"/>
      <c r="BA541" s="3"/>
      <c r="BG541" s="3"/>
      <c r="BH541" s="3"/>
    </row>
    <row r="542" spans="1:60">
      <c r="A542" s="23" t="s">
        <v>22</v>
      </c>
      <c r="B542" s="23" t="s">
        <v>23</v>
      </c>
      <c r="C542" s="27">
        <v>43886.552083333336</v>
      </c>
      <c r="D542" s="23">
        <v>39.299999999999997</v>
      </c>
      <c r="E542" s="27">
        <v>43887.46875</v>
      </c>
      <c r="F542" s="23">
        <v>39.200000000000003</v>
      </c>
      <c r="G542" s="31">
        <v>-2.5000000000000001E-3</v>
      </c>
      <c r="H542" s="23">
        <v>127.6</v>
      </c>
      <c r="I542" s="31">
        <v>2.5000000000000001E-3</v>
      </c>
      <c r="J542" s="23">
        <v>1275.991</v>
      </c>
      <c r="K542" s="23">
        <v>50146.46</v>
      </c>
      <c r="L542" s="23">
        <v>29672.46</v>
      </c>
      <c r="M542" s="23">
        <v>21</v>
      </c>
      <c r="N542" s="23">
        <v>6.08</v>
      </c>
      <c r="O542" s="31">
        <v>-3.8E-3</v>
      </c>
      <c r="P542" s="31">
        <v>1.0200000000000001E-2</v>
      </c>
      <c r="Q542" s="23" t="s">
        <v>24</v>
      </c>
      <c r="R542" s="23">
        <v>0</v>
      </c>
      <c r="S542" s="23">
        <v>39.82</v>
      </c>
      <c r="U542" s="47">
        <f>VLOOKUP(AU542,[1]expiry_dates!$B$2:$C$2894,2,FALSE)</f>
        <v>43888</v>
      </c>
      <c r="V542" s="23" t="s">
        <v>139</v>
      </c>
      <c r="W542" s="23" t="s">
        <v>23</v>
      </c>
      <c r="X542" s="49">
        <v>43886.552083333336</v>
      </c>
      <c r="Y542" s="23">
        <v>0.3</v>
      </c>
      <c r="Z542" s="23">
        <v>43887.46875</v>
      </c>
      <c r="AA542" s="23">
        <v>0.25</v>
      </c>
      <c r="AB542" s="23">
        <v>-0.16669999999999999</v>
      </c>
      <c r="AC542" s="23">
        <v>9686.8799999999992</v>
      </c>
      <c r="AD542" s="23">
        <v>0.16669999999999999</v>
      </c>
      <c r="AE542" s="23">
        <v>193737.5</v>
      </c>
      <c r="AF542" s="23">
        <v>58121.26</v>
      </c>
      <c r="AG542" s="23">
        <v>1633939.45</v>
      </c>
      <c r="AH542" s="23">
        <v>21</v>
      </c>
      <c r="AI542" s="23">
        <v>461.28</v>
      </c>
      <c r="AJ542" s="23">
        <v>-0.16669999999999999</v>
      </c>
      <c r="AK542" s="23">
        <v>0.66669999999999996</v>
      </c>
      <c r="AL542" s="23" t="s">
        <v>24</v>
      </c>
      <c r="AM542" s="23">
        <v>39.299999999999997</v>
      </c>
      <c r="AN542" s="23">
        <v>30477.4</v>
      </c>
      <c r="AO542" s="23">
        <v>39.82</v>
      </c>
      <c r="AP542" s="23">
        <v>0</v>
      </c>
      <c r="AR542" s="46"/>
      <c r="AS542" s="44"/>
      <c r="AT542" s="45"/>
      <c r="AU542" s="2">
        <v>43886</v>
      </c>
      <c r="AV542" s="52">
        <v>5.2083333333333336E-2</v>
      </c>
      <c r="AW542" s="2" t="s">
        <v>213</v>
      </c>
      <c r="AY542" s="3"/>
      <c r="BA542" s="3"/>
      <c r="BG542" s="3"/>
      <c r="BH542" s="3"/>
    </row>
    <row r="543" spans="1:60">
      <c r="A543" s="23" t="s">
        <v>22</v>
      </c>
      <c r="B543" s="23" t="s">
        <v>25</v>
      </c>
      <c r="C543" s="27">
        <v>43887.46875</v>
      </c>
      <c r="D543" s="23">
        <v>39.200000000000003</v>
      </c>
      <c r="E543" s="27">
        <v>43887.604166666664</v>
      </c>
      <c r="F543" s="23">
        <v>39</v>
      </c>
      <c r="G543" s="31">
        <v>-5.1000000000000004E-3</v>
      </c>
      <c r="H543" s="23">
        <v>-255.86</v>
      </c>
      <c r="I543" s="31">
        <v>-5.1000000000000004E-3</v>
      </c>
      <c r="J543" s="23">
        <v>1279.3030000000001</v>
      </c>
      <c r="K543" s="23">
        <v>50148.68</v>
      </c>
      <c r="L543" s="23">
        <v>29416.59</v>
      </c>
      <c r="M543" s="23">
        <v>14</v>
      </c>
      <c r="N543" s="23">
        <v>-18.28</v>
      </c>
      <c r="O543" s="31">
        <v>-5.1000000000000004E-3</v>
      </c>
      <c r="P543" s="31">
        <v>5.1000000000000004E-3</v>
      </c>
      <c r="Q543" s="23" t="s">
        <v>24</v>
      </c>
      <c r="R543" s="23">
        <v>0</v>
      </c>
      <c r="S543" s="23">
        <v>38.9</v>
      </c>
      <c r="U543" s="47">
        <f>VLOOKUP(AU543,[1]expiry_dates!$B$2:$C$2894,2,FALSE)</f>
        <v>43888</v>
      </c>
      <c r="V543" s="23" t="s">
        <v>137</v>
      </c>
      <c r="W543" s="23" t="s">
        <v>23</v>
      </c>
      <c r="X543" s="49">
        <v>43887.46875</v>
      </c>
      <c r="Y543" s="23">
        <v>0.4</v>
      </c>
      <c r="Z543" s="23">
        <v>43887.604166666664</v>
      </c>
      <c r="AA543" s="23">
        <v>0.45</v>
      </c>
      <c r="AB543" s="23">
        <v>0.125</v>
      </c>
      <c r="AC543" s="23">
        <v>-7277.27</v>
      </c>
      <c r="AD543" s="23">
        <v>-0.125</v>
      </c>
      <c r="AE543" s="23">
        <v>145545.29999999999</v>
      </c>
      <c r="AF543" s="23">
        <v>58218.13</v>
      </c>
      <c r="AG543" s="23">
        <v>1626662.18</v>
      </c>
      <c r="AH543" s="23">
        <v>14</v>
      </c>
      <c r="AI543" s="23">
        <v>-519.79999999999995</v>
      </c>
      <c r="AJ543" s="23">
        <v>-0.125</v>
      </c>
      <c r="AK543" s="23">
        <v>0.25</v>
      </c>
      <c r="AL543" s="23" t="s">
        <v>24</v>
      </c>
      <c r="AM543" s="23">
        <v>39.200000000000003</v>
      </c>
      <c r="AN543" s="23">
        <v>30221.15</v>
      </c>
      <c r="AO543" s="23">
        <v>38.9</v>
      </c>
      <c r="AP543" s="23">
        <v>0</v>
      </c>
      <c r="AR543" s="46"/>
      <c r="AS543" s="44"/>
      <c r="AT543" s="45"/>
      <c r="AU543" s="2">
        <v>43887</v>
      </c>
      <c r="AV543" s="52">
        <v>0.46875</v>
      </c>
      <c r="AW543" s="2" t="s">
        <v>212</v>
      </c>
      <c r="AY543" s="3"/>
      <c r="BA543" s="3"/>
      <c r="BG543" s="3"/>
      <c r="BH543" s="3"/>
    </row>
    <row r="544" spans="1:60">
      <c r="A544" s="23" t="s">
        <v>22</v>
      </c>
      <c r="B544" s="23" t="s">
        <v>23</v>
      </c>
      <c r="C544" s="27">
        <v>43887.604166666664</v>
      </c>
      <c r="D544" s="23">
        <v>39</v>
      </c>
      <c r="E544" s="27">
        <v>43888.510416666664</v>
      </c>
      <c r="F544" s="23">
        <v>38.9</v>
      </c>
      <c r="G544" s="31">
        <v>-2.5999999999999999E-3</v>
      </c>
      <c r="H544" s="23">
        <v>128.58000000000001</v>
      </c>
      <c r="I544" s="31">
        <v>2.5999999999999999E-3</v>
      </c>
      <c r="J544" s="23">
        <v>1285.847</v>
      </c>
      <c r="K544" s="23">
        <v>50148.04</v>
      </c>
      <c r="L544" s="23">
        <v>29545.18</v>
      </c>
      <c r="M544" s="23">
        <v>20</v>
      </c>
      <c r="N544" s="23">
        <v>6.43</v>
      </c>
      <c r="O544" s="31">
        <v>-5.1000000000000004E-3</v>
      </c>
      <c r="P544" s="31">
        <v>1.67E-2</v>
      </c>
      <c r="Q544" s="23" t="s">
        <v>24</v>
      </c>
      <c r="R544" s="23">
        <v>0</v>
      </c>
      <c r="S544" s="23">
        <v>39.39</v>
      </c>
      <c r="U544" s="47">
        <f>VLOOKUP(AU544,[1]expiry_dates!$B$2:$C$2894,2,FALSE)</f>
        <v>43888</v>
      </c>
      <c r="V544" s="23" t="s">
        <v>141</v>
      </c>
      <c r="W544" s="23" t="s">
        <v>23</v>
      </c>
      <c r="X544" s="49">
        <v>43887.604166666664</v>
      </c>
      <c r="Y544" s="23">
        <v>0.6</v>
      </c>
      <c r="Z544" s="23">
        <v>43888.510416666664</v>
      </c>
      <c r="AA544" s="23">
        <v>0.2</v>
      </c>
      <c r="AB544" s="23">
        <v>-0.66669999999999996</v>
      </c>
      <c r="AC544" s="23">
        <v>38779.800000000003</v>
      </c>
      <c r="AD544" s="23">
        <v>0.66669999999999996</v>
      </c>
      <c r="AE544" s="23">
        <v>96949.49</v>
      </c>
      <c r="AF544" s="23">
        <v>58169.7</v>
      </c>
      <c r="AG544" s="23">
        <v>1665441.98</v>
      </c>
      <c r="AH544" s="23">
        <v>20</v>
      </c>
      <c r="AI544" s="23">
        <v>1938.99</v>
      </c>
      <c r="AJ544" s="23">
        <v>-0.16669999999999999</v>
      </c>
      <c r="AK544" s="23">
        <v>0.83330000000000004</v>
      </c>
      <c r="AL544" s="23" t="s">
        <v>24</v>
      </c>
      <c r="AM544" s="23">
        <v>39</v>
      </c>
      <c r="AN544" s="23">
        <v>30200.55</v>
      </c>
      <c r="AO544" s="23">
        <v>39.39</v>
      </c>
      <c r="AP544" s="23">
        <v>0</v>
      </c>
      <c r="AR544" s="46"/>
      <c r="AS544" s="44"/>
      <c r="AT544" s="45"/>
      <c r="AU544" s="2">
        <v>43887</v>
      </c>
      <c r="AV544" s="52">
        <v>0.10416666666666667</v>
      </c>
      <c r="AW544" s="2" t="s">
        <v>213</v>
      </c>
      <c r="AY544" s="3"/>
      <c r="BA544" s="3"/>
      <c r="BG544" s="3"/>
      <c r="BH544" s="3"/>
    </row>
    <row r="545" spans="1:60">
      <c r="A545" s="23" t="s">
        <v>22</v>
      </c>
      <c r="B545" s="23" t="s">
        <v>25</v>
      </c>
      <c r="C545" s="27">
        <v>43888.510416666664</v>
      </c>
      <c r="D545" s="23">
        <v>38.9</v>
      </c>
      <c r="E545" s="27">
        <v>43888.5625</v>
      </c>
      <c r="F545" s="23">
        <v>38.6</v>
      </c>
      <c r="G545" s="31">
        <v>-7.7000000000000002E-3</v>
      </c>
      <c r="H545" s="23">
        <v>-386.75</v>
      </c>
      <c r="I545" s="31">
        <v>-7.7000000000000002E-3</v>
      </c>
      <c r="J545" s="23">
        <v>1289.1780000000001</v>
      </c>
      <c r="K545" s="23">
        <v>50149.01</v>
      </c>
      <c r="L545" s="23">
        <v>29158.43</v>
      </c>
      <c r="M545" s="23">
        <v>6</v>
      </c>
      <c r="N545" s="23">
        <v>-64.459999999999994</v>
      </c>
      <c r="O545" s="31">
        <v>-7.7000000000000002E-3</v>
      </c>
      <c r="P545" s="31">
        <v>1.2999999999999999E-3</v>
      </c>
      <c r="Q545" s="23" t="s">
        <v>24</v>
      </c>
      <c r="R545" s="23">
        <v>0</v>
      </c>
      <c r="S545" s="23">
        <v>38.35</v>
      </c>
      <c r="U545" s="47">
        <f>VLOOKUP(AU545,[1]expiry_dates!$B$2:$C$2894,2,FALSE)</f>
        <v>43888</v>
      </c>
      <c r="V545" s="23" t="s">
        <v>137</v>
      </c>
      <c r="W545" s="23" t="s">
        <v>23</v>
      </c>
      <c r="X545" s="49">
        <v>43888.510416666664</v>
      </c>
      <c r="Y545" s="23">
        <v>0.35</v>
      </c>
      <c r="Z545" s="23">
        <v>43888.5625</v>
      </c>
      <c r="AA545" s="23">
        <v>0.5</v>
      </c>
      <c r="AB545" s="23">
        <v>0.42859999999999998</v>
      </c>
      <c r="AC545" s="23">
        <v>-24997.38</v>
      </c>
      <c r="AD545" s="23">
        <v>-0.42859999999999998</v>
      </c>
      <c r="AE545" s="23">
        <v>166649.20000000001</v>
      </c>
      <c r="AF545" s="23">
        <v>58327.21</v>
      </c>
      <c r="AG545" s="23">
        <v>1640444.6</v>
      </c>
      <c r="AH545" s="23">
        <v>6</v>
      </c>
      <c r="AI545" s="23">
        <v>-4166.2299999999996</v>
      </c>
      <c r="AJ545" s="23">
        <v>-0.42859999999999998</v>
      </c>
      <c r="AK545" s="23">
        <v>0</v>
      </c>
      <c r="AL545" s="23" t="s">
        <v>24</v>
      </c>
      <c r="AM545" s="23">
        <v>38.9</v>
      </c>
      <c r="AN545" s="23">
        <v>30037.1</v>
      </c>
      <c r="AO545" s="23">
        <v>38.35</v>
      </c>
      <c r="AP545" s="23">
        <v>0</v>
      </c>
      <c r="AR545" s="46"/>
      <c r="AS545" s="44"/>
      <c r="AT545" s="45"/>
      <c r="AU545" s="2">
        <v>43888</v>
      </c>
      <c r="AV545" s="52">
        <v>0.51041666666666663</v>
      </c>
      <c r="AW545" s="2" t="s">
        <v>213</v>
      </c>
      <c r="AY545" s="3"/>
      <c r="BA545" s="3"/>
      <c r="BG545" s="3"/>
      <c r="BH545" s="3"/>
    </row>
    <row r="546" spans="1:60">
      <c r="A546" s="23" t="s">
        <v>22</v>
      </c>
      <c r="B546" s="23" t="s">
        <v>23</v>
      </c>
      <c r="C546" s="27">
        <v>43888.5625</v>
      </c>
      <c r="D546" s="23">
        <v>38.6</v>
      </c>
      <c r="E546" s="27">
        <v>43888.6875</v>
      </c>
      <c r="F546" s="23">
        <v>38.6</v>
      </c>
      <c r="G546" s="31">
        <v>0</v>
      </c>
      <c r="H546" s="23">
        <v>0</v>
      </c>
      <c r="I546" s="31">
        <v>0</v>
      </c>
      <c r="J546" s="23">
        <v>1299.1300000000001</v>
      </c>
      <c r="K546" s="23">
        <v>50146.43</v>
      </c>
      <c r="L546" s="23">
        <v>29158.43</v>
      </c>
      <c r="M546" s="23">
        <v>10</v>
      </c>
      <c r="N546" s="23">
        <v>0</v>
      </c>
      <c r="O546" s="31">
        <v>-3.8999999999999998E-3</v>
      </c>
      <c r="P546" s="31">
        <v>7.7999999999999996E-3</v>
      </c>
      <c r="Q546" s="23" t="s">
        <v>24</v>
      </c>
      <c r="R546" s="23">
        <v>0</v>
      </c>
      <c r="S546" s="23">
        <v>38.950000000000003</v>
      </c>
      <c r="U546" s="47">
        <f>VLOOKUP(AU546,[1]expiry_dates!$B$2:$C$2894,2,FALSE)</f>
        <v>43888</v>
      </c>
      <c r="V546" s="23" t="s">
        <v>141</v>
      </c>
      <c r="W546" s="23" t="s">
        <v>23</v>
      </c>
      <c r="X546" s="49">
        <v>43888.5625</v>
      </c>
      <c r="Y546" s="23">
        <v>0.1</v>
      </c>
      <c r="Z546" s="23">
        <v>43888.6875</v>
      </c>
      <c r="AA546" s="23">
        <v>0.05</v>
      </c>
      <c r="AB546" s="23">
        <v>-0.5</v>
      </c>
      <c r="AC546" s="23">
        <v>29142.77</v>
      </c>
      <c r="AD546" s="23">
        <v>0.5</v>
      </c>
      <c r="AE546" s="23">
        <v>582855.4</v>
      </c>
      <c r="AF546" s="23">
        <v>58285.54</v>
      </c>
      <c r="AG546" s="23">
        <v>1669587.38</v>
      </c>
      <c r="AH546" s="23">
        <v>10</v>
      </c>
      <c r="AI546" s="23">
        <v>2914.28</v>
      </c>
      <c r="AJ546" s="23">
        <v>-0.5</v>
      </c>
      <c r="AK546" s="23">
        <v>0.5</v>
      </c>
      <c r="AL546" s="23" t="s">
        <v>24</v>
      </c>
      <c r="AM546" s="23">
        <v>38.6</v>
      </c>
      <c r="AN546" s="23">
        <v>30014</v>
      </c>
      <c r="AO546" s="23">
        <v>38.950000000000003</v>
      </c>
      <c r="AP546" s="23">
        <v>0</v>
      </c>
      <c r="AR546" s="46"/>
      <c r="AS546" s="44"/>
      <c r="AT546" s="45"/>
      <c r="AU546" s="2">
        <v>43888</v>
      </c>
      <c r="AV546" s="52">
        <v>6.25E-2</v>
      </c>
      <c r="AW546" s="2" t="s">
        <v>213</v>
      </c>
      <c r="AY546" s="3"/>
      <c r="BA546" s="3"/>
      <c r="BG546" s="3"/>
      <c r="BH546" s="3"/>
    </row>
    <row r="547" spans="1:60">
      <c r="A547" s="23" t="s">
        <v>22</v>
      </c>
      <c r="B547" s="23" t="s">
        <v>23</v>
      </c>
      <c r="C547" s="27">
        <v>43889.385416666664</v>
      </c>
      <c r="D547" s="23">
        <v>37.5</v>
      </c>
      <c r="E547" s="27">
        <v>43892.385416666664</v>
      </c>
      <c r="F547" s="23">
        <v>37.200000000000003</v>
      </c>
      <c r="G547" s="31">
        <v>-8.0000000000000002E-3</v>
      </c>
      <c r="H547" s="23">
        <v>401.17</v>
      </c>
      <c r="I547" s="31">
        <v>8.0000000000000002E-3</v>
      </c>
      <c r="J547" s="23">
        <v>1337.221</v>
      </c>
      <c r="K547" s="23">
        <v>50145.79</v>
      </c>
      <c r="L547" s="23">
        <v>29559.59</v>
      </c>
      <c r="M547" s="23">
        <v>29</v>
      </c>
      <c r="N547" s="23">
        <v>13.83</v>
      </c>
      <c r="O547" s="31">
        <v>-1.2E-2</v>
      </c>
      <c r="P547" s="31">
        <v>2.4E-2</v>
      </c>
      <c r="Q547" s="23" t="s">
        <v>24</v>
      </c>
      <c r="R547" s="23">
        <v>0</v>
      </c>
      <c r="S547" s="23">
        <v>38.64</v>
      </c>
      <c r="U547" s="47">
        <f>VLOOKUP(AU547,[1]expiry_dates!$B$2:$C$2894,2,FALSE)</f>
        <v>43916</v>
      </c>
      <c r="V547" s="23" t="s">
        <v>140</v>
      </c>
      <c r="W547" s="23" t="s">
        <v>23</v>
      </c>
      <c r="X547" s="49">
        <v>43889.385416666664</v>
      </c>
      <c r="Y547" s="23">
        <v>1.35</v>
      </c>
      <c r="Z547" s="23">
        <v>43892.385416666664</v>
      </c>
      <c r="AA547" s="23">
        <v>1.05</v>
      </c>
      <c r="AB547" s="23">
        <v>-0.22220000000000001</v>
      </c>
      <c r="AC547" s="23">
        <v>12966.21</v>
      </c>
      <c r="AD547" s="23">
        <v>0.22220000000000001</v>
      </c>
      <c r="AE547" s="23">
        <v>43220.69</v>
      </c>
      <c r="AF547" s="23">
        <v>58347.93</v>
      </c>
      <c r="AG547" s="23">
        <v>1682553.58</v>
      </c>
      <c r="AH547" s="23">
        <v>29</v>
      </c>
      <c r="AI547" s="23">
        <v>447.11</v>
      </c>
      <c r="AJ547" s="23">
        <v>-3.6999999999999998E-2</v>
      </c>
      <c r="AK547" s="23">
        <v>0.29630000000000001</v>
      </c>
      <c r="AL547" s="23" t="s">
        <v>24</v>
      </c>
      <c r="AM547" s="23">
        <v>37.5</v>
      </c>
      <c r="AN547" s="23">
        <v>29471.1</v>
      </c>
      <c r="AO547" s="23">
        <v>38.64</v>
      </c>
      <c r="AP547" s="23">
        <v>0</v>
      </c>
      <c r="AR547" s="46"/>
      <c r="AS547" s="44"/>
      <c r="AT547" s="45"/>
      <c r="AU547" s="2">
        <v>43889</v>
      </c>
      <c r="AV547" s="52">
        <v>0.38541666666666669</v>
      </c>
      <c r="AW547" s="2" t="s">
        <v>212</v>
      </c>
      <c r="AY547" s="3"/>
      <c r="BA547" s="3"/>
      <c r="BG547" s="3"/>
      <c r="BH547" s="3"/>
    </row>
    <row r="548" spans="1:60">
      <c r="A548" s="23" t="s">
        <v>22</v>
      </c>
      <c r="B548" s="23" t="s">
        <v>25</v>
      </c>
      <c r="C548" s="27">
        <v>43892.385416666664</v>
      </c>
      <c r="D548" s="23">
        <v>37.200000000000003</v>
      </c>
      <c r="E548" s="27">
        <v>43892.614583333336</v>
      </c>
      <c r="F548" s="23">
        <v>38.15</v>
      </c>
      <c r="G548" s="31">
        <v>2.5499999999999998E-2</v>
      </c>
      <c r="H548" s="23">
        <v>1280.6400000000001</v>
      </c>
      <c r="I548" s="31">
        <v>2.5499999999999998E-2</v>
      </c>
      <c r="J548" s="23">
        <v>1348.0409999999999</v>
      </c>
      <c r="K548" s="23">
        <v>50147.13</v>
      </c>
      <c r="L548" s="23">
        <v>30840.23</v>
      </c>
      <c r="M548" s="23">
        <v>23</v>
      </c>
      <c r="N548" s="23">
        <v>55.68</v>
      </c>
      <c r="O548" s="31">
        <v>-5.4000000000000003E-3</v>
      </c>
      <c r="P548" s="31">
        <v>5.5100000000000003E-2</v>
      </c>
      <c r="Q548" s="23" t="s">
        <v>24</v>
      </c>
      <c r="R548" s="23">
        <v>0</v>
      </c>
      <c r="S548" s="23">
        <v>36.659999999999997</v>
      </c>
      <c r="U548" s="47">
        <f>VLOOKUP(AU548,[1]expiry_dates!$B$2:$C$2894,2,FALSE)</f>
        <v>43916</v>
      </c>
      <c r="V548" s="23" t="s">
        <v>142</v>
      </c>
      <c r="W548" s="23" t="s">
        <v>23</v>
      </c>
      <c r="X548" s="49">
        <v>43892.385416666664</v>
      </c>
      <c r="Y548" s="23">
        <v>1.4</v>
      </c>
      <c r="Z548" s="23">
        <v>43892.614583333336</v>
      </c>
      <c r="AA548" s="23">
        <v>1.2</v>
      </c>
      <c r="AB548" s="23">
        <v>-0.1429</v>
      </c>
      <c r="AC548" s="23">
        <v>8346.2199999999993</v>
      </c>
      <c r="AD548" s="23">
        <v>0.1429</v>
      </c>
      <c r="AE548" s="23">
        <v>41731.129999999997</v>
      </c>
      <c r="AF548" s="23">
        <v>58423.57</v>
      </c>
      <c r="AG548" s="23">
        <v>1690899.81</v>
      </c>
      <c r="AH548" s="23">
        <v>23</v>
      </c>
      <c r="AI548" s="23">
        <v>362.88</v>
      </c>
      <c r="AJ548" s="23">
        <v>0</v>
      </c>
      <c r="AK548" s="23">
        <v>0.42859999999999998</v>
      </c>
      <c r="AL548" s="23" t="s">
        <v>24</v>
      </c>
      <c r="AM548" s="23">
        <v>37.200000000000003</v>
      </c>
      <c r="AN548" s="23">
        <v>29402.75</v>
      </c>
      <c r="AO548" s="23">
        <v>36.659999999999997</v>
      </c>
      <c r="AP548" s="23">
        <v>0</v>
      </c>
      <c r="AR548" s="46"/>
      <c r="AS548" s="44"/>
      <c r="AT548" s="45"/>
      <c r="AU548" s="2">
        <v>43892</v>
      </c>
      <c r="AV548" s="52">
        <v>0.38541666666666669</v>
      </c>
      <c r="AW548" s="2" t="s">
        <v>212</v>
      </c>
      <c r="AY548" s="3"/>
      <c r="BA548" s="3"/>
      <c r="BG548" s="3"/>
      <c r="BH548" s="3"/>
    </row>
    <row r="549" spans="1:60">
      <c r="A549" s="23" t="s">
        <v>22</v>
      </c>
      <c r="B549" s="23" t="s">
        <v>23</v>
      </c>
      <c r="C549" s="27">
        <v>43892.614583333336</v>
      </c>
      <c r="D549" s="23">
        <v>38.15</v>
      </c>
      <c r="E549" s="27">
        <v>43893.395833333336</v>
      </c>
      <c r="F549" s="23">
        <v>38.6</v>
      </c>
      <c r="G549" s="31">
        <v>1.18E-2</v>
      </c>
      <c r="H549" s="23">
        <v>-591.64</v>
      </c>
      <c r="I549" s="31">
        <v>-1.18E-2</v>
      </c>
      <c r="J549" s="23">
        <v>1314.7460000000001</v>
      </c>
      <c r="K549" s="23">
        <v>50157.57</v>
      </c>
      <c r="L549" s="23">
        <v>30248.6</v>
      </c>
      <c r="M549" s="23">
        <v>8</v>
      </c>
      <c r="N549" s="23">
        <v>-73.95</v>
      </c>
      <c r="O549" s="31">
        <v>-1.44E-2</v>
      </c>
      <c r="P549" s="31">
        <v>3.2800000000000003E-2</v>
      </c>
      <c r="Q549" s="23" t="s">
        <v>24</v>
      </c>
      <c r="R549" s="23">
        <v>0</v>
      </c>
      <c r="S549" s="23">
        <v>39.21</v>
      </c>
      <c r="U549" s="47">
        <f>VLOOKUP(AU549,[1]expiry_dates!$B$2:$C$2894,2,FALSE)</f>
        <v>43916</v>
      </c>
      <c r="V549" s="23" t="s">
        <v>140</v>
      </c>
      <c r="W549" s="23" t="s">
        <v>23</v>
      </c>
      <c r="X549" s="49">
        <v>43892.614583333336</v>
      </c>
      <c r="Y549" s="23">
        <v>1.45</v>
      </c>
      <c r="Z549" s="23">
        <v>43893.395833333336</v>
      </c>
      <c r="AA549" s="23">
        <v>1.75</v>
      </c>
      <c r="AB549" s="23">
        <v>0.2069</v>
      </c>
      <c r="AC549" s="23">
        <v>-12104.83</v>
      </c>
      <c r="AD549" s="23">
        <v>-0.2069</v>
      </c>
      <c r="AE549" s="23">
        <v>40349.42</v>
      </c>
      <c r="AF549" s="23">
        <v>58506.66</v>
      </c>
      <c r="AG549" s="23">
        <v>1678794.98</v>
      </c>
      <c r="AH549" s="23">
        <v>8</v>
      </c>
      <c r="AI549" s="23">
        <v>-1513.1</v>
      </c>
      <c r="AJ549" s="23">
        <v>-0.2069</v>
      </c>
      <c r="AK549" s="23">
        <v>0.31030000000000002</v>
      </c>
      <c r="AL549" s="23" t="s">
        <v>24</v>
      </c>
      <c r="AM549" s="23">
        <v>38.15</v>
      </c>
      <c r="AN549" s="23">
        <v>29225.7</v>
      </c>
      <c r="AO549" s="23">
        <v>39.21</v>
      </c>
      <c r="AP549" s="23">
        <v>0</v>
      </c>
      <c r="AR549" s="46"/>
      <c r="AS549" s="44"/>
      <c r="AT549" s="45"/>
      <c r="AU549" s="2">
        <v>43892</v>
      </c>
      <c r="AV549" s="52">
        <v>0.11458333333333333</v>
      </c>
      <c r="AW549" s="2" t="s">
        <v>213</v>
      </c>
      <c r="AY549" s="3"/>
      <c r="BA549" s="3"/>
      <c r="BG549" s="3"/>
      <c r="BH549" s="3"/>
    </row>
    <row r="550" spans="1:60">
      <c r="A550" s="23" t="s">
        <v>22</v>
      </c>
      <c r="B550" s="23" t="s">
        <v>25</v>
      </c>
      <c r="C550" s="27">
        <v>43893.395833333336</v>
      </c>
      <c r="D550" s="23">
        <v>38.6</v>
      </c>
      <c r="E550" s="27">
        <v>43893.479166666664</v>
      </c>
      <c r="F550" s="23">
        <v>37.75</v>
      </c>
      <c r="G550" s="31">
        <v>-2.1999999999999999E-2</v>
      </c>
      <c r="H550" s="23">
        <v>-1104.3599999999999</v>
      </c>
      <c r="I550" s="31">
        <v>-2.1999999999999999E-2</v>
      </c>
      <c r="J550" s="23">
        <v>1299.2470000000001</v>
      </c>
      <c r="K550" s="23">
        <v>50150.92</v>
      </c>
      <c r="L550" s="23">
        <v>29144.240000000002</v>
      </c>
      <c r="M550" s="23">
        <v>9</v>
      </c>
      <c r="N550" s="23">
        <v>-122.71</v>
      </c>
      <c r="O550" s="31">
        <v>-2.7199999999999998E-2</v>
      </c>
      <c r="P550" s="31">
        <v>3.8999999999999998E-3</v>
      </c>
      <c r="Q550" s="23" t="s">
        <v>24</v>
      </c>
      <c r="R550" s="23">
        <v>0</v>
      </c>
      <c r="S550" s="23">
        <v>36.9</v>
      </c>
      <c r="U550" s="47">
        <f>VLOOKUP(AU550,[1]expiry_dates!$B$2:$C$2894,2,FALSE)</f>
        <v>43916</v>
      </c>
      <c r="V550" s="23" t="s">
        <v>142</v>
      </c>
      <c r="W550" s="23" t="s">
        <v>23</v>
      </c>
      <c r="X550" s="49">
        <v>43893.395833333336</v>
      </c>
      <c r="Y550" s="23">
        <v>1</v>
      </c>
      <c r="Z550" s="23">
        <v>43893.479166666664</v>
      </c>
      <c r="AA550" s="23">
        <v>1.4</v>
      </c>
      <c r="AB550" s="23">
        <v>0.4</v>
      </c>
      <c r="AC550" s="23">
        <v>-23373.73</v>
      </c>
      <c r="AD550" s="23">
        <v>-0.4</v>
      </c>
      <c r="AE550" s="23">
        <v>58434.32</v>
      </c>
      <c r="AF550" s="23">
        <v>58434.32</v>
      </c>
      <c r="AG550" s="23">
        <v>1655421.25</v>
      </c>
      <c r="AH550" s="23">
        <v>9</v>
      </c>
      <c r="AI550" s="23">
        <v>-2597.08</v>
      </c>
      <c r="AJ550" s="23">
        <v>-0.4</v>
      </c>
      <c r="AK550" s="23">
        <v>0</v>
      </c>
      <c r="AL550" s="23" t="s">
        <v>24</v>
      </c>
      <c r="AM550" s="23">
        <v>38.6</v>
      </c>
      <c r="AN550" s="23">
        <v>29209.1</v>
      </c>
      <c r="AO550" s="23">
        <v>36.9</v>
      </c>
      <c r="AP550" s="23">
        <v>0</v>
      </c>
      <c r="AR550" s="46"/>
      <c r="AS550" s="44"/>
      <c r="AT550" s="45"/>
      <c r="AU550" s="2">
        <v>43893</v>
      </c>
      <c r="AV550" s="52">
        <v>0.39583333333333331</v>
      </c>
      <c r="AW550" s="2" t="s">
        <v>212</v>
      </c>
      <c r="AY550" s="3"/>
      <c r="BA550" s="3"/>
      <c r="BG550" s="3"/>
      <c r="BH550" s="3"/>
    </row>
    <row r="551" spans="1:60">
      <c r="A551" s="23" t="s">
        <v>22</v>
      </c>
      <c r="B551" s="23" t="s">
        <v>23</v>
      </c>
      <c r="C551" s="27">
        <v>43893.479166666664</v>
      </c>
      <c r="D551" s="23">
        <v>37.75</v>
      </c>
      <c r="E551" s="27">
        <v>43894.510416666664</v>
      </c>
      <c r="F551" s="23">
        <v>37.700000000000003</v>
      </c>
      <c r="G551" s="31">
        <v>-1.2999999999999999E-3</v>
      </c>
      <c r="H551" s="23">
        <v>66.42</v>
      </c>
      <c r="I551" s="31">
        <v>1.2999999999999999E-3</v>
      </c>
      <c r="J551" s="23">
        <v>1328.364</v>
      </c>
      <c r="K551" s="23">
        <v>50145.72</v>
      </c>
      <c r="L551" s="23">
        <v>29210.65</v>
      </c>
      <c r="M551" s="23">
        <v>32</v>
      </c>
      <c r="N551" s="23">
        <v>2.08</v>
      </c>
      <c r="O551" s="31">
        <v>-1.32E-2</v>
      </c>
      <c r="P551" s="31">
        <v>1.72E-2</v>
      </c>
      <c r="Q551" s="23" t="s">
        <v>24</v>
      </c>
      <c r="R551" s="23">
        <v>0</v>
      </c>
      <c r="S551" s="23">
        <v>38.75</v>
      </c>
      <c r="U551" s="47">
        <f>VLOOKUP(AU551,[1]expiry_dates!$B$2:$C$2894,2,FALSE)</f>
        <v>43916</v>
      </c>
      <c r="V551" s="23" t="s">
        <v>140</v>
      </c>
      <c r="W551" s="23" t="s">
        <v>23</v>
      </c>
      <c r="X551" s="49">
        <v>43893.479166666664</v>
      </c>
      <c r="Y551" s="23">
        <v>1.35</v>
      </c>
      <c r="Z551" s="23">
        <v>43894.510416666664</v>
      </c>
      <c r="AA551" s="23">
        <v>1.4</v>
      </c>
      <c r="AB551" s="23">
        <v>3.6999999999999998E-2</v>
      </c>
      <c r="AC551" s="23">
        <v>-2158.9499999999998</v>
      </c>
      <c r="AD551" s="23">
        <v>-3.6999999999999998E-2</v>
      </c>
      <c r="AE551" s="23">
        <v>43179.05</v>
      </c>
      <c r="AF551" s="23">
        <v>58291.71</v>
      </c>
      <c r="AG551" s="23">
        <v>1653262.3</v>
      </c>
      <c r="AH551" s="23">
        <v>32</v>
      </c>
      <c r="AI551" s="23">
        <v>-67.47</v>
      </c>
      <c r="AJ551" s="23">
        <v>-0.1852</v>
      </c>
      <c r="AK551" s="23">
        <v>0.1111</v>
      </c>
      <c r="AL551" s="23" t="s">
        <v>24</v>
      </c>
      <c r="AM551" s="23">
        <v>37.75</v>
      </c>
      <c r="AN551" s="23">
        <v>28821.95</v>
      </c>
      <c r="AO551" s="23">
        <v>38.75</v>
      </c>
      <c r="AP551" s="23">
        <v>0</v>
      </c>
      <c r="AR551" s="46"/>
      <c r="AS551" s="44"/>
      <c r="AT551" s="45"/>
      <c r="AU551" s="2">
        <v>43893</v>
      </c>
      <c r="AV551" s="52">
        <v>0.47916666666666669</v>
      </c>
      <c r="AW551" s="2" t="s">
        <v>212</v>
      </c>
      <c r="AY551" s="3"/>
      <c r="BA551" s="3"/>
      <c r="BG551" s="3"/>
      <c r="BH551" s="3"/>
    </row>
    <row r="552" spans="1:60">
      <c r="A552" s="23" t="s">
        <v>22</v>
      </c>
      <c r="B552" s="23" t="s">
        <v>25</v>
      </c>
      <c r="C552" s="27">
        <v>43894.510416666664</v>
      </c>
      <c r="D552" s="23">
        <v>37.700000000000003</v>
      </c>
      <c r="E552" s="27">
        <v>43894.53125</v>
      </c>
      <c r="F552" s="23">
        <v>37.25</v>
      </c>
      <c r="G552" s="31">
        <v>-1.1900000000000001E-2</v>
      </c>
      <c r="H552" s="23">
        <v>-598.55999999999995</v>
      </c>
      <c r="I552" s="31">
        <v>-1.1900000000000001E-2</v>
      </c>
      <c r="J552" s="23">
        <v>1330.143</v>
      </c>
      <c r="K552" s="23">
        <v>50146.39</v>
      </c>
      <c r="L552" s="23">
        <v>28612.09</v>
      </c>
      <c r="M552" s="23">
        <v>3</v>
      </c>
      <c r="N552" s="23">
        <v>-199.52</v>
      </c>
      <c r="O552" s="31">
        <v>-1.1900000000000001E-2</v>
      </c>
      <c r="P552" s="31">
        <v>2.7000000000000001E-3</v>
      </c>
      <c r="Q552" s="23" t="s">
        <v>24</v>
      </c>
      <c r="R552" s="23">
        <v>0</v>
      </c>
      <c r="S552" s="23">
        <v>37.130000000000003</v>
      </c>
      <c r="U552" s="47">
        <f>VLOOKUP(AU552,[1]expiry_dates!$B$2:$C$2894,2,FALSE)</f>
        <v>43916</v>
      </c>
      <c r="V552" s="23" t="s">
        <v>142</v>
      </c>
      <c r="W552" s="23" t="s">
        <v>23</v>
      </c>
      <c r="X552" s="49">
        <v>43894.510416666664</v>
      </c>
      <c r="Y552" s="23">
        <v>1.2</v>
      </c>
      <c r="Z552" s="23">
        <v>43894.53125</v>
      </c>
      <c r="AA552" s="23">
        <v>1.35</v>
      </c>
      <c r="AB552" s="23">
        <v>0.125</v>
      </c>
      <c r="AC552" s="23">
        <v>-7283.29</v>
      </c>
      <c r="AD552" s="23">
        <v>-0.125</v>
      </c>
      <c r="AE552" s="23">
        <v>48555.26</v>
      </c>
      <c r="AF552" s="23">
        <v>58266.31</v>
      </c>
      <c r="AG552" s="23">
        <v>1645979.01</v>
      </c>
      <c r="AH552" s="23">
        <v>3</v>
      </c>
      <c r="AI552" s="23">
        <v>-2427.7600000000002</v>
      </c>
      <c r="AJ552" s="23">
        <v>-0.125</v>
      </c>
      <c r="AK552" s="23">
        <v>4.1700000000000001E-2</v>
      </c>
      <c r="AL552" s="23" t="s">
        <v>24</v>
      </c>
      <c r="AM552" s="23">
        <v>37.700000000000003</v>
      </c>
      <c r="AN552" s="23">
        <v>28786.45</v>
      </c>
      <c r="AO552" s="23">
        <v>37.130000000000003</v>
      </c>
      <c r="AP552" s="23">
        <v>0</v>
      </c>
      <c r="AR552" s="46"/>
      <c r="AS552" s="44"/>
      <c r="AT552" s="45"/>
      <c r="AU552" s="2">
        <v>43894</v>
      </c>
      <c r="AV552" s="52">
        <v>0.51041666666666663</v>
      </c>
      <c r="AW552" s="2" t="s">
        <v>213</v>
      </c>
      <c r="AY552" s="3"/>
      <c r="BA552" s="3"/>
      <c r="BG552" s="3"/>
      <c r="BH552" s="3"/>
    </row>
    <row r="553" spans="1:60">
      <c r="A553" s="23" t="s">
        <v>22</v>
      </c>
      <c r="B553" s="23" t="s">
        <v>23</v>
      </c>
      <c r="C553" s="27">
        <v>43894.53125</v>
      </c>
      <c r="D553" s="23">
        <v>37.25</v>
      </c>
      <c r="E553" s="27">
        <v>43894.625</v>
      </c>
      <c r="F553" s="23">
        <v>37.450000000000003</v>
      </c>
      <c r="G553" s="31">
        <v>5.4000000000000003E-3</v>
      </c>
      <c r="H553" s="23">
        <v>-269.24</v>
      </c>
      <c r="I553" s="31">
        <v>-5.4000000000000003E-3</v>
      </c>
      <c r="J553" s="23">
        <v>1346.1759999999999</v>
      </c>
      <c r="K553" s="23">
        <v>50145.06</v>
      </c>
      <c r="L553" s="23">
        <v>28342.85</v>
      </c>
      <c r="M553" s="23">
        <v>10</v>
      </c>
      <c r="N553" s="23">
        <v>-26.92</v>
      </c>
      <c r="O553" s="31">
        <v>-1.0699999999999999E-2</v>
      </c>
      <c r="P553" s="31">
        <v>1.61E-2</v>
      </c>
      <c r="Q553" s="23" t="s">
        <v>24</v>
      </c>
      <c r="R553" s="23">
        <v>0</v>
      </c>
      <c r="S553" s="23">
        <v>37.799999999999997</v>
      </c>
      <c r="U553" s="47">
        <f>VLOOKUP(AU553,[1]expiry_dates!$B$2:$C$2894,2,FALSE)</f>
        <v>43916</v>
      </c>
      <c r="V553" s="23" t="s">
        <v>144</v>
      </c>
      <c r="W553" s="23" t="s">
        <v>23</v>
      </c>
      <c r="X553" s="49">
        <v>43894.53125</v>
      </c>
      <c r="Y553" s="23">
        <v>1.85</v>
      </c>
      <c r="Z553" s="23">
        <v>43894.625</v>
      </c>
      <c r="AA553" s="23">
        <v>1.8</v>
      </c>
      <c r="AB553" s="23">
        <v>-2.7E-2</v>
      </c>
      <c r="AC553" s="23">
        <v>1575.09</v>
      </c>
      <c r="AD553" s="23">
        <v>2.7E-2</v>
      </c>
      <c r="AE553" s="23">
        <v>31501.87</v>
      </c>
      <c r="AF553" s="23">
        <v>58278.45</v>
      </c>
      <c r="AG553" s="23">
        <v>1647554.1</v>
      </c>
      <c r="AH553" s="23">
        <v>10</v>
      </c>
      <c r="AI553" s="23">
        <v>157.51</v>
      </c>
      <c r="AJ553" s="23">
        <v>0</v>
      </c>
      <c r="AK553" s="23">
        <v>0.2432</v>
      </c>
      <c r="AL553" s="23" t="s">
        <v>24</v>
      </c>
      <c r="AM553" s="23">
        <v>37.25</v>
      </c>
      <c r="AN553" s="23">
        <v>28604.55</v>
      </c>
      <c r="AO553" s="23">
        <v>37.799999999999997</v>
      </c>
      <c r="AP553" s="23">
        <v>0</v>
      </c>
      <c r="AR553" s="46"/>
      <c r="AS553" s="44"/>
      <c r="AT553" s="45"/>
      <c r="AU553" s="2">
        <v>43894</v>
      </c>
      <c r="AV553" s="52">
        <v>0.53125</v>
      </c>
      <c r="AW553" s="2" t="s">
        <v>213</v>
      </c>
      <c r="AY553" s="3"/>
      <c r="BA553" s="3"/>
      <c r="BG553" s="3"/>
      <c r="BH553" s="3"/>
    </row>
    <row r="554" spans="1:60">
      <c r="A554" s="23" t="s">
        <v>22</v>
      </c>
      <c r="B554" s="23" t="s">
        <v>25</v>
      </c>
      <c r="C554" s="27">
        <v>43894.625</v>
      </c>
      <c r="D554" s="23">
        <v>37.450000000000003</v>
      </c>
      <c r="E554" s="27">
        <v>43895.40625</v>
      </c>
      <c r="F554" s="23">
        <v>37.049999999999997</v>
      </c>
      <c r="G554" s="31">
        <v>-1.0699999999999999E-2</v>
      </c>
      <c r="H554" s="23">
        <v>-535.55999999999995</v>
      </c>
      <c r="I554" s="31">
        <v>-1.0699999999999999E-2</v>
      </c>
      <c r="J554" s="23">
        <v>1338.9059999999999</v>
      </c>
      <c r="K554" s="23">
        <v>50142.05</v>
      </c>
      <c r="L554" s="23">
        <v>27807.29</v>
      </c>
      <c r="M554" s="23">
        <v>8</v>
      </c>
      <c r="N554" s="23">
        <v>-66.95</v>
      </c>
      <c r="O554" s="31">
        <v>-1.2E-2</v>
      </c>
      <c r="P554" s="31">
        <v>1.2E-2</v>
      </c>
      <c r="Q554" s="23" t="s">
        <v>24</v>
      </c>
      <c r="R554" s="23">
        <v>0</v>
      </c>
      <c r="S554" s="23">
        <v>36.69</v>
      </c>
      <c r="U554" s="47">
        <f>VLOOKUP(AU554,[1]expiry_dates!$B$2:$C$2894,2,FALSE)</f>
        <v>43916</v>
      </c>
      <c r="V554" s="23" t="s">
        <v>142</v>
      </c>
      <c r="W554" s="23" t="s">
        <v>23</v>
      </c>
      <c r="X554" s="49">
        <v>43894.625</v>
      </c>
      <c r="Y554" s="23">
        <v>1.35</v>
      </c>
      <c r="Z554" s="23">
        <v>43895.40625</v>
      </c>
      <c r="AA554" s="23">
        <v>1.5</v>
      </c>
      <c r="AB554" s="23">
        <v>0.1111</v>
      </c>
      <c r="AC554" s="23">
        <v>-6474.36</v>
      </c>
      <c r="AD554" s="23">
        <v>-0.1111</v>
      </c>
      <c r="AE554" s="23">
        <v>43162.42</v>
      </c>
      <c r="AF554" s="23">
        <v>58269.27</v>
      </c>
      <c r="AG554" s="23">
        <v>1641079.74</v>
      </c>
      <c r="AH554" s="23">
        <v>8</v>
      </c>
      <c r="AI554" s="23">
        <v>-809.3</v>
      </c>
      <c r="AJ554" s="23">
        <v>-0.1111</v>
      </c>
      <c r="AK554" s="23">
        <v>0.14810000000000001</v>
      </c>
      <c r="AL554" s="23" t="s">
        <v>24</v>
      </c>
      <c r="AM554" s="23">
        <v>37.450000000000003</v>
      </c>
      <c r="AN554" s="23">
        <v>28703</v>
      </c>
      <c r="AO554" s="23">
        <v>36.69</v>
      </c>
      <c r="AP554" s="23">
        <v>0</v>
      </c>
      <c r="AR554" s="46"/>
      <c r="AS554" s="44"/>
      <c r="AT554" s="45"/>
      <c r="AU554" s="2">
        <v>43894</v>
      </c>
      <c r="AV554" s="52">
        <v>0.125</v>
      </c>
      <c r="AW554" s="2" t="s">
        <v>213</v>
      </c>
      <c r="AY554" s="3"/>
      <c r="BA554" s="3"/>
      <c r="BG554" s="3"/>
      <c r="BH554" s="3"/>
    </row>
    <row r="555" spans="1:60">
      <c r="A555" s="23" t="s">
        <v>22</v>
      </c>
      <c r="B555" s="23" t="s">
        <v>23</v>
      </c>
      <c r="C555" s="27">
        <v>43895.40625</v>
      </c>
      <c r="D555" s="23">
        <v>37.049999999999997</v>
      </c>
      <c r="E555" s="27">
        <v>43895.447916666664</v>
      </c>
      <c r="F555" s="23">
        <v>37.700000000000003</v>
      </c>
      <c r="G555" s="31">
        <v>1.7500000000000002E-2</v>
      </c>
      <c r="H555" s="23">
        <v>-879.64</v>
      </c>
      <c r="I555" s="31">
        <v>-1.7500000000000002E-2</v>
      </c>
      <c r="J555" s="23">
        <v>1353.289</v>
      </c>
      <c r="K555" s="23">
        <v>50139.37</v>
      </c>
      <c r="L555" s="23">
        <v>26927.65</v>
      </c>
      <c r="M555" s="23">
        <v>5</v>
      </c>
      <c r="N555" s="23">
        <v>-175.93</v>
      </c>
      <c r="O555" s="31">
        <v>-1.7500000000000002E-2</v>
      </c>
      <c r="P555" s="31">
        <v>6.7000000000000002E-3</v>
      </c>
      <c r="Q555" s="23" t="s">
        <v>24</v>
      </c>
      <c r="R555" s="23">
        <v>0</v>
      </c>
      <c r="S555" s="23">
        <v>37.880000000000003</v>
      </c>
      <c r="U555" s="47">
        <f>VLOOKUP(AU555,[1]expiry_dates!$B$2:$C$2894,2,FALSE)</f>
        <v>43916</v>
      </c>
      <c r="V555" s="23" t="s">
        <v>144</v>
      </c>
      <c r="W555" s="23" t="s">
        <v>23</v>
      </c>
      <c r="X555" s="49">
        <v>43895.40625</v>
      </c>
      <c r="Y555" s="23">
        <v>1.55</v>
      </c>
      <c r="Z555" s="23">
        <v>43895.447916666664</v>
      </c>
      <c r="AA555" s="23">
        <v>1.85</v>
      </c>
      <c r="AB555" s="23">
        <v>0.19350000000000001</v>
      </c>
      <c r="AC555" s="23">
        <v>-11269.74</v>
      </c>
      <c r="AD555" s="23">
        <v>-0.19350000000000001</v>
      </c>
      <c r="AE555" s="23">
        <v>37565.79</v>
      </c>
      <c r="AF555" s="23">
        <v>58226.98</v>
      </c>
      <c r="AG555" s="23">
        <v>1629810</v>
      </c>
      <c r="AH555" s="23">
        <v>5</v>
      </c>
      <c r="AI555" s="23">
        <v>-2253.9499999999998</v>
      </c>
      <c r="AJ555" s="23">
        <v>-0.19350000000000001</v>
      </c>
      <c r="AK555" s="23">
        <v>3.2300000000000002E-2</v>
      </c>
      <c r="AL555" s="23" t="s">
        <v>24</v>
      </c>
      <c r="AM555" s="23">
        <v>37.049999999999997</v>
      </c>
      <c r="AN555" s="23">
        <v>28620.7</v>
      </c>
      <c r="AO555" s="23">
        <v>37.880000000000003</v>
      </c>
      <c r="AP555" s="23">
        <v>0</v>
      </c>
      <c r="AR555" s="46"/>
      <c r="AS555" s="44"/>
      <c r="AT555" s="45"/>
      <c r="AU555" s="2">
        <v>43895</v>
      </c>
      <c r="AV555" s="52">
        <v>0.40625</v>
      </c>
      <c r="AW555" s="2" t="s">
        <v>212</v>
      </c>
      <c r="AY555" s="3"/>
      <c r="BA555" s="3"/>
      <c r="BG555" s="3"/>
      <c r="BH555" s="3"/>
    </row>
    <row r="556" spans="1:60">
      <c r="A556" s="23" t="s">
        <v>22</v>
      </c>
      <c r="B556" s="23" t="s">
        <v>25</v>
      </c>
      <c r="C556" s="27">
        <v>43895.447916666664</v>
      </c>
      <c r="D556" s="23">
        <v>37.700000000000003</v>
      </c>
      <c r="E556" s="27">
        <v>43896.385416666664</v>
      </c>
      <c r="F556" s="23">
        <v>35.25</v>
      </c>
      <c r="G556" s="31">
        <v>-6.5000000000000002E-2</v>
      </c>
      <c r="H556" s="23">
        <v>-3258.24</v>
      </c>
      <c r="I556" s="31">
        <v>-6.5000000000000002E-2</v>
      </c>
      <c r="J556" s="23">
        <v>1329.894</v>
      </c>
      <c r="K556" s="23">
        <v>50137.01</v>
      </c>
      <c r="L556" s="23">
        <v>23669.41</v>
      </c>
      <c r="M556" s="23">
        <v>24</v>
      </c>
      <c r="N556" s="23">
        <v>-135.76</v>
      </c>
      <c r="O556" s="31">
        <v>-7.1599999999999997E-2</v>
      </c>
      <c r="P556" s="31">
        <v>6.6E-3</v>
      </c>
      <c r="Q556" s="23" t="s">
        <v>24</v>
      </c>
      <c r="R556" s="23">
        <v>0</v>
      </c>
      <c r="S556" s="23">
        <v>36.82</v>
      </c>
      <c r="U556" s="47">
        <f>VLOOKUP(AU556,[1]expiry_dates!$B$2:$C$2894,2,FALSE)</f>
        <v>43916</v>
      </c>
      <c r="V556" s="23" t="s">
        <v>135</v>
      </c>
      <c r="W556" s="23" t="s">
        <v>23</v>
      </c>
      <c r="X556" s="49">
        <v>43895.447916666664</v>
      </c>
      <c r="Y556" s="23">
        <v>1.7</v>
      </c>
      <c r="Z556" s="23">
        <v>43896.385416666664</v>
      </c>
      <c r="AA556" s="23">
        <v>3.5</v>
      </c>
      <c r="AB556" s="23">
        <v>1.0588</v>
      </c>
      <c r="AC556" s="23">
        <v>-61599.41</v>
      </c>
      <c r="AD556" s="23">
        <v>-1.0588</v>
      </c>
      <c r="AE556" s="23">
        <v>34221.89</v>
      </c>
      <c r="AF556" s="23">
        <v>58177.22</v>
      </c>
      <c r="AG556" s="23">
        <v>1568210.59</v>
      </c>
      <c r="AH556" s="23">
        <v>24</v>
      </c>
      <c r="AI556" s="23">
        <v>-2566.64</v>
      </c>
      <c r="AJ556" s="23">
        <v>-1.0588</v>
      </c>
      <c r="AK556" s="23">
        <v>8.8200000000000001E-2</v>
      </c>
      <c r="AL556" s="23" t="s">
        <v>24</v>
      </c>
      <c r="AM556" s="23">
        <v>37.700000000000003</v>
      </c>
      <c r="AN556" s="23">
        <v>28925.4</v>
      </c>
      <c r="AO556" s="23">
        <v>36.82</v>
      </c>
      <c r="AP556" s="23">
        <v>0</v>
      </c>
      <c r="AR556" s="46"/>
      <c r="AS556" s="44"/>
      <c r="AT556" s="45"/>
      <c r="AU556" s="2">
        <v>43895</v>
      </c>
      <c r="AV556" s="52">
        <v>0.44791666666666669</v>
      </c>
      <c r="AW556" s="2" t="s">
        <v>212</v>
      </c>
      <c r="AY556" s="3"/>
      <c r="BA556" s="3"/>
      <c r="BG556" s="3"/>
      <c r="BH556" s="3"/>
    </row>
    <row r="557" spans="1:60">
      <c r="A557" s="23" t="s">
        <v>22</v>
      </c>
      <c r="B557" s="23" t="s">
        <v>23</v>
      </c>
      <c r="C557" s="27">
        <v>43896.385416666664</v>
      </c>
      <c r="D557" s="23">
        <v>35.25</v>
      </c>
      <c r="E557" s="27">
        <v>43896.541666666664</v>
      </c>
      <c r="F557" s="23">
        <v>35.85</v>
      </c>
      <c r="G557" s="31">
        <v>1.7000000000000001E-2</v>
      </c>
      <c r="H557" s="23">
        <v>-853.05</v>
      </c>
      <c r="I557" s="31">
        <v>-1.7000000000000001E-2</v>
      </c>
      <c r="J557" s="23">
        <v>1421.75</v>
      </c>
      <c r="K557" s="23">
        <v>50116.68</v>
      </c>
      <c r="L557" s="23">
        <v>22816.36</v>
      </c>
      <c r="M557" s="23">
        <v>16</v>
      </c>
      <c r="N557" s="23">
        <v>-53.32</v>
      </c>
      <c r="O557" s="31">
        <v>-1.7000000000000001E-2</v>
      </c>
      <c r="P557" s="31">
        <v>1.9900000000000001E-2</v>
      </c>
      <c r="Q557" s="23" t="s">
        <v>24</v>
      </c>
      <c r="R557" s="23">
        <v>0</v>
      </c>
      <c r="S557" s="23">
        <v>37.76</v>
      </c>
      <c r="U557" s="47">
        <f>VLOOKUP(AU557,[1]expiry_dates!$B$2:$C$2894,2,FALSE)</f>
        <v>43916</v>
      </c>
      <c r="V557" s="23" t="s">
        <v>149</v>
      </c>
      <c r="W557" s="23" t="s">
        <v>23</v>
      </c>
      <c r="X557" s="49">
        <v>43896.385416666664</v>
      </c>
      <c r="Y557" s="23">
        <v>1.7</v>
      </c>
      <c r="Z557" s="23">
        <v>43896.541666666664</v>
      </c>
      <c r="AA557" s="23">
        <v>2.1</v>
      </c>
      <c r="AB557" s="23">
        <v>0.23530000000000001</v>
      </c>
      <c r="AC557" s="23">
        <v>-13686.15</v>
      </c>
      <c r="AD557" s="23">
        <v>-0.23530000000000001</v>
      </c>
      <c r="AE557" s="23">
        <v>34215.39</v>
      </c>
      <c r="AF557" s="23">
        <v>58166.16</v>
      </c>
      <c r="AG557" s="23">
        <v>1554524.44</v>
      </c>
      <c r="AH557" s="23">
        <v>16</v>
      </c>
      <c r="AI557" s="23">
        <v>-855.38</v>
      </c>
      <c r="AJ557" s="23">
        <v>-0.23530000000000001</v>
      </c>
      <c r="AK557" s="23">
        <v>0.1176</v>
      </c>
      <c r="AL557" s="23" t="s">
        <v>24</v>
      </c>
      <c r="AM557" s="23">
        <v>35.25</v>
      </c>
      <c r="AN557" s="23">
        <v>27616.55</v>
      </c>
      <c r="AO557" s="23">
        <v>37.76</v>
      </c>
      <c r="AP557" s="23">
        <v>0</v>
      </c>
      <c r="AR557" s="46"/>
      <c r="AS557" s="44"/>
      <c r="AT557" s="45"/>
      <c r="AU557" s="2">
        <v>43896</v>
      </c>
      <c r="AV557" s="52">
        <v>0.38541666666666669</v>
      </c>
      <c r="AW557" s="2" t="s">
        <v>212</v>
      </c>
      <c r="AY557" s="3"/>
      <c r="BA557" s="3"/>
      <c r="BG557" s="3"/>
      <c r="BH557" s="3"/>
    </row>
    <row r="558" spans="1:60">
      <c r="A558" s="23" t="s">
        <v>22</v>
      </c>
      <c r="B558" s="23" t="s">
        <v>25</v>
      </c>
      <c r="C558" s="27">
        <v>43896.541666666664</v>
      </c>
      <c r="D558" s="23">
        <v>35.85</v>
      </c>
      <c r="E558" s="27">
        <v>43899.385416666664</v>
      </c>
      <c r="F558" s="23">
        <v>34.85</v>
      </c>
      <c r="G558" s="31">
        <v>-2.7900000000000001E-2</v>
      </c>
      <c r="H558" s="23">
        <v>-1397.91</v>
      </c>
      <c r="I558" s="31">
        <v>-2.7900000000000001E-2</v>
      </c>
      <c r="J558" s="23">
        <v>1397.912</v>
      </c>
      <c r="K558" s="23">
        <v>50115.15</v>
      </c>
      <c r="L558" s="23">
        <v>21418.45</v>
      </c>
      <c r="M558" s="23">
        <v>14</v>
      </c>
      <c r="N558" s="23">
        <v>-99.85</v>
      </c>
      <c r="O558" s="31">
        <v>-2.7900000000000001E-2</v>
      </c>
      <c r="P558" s="31">
        <v>1.5299999999999999E-2</v>
      </c>
      <c r="Q558" s="23" t="s">
        <v>24</v>
      </c>
      <c r="R558" s="23">
        <v>0</v>
      </c>
      <c r="S558" s="23">
        <v>34.6</v>
      </c>
      <c r="U558" s="47">
        <f>VLOOKUP(AU558,[1]expiry_dates!$B$2:$C$2894,2,FALSE)</f>
        <v>43916</v>
      </c>
      <c r="V558" s="23" t="s">
        <v>143</v>
      </c>
      <c r="W558" s="23" t="s">
        <v>23</v>
      </c>
      <c r="X558" s="49">
        <v>43896.541666666664</v>
      </c>
      <c r="Y558" s="23">
        <v>1.8</v>
      </c>
      <c r="Z558" s="23">
        <v>43899.385416666664</v>
      </c>
      <c r="AA558" s="23">
        <v>2.5499999999999998</v>
      </c>
      <c r="AB558" s="23">
        <v>0.41670000000000001</v>
      </c>
      <c r="AC558" s="23">
        <v>-24082.62</v>
      </c>
      <c r="AD558" s="23">
        <v>-0.41670000000000001</v>
      </c>
      <c r="AE558" s="23">
        <v>32110.16</v>
      </c>
      <c r="AF558" s="23">
        <v>57798.29</v>
      </c>
      <c r="AG558" s="23">
        <v>1530441.82</v>
      </c>
      <c r="AH558" s="23">
        <v>14</v>
      </c>
      <c r="AI558" s="23">
        <v>-1720.19</v>
      </c>
      <c r="AJ558" s="23">
        <v>-0.41670000000000001</v>
      </c>
      <c r="AK558" s="23">
        <v>8.3299999999999999E-2</v>
      </c>
      <c r="AL558" s="23" t="s">
        <v>24</v>
      </c>
      <c r="AM558" s="23">
        <v>35.85</v>
      </c>
      <c r="AN558" s="23">
        <v>27829</v>
      </c>
      <c r="AO558" s="23">
        <v>34.6</v>
      </c>
      <c r="AP558" s="23">
        <v>0</v>
      </c>
      <c r="AR558" s="46"/>
      <c r="AS558" s="44"/>
      <c r="AT558" s="45"/>
      <c r="AU558" s="2">
        <v>43896</v>
      </c>
      <c r="AV558" s="52">
        <v>4.1666666666666664E-2</v>
      </c>
      <c r="AW558" s="2" t="s">
        <v>213</v>
      </c>
      <c r="AY558" s="3"/>
      <c r="BA558" s="3"/>
      <c r="BG558" s="3"/>
      <c r="BH558" s="3"/>
    </row>
    <row r="559" spans="1:60">
      <c r="A559" s="23" t="s">
        <v>22</v>
      </c>
      <c r="B559" s="23" t="s">
        <v>23</v>
      </c>
      <c r="C559" s="27">
        <v>43899.385416666664</v>
      </c>
      <c r="D559" s="23">
        <v>34.85</v>
      </c>
      <c r="E559" s="27">
        <v>43901.385416666664</v>
      </c>
      <c r="F559" s="23">
        <v>34.35</v>
      </c>
      <c r="G559" s="31">
        <v>-1.43E-2</v>
      </c>
      <c r="H559" s="23">
        <v>718.91</v>
      </c>
      <c r="I559" s="31">
        <v>1.43E-2</v>
      </c>
      <c r="J559" s="23">
        <v>1437.8230000000001</v>
      </c>
      <c r="K559" s="23">
        <v>50108.14</v>
      </c>
      <c r="L559" s="23">
        <v>22137.360000000001</v>
      </c>
      <c r="M559" s="23">
        <v>29</v>
      </c>
      <c r="N559" s="23">
        <v>24.79</v>
      </c>
      <c r="O559" s="31">
        <v>-2.58E-2</v>
      </c>
      <c r="P559" s="31">
        <v>5.8799999999999998E-2</v>
      </c>
      <c r="Q559" s="23" t="s">
        <v>24</v>
      </c>
      <c r="R559" s="23">
        <v>0</v>
      </c>
      <c r="S559" s="23">
        <v>36.31</v>
      </c>
      <c r="U559" s="47">
        <f>VLOOKUP(AU559,[1]expiry_dates!$B$2:$C$2894,2,FALSE)</f>
        <v>43916</v>
      </c>
      <c r="V559" s="23" t="s">
        <v>149</v>
      </c>
      <c r="W559" s="23" t="s">
        <v>23</v>
      </c>
      <c r="X559" s="49">
        <v>43899.385416666664</v>
      </c>
      <c r="Y559" s="23">
        <v>1.65</v>
      </c>
      <c r="Z559" s="23">
        <v>43901.385416666664</v>
      </c>
      <c r="AA559" s="23">
        <v>1.35</v>
      </c>
      <c r="AB559" s="23">
        <v>-0.18179999999999999</v>
      </c>
      <c r="AC559" s="23">
        <v>10507.03</v>
      </c>
      <c r="AD559" s="23">
        <v>0.18179999999999999</v>
      </c>
      <c r="AE559" s="23">
        <v>35023.440000000002</v>
      </c>
      <c r="AF559" s="23">
        <v>57788.68</v>
      </c>
      <c r="AG559" s="23">
        <v>1540948.85</v>
      </c>
      <c r="AH559" s="23">
        <v>29</v>
      </c>
      <c r="AI559" s="23">
        <v>362.31</v>
      </c>
      <c r="AJ559" s="23">
        <v>-3.0300000000000001E-2</v>
      </c>
      <c r="AK559" s="23">
        <v>0.39389999999999997</v>
      </c>
      <c r="AL559" s="23" t="s">
        <v>24</v>
      </c>
      <c r="AM559" s="23">
        <v>34.85</v>
      </c>
      <c r="AN559" s="23">
        <v>26910.5</v>
      </c>
      <c r="AO559" s="23">
        <v>36.31</v>
      </c>
      <c r="AP559" s="23">
        <v>0</v>
      </c>
      <c r="AR559" s="46"/>
      <c r="AS559" s="44"/>
      <c r="AT559" s="45"/>
      <c r="AU559" s="2">
        <v>43899</v>
      </c>
      <c r="AV559" s="52">
        <v>0.38541666666666669</v>
      </c>
      <c r="AW559" s="2" t="s">
        <v>212</v>
      </c>
      <c r="AY559" s="3"/>
      <c r="BA559" s="3"/>
      <c r="BG559" s="3"/>
      <c r="BH559" s="3"/>
    </row>
    <row r="560" spans="1:60">
      <c r="A560" s="23" t="s">
        <v>22</v>
      </c>
      <c r="B560" s="23" t="s">
        <v>25</v>
      </c>
      <c r="C560" s="27">
        <v>43901.385416666664</v>
      </c>
      <c r="D560" s="23">
        <v>34.35</v>
      </c>
      <c r="E560" s="27">
        <v>43901.510416666664</v>
      </c>
      <c r="F560" s="23">
        <v>33.950000000000003</v>
      </c>
      <c r="G560" s="31">
        <v>-1.1599999999999999E-2</v>
      </c>
      <c r="H560" s="23">
        <v>-583.64</v>
      </c>
      <c r="I560" s="31">
        <v>-1.1599999999999999E-2</v>
      </c>
      <c r="J560" s="23">
        <v>1459.0989999999999</v>
      </c>
      <c r="K560" s="23">
        <v>50120.03</v>
      </c>
      <c r="L560" s="23">
        <v>21553.72</v>
      </c>
      <c r="M560" s="23">
        <v>13</v>
      </c>
      <c r="N560" s="23">
        <v>-44.9</v>
      </c>
      <c r="O560" s="31">
        <v>-4.9500000000000002E-2</v>
      </c>
      <c r="P560" s="31">
        <v>2.8999999999999998E-3</v>
      </c>
      <c r="Q560" s="23" t="s">
        <v>24</v>
      </c>
      <c r="R560" s="23">
        <v>0</v>
      </c>
      <c r="S560" s="23">
        <v>32.65</v>
      </c>
      <c r="U560" s="47">
        <f>VLOOKUP(AU560,[1]expiry_dates!$B$2:$C$2894,2,FALSE)</f>
        <v>43916</v>
      </c>
      <c r="V560" s="23" t="s">
        <v>147</v>
      </c>
      <c r="W560" s="23" t="s">
        <v>23</v>
      </c>
      <c r="X560" s="49">
        <v>43901.385416666664</v>
      </c>
      <c r="Y560" s="23">
        <v>1.65</v>
      </c>
      <c r="Z560" s="23">
        <v>43901.510416666664</v>
      </c>
      <c r="AA560" s="23">
        <v>1.45</v>
      </c>
      <c r="AB560" s="23">
        <v>-0.1212</v>
      </c>
      <c r="AC560" s="23">
        <v>7000.88</v>
      </c>
      <c r="AD560" s="23">
        <v>0.1212</v>
      </c>
      <c r="AE560" s="23">
        <v>35004.410000000003</v>
      </c>
      <c r="AF560" s="23">
        <v>57757.279999999999</v>
      </c>
      <c r="AG560" s="23">
        <v>1547949.74</v>
      </c>
      <c r="AH560" s="23">
        <v>13</v>
      </c>
      <c r="AI560" s="23">
        <v>538.53</v>
      </c>
      <c r="AJ560" s="23">
        <v>-0.1515</v>
      </c>
      <c r="AK560" s="23">
        <v>0.18179999999999999</v>
      </c>
      <c r="AL560" s="23" t="s">
        <v>24</v>
      </c>
      <c r="AM560" s="23">
        <v>34.35</v>
      </c>
      <c r="AN560" s="23">
        <v>26760.65</v>
      </c>
      <c r="AO560" s="23">
        <v>32.65</v>
      </c>
      <c r="AP560" s="23">
        <v>0</v>
      </c>
      <c r="AR560" s="46"/>
      <c r="AS560" s="44"/>
      <c r="AT560" s="45"/>
      <c r="AU560" s="2">
        <v>43901</v>
      </c>
      <c r="AV560" s="52">
        <v>0.38541666666666669</v>
      </c>
      <c r="AW560" s="2" t="s">
        <v>212</v>
      </c>
      <c r="AY560" s="3"/>
      <c r="BA560" s="3"/>
      <c r="BG560" s="3"/>
      <c r="BH560" s="3"/>
    </row>
    <row r="561" spans="1:60">
      <c r="A561" s="23" t="s">
        <v>22</v>
      </c>
      <c r="B561" s="23" t="s">
        <v>23</v>
      </c>
      <c r="C561" s="27">
        <v>43901.510416666664</v>
      </c>
      <c r="D561" s="23">
        <v>33.950000000000003</v>
      </c>
      <c r="E561" s="27">
        <v>43903.447916666664</v>
      </c>
      <c r="F561" s="23">
        <v>26.15</v>
      </c>
      <c r="G561" s="31">
        <v>-0.22969999999999999</v>
      </c>
      <c r="H561" s="23">
        <v>11511.91</v>
      </c>
      <c r="I561" s="31">
        <v>0.22969999999999999</v>
      </c>
      <c r="J561" s="23">
        <v>1475.885</v>
      </c>
      <c r="K561" s="23">
        <v>50106.31</v>
      </c>
      <c r="L561" s="23">
        <v>33065.629999999997</v>
      </c>
      <c r="M561" s="23">
        <v>49</v>
      </c>
      <c r="N561" s="23">
        <v>234.94</v>
      </c>
      <c r="O561" s="31">
        <v>-1.5E-3</v>
      </c>
      <c r="P561" s="31">
        <v>0.39029999999999998</v>
      </c>
      <c r="Q561" s="23" t="s">
        <v>24</v>
      </c>
      <c r="R561" s="23">
        <v>0</v>
      </c>
      <c r="S561" s="23">
        <v>34.409999999999997</v>
      </c>
      <c r="U561" s="47">
        <f>VLOOKUP(AU561,[1]expiry_dates!$B$2:$C$2894,2,FALSE)</f>
        <v>43916</v>
      </c>
      <c r="V561" s="23" t="s">
        <v>150</v>
      </c>
      <c r="W561" s="23" t="s">
        <v>23</v>
      </c>
      <c r="X561" s="49">
        <v>43901.510416666664</v>
      </c>
      <c r="Y561" s="23">
        <v>1.8</v>
      </c>
      <c r="Z561" s="23">
        <v>43903.447916666664</v>
      </c>
      <c r="AA561" s="23">
        <v>0.45</v>
      </c>
      <c r="AB561" s="23">
        <v>-0.75</v>
      </c>
      <c r="AC561" s="23">
        <v>43285.120000000003</v>
      </c>
      <c r="AD561" s="23">
        <v>0.75</v>
      </c>
      <c r="AE561" s="23">
        <v>32063.05</v>
      </c>
      <c r="AF561" s="23">
        <v>57713.5</v>
      </c>
      <c r="AG561" s="23">
        <v>1591234.86</v>
      </c>
      <c r="AH561" s="23">
        <v>49</v>
      </c>
      <c r="AI561" s="23">
        <v>883.37</v>
      </c>
      <c r="AJ561" s="23">
        <v>-2.7799999999999998E-2</v>
      </c>
      <c r="AK561" s="23">
        <v>0.86109999999999998</v>
      </c>
      <c r="AL561" s="23" t="s">
        <v>24</v>
      </c>
      <c r="AM561" s="23">
        <v>33.950000000000003</v>
      </c>
      <c r="AN561" s="23">
        <v>26529.55</v>
      </c>
      <c r="AO561" s="23">
        <v>34.409999999999997</v>
      </c>
      <c r="AP561" s="23">
        <v>0</v>
      </c>
      <c r="AR561" s="46"/>
      <c r="AS561" s="44"/>
      <c r="AT561" s="45"/>
      <c r="AU561" s="2">
        <v>43901</v>
      </c>
      <c r="AV561" s="52">
        <v>0.51041666666666663</v>
      </c>
      <c r="AW561" s="2" t="s">
        <v>213</v>
      </c>
      <c r="AY561" s="3"/>
      <c r="BA561" s="3"/>
      <c r="BG561" s="3"/>
      <c r="BH561" s="3"/>
    </row>
    <row r="562" spans="1:60">
      <c r="A562" s="23" t="s">
        <v>22</v>
      </c>
      <c r="B562" s="23" t="s">
        <v>25</v>
      </c>
      <c r="C562" s="27">
        <v>43903.447916666664</v>
      </c>
      <c r="D562" s="23">
        <v>26.15</v>
      </c>
      <c r="E562" s="27">
        <v>43906.395833333336</v>
      </c>
      <c r="F562" s="23">
        <v>27.05</v>
      </c>
      <c r="G562" s="31">
        <v>3.44E-2</v>
      </c>
      <c r="H562" s="23">
        <v>1726.46</v>
      </c>
      <c r="I562" s="31">
        <v>3.44E-2</v>
      </c>
      <c r="J562" s="23">
        <v>1918.2840000000001</v>
      </c>
      <c r="K562" s="23">
        <v>50163.11</v>
      </c>
      <c r="L562" s="23">
        <v>34792.089999999997</v>
      </c>
      <c r="M562" s="23">
        <v>24</v>
      </c>
      <c r="N562" s="23">
        <v>71.94</v>
      </c>
      <c r="O562" s="31">
        <v>-3.2500000000000001E-2</v>
      </c>
      <c r="P562" s="31">
        <v>0.16439999999999999</v>
      </c>
      <c r="Q562" s="23" t="s">
        <v>24</v>
      </c>
      <c r="R562" s="23">
        <v>0</v>
      </c>
      <c r="S562" s="23">
        <v>20.86</v>
      </c>
      <c r="U562" s="47">
        <f>VLOOKUP(AU562,[1]expiry_dates!$B$2:$C$2894,2,FALSE)</f>
        <v>43916</v>
      </c>
      <c r="V562" s="23" t="s">
        <v>151</v>
      </c>
      <c r="W562" s="23" t="s">
        <v>23</v>
      </c>
      <c r="X562" s="49">
        <v>43903.447916666664</v>
      </c>
      <c r="Y562" s="23">
        <v>2.9</v>
      </c>
      <c r="Z562" s="23">
        <v>43906.395833333336</v>
      </c>
      <c r="AA562" s="23">
        <v>2.1</v>
      </c>
      <c r="AB562" s="23">
        <v>-0.27589999999999998</v>
      </c>
      <c r="AC562" s="23">
        <v>15990.12</v>
      </c>
      <c r="AD562" s="23">
        <v>0.27589999999999998</v>
      </c>
      <c r="AE562" s="23">
        <v>19987.650000000001</v>
      </c>
      <c r="AF562" s="23">
        <v>57964.19</v>
      </c>
      <c r="AG562" s="23">
        <v>1607224.98</v>
      </c>
      <c r="AH562" s="23">
        <v>24</v>
      </c>
      <c r="AI562" s="23">
        <v>666.26</v>
      </c>
      <c r="AJ562" s="23">
        <v>-8.6199999999999999E-2</v>
      </c>
      <c r="AK562" s="23">
        <v>0.63790000000000002</v>
      </c>
      <c r="AL562" s="23" t="s">
        <v>24</v>
      </c>
      <c r="AM562" s="23">
        <v>26.15</v>
      </c>
      <c r="AN562" s="23">
        <v>23782.9</v>
      </c>
      <c r="AO562" s="23">
        <v>20.86</v>
      </c>
      <c r="AP562" s="23">
        <v>0</v>
      </c>
      <c r="AR562" s="46"/>
      <c r="AS562" s="44"/>
      <c r="AT562" s="45"/>
      <c r="AU562" s="2">
        <v>43903</v>
      </c>
      <c r="AV562" s="52">
        <v>0.44791666666666669</v>
      </c>
      <c r="AW562" s="2" t="s">
        <v>212</v>
      </c>
      <c r="AY562" s="3"/>
      <c r="BA562" s="3"/>
      <c r="BG562" s="3"/>
      <c r="BH562" s="3"/>
    </row>
    <row r="563" spans="1:60">
      <c r="A563" s="23" t="s">
        <v>22</v>
      </c>
      <c r="B563" s="23" t="s">
        <v>23</v>
      </c>
      <c r="C563" s="27">
        <v>43906.395833333336</v>
      </c>
      <c r="D563" s="23">
        <v>27.05</v>
      </c>
      <c r="E563" s="27">
        <v>43907.395833333336</v>
      </c>
      <c r="F563" s="23">
        <v>26.85</v>
      </c>
      <c r="G563" s="31">
        <v>-7.4000000000000003E-3</v>
      </c>
      <c r="H563" s="23">
        <v>370.99</v>
      </c>
      <c r="I563" s="31">
        <v>7.4000000000000003E-3</v>
      </c>
      <c r="J563" s="23">
        <v>1854.931</v>
      </c>
      <c r="K563" s="23">
        <v>50175.88</v>
      </c>
      <c r="L563" s="23">
        <v>35163.07</v>
      </c>
      <c r="M563" s="23">
        <v>29</v>
      </c>
      <c r="N563" s="23">
        <v>12.79</v>
      </c>
      <c r="O563" s="31">
        <v>-3.5099999999999999E-2</v>
      </c>
      <c r="P563" s="31">
        <v>7.0199999999999999E-2</v>
      </c>
      <c r="Q563" s="23" t="s">
        <v>24</v>
      </c>
      <c r="R563" s="23">
        <v>0</v>
      </c>
      <c r="S563" s="23">
        <v>30.32</v>
      </c>
      <c r="U563" s="47">
        <f>VLOOKUP(AU563,[1]expiry_dates!$B$2:$C$2894,2,FALSE)</f>
        <v>43916</v>
      </c>
      <c r="V563" s="23" t="s">
        <v>152</v>
      </c>
      <c r="W563" s="23" t="s">
        <v>23</v>
      </c>
      <c r="X563" s="49">
        <v>43906.395833333336</v>
      </c>
      <c r="Y563" s="23">
        <v>2</v>
      </c>
      <c r="Z563" s="23">
        <v>43907.395833333336</v>
      </c>
      <c r="AA563" s="23">
        <v>1.95</v>
      </c>
      <c r="AB563" s="23">
        <v>-2.5000000000000001E-2</v>
      </c>
      <c r="AC563" s="23">
        <v>1451.15</v>
      </c>
      <c r="AD563" s="23">
        <v>2.5000000000000001E-2</v>
      </c>
      <c r="AE563" s="23">
        <v>29023.06</v>
      </c>
      <c r="AF563" s="23">
        <v>58046.12</v>
      </c>
      <c r="AG563" s="23">
        <v>1608676.13</v>
      </c>
      <c r="AH563" s="23">
        <v>29</v>
      </c>
      <c r="AI563" s="23">
        <v>50.04</v>
      </c>
      <c r="AJ563" s="23">
        <v>-0.125</v>
      </c>
      <c r="AK563" s="23">
        <v>0.32500000000000001</v>
      </c>
      <c r="AL563" s="23" t="s">
        <v>24</v>
      </c>
      <c r="AM563" s="23">
        <v>27.05</v>
      </c>
      <c r="AN563" s="23">
        <v>23589.200000000001</v>
      </c>
      <c r="AO563" s="23">
        <v>30.32</v>
      </c>
      <c r="AP563" s="23">
        <v>0</v>
      </c>
      <c r="AR563" s="46"/>
      <c r="AS563" s="44"/>
      <c r="AT563" s="45"/>
      <c r="AU563" s="2">
        <v>43906</v>
      </c>
      <c r="AV563" s="52">
        <v>0.39583333333333331</v>
      </c>
      <c r="AW563" s="2" t="s">
        <v>212</v>
      </c>
      <c r="AY563" s="3"/>
      <c r="BA563" s="3"/>
      <c r="BG563" s="3"/>
      <c r="BH563" s="3"/>
    </row>
    <row r="564" spans="1:60">
      <c r="A564" s="23" t="s">
        <v>22</v>
      </c>
      <c r="B564" s="23" t="s">
        <v>25</v>
      </c>
      <c r="C564" s="27">
        <v>43907.395833333336</v>
      </c>
      <c r="D564" s="23">
        <v>26.85</v>
      </c>
      <c r="E564" s="27">
        <v>43907.53125</v>
      </c>
      <c r="F564" s="23">
        <v>26.6</v>
      </c>
      <c r="G564" s="31">
        <v>-9.2999999999999992E-3</v>
      </c>
      <c r="H564" s="23">
        <v>-467.28</v>
      </c>
      <c r="I564" s="31">
        <v>-9.2999999999999992E-3</v>
      </c>
      <c r="J564" s="23">
        <v>1869.1079999999999</v>
      </c>
      <c r="K564" s="23">
        <v>50185.55</v>
      </c>
      <c r="L564" s="23">
        <v>34695.79</v>
      </c>
      <c r="M564" s="23">
        <v>14</v>
      </c>
      <c r="N564" s="23">
        <v>-33.380000000000003</v>
      </c>
      <c r="O564" s="31">
        <v>-4.1000000000000002E-2</v>
      </c>
      <c r="P564" s="31">
        <v>3.1699999999999999E-2</v>
      </c>
      <c r="Q564" s="23" t="s">
        <v>24</v>
      </c>
      <c r="R564" s="23">
        <v>0</v>
      </c>
      <c r="S564" s="23">
        <v>25.15</v>
      </c>
      <c r="U564" s="47">
        <f>VLOOKUP(AU564,[1]expiry_dates!$B$2:$C$2894,2,FALSE)</f>
        <v>43916</v>
      </c>
      <c r="V564" s="23" t="s">
        <v>153</v>
      </c>
      <c r="W564" s="23" t="s">
        <v>23</v>
      </c>
      <c r="X564" s="49">
        <v>43907.395833333336</v>
      </c>
      <c r="Y564" s="23">
        <v>2.5</v>
      </c>
      <c r="Z564" s="23">
        <v>43907.53125</v>
      </c>
      <c r="AA564" s="23">
        <v>2.95</v>
      </c>
      <c r="AB564" s="23">
        <v>0.18</v>
      </c>
      <c r="AC564" s="23">
        <v>-10453.030000000001</v>
      </c>
      <c r="AD564" s="23">
        <v>-0.18</v>
      </c>
      <c r="AE564" s="23">
        <v>23228.959999999999</v>
      </c>
      <c r="AF564" s="23">
        <v>58072.4</v>
      </c>
      <c r="AG564" s="23">
        <v>1598223.1</v>
      </c>
      <c r="AH564" s="23">
        <v>14</v>
      </c>
      <c r="AI564" s="23">
        <v>-746.65</v>
      </c>
      <c r="AJ564" s="23">
        <v>-0.46</v>
      </c>
      <c r="AK564" s="23">
        <v>0.08</v>
      </c>
      <c r="AL564" s="23" t="s">
        <v>24</v>
      </c>
      <c r="AM564" s="23">
        <v>26.85</v>
      </c>
      <c r="AN564" s="23">
        <v>23149.9</v>
      </c>
      <c r="AO564" s="23">
        <v>25.15</v>
      </c>
      <c r="AP564" s="23">
        <v>0</v>
      </c>
      <c r="AR564" s="46"/>
      <c r="AS564" s="44"/>
      <c r="AT564" s="45"/>
      <c r="AU564" s="2">
        <v>43907</v>
      </c>
      <c r="AV564" s="52">
        <v>0.39583333333333331</v>
      </c>
      <c r="AW564" s="2" t="s">
        <v>212</v>
      </c>
      <c r="AY564" s="3"/>
      <c r="BA564" s="3"/>
      <c r="BG564" s="3"/>
      <c r="BH564" s="3"/>
    </row>
    <row r="565" spans="1:60">
      <c r="A565" s="23" t="s">
        <v>22</v>
      </c>
      <c r="B565" s="23" t="s">
        <v>23</v>
      </c>
      <c r="C565" s="27">
        <v>43907.53125</v>
      </c>
      <c r="D565" s="23">
        <v>26.6</v>
      </c>
      <c r="E565" s="27">
        <v>43908.625</v>
      </c>
      <c r="F565" s="23">
        <v>23.45</v>
      </c>
      <c r="G565" s="31">
        <v>-0.11840000000000001</v>
      </c>
      <c r="H565" s="23">
        <v>5941.6</v>
      </c>
      <c r="I565" s="31">
        <v>0.11840000000000001</v>
      </c>
      <c r="J565" s="23">
        <v>1886.221</v>
      </c>
      <c r="K565" s="23">
        <v>50173.48</v>
      </c>
      <c r="L565" s="23">
        <v>40637.39</v>
      </c>
      <c r="M565" s="23">
        <v>38</v>
      </c>
      <c r="N565" s="23">
        <v>156.36000000000001</v>
      </c>
      <c r="O565" s="31">
        <v>-9.4000000000000004E-3</v>
      </c>
      <c r="P565" s="31">
        <v>0.16539999999999999</v>
      </c>
      <c r="Q565" s="23" t="s">
        <v>24</v>
      </c>
      <c r="R565" s="23">
        <v>0</v>
      </c>
      <c r="S565" s="23">
        <v>27.7</v>
      </c>
      <c r="U565" s="47">
        <f>VLOOKUP(AU565,[1]expiry_dates!$B$2:$C$2894,2,FALSE)</f>
        <v>43916</v>
      </c>
      <c r="V565" s="23" t="s">
        <v>154</v>
      </c>
      <c r="W565" s="23" t="s">
        <v>23</v>
      </c>
      <c r="X565" s="49">
        <v>43907.53125</v>
      </c>
      <c r="Y565" s="23">
        <v>2.5</v>
      </c>
      <c r="Z565" s="23">
        <v>43908.625</v>
      </c>
      <c r="AA565" s="23">
        <v>0.8</v>
      </c>
      <c r="AB565" s="23">
        <v>-0.68</v>
      </c>
      <c r="AC565" s="23">
        <v>39441.86</v>
      </c>
      <c r="AD565" s="23">
        <v>0.68</v>
      </c>
      <c r="AE565" s="23">
        <v>23201.09</v>
      </c>
      <c r="AF565" s="23">
        <v>58002.73</v>
      </c>
      <c r="AG565" s="23">
        <v>1637664.96</v>
      </c>
      <c r="AH565" s="23">
        <v>38</v>
      </c>
      <c r="AI565" s="23">
        <v>1037.94</v>
      </c>
      <c r="AJ565" s="23">
        <v>-0.06</v>
      </c>
      <c r="AK565" s="23">
        <v>0.7</v>
      </c>
      <c r="AL565" s="23" t="s">
        <v>24</v>
      </c>
      <c r="AM565" s="23">
        <v>26.6</v>
      </c>
      <c r="AN565" s="23">
        <v>23007.25</v>
      </c>
      <c r="AO565" s="23">
        <v>27.7</v>
      </c>
      <c r="AP565" s="23">
        <v>0</v>
      </c>
      <c r="AR565" s="46"/>
      <c r="AS565" s="44"/>
      <c r="AT565" s="45"/>
      <c r="AU565" s="2">
        <v>43907</v>
      </c>
      <c r="AV565" s="52">
        <v>0.53125</v>
      </c>
      <c r="AW565" s="2" t="s">
        <v>213</v>
      </c>
      <c r="AY565" s="3"/>
      <c r="BA565" s="3"/>
      <c r="BG565" s="3"/>
      <c r="BH565" s="3"/>
    </row>
    <row r="566" spans="1:60">
      <c r="A566" s="23" t="s">
        <v>22</v>
      </c>
      <c r="B566" s="23" t="s">
        <v>25</v>
      </c>
      <c r="C566" s="27">
        <v>43908.625</v>
      </c>
      <c r="D566" s="23">
        <v>23.45</v>
      </c>
      <c r="E566" s="27">
        <v>43909.385416666664</v>
      </c>
      <c r="F566" s="23">
        <v>22.05</v>
      </c>
      <c r="G566" s="31">
        <v>-5.9700000000000003E-2</v>
      </c>
      <c r="H566" s="23">
        <v>-2997.63</v>
      </c>
      <c r="I566" s="31">
        <v>-5.9700000000000003E-2</v>
      </c>
      <c r="J566" s="23">
        <v>2141.1619999999998</v>
      </c>
      <c r="K566" s="23">
        <v>50210.26</v>
      </c>
      <c r="L566" s="23">
        <v>37639.760000000002</v>
      </c>
      <c r="M566" s="23">
        <v>6</v>
      </c>
      <c r="N566" s="23">
        <v>-499.6</v>
      </c>
      <c r="O566" s="31">
        <v>-5.9700000000000003E-2</v>
      </c>
      <c r="P566" s="31">
        <v>8.7400000000000005E-2</v>
      </c>
      <c r="Q566" s="23" t="s">
        <v>24</v>
      </c>
      <c r="R566" s="23">
        <v>0</v>
      </c>
      <c r="S566" s="23">
        <v>22.2</v>
      </c>
      <c r="U566" s="47">
        <f>VLOOKUP(AU566,[1]expiry_dates!$B$2:$C$2894,2,FALSE)</f>
        <v>43916</v>
      </c>
      <c r="V566" s="23" t="s">
        <v>155</v>
      </c>
      <c r="W566" s="23" t="s">
        <v>23</v>
      </c>
      <c r="X566" s="49">
        <v>43908.625</v>
      </c>
      <c r="Y566" s="23">
        <v>2.4500000000000002</v>
      </c>
      <c r="Z566" s="23">
        <v>43909.385416666664</v>
      </c>
      <c r="AA566" s="23">
        <v>2.65</v>
      </c>
      <c r="AB566" s="23">
        <v>8.1600000000000006E-2</v>
      </c>
      <c r="AC566" s="23">
        <v>-4748.6499999999996</v>
      </c>
      <c r="AD566" s="23">
        <v>-8.1600000000000006E-2</v>
      </c>
      <c r="AE566" s="23">
        <v>23743.23</v>
      </c>
      <c r="AF566" s="23">
        <v>58170.93</v>
      </c>
      <c r="AG566" s="23">
        <v>1632916.31</v>
      </c>
      <c r="AH566" s="23">
        <v>6</v>
      </c>
      <c r="AI566" s="23">
        <v>-791.44</v>
      </c>
      <c r="AJ566" s="23">
        <v>-0.1429</v>
      </c>
      <c r="AK566" s="23">
        <v>0.28570000000000001</v>
      </c>
      <c r="AL566" s="23" t="s">
        <v>24</v>
      </c>
      <c r="AM566" s="23">
        <v>23.45</v>
      </c>
      <c r="AN566" s="23">
        <v>20413.400000000001</v>
      </c>
      <c r="AO566" s="23">
        <v>22.2</v>
      </c>
      <c r="AP566" s="23">
        <v>0</v>
      </c>
      <c r="AR566" s="46"/>
      <c r="AS566" s="44"/>
      <c r="AT566" s="45"/>
      <c r="AU566" s="2">
        <v>43908</v>
      </c>
      <c r="AV566" s="52">
        <v>0.125</v>
      </c>
      <c r="AW566" s="2" t="s">
        <v>213</v>
      </c>
      <c r="AY566" s="3"/>
      <c r="BA566" s="3"/>
      <c r="BG566" s="3"/>
      <c r="BH566" s="3"/>
    </row>
    <row r="567" spans="1:60">
      <c r="A567" s="23" t="s">
        <v>22</v>
      </c>
      <c r="B567" s="23" t="s">
        <v>23</v>
      </c>
      <c r="C567" s="27">
        <v>43909.385416666664</v>
      </c>
      <c r="D567" s="23">
        <v>22.05</v>
      </c>
      <c r="E567" s="27">
        <v>43910.427083333336</v>
      </c>
      <c r="F567" s="23">
        <v>21.15</v>
      </c>
      <c r="G567" s="31">
        <v>-4.0800000000000003E-2</v>
      </c>
      <c r="H567" s="23">
        <v>2048.52</v>
      </c>
      <c r="I567" s="31">
        <v>4.0800000000000003E-2</v>
      </c>
      <c r="J567" s="23">
        <v>2276.1329999999998</v>
      </c>
      <c r="K567" s="23">
        <v>50188.73</v>
      </c>
      <c r="L567" s="23">
        <v>39688.28</v>
      </c>
      <c r="M567" s="23">
        <v>33</v>
      </c>
      <c r="N567" s="23">
        <v>62.08</v>
      </c>
      <c r="O567" s="31">
        <v>-3.4000000000000002E-2</v>
      </c>
      <c r="P567" s="31">
        <v>0.17230000000000001</v>
      </c>
      <c r="Q567" s="23" t="s">
        <v>24</v>
      </c>
      <c r="R567" s="23">
        <v>0</v>
      </c>
      <c r="S567" s="23">
        <v>25.28</v>
      </c>
      <c r="U567" s="47">
        <f>VLOOKUP(AU567,[1]expiry_dates!$B$2:$C$2894,2,FALSE)</f>
        <v>43916</v>
      </c>
      <c r="V567" s="23" t="s">
        <v>156</v>
      </c>
      <c r="W567" s="23" t="s">
        <v>23</v>
      </c>
      <c r="X567" s="49">
        <v>43909.385416666664</v>
      </c>
      <c r="Y567" s="23">
        <v>2.2000000000000002</v>
      </c>
      <c r="Z567" s="23">
        <v>43910.427083333336</v>
      </c>
      <c r="AA567" s="23">
        <v>1.85</v>
      </c>
      <c r="AB567" s="23">
        <v>-0.15909999999999999</v>
      </c>
      <c r="AC567" s="23">
        <v>9265.73</v>
      </c>
      <c r="AD567" s="23">
        <v>0.15909999999999999</v>
      </c>
      <c r="AE567" s="23">
        <v>26473.52</v>
      </c>
      <c r="AF567" s="23">
        <v>58241.75</v>
      </c>
      <c r="AG567" s="23">
        <v>1642182.04</v>
      </c>
      <c r="AH567" s="23">
        <v>33</v>
      </c>
      <c r="AI567" s="23">
        <v>280.77999999999997</v>
      </c>
      <c r="AJ567" s="23">
        <v>0</v>
      </c>
      <c r="AK567" s="23">
        <v>0.52270000000000005</v>
      </c>
      <c r="AL567" s="23" t="s">
        <v>24</v>
      </c>
      <c r="AM567" s="23">
        <v>22.05</v>
      </c>
      <c r="AN567" s="23">
        <v>19082.8</v>
      </c>
      <c r="AO567" s="23">
        <v>25.28</v>
      </c>
      <c r="AP567" s="23">
        <v>0</v>
      </c>
      <c r="AR567" s="46"/>
      <c r="AS567" s="44"/>
      <c r="AT567" s="45"/>
      <c r="AU567" s="2">
        <v>43909</v>
      </c>
      <c r="AV567" s="52">
        <v>0.38541666666666669</v>
      </c>
      <c r="AW567" s="2" t="s">
        <v>212</v>
      </c>
      <c r="AY567" s="3"/>
      <c r="BA567" s="3"/>
      <c r="BG567" s="3"/>
      <c r="BH567" s="3"/>
    </row>
    <row r="568" spans="1:60">
      <c r="A568" s="23" t="s">
        <v>22</v>
      </c>
      <c r="B568" s="23" t="s">
        <v>25</v>
      </c>
      <c r="C568" s="27">
        <v>43910.427083333336</v>
      </c>
      <c r="D568" s="23">
        <v>21.15</v>
      </c>
      <c r="E568" s="27">
        <v>43910.583333333336</v>
      </c>
      <c r="F568" s="23">
        <v>20.350000000000001</v>
      </c>
      <c r="G568" s="31">
        <v>-3.78E-2</v>
      </c>
      <c r="H568" s="23">
        <v>-1898.91</v>
      </c>
      <c r="I568" s="31">
        <v>-3.78E-2</v>
      </c>
      <c r="J568" s="23">
        <v>2373.6370000000002</v>
      </c>
      <c r="K568" s="23">
        <v>50202.43</v>
      </c>
      <c r="L568" s="23">
        <v>37789.370000000003</v>
      </c>
      <c r="M568" s="23">
        <v>16</v>
      </c>
      <c r="N568" s="23">
        <v>-118.68</v>
      </c>
      <c r="O568" s="31">
        <v>-3.78E-2</v>
      </c>
      <c r="P568" s="31">
        <v>2.1299999999999999E-2</v>
      </c>
      <c r="Q568" s="23" t="s">
        <v>24</v>
      </c>
      <c r="R568" s="23">
        <v>0</v>
      </c>
      <c r="S568" s="23">
        <v>18.37</v>
      </c>
      <c r="U568" s="47">
        <f>VLOOKUP(AU568,[1]expiry_dates!$B$2:$C$2894,2,FALSE)</f>
        <v>43916</v>
      </c>
      <c r="V568" s="23" t="s">
        <v>157</v>
      </c>
      <c r="W568" s="23" t="s">
        <v>23</v>
      </c>
      <c r="X568" s="49">
        <v>43910.427083333336</v>
      </c>
      <c r="Y568" s="23">
        <v>2.35</v>
      </c>
      <c r="Z568" s="23">
        <v>43910.583333333336</v>
      </c>
      <c r="AA568" s="23">
        <v>2.4</v>
      </c>
      <c r="AB568" s="23">
        <v>2.1299999999999999E-2</v>
      </c>
      <c r="AC568" s="23">
        <v>-1239.23</v>
      </c>
      <c r="AD568" s="23">
        <v>-2.1299999999999999E-2</v>
      </c>
      <c r="AE568" s="23">
        <v>24784.68</v>
      </c>
      <c r="AF568" s="23">
        <v>58244</v>
      </c>
      <c r="AG568" s="23">
        <v>1640942.81</v>
      </c>
      <c r="AH568" s="23">
        <v>16</v>
      </c>
      <c r="AI568" s="23">
        <v>-77.45</v>
      </c>
      <c r="AJ568" s="23">
        <v>-0.17019999999999999</v>
      </c>
      <c r="AK568" s="23">
        <v>0.23400000000000001</v>
      </c>
      <c r="AL568" s="23" t="s">
        <v>24</v>
      </c>
      <c r="AM568" s="23">
        <v>21.15</v>
      </c>
      <c r="AN568" s="23">
        <v>19708.55</v>
      </c>
      <c r="AO568" s="23">
        <v>18.37</v>
      </c>
      <c r="AP568" s="23">
        <v>0</v>
      </c>
      <c r="AR568" s="46"/>
      <c r="AS568" s="44"/>
      <c r="AT568" s="45"/>
      <c r="AU568" s="2">
        <v>43910</v>
      </c>
      <c r="AV568" s="52">
        <v>0.42708333333333331</v>
      </c>
      <c r="AW568" s="2" t="s">
        <v>212</v>
      </c>
      <c r="AY568" s="3"/>
      <c r="BA568" s="3"/>
      <c r="BG568" s="3"/>
      <c r="BH568" s="3"/>
    </row>
    <row r="569" spans="1:60">
      <c r="A569" s="23" t="s">
        <v>22</v>
      </c>
      <c r="B569" s="23" t="s">
        <v>23</v>
      </c>
      <c r="C569" s="27">
        <v>43910.583333333336</v>
      </c>
      <c r="D569" s="23">
        <v>20.350000000000001</v>
      </c>
      <c r="E569" s="27">
        <v>43913.635416666664</v>
      </c>
      <c r="F569" s="23">
        <v>18.600000000000001</v>
      </c>
      <c r="G569" s="31">
        <v>-8.5999999999999993E-2</v>
      </c>
      <c r="H569" s="23">
        <v>4316.21</v>
      </c>
      <c r="I569" s="31">
        <v>8.5999999999999993E-2</v>
      </c>
      <c r="J569" s="23">
        <v>2466.404</v>
      </c>
      <c r="K569" s="23">
        <v>50191.32</v>
      </c>
      <c r="L569" s="23">
        <v>42105.58</v>
      </c>
      <c r="M569" s="23">
        <v>31</v>
      </c>
      <c r="N569" s="23">
        <v>139.22999999999999</v>
      </c>
      <c r="O569" s="31">
        <v>-2.7E-2</v>
      </c>
      <c r="P569" s="31">
        <v>0.1278</v>
      </c>
      <c r="Q569" s="23" t="s">
        <v>24</v>
      </c>
      <c r="R569" s="23">
        <v>0</v>
      </c>
      <c r="S569" s="23">
        <v>21.6</v>
      </c>
      <c r="U569" s="47">
        <f>VLOOKUP(AU569,[1]expiry_dates!$B$2:$C$2894,2,FALSE)</f>
        <v>43916</v>
      </c>
      <c r="V569" s="23" t="s">
        <v>158</v>
      </c>
      <c r="W569" s="23" t="s">
        <v>23</v>
      </c>
      <c r="X569" s="49">
        <v>43910.583333333336</v>
      </c>
      <c r="Y569" s="23">
        <v>2.25</v>
      </c>
      <c r="Z569" s="23">
        <v>43913.635416666664</v>
      </c>
      <c r="AA569" s="23">
        <v>0.74999990000000005</v>
      </c>
      <c r="AB569" s="23">
        <v>-0.66669999999999996</v>
      </c>
      <c r="AC569" s="23">
        <v>38803.14</v>
      </c>
      <c r="AD569" s="23">
        <v>0.66669999999999996</v>
      </c>
      <c r="AE569" s="23">
        <v>25868.76</v>
      </c>
      <c r="AF569" s="23">
        <v>58204.71</v>
      </c>
      <c r="AG569" s="23">
        <v>1679745.95</v>
      </c>
      <c r="AH569" s="23">
        <v>31</v>
      </c>
      <c r="AI569" s="23">
        <v>1251.71</v>
      </c>
      <c r="AJ569" s="23">
        <v>-0.1111</v>
      </c>
      <c r="AK569" s="23">
        <v>0.75560000000000005</v>
      </c>
      <c r="AL569" s="23" t="s">
        <v>24</v>
      </c>
      <c r="AM569" s="23">
        <v>20.350000000000001</v>
      </c>
      <c r="AN569" s="23">
        <v>19875.650000000001</v>
      </c>
      <c r="AO569" s="23">
        <v>21.6</v>
      </c>
      <c r="AP569" s="23">
        <v>0</v>
      </c>
      <c r="AR569" s="46"/>
      <c r="AS569" s="44"/>
      <c r="AT569" s="45"/>
      <c r="AU569" s="2">
        <v>43910</v>
      </c>
      <c r="AV569" s="52">
        <v>8.3333333333333329E-2</v>
      </c>
      <c r="AW569" s="2" t="s">
        <v>213</v>
      </c>
      <c r="AY569" s="3"/>
      <c r="BA569" s="3"/>
      <c r="BG569" s="3"/>
      <c r="BH569" s="3"/>
    </row>
    <row r="570" spans="1:60">
      <c r="A570" s="23" t="s">
        <v>22</v>
      </c>
      <c r="B570" s="23" t="s">
        <v>25</v>
      </c>
      <c r="C570" s="27">
        <v>43913.635416666664</v>
      </c>
      <c r="D570" s="23">
        <v>18.600000000000001</v>
      </c>
      <c r="E570" s="27">
        <v>43914.40625</v>
      </c>
      <c r="F570" s="23">
        <v>18.149999999999999</v>
      </c>
      <c r="G570" s="31">
        <v>-2.4199999999999999E-2</v>
      </c>
      <c r="H570" s="23">
        <v>-1214.93</v>
      </c>
      <c r="I570" s="31">
        <v>-2.4199999999999999E-2</v>
      </c>
      <c r="J570" s="23">
        <v>2699.855</v>
      </c>
      <c r="K570" s="23">
        <v>50217.31</v>
      </c>
      <c r="L570" s="23">
        <v>40890.639999999999</v>
      </c>
      <c r="M570" s="23">
        <v>7</v>
      </c>
      <c r="N570" s="23">
        <v>-173.56</v>
      </c>
      <c r="O570" s="31">
        <v>-3.7600000000000001E-2</v>
      </c>
      <c r="P570" s="31">
        <v>5.3800000000000001E-2</v>
      </c>
      <c r="Q570" s="23" t="s">
        <v>24</v>
      </c>
      <c r="R570" s="23">
        <v>0</v>
      </c>
      <c r="S570" s="23">
        <v>17.75</v>
      </c>
      <c r="U570" s="47">
        <f>VLOOKUP(AU570,[1]expiry_dates!$B$2:$C$2894,2,FALSE)</f>
        <v>43916</v>
      </c>
      <c r="V570" s="23" t="s">
        <v>159</v>
      </c>
      <c r="W570" s="23" t="s">
        <v>23</v>
      </c>
      <c r="X570" s="49">
        <v>43913.635416666664</v>
      </c>
      <c r="Y570" s="23">
        <v>1.55</v>
      </c>
      <c r="Z570" s="23">
        <v>43914.40625</v>
      </c>
      <c r="AA570" s="23">
        <v>1.5</v>
      </c>
      <c r="AB570" s="23">
        <v>-3.2300000000000002E-2</v>
      </c>
      <c r="AC570" s="23">
        <v>1884.66</v>
      </c>
      <c r="AD570" s="23">
        <v>3.2300000000000002E-2</v>
      </c>
      <c r="AE570" s="23">
        <v>37693.29</v>
      </c>
      <c r="AF570" s="23">
        <v>58424.6</v>
      </c>
      <c r="AG570" s="23">
        <v>1681630.61</v>
      </c>
      <c r="AH570" s="23">
        <v>7</v>
      </c>
      <c r="AI570" s="23">
        <v>269.24</v>
      </c>
      <c r="AJ570" s="23">
        <v>-0.129</v>
      </c>
      <c r="AK570" s="23">
        <v>0.3871</v>
      </c>
      <c r="AL570" s="23" t="s">
        <v>24</v>
      </c>
      <c r="AM570" s="23">
        <v>18.600000000000001</v>
      </c>
      <c r="AN570" s="23">
        <v>17015</v>
      </c>
      <c r="AO570" s="23">
        <v>17.75</v>
      </c>
      <c r="AP570" s="23">
        <v>0</v>
      </c>
      <c r="AR570" s="46"/>
      <c r="AS570" s="44"/>
      <c r="AT570" s="45"/>
      <c r="AU570" s="2">
        <v>43913</v>
      </c>
      <c r="AV570" s="52">
        <v>0.13541666666666666</v>
      </c>
      <c r="AW570" s="2" t="s">
        <v>213</v>
      </c>
      <c r="AY570" s="3"/>
      <c r="BA570" s="3"/>
      <c r="BG570" s="3"/>
      <c r="BH570" s="3"/>
    </row>
    <row r="571" spans="1:60">
      <c r="A571" s="23" t="s">
        <v>22</v>
      </c>
      <c r="B571" s="23" t="s">
        <v>23</v>
      </c>
      <c r="C571" s="27">
        <v>43914.40625</v>
      </c>
      <c r="D571" s="23">
        <v>18.149999999999999</v>
      </c>
      <c r="E571" s="27">
        <v>43914.489583333336</v>
      </c>
      <c r="F571" s="23">
        <v>19.100000000000001</v>
      </c>
      <c r="G571" s="31">
        <v>5.2299999999999999E-2</v>
      </c>
      <c r="H571" s="23">
        <v>-2627.78</v>
      </c>
      <c r="I571" s="31">
        <v>-5.2299999999999999E-2</v>
      </c>
      <c r="J571" s="23">
        <v>2766.0859999999998</v>
      </c>
      <c r="K571" s="23">
        <v>50204.45</v>
      </c>
      <c r="L571" s="23">
        <v>38262.86</v>
      </c>
      <c r="M571" s="23">
        <v>9</v>
      </c>
      <c r="N571" s="23">
        <v>-291.98</v>
      </c>
      <c r="O571" s="31">
        <v>-5.2299999999999999E-2</v>
      </c>
      <c r="P571" s="31">
        <v>2.75E-2</v>
      </c>
      <c r="Q571" s="23" t="s">
        <v>24</v>
      </c>
      <c r="R571" s="23">
        <v>0</v>
      </c>
      <c r="S571" s="23">
        <v>19.57</v>
      </c>
      <c r="U571" s="47">
        <f>VLOOKUP(AU571,[1]expiry_dates!$B$2:$C$2894,2,FALSE)</f>
        <v>43916</v>
      </c>
      <c r="V571" s="23" t="s">
        <v>158</v>
      </c>
      <c r="W571" s="23" t="s">
        <v>23</v>
      </c>
      <c r="X571" s="49">
        <v>43914.40625</v>
      </c>
      <c r="Y571" s="23">
        <v>0.75</v>
      </c>
      <c r="Z571" s="23">
        <v>43914.489583333336</v>
      </c>
      <c r="AA571" s="23">
        <v>0.85</v>
      </c>
      <c r="AB571" s="23">
        <v>0.1333</v>
      </c>
      <c r="AC571" s="23">
        <v>-7783.98</v>
      </c>
      <c r="AD571" s="23">
        <v>-0.1333</v>
      </c>
      <c r="AE571" s="23">
        <v>77839.839999999997</v>
      </c>
      <c r="AF571" s="23">
        <v>58379.88</v>
      </c>
      <c r="AG571" s="23">
        <v>1673846.63</v>
      </c>
      <c r="AH571" s="23">
        <v>9</v>
      </c>
      <c r="AI571" s="23">
        <v>-864.89</v>
      </c>
      <c r="AJ571" s="23">
        <v>-0.1333</v>
      </c>
      <c r="AK571" s="23">
        <v>0.33329999999999999</v>
      </c>
      <c r="AL571" s="23" t="s">
        <v>24</v>
      </c>
      <c r="AM571" s="23">
        <v>18.149999999999999</v>
      </c>
      <c r="AN571" s="23">
        <v>16641.8</v>
      </c>
      <c r="AO571" s="23">
        <v>19.57</v>
      </c>
      <c r="AP571" s="23">
        <v>0</v>
      </c>
      <c r="AR571" s="46"/>
      <c r="AS571" s="44"/>
      <c r="AT571" s="45"/>
      <c r="AU571" s="2">
        <v>43914</v>
      </c>
      <c r="AV571" s="52">
        <v>0.40625</v>
      </c>
      <c r="AW571" s="2" t="s">
        <v>212</v>
      </c>
      <c r="AY571" s="3"/>
      <c r="BA571" s="3"/>
      <c r="BG571" s="3"/>
      <c r="BH571" s="3"/>
    </row>
    <row r="572" spans="1:60">
      <c r="A572" s="23" t="s">
        <v>22</v>
      </c>
      <c r="B572" s="23" t="s">
        <v>25</v>
      </c>
      <c r="C572" s="27">
        <v>43914.489583333336</v>
      </c>
      <c r="D572" s="23">
        <v>19.100000000000001</v>
      </c>
      <c r="E572" s="27">
        <v>43915.385416666664</v>
      </c>
      <c r="F572" s="23">
        <v>18.399999999999999</v>
      </c>
      <c r="G572" s="31">
        <v>-3.6600000000000001E-2</v>
      </c>
      <c r="H572" s="23">
        <v>-1839.65</v>
      </c>
      <c r="I572" s="31">
        <v>-3.6600000000000001E-2</v>
      </c>
      <c r="J572" s="23">
        <v>2628.0709999999999</v>
      </c>
      <c r="K572" s="23">
        <v>50196.15</v>
      </c>
      <c r="L572" s="23">
        <v>36423.21</v>
      </c>
      <c r="M572" s="23">
        <v>19</v>
      </c>
      <c r="N572" s="23">
        <v>-96.82</v>
      </c>
      <c r="O572" s="31">
        <v>-3.6600000000000001E-2</v>
      </c>
      <c r="P572" s="31">
        <v>2.8799999999999999E-2</v>
      </c>
      <c r="Q572" s="23" t="s">
        <v>24</v>
      </c>
      <c r="R572" s="23">
        <v>0</v>
      </c>
      <c r="S572" s="23">
        <v>17.71</v>
      </c>
      <c r="U572" s="47">
        <f>VLOOKUP(AU572,[1]expiry_dates!$B$2:$C$2894,2,FALSE)</f>
        <v>43916</v>
      </c>
      <c r="V572" s="23" t="s">
        <v>160</v>
      </c>
      <c r="W572" s="23" t="s">
        <v>23</v>
      </c>
      <c r="X572" s="49">
        <v>43914.489583333336</v>
      </c>
      <c r="Y572" s="23">
        <v>0.75</v>
      </c>
      <c r="Z572" s="23">
        <v>43915.385416666664</v>
      </c>
      <c r="AA572" s="23">
        <v>0.6</v>
      </c>
      <c r="AB572" s="23">
        <v>-0.2</v>
      </c>
      <c r="AC572" s="23">
        <v>11673.85</v>
      </c>
      <c r="AD572" s="23">
        <v>0.2</v>
      </c>
      <c r="AE572" s="23">
        <v>77825.64</v>
      </c>
      <c r="AF572" s="23">
        <v>58369.23</v>
      </c>
      <c r="AG572" s="23">
        <v>1685520.48</v>
      </c>
      <c r="AH572" s="23">
        <v>19</v>
      </c>
      <c r="AI572" s="23">
        <v>614.41</v>
      </c>
      <c r="AJ572" s="23">
        <v>-6.6699999999999995E-2</v>
      </c>
      <c r="AK572" s="23">
        <v>0.33329999999999999</v>
      </c>
      <c r="AL572" s="23" t="s">
        <v>24</v>
      </c>
      <c r="AM572" s="23">
        <v>19.100000000000001</v>
      </c>
      <c r="AN572" s="23">
        <v>16934</v>
      </c>
      <c r="AO572" s="23">
        <v>17.71</v>
      </c>
      <c r="AP572" s="23">
        <v>0</v>
      </c>
      <c r="AR572" s="46"/>
      <c r="AS572" s="44"/>
      <c r="AT572" s="45"/>
      <c r="AU572" s="2">
        <v>43914</v>
      </c>
      <c r="AV572" s="52">
        <v>0.48958333333333331</v>
      </c>
      <c r="AW572" s="2" t="s">
        <v>212</v>
      </c>
      <c r="AY572" s="3"/>
      <c r="BA572" s="3"/>
      <c r="BG572" s="3"/>
      <c r="BH572" s="3"/>
    </row>
    <row r="573" spans="1:60">
      <c r="A573" s="23" t="s">
        <v>22</v>
      </c>
      <c r="B573" s="23" t="s">
        <v>23</v>
      </c>
      <c r="C573" s="27">
        <v>43915.385416666664</v>
      </c>
      <c r="D573" s="23">
        <v>18.399999999999999</v>
      </c>
      <c r="E573" s="27">
        <v>43915.4375</v>
      </c>
      <c r="F573" s="23">
        <v>18.899999999999999</v>
      </c>
      <c r="G573" s="31">
        <v>2.7199999999999998E-2</v>
      </c>
      <c r="H573" s="23">
        <v>-1363.68</v>
      </c>
      <c r="I573" s="31">
        <v>-2.7199999999999998E-2</v>
      </c>
      <c r="J573" s="23">
        <v>2727.36</v>
      </c>
      <c r="K573" s="23">
        <v>50183.43</v>
      </c>
      <c r="L573" s="23">
        <v>35059.53</v>
      </c>
      <c r="M573" s="23">
        <v>6</v>
      </c>
      <c r="N573" s="23">
        <v>-227.28</v>
      </c>
      <c r="O573" s="31">
        <v>-4.3499999999999997E-2</v>
      </c>
      <c r="P573" s="31">
        <v>1.3599999999999999E-2</v>
      </c>
      <c r="Q573" s="23" t="s">
        <v>24</v>
      </c>
      <c r="R573" s="23">
        <v>0</v>
      </c>
      <c r="S573" s="23">
        <v>19.579999999999998</v>
      </c>
      <c r="U573" s="47">
        <f>VLOOKUP(AU573,[1]expiry_dates!$B$2:$C$2894,2,FALSE)</f>
        <v>43916</v>
      </c>
      <c r="V573" s="23" t="s">
        <v>161</v>
      </c>
      <c r="W573" s="23" t="s">
        <v>23</v>
      </c>
      <c r="X573" s="49">
        <v>43915.385416666664</v>
      </c>
      <c r="Y573" s="23">
        <v>0.7</v>
      </c>
      <c r="Z573" s="23">
        <v>43915.4375</v>
      </c>
      <c r="AA573" s="23">
        <v>1</v>
      </c>
      <c r="AB573" s="23">
        <v>0.42859999999999998</v>
      </c>
      <c r="AC573" s="23">
        <v>-25040.400000000001</v>
      </c>
      <c r="AD573" s="23">
        <v>-0.42859999999999998</v>
      </c>
      <c r="AE573" s="23">
        <v>83468.009999999995</v>
      </c>
      <c r="AF573" s="23">
        <v>58427.61</v>
      </c>
      <c r="AG573" s="23">
        <v>1660480.07</v>
      </c>
      <c r="AH573" s="23">
        <v>6</v>
      </c>
      <c r="AI573" s="23">
        <v>-4173.3999999999996</v>
      </c>
      <c r="AJ573" s="23">
        <v>-0.42859999999999998</v>
      </c>
      <c r="AK573" s="23">
        <v>0.42859999999999998</v>
      </c>
      <c r="AL573" s="23" t="s">
        <v>24</v>
      </c>
      <c r="AM573" s="23">
        <v>18.399999999999999</v>
      </c>
      <c r="AN573" s="23">
        <v>16968.7</v>
      </c>
      <c r="AO573" s="23">
        <v>19.579999999999998</v>
      </c>
      <c r="AP573" s="23">
        <v>0</v>
      </c>
      <c r="AR573" s="46"/>
      <c r="AS573" s="44"/>
      <c r="AT573" s="45"/>
      <c r="AU573" s="2">
        <v>43915</v>
      </c>
      <c r="AV573" s="52">
        <v>0.38541666666666669</v>
      </c>
      <c r="AW573" s="2" t="s">
        <v>212</v>
      </c>
      <c r="AY573" s="3"/>
      <c r="BA573" s="3"/>
      <c r="BG573" s="3"/>
      <c r="BH573" s="3"/>
    </row>
    <row r="574" spans="1:60">
      <c r="A574" s="23" t="s">
        <v>22</v>
      </c>
      <c r="B574" s="23" t="s">
        <v>25</v>
      </c>
      <c r="C574" s="27">
        <v>43915.4375</v>
      </c>
      <c r="D574" s="23">
        <v>18.899999999999999</v>
      </c>
      <c r="E574" s="27">
        <v>43916.5625</v>
      </c>
      <c r="F574" s="23">
        <v>21.4</v>
      </c>
      <c r="G574" s="31">
        <v>0.1323</v>
      </c>
      <c r="H574" s="23">
        <v>6636.58</v>
      </c>
      <c r="I574" s="31">
        <v>0.1323</v>
      </c>
      <c r="J574" s="23">
        <v>2654.6329999999998</v>
      </c>
      <c r="K574" s="23">
        <v>50172.57</v>
      </c>
      <c r="L574" s="23">
        <v>41696.120000000003</v>
      </c>
      <c r="M574" s="23">
        <v>41</v>
      </c>
      <c r="N574" s="23">
        <v>161.87</v>
      </c>
      <c r="O574" s="31">
        <v>-1.06E-2</v>
      </c>
      <c r="P574" s="31">
        <v>0.1799</v>
      </c>
      <c r="Q574" s="23" t="s">
        <v>24</v>
      </c>
      <c r="R574" s="23">
        <v>0</v>
      </c>
      <c r="S574" s="23">
        <v>18.170000000000002</v>
      </c>
      <c r="U574" s="47">
        <f>VLOOKUP(AU574,[1]expiry_dates!$B$2:$C$2894,2,FALSE)</f>
        <v>43916</v>
      </c>
      <c r="V574" s="23" t="s">
        <v>162</v>
      </c>
      <c r="W574" s="23" t="s">
        <v>23</v>
      </c>
      <c r="X574" s="49">
        <v>43915.4375</v>
      </c>
      <c r="Y574" s="23">
        <v>0.3</v>
      </c>
      <c r="Z574" s="23">
        <v>43916.5625</v>
      </c>
      <c r="AA574" s="23">
        <v>0.1</v>
      </c>
      <c r="AB574" s="23">
        <v>-0.66669999999999996</v>
      </c>
      <c r="AC574" s="23">
        <v>38868.269999999997</v>
      </c>
      <c r="AD574" s="23">
        <v>0.66669999999999996</v>
      </c>
      <c r="AE574" s="23">
        <v>194341.3</v>
      </c>
      <c r="AF574" s="23">
        <v>58302.400000000001</v>
      </c>
      <c r="AG574" s="23">
        <v>1699348.34</v>
      </c>
      <c r="AH574" s="23">
        <v>41</v>
      </c>
      <c r="AI574" s="23">
        <v>948.01</v>
      </c>
      <c r="AJ574" s="23">
        <v>-0.5</v>
      </c>
      <c r="AK574" s="23">
        <v>0.66669999999999996</v>
      </c>
      <c r="AL574" s="23" t="s">
        <v>24</v>
      </c>
      <c r="AM574" s="23">
        <v>18.899999999999999</v>
      </c>
      <c r="AN574" s="23">
        <v>16981.650000000001</v>
      </c>
      <c r="AO574" s="23">
        <v>18.170000000000002</v>
      </c>
      <c r="AP574" s="23">
        <v>0</v>
      </c>
      <c r="AR574" s="46"/>
      <c r="AS574" s="44"/>
      <c r="AT574" s="45"/>
      <c r="AU574" s="2">
        <v>43915</v>
      </c>
      <c r="AV574" s="52">
        <v>0.4375</v>
      </c>
      <c r="AW574" s="2" t="s">
        <v>212</v>
      </c>
      <c r="AY574" s="3"/>
      <c r="BA574" s="3"/>
      <c r="BG574" s="3"/>
      <c r="BH574" s="3"/>
    </row>
    <row r="575" spans="1:60">
      <c r="A575" s="23" t="s">
        <v>22</v>
      </c>
      <c r="B575" s="23" t="s">
        <v>23</v>
      </c>
      <c r="C575" s="27">
        <v>43916.5625</v>
      </c>
      <c r="D575" s="23">
        <v>21.4</v>
      </c>
      <c r="E575" s="27">
        <v>43916.635416666664</v>
      </c>
      <c r="F575" s="23">
        <v>21.95</v>
      </c>
      <c r="G575" s="31">
        <v>2.5700000000000001E-2</v>
      </c>
      <c r="H575" s="23">
        <v>-1290.46</v>
      </c>
      <c r="I575" s="31">
        <v>-2.5700000000000001E-2</v>
      </c>
      <c r="J575" s="23">
        <v>2346.2840000000001</v>
      </c>
      <c r="K575" s="23">
        <v>50210.47</v>
      </c>
      <c r="L575" s="23">
        <v>40405.660000000003</v>
      </c>
      <c r="M575" s="23">
        <v>8</v>
      </c>
      <c r="N575" s="23">
        <v>-161.31</v>
      </c>
      <c r="O575" s="31">
        <v>-2.5700000000000001E-2</v>
      </c>
      <c r="P575" s="31">
        <v>2.5700000000000001E-2</v>
      </c>
      <c r="Q575" s="23" t="s">
        <v>24</v>
      </c>
      <c r="R575" s="23">
        <v>0</v>
      </c>
      <c r="S575" s="23">
        <v>22.28</v>
      </c>
      <c r="U575" s="47">
        <f>VLOOKUP(AU575,[1]expiry_dates!$B$2:$C$2894,2,FALSE)</f>
        <v>43916</v>
      </c>
      <c r="V575" s="23" t="s">
        <v>163</v>
      </c>
      <c r="W575" s="23" t="s">
        <v>23</v>
      </c>
      <c r="X575" s="49">
        <v>43916.5625</v>
      </c>
      <c r="Y575" s="23">
        <v>1.1499999999999999</v>
      </c>
      <c r="Z575" s="23">
        <v>43916.635416666664</v>
      </c>
      <c r="AA575" s="23">
        <v>1.1000000000000001</v>
      </c>
      <c r="AB575" s="23">
        <v>-4.3499999999999997E-2</v>
      </c>
      <c r="AC575" s="23">
        <v>2543.34</v>
      </c>
      <c r="AD575" s="23">
        <v>4.3499999999999997E-2</v>
      </c>
      <c r="AE575" s="23">
        <v>50866.73</v>
      </c>
      <c r="AF575" s="23">
        <v>58496.74</v>
      </c>
      <c r="AG575" s="23">
        <v>1701891.68</v>
      </c>
      <c r="AH575" s="23">
        <v>8</v>
      </c>
      <c r="AI575" s="23">
        <v>317.92</v>
      </c>
      <c r="AJ575" s="23">
        <v>0</v>
      </c>
      <c r="AK575" s="23">
        <v>0.86960000000000004</v>
      </c>
      <c r="AL575" s="23" t="s">
        <v>24</v>
      </c>
      <c r="AM575" s="23">
        <v>21.4</v>
      </c>
      <c r="AN575" s="23">
        <v>19650.650000000001</v>
      </c>
      <c r="AO575" s="23">
        <v>22.28</v>
      </c>
      <c r="AP575" s="23">
        <v>0</v>
      </c>
      <c r="AR575" s="46"/>
      <c r="AS575" s="44"/>
      <c r="AT575" s="45"/>
      <c r="AU575" s="2">
        <v>43916</v>
      </c>
      <c r="AV575" s="52">
        <v>6.25E-2</v>
      </c>
      <c r="AW575" s="2" t="s">
        <v>213</v>
      </c>
      <c r="AY575" s="3"/>
      <c r="BA575" s="3"/>
      <c r="BG575" s="3"/>
      <c r="BH575" s="3"/>
    </row>
    <row r="576" spans="1:60">
      <c r="A576" s="23" t="s">
        <v>22</v>
      </c>
      <c r="B576" s="23" t="s">
        <v>25</v>
      </c>
      <c r="C576" s="27">
        <v>43916.635416666664</v>
      </c>
      <c r="D576" s="23">
        <v>21.95</v>
      </c>
      <c r="E576" s="27">
        <v>43916.6875</v>
      </c>
      <c r="F576" s="23">
        <v>21.75</v>
      </c>
      <c r="G576" s="31">
        <v>-9.1000000000000004E-3</v>
      </c>
      <c r="H576" s="23">
        <v>-457.46</v>
      </c>
      <c r="I576" s="31">
        <v>-9.1000000000000004E-3</v>
      </c>
      <c r="J576" s="23">
        <v>2287.2950000000001</v>
      </c>
      <c r="K576" s="23">
        <v>50206.14</v>
      </c>
      <c r="L576" s="23">
        <v>39948.199999999997</v>
      </c>
      <c r="M576" s="23">
        <v>3</v>
      </c>
      <c r="N576" s="23">
        <v>-152.49</v>
      </c>
      <c r="O576" s="31">
        <v>-1.8200000000000001E-2</v>
      </c>
      <c r="P576" s="31">
        <v>2.3E-3</v>
      </c>
      <c r="Q576" s="23" t="s">
        <v>24</v>
      </c>
      <c r="R576" s="23">
        <v>0</v>
      </c>
      <c r="S576" s="23">
        <v>20.89</v>
      </c>
      <c r="U576" s="47">
        <f>VLOOKUP(AU576,[1]expiry_dates!$B$2:$C$2894,2,FALSE)</f>
        <v>43916</v>
      </c>
      <c r="V576" s="23" t="s">
        <v>155</v>
      </c>
      <c r="W576" s="23" t="s">
        <v>23</v>
      </c>
      <c r="X576" s="49">
        <v>43916.635416666664</v>
      </c>
      <c r="Y576" s="23">
        <v>0.2</v>
      </c>
      <c r="Z576" s="23">
        <v>43916.6875</v>
      </c>
      <c r="AA576" s="23">
        <v>0.2</v>
      </c>
      <c r="AB576" s="23">
        <v>0</v>
      </c>
      <c r="AC576" s="23">
        <v>0</v>
      </c>
      <c r="AD576" s="23">
        <v>0</v>
      </c>
      <c r="AE576" s="23">
        <v>292610.90000000002</v>
      </c>
      <c r="AF576" s="23">
        <v>58522.18</v>
      </c>
      <c r="AG576" s="23">
        <v>1701891.68</v>
      </c>
      <c r="AH576" s="23">
        <v>3</v>
      </c>
      <c r="AI576" s="23">
        <v>0</v>
      </c>
      <c r="AJ576" s="23">
        <v>-3</v>
      </c>
      <c r="AK576" s="23">
        <v>0</v>
      </c>
      <c r="AL576" s="23" t="s">
        <v>24</v>
      </c>
      <c r="AM576" s="23">
        <v>21.95</v>
      </c>
      <c r="AN576" s="23">
        <v>19660.5</v>
      </c>
      <c r="AO576" s="23">
        <v>20.89</v>
      </c>
      <c r="AP576" s="23">
        <v>0</v>
      </c>
      <c r="AR576" s="46"/>
      <c r="AS576" s="44"/>
      <c r="AT576" s="45"/>
      <c r="AU576" s="2">
        <v>43916</v>
      </c>
      <c r="AV576" s="52">
        <v>0.13541666666666666</v>
      </c>
      <c r="AW576" s="2" t="s">
        <v>213</v>
      </c>
      <c r="AY576" s="3"/>
      <c r="BA576" s="3"/>
      <c r="BG576" s="3"/>
      <c r="BH576" s="3"/>
    </row>
    <row r="577" spans="1:60">
      <c r="A577" s="23" t="s">
        <v>22</v>
      </c>
      <c r="B577" s="23" t="s">
        <v>25</v>
      </c>
      <c r="C577" s="27">
        <v>43917.385416666664</v>
      </c>
      <c r="D577" s="23">
        <v>23.9</v>
      </c>
      <c r="E577" s="27">
        <v>43917.458333333336</v>
      </c>
      <c r="F577" s="23">
        <v>22.25</v>
      </c>
      <c r="G577" s="31">
        <v>-6.9000000000000006E-2</v>
      </c>
      <c r="H577" s="23">
        <v>-3465.67</v>
      </c>
      <c r="I577" s="31">
        <v>-6.9000000000000006E-2</v>
      </c>
      <c r="J577" s="23">
        <v>2100.4079999999999</v>
      </c>
      <c r="K577" s="23">
        <v>50199.74</v>
      </c>
      <c r="L577" s="23">
        <v>36482.53</v>
      </c>
      <c r="M577" s="23">
        <v>8</v>
      </c>
      <c r="N577" s="23">
        <v>-433.21</v>
      </c>
      <c r="O577" s="31">
        <v>-6.9000000000000006E-2</v>
      </c>
      <c r="P577" s="31">
        <v>4.5999999999999999E-2</v>
      </c>
      <c r="Q577" s="23" t="s">
        <v>24</v>
      </c>
      <c r="R577" s="23">
        <v>0</v>
      </c>
      <c r="S577" s="23">
        <v>21.14</v>
      </c>
      <c r="U577" s="47">
        <f>VLOOKUP(AU577,[1]expiry_dates!$B$2:$C$2894,2,FALSE)</f>
        <v>43951</v>
      </c>
      <c r="V577" s="23" t="s">
        <v>164</v>
      </c>
      <c r="W577" s="23" t="s">
        <v>23</v>
      </c>
      <c r="X577" s="49">
        <v>43917.385416666664</v>
      </c>
      <c r="Y577" s="23">
        <v>1.9</v>
      </c>
      <c r="Z577" s="23">
        <v>43917.458333333336</v>
      </c>
      <c r="AA577" s="23">
        <v>2.5499999999999998</v>
      </c>
      <c r="AB577" s="23">
        <v>0.34210000000000002</v>
      </c>
      <c r="AC577" s="23">
        <v>-20016.39</v>
      </c>
      <c r="AD577" s="23">
        <v>-0.34210000000000002</v>
      </c>
      <c r="AE577" s="23">
        <v>30794.45</v>
      </c>
      <c r="AF577" s="23">
        <v>58509.46</v>
      </c>
      <c r="AG577" s="23">
        <v>1681875.28</v>
      </c>
      <c r="AH577" s="23">
        <v>8</v>
      </c>
      <c r="AI577" s="23">
        <v>-2502.0500000000002</v>
      </c>
      <c r="AJ577" s="23">
        <v>-0.57889999999999997</v>
      </c>
      <c r="AK577" s="23">
        <v>0.26319999999999999</v>
      </c>
      <c r="AL577" s="23" t="s">
        <v>24</v>
      </c>
      <c r="AM577" s="23">
        <v>23.9</v>
      </c>
      <c r="AN577" s="23">
        <v>21037.200000000001</v>
      </c>
      <c r="AO577" s="23">
        <v>21.14</v>
      </c>
      <c r="AP577" s="23">
        <v>0</v>
      </c>
      <c r="AR577" s="46"/>
      <c r="AS577" s="44"/>
      <c r="AT577" s="45"/>
      <c r="AU577" s="2">
        <v>43917</v>
      </c>
      <c r="AV577" s="52">
        <v>0.38541666666666669</v>
      </c>
      <c r="AW577" s="2" t="s">
        <v>212</v>
      </c>
      <c r="AY577" s="3"/>
      <c r="BA577" s="3"/>
      <c r="BG577" s="3"/>
      <c r="BH577" s="3"/>
    </row>
    <row r="578" spans="1:60">
      <c r="A578" s="23" t="s">
        <v>22</v>
      </c>
      <c r="B578" s="23" t="s">
        <v>23</v>
      </c>
      <c r="C578" s="27">
        <v>43917.458333333336</v>
      </c>
      <c r="D578" s="23">
        <v>22.25</v>
      </c>
      <c r="E578" s="27">
        <v>43920.5625</v>
      </c>
      <c r="F578" s="23">
        <v>21.1</v>
      </c>
      <c r="G578" s="31">
        <v>-5.1700000000000003E-2</v>
      </c>
      <c r="H578" s="23">
        <v>2593.89</v>
      </c>
      <c r="I578" s="31">
        <v>5.1700000000000003E-2</v>
      </c>
      <c r="J578" s="23">
        <v>2255.5540000000001</v>
      </c>
      <c r="K578" s="23">
        <v>50186.09</v>
      </c>
      <c r="L578" s="23">
        <v>39076.42</v>
      </c>
      <c r="M578" s="23">
        <v>39</v>
      </c>
      <c r="N578" s="23">
        <v>66.510000000000005</v>
      </c>
      <c r="O578" s="31">
        <v>-4.4900000000000002E-2</v>
      </c>
      <c r="P578" s="31">
        <v>8.7599999999999997E-2</v>
      </c>
      <c r="Q578" s="23" t="s">
        <v>24</v>
      </c>
      <c r="R578" s="23">
        <v>0</v>
      </c>
      <c r="S578" s="23">
        <v>25</v>
      </c>
      <c r="U578" s="47">
        <f>VLOOKUP(AU578,[1]expiry_dates!$B$2:$C$2894,2,FALSE)</f>
        <v>43951</v>
      </c>
      <c r="V578" s="23" t="s">
        <v>165</v>
      </c>
      <c r="W578" s="23" t="s">
        <v>23</v>
      </c>
      <c r="X578" s="49">
        <v>43917.458333333336</v>
      </c>
      <c r="Y578" s="23">
        <v>2.15</v>
      </c>
      <c r="Z578" s="23">
        <v>43920.5625</v>
      </c>
      <c r="AA578" s="23">
        <v>1.65</v>
      </c>
      <c r="AB578" s="23">
        <v>-0.2326</v>
      </c>
      <c r="AC578" s="23">
        <v>13588.95</v>
      </c>
      <c r="AD578" s="23">
        <v>0.2326</v>
      </c>
      <c r="AE578" s="23">
        <v>27177.89</v>
      </c>
      <c r="AF578" s="23">
        <v>58432.47</v>
      </c>
      <c r="AG578" s="23">
        <v>1695464.23</v>
      </c>
      <c r="AH578" s="23">
        <v>39</v>
      </c>
      <c r="AI578" s="23">
        <v>348.43</v>
      </c>
      <c r="AJ578" s="23">
        <v>-0.186</v>
      </c>
      <c r="AK578" s="23">
        <v>0.30230000000000001</v>
      </c>
      <c r="AL578" s="23" t="s">
        <v>24</v>
      </c>
      <c r="AM578" s="23">
        <v>22.25</v>
      </c>
      <c r="AN578" s="23">
        <v>19747</v>
      </c>
      <c r="AO578" s="23">
        <v>25</v>
      </c>
      <c r="AP578" s="23">
        <v>0</v>
      </c>
      <c r="AR578" s="46"/>
      <c r="AS578" s="44"/>
      <c r="AT578" s="45"/>
      <c r="AU578" s="2">
        <v>43917</v>
      </c>
      <c r="AV578" s="52">
        <v>0.45833333333333331</v>
      </c>
      <c r="AW578" s="2" t="s">
        <v>212</v>
      </c>
      <c r="AY578" s="3"/>
      <c r="BA578" s="3"/>
      <c r="BG578" s="3"/>
      <c r="BH578" s="3"/>
    </row>
    <row r="579" spans="1:60">
      <c r="A579" s="23" t="s">
        <v>22</v>
      </c>
      <c r="B579" s="23" t="s">
        <v>25</v>
      </c>
      <c r="C579" s="27">
        <v>43920.5625</v>
      </c>
      <c r="D579" s="23">
        <v>21.1</v>
      </c>
      <c r="E579" s="27">
        <v>43921.416666666664</v>
      </c>
      <c r="F579" s="23">
        <v>20.95</v>
      </c>
      <c r="G579" s="31">
        <v>-7.1000000000000004E-3</v>
      </c>
      <c r="H579" s="23">
        <v>-356.85</v>
      </c>
      <c r="I579" s="31">
        <v>-7.1000000000000004E-3</v>
      </c>
      <c r="J579" s="23">
        <v>2378.9810000000002</v>
      </c>
      <c r="K579" s="23">
        <v>50196.51</v>
      </c>
      <c r="L579" s="23">
        <v>38719.57</v>
      </c>
      <c r="M579" s="23">
        <v>15</v>
      </c>
      <c r="N579" s="23">
        <v>-23.79</v>
      </c>
      <c r="O579" s="31">
        <v>-1.9E-2</v>
      </c>
      <c r="P579" s="31">
        <v>4.2700000000000002E-2</v>
      </c>
      <c r="Q579" s="23" t="s">
        <v>24</v>
      </c>
      <c r="R579" s="23">
        <v>0</v>
      </c>
      <c r="S579" s="23">
        <v>20.32</v>
      </c>
      <c r="U579" s="47">
        <f>VLOOKUP(AU579,[1]expiry_dates!$B$2:$C$2894,2,FALSE)</f>
        <v>43951</v>
      </c>
      <c r="V579" s="23" t="s">
        <v>164</v>
      </c>
      <c r="W579" s="23" t="s">
        <v>23</v>
      </c>
      <c r="X579" s="49">
        <v>43920.5625</v>
      </c>
      <c r="Y579" s="23">
        <v>2.8</v>
      </c>
      <c r="Z579" s="23">
        <v>43921.416666666664</v>
      </c>
      <c r="AA579" s="23">
        <v>2.65</v>
      </c>
      <c r="AB579" s="23">
        <v>-5.3600000000000002E-2</v>
      </c>
      <c r="AC579" s="23">
        <v>3132.71</v>
      </c>
      <c r="AD579" s="23">
        <v>5.3600000000000002E-2</v>
      </c>
      <c r="AE579" s="23">
        <v>20884.759999999998</v>
      </c>
      <c r="AF579" s="23">
        <v>58477.32</v>
      </c>
      <c r="AG579" s="23">
        <v>1698596.94</v>
      </c>
      <c r="AH579" s="23">
        <v>15</v>
      </c>
      <c r="AI579" s="23">
        <v>208.85</v>
      </c>
      <c r="AJ579" s="23">
        <v>-3.5700000000000003E-2</v>
      </c>
      <c r="AK579" s="23">
        <v>0.16070000000000001</v>
      </c>
      <c r="AL579" s="23" t="s">
        <v>24</v>
      </c>
      <c r="AM579" s="23">
        <v>21.1</v>
      </c>
      <c r="AN579" s="23">
        <v>19098.2</v>
      </c>
      <c r="AO579" s="23">
        <v>20.32</v>
      </c>
      <c r="AP579" s="23">
        <v>0</v>
      </c>
      <c r="AR579" s="46"/>
      <c r="AS579" s="44"/>
      <c r="AT579" s="45"/>
      <c r="AU579" s="2">
        <v>43920</v>
      </c>
      <c r="AV579" s="52">
        <v>6.25E-2</v>
      </c>
      <c r="AW579" s="2" t="s">
        <v>213</v>
      </c>
      <c r="AY579" s="3"/>
      <c r="BA579" s="3"/>
      <c r="BG579" s="3"/>
      <c r="BH579" s="3"/>
    </row>
    <row r="580" spans="1:60">
      <c r="A580" s="23" t="s">
        <v>22</v>
      </c>
      <c r="B580" s="23" t="s">
        <v>23</v>
      </c>
      <c r="C580" s="27">
        <v>43921.416666666664</v>
      </c>
      <c r="D580" s="23">
        <v>20.95</v>
      </c>
      <c r="E580" s="27">
        <v>43921.635416666664</v>
      </c>
      <c r="F580" s="23">
        <v>21.15</v>
      </c>
      <c r="G580" s="31">
        <v>9.4999999999999998E-3</v>
      </c>
      <c r="H580" s="23">
        <v>-479.19</v>
      </c>
      <c r="I580" s="31">
        <v>-9.4999999999999998E-3</v>
      </c>
      <c r="J580" s="23">
        <v>2395.9609999999998</v>
      </c>
      <c r="K580" s="23">
        <v>50195.38</v>
      </c>
      <c r="L580" s="23">
        <v>38240.379999999997</v>
      </c>
      <c r="M580" s="23">
        <v>22</v>
      </c>
      <c r="N580" s="23">
        <v>-21.78</v>
      </c>
      <c r="O580" s="31">
        <v>-2.3900000000000001E-2</v>
      </c>
      <c r="P580" s="31">
        <v>4.7999999999999996E-3</v>
      </c>
      <c r="Q580" s="23" t="s">
        <v>24</v>
      </c>
      <c r="R580" s="23">
        <v>0</v>
      </c>
      <c r="S580" s="23">
        <v>22</v>
      </c>
      <c r="U580" s="47">
        <f>VLOOKUP(AU580,[1]expiry_dates!$B$2:$C$2894,2,FALSE)</f>
        <v>43951</v>
      </c>
      <c r="V580" s="23" t="s">
        <v>163</v>
      </c>
      <c r="W580" s="23" t="s">
        <v>23</v>
      </c>
      <c r="X580" s="49">
        <v>43921.416666666664</v>
      </c>
      <c r="Y580" s="23">
        <v>2.5</v>
      </c>
      <c r="Z580" s="23">
        <v>43921.635416666664</v>
      </c>
      <c r="AA580" s="23">
        <v>2.65</v>
      </c>
      <c r="AB580" s="23">
        <v>0.06</v>
      </c>
      <c r="AC580" s="23">
        <v>-3509.89</v>
      </c>
      <c r="AD580" s="23">
        <v>-0.06</v>
      </c>
      <c r="AE580" s="23">
        <v>23399.279999999999</v>
      </c>
      <c r="AF580" s="23">
        <v>58498.21</v>
      </c>
      <c r="AG580" s="23">
        <v>1695087.05</v>
      </c>
      <c r="AH580" s="23">
        <v>22</v>
      </c>
      <c r="AI580" s="23">
        <v>-159.54</v>
      </c>
      <c r="AJ580" s="23">
        <v>-0.22</v>
      </c>
      <c r="AK580" s="23">
        <v>0</v>
      </c>
      <c r="AL580" s="23" t="s">
        <v>24</v>
      </c>
      <c r="AM580" s="23">
        <v>20.95</v>
      </c>
      <c r="AN580" s="23">
        <v>18992.45</v>
      </c>
      <c r="AO580" s="23">
        <v>22</v>
      </c>
      <c r="AP580" s="23">
        <v>0</v>
      </c>
      <c r="AR580" s="46"/>
      <c r="AS580" s="44"/>
      <c r="AT580" s="45"/>
      <c r="AU580" s="2">
        <v>43921</v>
      </c>
      <c r="AV580" s="52">
        <v>0.41666666666666669</v>
      </c>
      <c r="AW580" s="2" t="s">
        <v>212</v>
      </c>
      <c r="AY580" s="3"/>
      <c r="BA580" s="3"/>
      <c r="BG580" s="3"/>
      <c r="BH580" s="3"/>
    </row>
    <row r="581" spans="1:60">
      <c r="A581" s="23" t="s">
        <v>22</v>
      </c>
      <c r="B581" s="23" t="s">
        <v>25</v>
      </c>
      <c r="C581" s="27">
        <v>43921.635416666664</v>
      </c>
      <c r="D581" s="23">
        <v>21.15</v>
      </c>
      <c r="E581" s="27">
        <v>43922.385416666664</v>
      </c>
      <c r="F581" s="23">
        <v>20.9</v>
      </c>
      <c r="G581" s="31">
        <v>-1.18E-2</v>
      </c>
      <c r="H581" s="23">
        <v>-593.29</v>
      </c>
      <c r="I581" s="31">
        <v>-1.18E-2</v>
      </c>
      <c r="J581" s="23">
        <v>2373.163</v>
      </c>
      <c r="K581" s="23">
        <v>50192.4</v>
      </c>
      <c r="L581" s="23">
        <v>37647.089999999997</v>
      </c>
      <c r="M581" s="23">
        <v>5</v>
      </c>
      <c r="N581" s="23">
        <v>-118.66</v>
      </c>
      <c r="O581" s="31">
        <v>-1.18E-2</v>
      </c>
      <c r="P581" s="31">
        <v>7.1000000000000004E-3</v>
      </c>
      <c r="Q581" s="23" t="s">
        <v>24</v>
      </c>
      <c r="R581" s="23">
        <v>0</v>
      </c>
      <c r="S581" s="23">
        <v>20.87</v>
      </c>
      <c r="U581" s="47">
        <f>VLOOKUP(AU581,[1]expiry_dates!$B$2:$C$2894,2,FALSE)</f>
        <v>43951</v>
      </c>
      <c r="V581" s="23" t="s">
        <v>166</v>
      </c>
      <c r="W581" s="23" t="s">
        <v>23</v>
      </c>
      <c r="X581" s="49">
        <v>43921.635416666664</v>
      </c>
      <c r="Y581" s="23">
        <v>0.75</v>
      </c>
      <c r="Z581" s="23">
        <v>43922.385416666664</v>
      </c>
      <c r="AA581" s="23">
        <v>0.8</v>
      </c>
      <c r="AB581" s="23">
        <v>6.6699999999999995E-2</v>
      </c>
      <c r="AC581" s="23">
        <v>-3898.36</v>
      </c>
      <c r="AD581" s="23">
        <v>-6.6699999999999995E-2</v>
      </c>
      <c r="AE581" s="23">
        <v>77967.25</v>
      </c>
      <c r="AF581" s="23">
        <v>58475.44</v>
      </c>
      <c r="AG581" s="23">
        <v>1691188.69</v>
      </c>
      <c r="AH581" s="23">
        <v>5</v>
      </c>
      <c r="AI581" s="23">
        <v>-779.67</v>
      </c>
      <c r="AJ581" s="23">
        <v>-6.6699999999999995E-2</v>
      </c>
      <c r="AK581" s="23">
        <v>0</v>
      </c>
      <c r="AL581" s="23" t="s">
        <v>24</v>
      </c>
      <c r="AM581" s="23">
        <v>21.15</v>
      </c>
      <c r="AN581" s="23">
        <v>19051.400000000001</v>
      </c>
      <c r="AO581" s="23">
        <v>20.87</v>
      </c>
      <c r="AP581" s="23">
        <v>0</v>
      </c>
      <c r="AR581" s="46"/>
      <c r="AS581" s="44"/>
      <c r="AT581" s="45"/>
      <c r="AU581" s="2">
        <v>43921</v>
      </c>
      <c r="AV581" s="52">
        <v>0.13541666666666666</v>
      </c>
      <c r="AW581" s="2" t="s">
        <v>213</v>
      </c>
      <c r="AY581" s="3"/>
      <c r="BA581" s="3"/>
      <c r="BG581" s="3"/>
      <c r="BH581" s="3"/>
    </row>
    <row r="582" spans="1:60">
      <c r="A582" s="23" t="s">
        <v>22</v>
      </c>
      <c r="B582" s="23" t="s">
        <v>23</v>
      </c>
      <c r="C582" s="27">
        <v>43922.385416666664</v>
      </c>
      <c r="D582" s="23">
        <v>20.9</v>
      </c>
      <c r="E582" s="27">
        <v>43922.625</v>
      </c>
      <c r="F582" s="23">
        <v>20.7</v>
      </c>
      <c r="G582" s="31">
        <v>-9.5999999999999992E-3</v>
      </c>
      <c r="H582" s="23">
        <v>480.28</v>
      </c>
      <c r="I582" s="31">
        <v>9.5999999999999992E-3</v>
      </c>
      <c r="J582" s="23">
        <v>2401.4079999999999</v>
      </c>
      <c r="K582" s="23">
        <v>50189.42</v>
      </c>
      <c r="L582" s="23">
        <v>38127.370000000003</v>
      </c>
      <c r="M582" s="23">
        <v>24</v>
      </c>
      <c r="N582" s="23">
        <v>20.010000000000002</v>
      </c>
      <c r="O582" s="31">
        <v>-1.2E-2</v>
      </c>
      <c r="P582" s="31">
        <v>2.63E-2</v>
      </c>
      <c r="Q582" s="23" t="s">
        <v>24</v>
      </c>
      <c r="R582" s="23">
        <v>0</v>
      </c>
      <c r="S582" s="23">
        <v>21.27</v>
      </c>
      <c r="U582" s="47">
        <f>VLOOKUP(AU582,[1]expiry_dates!$B$2:$C$2894,2,FALSE)</f>
        <v>43951</v>
      </c>
      <c r="V582" s="23" t="s">
        <v>165</v>
      </c>
      <c r="W582" s="23" t="s">
        <v>23</v>
      </c>
      <c r="X582" s="49">
        <v>43922.385416666664</v>
      </c>
      <c r="Y582" s="23">
        <v>1.1499999999999999</v>
      </c>
      <c r="Z582" s="23">
        <v>43922.625</v>
      </c>
      <c r="AA582" s="23">
        <v>1.05</v>
      </c>
      <c r="AB582" s="23">
        <v>-8.6999999999999994E-2</v>
      </c>
      <c r="AC582" s="23">
        <v>5084.82</v>
      </c>
      <c r="AD582" s="23">
        <v>8.6999999999999994E-2</v>
      </c>
      <c r="AE582" s="23">
        <v>50848.21</v>
      </c>
      <c r="AF582" s="23">
        <v>58475.44</v>
      </c>
      <c r="AG582" s="23">
        <v>1696273.51</v>
      </c>
      <c r="AH582" s="23">
        <v>24</v>
      </c>
      <c r="AI582" s="23">
        <v>211.87</v>
      </c>
      <c r="AJ582" s="23">
        <v>-8.6999999999999994E-2</v>
      </c>
      <c r="AK582" s="23">
        <v>0.13039999999999999</v>
      </c>
      <c r="AL582" s="23" t="s">
        <v>24</v>
      </c>
      <c r="AM582" s="23">
        <v>20.9</v>
      </c>
      <c r="AN582" s="23">
        <v>18807.849999999999</v>
      </c>
      <c r="AO582" s="23">
        <v>21.27</v>
      </c>
      <c r="AP582" s="23">
        <v>0</v>
      </c>
      <c r="AR582" s="46"/>
      <c r="AS582" s="44"/>
      <c r="AT582" s="45"/>
      <c r="AU582" s="2">
        <v>43922</v>
      </c>
      <c r="AV582" s="52">
        <v>0.38541666666666669</v>
      </c>
      <c r="AW582" s="2" t="s">
        <v>212</v>
      </c>
      <c r="AY582" s="3"/>
      <c r="BA582" s="3"/>
      <c r="BG582" s="3"/>
      <c r="BH582" s="3"/>
    </row>
    <row r="583" spans="1:60">
      <c r="A583" s="23" t="s">
        <v>22</v>
      </c>
      <c r="B583" s="23" t="s">
        <v>25</v>
      </c>
      <c r="C583" s="27">
        <v>43922.625</v>
      </c>
      <c r="D583" s="23">
        <v>20.7</v>
      </c>
      <c r="E583" s="27">
        <v>43924.385416666664</v>
      </c>
      <c r="F583" s="23">
        <v>20.100000000000001</v>
      </c>
      <c r="G583" s="31">
        <v>-2.9000000000000001E-2</v>
      </c>
      <c r="H583" s="23">
        <v>-1454.89</v>
      </c>
      <c r="I583" s="31">
        <v>-2.9000000000000001E-2</v>
      </c>
      <c r="J583" s="23">
        <v>2424.8130000000001</v>
      </c>
      <c r="K583" s="23">
        <v>50193.64</v>
      </c>
      <c r="L583" s="23">
        <v>36672.480000000003</v>
      </c>
      <c r="M583" s="23">
        <v>6</v>
      </c>
      <c r="N583" s="23">
        <v>-242.48</v>
      </c>
      <c r="O583" s="31">
        <v>-2.9000000000000001E-2</v>
      </c>
      <c r="P583" s="31">
        <v>7.1999999999999998E-3</v>
      </c>
      <c r="Q583" s="23" t="s">
        <v>24</v>
      </c>
      <c r="R583" s="23">
        <v>0</v>
      </c>
      <c r="S583" s="23">
        <v>20.350000000000001</v>
      </c>
      <c r="U583" s="47">
        <f>VLOOKUP(AU583,[1]expiry_dates!$B$2:$C$2894,2,FALSE)</f>
        <v>43951</v>
      </c>
      <c r="V583" s="23" t="s">
        <v>164</v>
      </c>
      <c r="W583" s="23" t="s">
        <v>23</v>
      </c>
      <c r="X583" s="49">
        <v>43922.625</v>
      </c>
      <c r="Y583" s="23">
        <v>2.5</v>
      </c>
      <c r="Z583" s="23">
        <v>43924.385416666664</v>
      </c>
      <c r="AA583" s="23">
        <v>2.9</v>
      </c>
      <c r="AB583" s="23">
        <v>0.16</v>
      </c>
      <c r="AC583" s="23">
        <v>-9357.02</v>
      </c>
      <c r="AD583" s="23">
        <v>-0.16</v>
      </c>
      <c r="AE583" s="23">
        <v>23392.55</v>
      </c>
      <c r="AF583" s="23">
        <v>58481.37</v>
      </c>
      <c r="AG583" s="23">
        <v>1686916.49</v>
      </c>
      <c r="AH583" s="23">
        <v>6</v>
      </c>
      <c r="AI583" s="23">
        <v>-1559.5</v>
      </c>
      <c r="AJ583" s="23">
        <v>-0.16</v>
      </c>
      <c r="AK583" s="23">
        <v>0</v>
      </c>
      <c r="AL583" s="23" t="s">
        <v>24</v>
      </c>
      <c r="AM583" s="23">
        <v>20.7</v>
      </c>
      <c r="AN583" s="23">
        <v>18203.7</v>
      </c>
      <c r="AO583" s="23">
        <v>20.350000000000001</v>
      </c>
      <c r="AP583" s="23">
        <v>0</v>
      </c>
      <c r="AR583" s="46"/>
      <c r="AS583" s="44"/>
      <c r="AT583" s="45"/>
      <c r="AU583" s="2">
        <v>43922</v>
      </c>
      <c r="AV583" s="52">
        <v>0.125</v>
      </c>
      <c r="AW583" s="2" t="s">
        <v>213</v>
      </c>
      <c r="AY583" s="3"/>
      <c r="BA583" s="3"/>
      <c r="BG583" s="3"/>
      <c r="BH583" s="3"/>
    </row>
    <row r="584" spans="1:60">
      <c r="A584" s="23" t="s">
        <v>22</v>
      </c>
      <c r="B584" s="23" t="s">
        <v>23</v>
      </c>
      <c r="C584" s="27">
        <v>43924.385416666664</v>
      </c>
      <c r="D584" s="23">
        <v>20.100000000000001</v>
      </c>
      <c r="E584" s="27">
        <v>43928.385416666664</v>
      </c>
      <c r="F584" s="23">
        <v>19.95</v>
      </c>
      <c r="G584" s="31">
        <v>-7.4999999999999997E-3</v>
      </c>
      <c r="H584" s="23">
        <v>374.56</v>
      </c>
      <c r="I584" s="31">
        <v>7.4999999999999997E-3</v>
      </c>
      <c r="J584" s="23">
        <v>2497.047</v>
      </c>
      <c r="K584" s="23">
        <v>50190.64</v>
      </c>
      <c r="L584" s="23">
        <v>37047.040000000001</v>
      </c>
      <c r="M584" s="23">
        <v>29</v>
      </c>
      <c r="N584" s="23">
        <v>12.92</v>
      </c>
      <c r="O584" s="31">
        <v>-3.9800000000000002E-2</v>
      </c>
      <c r="P584" s="31">
        <v>2.9899999999999999E-2</v>
      </c>
      <c r="Q584" s="23" t="s">
        <v>24</v>
      </c>
      <c r="R584" s="23">
        <v>0</v>
      </c>
      <c r="S584" s="23">
        <v>20.9</v>
      </c>
      <c r="U584" s="47">
        <f>VLOOKUP(AU584,[1]expiry_dates!$B$2:$C$2894,2,FALSE)</f>
        <v>43951</v>
      </c>
      <c r="V584" s="23" t="s">
        <v>158</v>
      </c>
      <c r="W584" s="23" t="s">
        <v>23</v>
      </c>
      <c r="X584" s="49">
        <v>43924.385416666664</v>
      </c>
      <c r="Y584" s="23">
        <v>2.4</v>
      </c>
      <c r="Z584" s="23">
        <v>43928.385416666664</v>
      </c>
      <c r="AA584" s="23">
        <v>1.7</v>
      </c>
      <c r="AB584" s="23">
        <v>-0.29170000000000001</v>
      </c>
      <c r="AC584" s="23">
        <v>17053.650000000001</v>
      </c>
      <c r="AD584" s="23">
        <v>0.29170000000000001</v>
      </c>
      <c r="AE584" s="23">
        <v>24362.36</v>
      </c>
      <c r="AF584" s="23">
        <v>58469.67</v>
      </c>
      <c r="AG584" s="23">
        <v>1703970.14</v>
      </c>
      <c r="AH584" s="23">
        <v>29</v>
      </c>
      <c r="AI584" s="23">
        <v>588.05999999999995</v>
      </c>
      <c r="AJ584" s="23">
        <v>-4.1700000000000001E-2</v>
      </c>
      <c r="AK584" s="23">
        <v>0.29170000000000001</v>
      </c>
      <c r="AL584" s="23" t="s">
        <v>24</v>
      </c>
      <c r="AM584" s="23">
        <v>20.100000000000001</v>
      </c>
      <c r="AN584" s="23">
        <v>17626</v>
      </c>
      <c r="AO584" s="23">
        <v>20.9</v>
      </c>
      <c r="AP584" s="23">
        <v>0</v>
      </c>
      <c r="AR584" s="46"/>
      <c r="AS584" s="44"/>
      <c r="AT584" s="45"/>
      <c r="AU584" s="2">
        <v>43924</v>
      </c>
      <c r="AV584" s="52">
        <v>0.38541666666666669</v>
      </c>
      <c r="AW584" s="2" t="s">
        <v>212</v>
      </c>
      <c r="AY584" s="3"/>
      <c r="BA584" s="3"/>
      <c r="BG584" s="3"/>
      <c r="BH584" s="3"/>
    </row>
    <row r="585" spans="1:60">
      <c r="A585" s="23" t="s">
        <v>22</v>
      </c>
      <c r="B585" s="23" t="s">
        <v>25</v>
      </c>
      <c r="C585" s="27">
        <v>43928.385416666664</v>
      </c>
      <c r="D585" s="23">
        <v>19.95</v>
      </c>
      <c r="E585" s="27">
        <v>43928.4375</v>
      </c>
      <c r="F585" s="23">
        <v>20</v>
      </c>
      <c r="G585" s="31">
        <v>2.5000000000000001E-3</v>
      </c>
      <c r="H585" s="23">
        <v>125.75</v>
      </c>
      <c r="I585" s="31">
        <v>2.5000000000000001E-3</v>
      </c>
      <c r="J585" s="23">
        <v>2515.0500000000002</v>
      </c>
      <c r="K585" s="23">
        <v>50175.25</v>
      </c>
      <c r="L585" s="23">
        <v>37172.79</v>
      </c>
      <c r="M585" s="23">
        <v>6</v>
      </c>
      <c r="N585" s="23">
        <v>20.96</v>
      </c>
      <c r="O585" s="31">
        <v>-7.4999999999999997E-3</v>
      </c>
      <c r="P585" s="31">
        <v>5.0099999999999999E-2</v>
      </c>
      <c r="Q585" s="23" t="s">
        <v>24</v>
      </c>
      <c r="R585" s="23">
        <v>0</v>
      </c>
      <c r="S585" s="23">
        <v>19.579999999999998</v>
      </c>
      <c r="U585" s="47">
        <f>VLOOKUP(AU585,[1]expiry_dates!$B$2:$C$2894,2,FALSE)</f>
        <v>43951</v>
      </c>
      <c r="V585" s="23" t="s">
        <v>164</v>
      </c>
      <c r="W585" s="23" t="s">
        <v>23</v>
      </c>
      <c r="X585" s="49">
        <v>43928.385416666664</v>
      </c>
      <c r="Y585" s="23">
        <v>2.5</v>
      </c>
      <c r="Z585" s="23">
        <v>43928.4375</v>
      </c>
      <c r="AA585" s="23">
        <v>2.4500000000000002</v>
      </c>
      <c r="AB585" s="23">
        <v>-0.02</v>
      </c>
      <c r="AC585" s="23">
        <v>1170.28</v>
      </c>
      <c r="AD585" s="23">
        <v>0.02</v>
      </c>
      <c r="AE585" s="23">
        <v>23405.5</v>
      </c>
      <c r="AF585" s="23">
        <v>58513.760000000002</v>
      </c>
      <c r="AG585" s="23">
        <v>1705140.42</v>
      </c>
      <c r="AH585" s="23">
        <v>6</v>
      </c>
      <c r="AI585" s="23">
        <v>195.05</v>
      </c>
      <c r="AJ585" s="23">
        <v>-0.04</v>
      </c>
      <c r="AK585" s="23">
        <v>0.16</v>
      </c>
      <c r="AL585" s="23" t="s">
        <v>24</v>
      </c>
      <c r="AM585" s="23">
        <v>19.95</v>
      </c>
      <c r="AN585" s="23">
        <v>18108.25</v>
      </c>
      <c r="AO585" s="23">
        <v>19.579999999999998</v>
      </c>
      <c r="AP585" s="23">
        <v>0</v>
      </c>
      <c r="AR585" s="46"/>
      <c r="AS585" s="44"/>
      <c r="AT585" s="45"/>
      <c r="AU585" s="2">
        <v>43928</v>
      </c>
      <c r="AV585" s="52">
        <v>0.38541666666666669</v>
      </c>
      <c r="AW585" s="2" t="s">
        <v>212</v>
      </c>
      <c r="AY585" s="3"/>
      <c r="BA585" s="3"/>
      <c r="BG585" s="3"/>
      <c r="BH585" s="3"/>
    </row>
    <row r="586" spans="1:60">
      <c r="A586" s="23" t="s">
        <v>22</v>
      </c>
      <c r="B586" s="23" t="s">
        <v>23</v>
      </c>
      <c r="C586" s="27">
        <v>43928.4375</v>
      </c>
      <c r="D586" s="23">
        <v>20</v>
      </c>
      <c r="E586" s="27">
        <v>43928.572916666664</v>
      </c>
      <c r="F586" s="23">
        <v>20.350000000000001</v>
      </c>
      <c r="G586" s="31">
        <v>1.7500000000000002E-2</v>
      </c>
      <c r="H586" s="23">
        <v>-878.25</v>
      </c>
      <c r="I586" s="31">
        <v>-1.7500000000000002E-2</v>
      </c>
      <c r="J586" s="23">
        <v>2509.2930000000001</v>
      </c>
      <c r="K586" s="23">
        <v>50185.86</v>
      </c>
      <c r="L586" s="23">
        <v>36294.54</v>
      </c>
      <c r="M586" s="23">
        <v>14</v>
      </c>
      <c r="N586" s="23">
        <v>-62.73</v>
      </c>
      <c r="O586" s="31">
        <v>-1.7500000000000002E-2</v>
      </c>
      <c r="P586" s="31">
        <v>1.7500000000000002E-2</v>
      </c>
      <c r="Q586" s="23" t="s">
        <v>24</v>
      </c>
      <c r="R586" s="23">
        <v>0</v>
      </c>
      <c r="S586" s="23">
        <v>20.93</v>
      </c>
      <c r="U586" s="47">
        <f>VLOOKUP(AU586,[1]expiry_dates!$B$2:$C$2894,2,FALSE)</f>
        <v>43951</v>
      </c>
      <c r="V586" s="23" t="s">
        <v>167</v>
      </c>
      <c r="W586" s="23" t="s">
        <v>23</v>
      </c>
      <c r="X586" s="49">
        <v>43928.4375</v>
      </c>
      <c r="Y586" s="23">
        <v>0.95</v>
      </c>
      <c r="Z586" s="23">
        <v>43928.572916666664</v>
      </c>
      <c r="AA586" s="23">
        <v>1</v>
      </c>
      <c r="AB586" s="23">
        <v>5.2600000000000001E-2</v>
      </c>
      <c r="AC586" s="23">
        <v>-3079.99</v>
      </c>
      <c r="AD586" s="23">
        <v>-5.2600000000000001E-2</v>
      </c>
      <c r="AE586" s="23">
        <v>61599.839999999997</v>
      </c>
      <c r="AF586" s="23">
        <v>58519.85</v>
      </c>
      <c r="AG586" s="23">
        <v>1702060.42</v>
      </c>
      <c r="AH586" s="23">
        <v>14</v>
      </c>
      <c r="AI586" s="23">
        <v>-220</v>
      </c>
      <c r="AJ586" s="23">
        <v>-5.2600000000000001E-2</v>
      </c>
      <c r="AK586" s="23">
        <v>5.2600000000000001E-2</v>
      </c>
      <c r="AL586" s="23" t="s">
        <v>24</v>
      </c>
      <c r="AM586" s="23">
        <v>20</v>
      </c>
      <c r="AN586" s="23">
        <v>18046.05</v>
      </c>
      <c r="AO586" s="23">
        <v>20.93</v>
      </c>
      <c r="AP586" s="23">
        <v>0</v>
      </c>
      <c r="AR586" s="46"/>
      <c r="AS586" s="44"/>
      <c r="AT586" s="45"/>
      <c r="AU586" s="2">
        <v>43928</v>
      </c>
      <c r="AV586" s="52">
        <v>0.4375</v>
      </c>
      <c r="AW586" s="2" t="s">
        <v>212</v>
      </c>
      <c r="AY586" s="3"/>
      <c r="BA586" s="3"/>
      <c r="BG586" s="3"/>
      <c r="BH586" s="3"/>
    </row>
    <row r="587" spans="1:60">
      <c r="A587" s="23" t="s">
        <v>22</v>
      </c>
      <c r="B587" s="23" t="s">
        <v>25</v>
      </c>
      <c r="C587" s="27">
        <v>43928.572916666664</v>
      </c>
      <c r="D587" s="23">
        <v>20.350000000000001</v>
      </c>
      <c r="E587" s="27">
        <v>43929.385416666664</v>
      </c>
      <c r="F587" s="23">
        <v>20.2</v>
      </c>
      <c r="G587" s="31">
        <v>-7.4000000000000003E-3</v>
      </c>
      <c r="H587" s="23">
        <v>-369.9</v>
      </c>
      <c r="I587" s="31">
        <v>-7.4000000000000003E-3</v>
      </c>
      <c r="J587" s="23">
        <v>2465.982</v>
      </c>
      <c r="K587" s="23">
        <v>50182.73</v>
      </c>
      <c r="L587" s="23">
        <v>35924.639999999999</v>
      </c>
      <c r="M587" s="23">
        <v>11</v>
      </c>
      <c r="N587" s="23">
        <v>-33.630000000000003</v>
      </c>
      <c r="O587" s="31">
        <v>-1.72E-2</v>
      </c>
      <c r="P587" s="31">
        <v>1.23E-2</v>
      </c>
      <c r="Q587" s="23" t="s">
        <v>24</v>
      </c>
      <c r="R587" s="23">
        <v>0</v>
      </c>
      <c r="S587" s="23">
        <v>19.66</v>
      </c>
      <c r="U587" s="47">
        <f>VLOOKUP(AU587,[1]expiry_dates!$B$2:$C$2894,2,FALSE)</f>
        <v>43951</v>
      </c>
      <c r="V587" s="23" t="s">
        <v>159</v>
      </c>
      <c r="W587" s="23" t="s">
        <v>23</v>
      </c>
      <c r="X587" s="49">
        <v>43928.572916666664</v>
      </c>
      <c r="Y587" s="23">
        <v>1.35</v>
      </c>
      <c r="Z587" s="23">
        <v>43929.385416666664</v>
      </c>
      <c r="AA587" s="23">
        <v>1.25</v>
      </c>
      <c r="AB587" s="23">
        <v>-7.4099999999999999E-2</v>
      </c>
      <c r="AC587" s="23">
        <v>4335.24</v>
      </c>
      <c r="AD587" s="23">
        <v>7.4099999999999999E-2</v>
      </c>
      <c r="AE587" s="23">
        <v>43352.37</v>
      </c>
      <c r="AF587" s="23">
        <v>58525.7</v>
      </c>
      <c r="AG587" s="23">
        <v>1706395.66</v>
      </c>
      <c r="AH587" s="23">
        <v>11</v>
      </c>
      <c r="AI587" s="23">
        <v>394.11</v>
      </c>
      <c r="AJ587" s="23">
        <v>0</v>
      </c>
      <c r="AK587" s="23">
        <v>0.1111</v>
      </c>
      <c r="AL587" s="23" t="s">
        <v>24</v>
      </c>
      <c r="AM587" s="23">
        <v>20.350000000000001</v>
      </c>
      <c r="AN587" s="23">
        <v>18947.900000000001</v>
      </c>
      <c r="AO587" s="23">
        <v>19.66</v>
      </c>
      <c r="AP587" s="23">
        <v>0</v>
      </c>
      <c r="AR587" s="46"/>
      <c r="AS587" s="44"/>
      <c r="AT587" s="45"/>
      <c r="AU587" s="2">
        <v>43928</v>
      </c>
      <c r="AV587" s="52">
        <v>7.2916666666666671E-2</v>
      </c>
      <c r="AW587" s="2" t="s">
        <v>213</v>
      </c>
      <c r="AY587" s="3"/>
      <c r="BA587" s="3"/>
      <c r="BG587" s="3"/>
      <c r="BH587" s="3"/>
    </row>
    <row r="588" spans="1:60">
      <c r="A588" s="23" t="s">
        <v>22</v>
      </c>
      <c r="B588" s="23" t="s">
        <v>23</v>
      </c>
      <c r="C588" s="27">
        <v>43929.385416666664</v>
      </c>
      <c r="D588" s="23">
        <v>20.2</v>
      </c>
      <c r="E588" s="27">
        <v>43929.395833333336</v>
      </c>
      <c r="F588" s="23">
        <v>20.6</v>
      </c>
      <c r="G588" s="31">
        <v>1.9800000000000002E-2</v>
      </c>
      <c r="H588" s="23">
        <v>-993.61</v>
      </c>
      <c r="I588" s="31">
        <v>-1.9800000000000002E-2</v>
      </c>
      <c r="J588" s="23">
        <v>2484.018</v>
      </c>
      <c r="K588" s="23">
        <v>50177.16</v>
      </c>
      <c r="L588" s="23">
        <v>34931.03</v>
      </c>
      <c r="M588" s="23">
        <v>2</v>
      </c>
      <c r="N588" s="23">
        <v>-496.8</v>
      </c>
      <c r="O588" s="31">
        <v>-1.9800000000000002E-2</v>
      </c>
      <c r="P588" s="31">
        <v>1.7299999999999999E-2</v>
      </c>
      <c r="Q588" s="23" t="s">
        <v>24</v>
      </c>
      <c r="R588" s="23">
        <v>0</v>
      </c>
      <c r="S588" s="23">
        <v>20.57</v>
      </c>
      <c r="U588" s="47">
        <f>VLOOKUP(AU588,[1]expiry_dates!$B$2:$C$2894,2,FALSE)</f>
        <v>43951</v>
      </c>
      <c r="V588" s="23" t="s">
        <v>158</v>
      </c>
      <c r="W588" s="23" t="s">
        <v>23</v>
      </c>
      <c r="X588" s="49">
        <v>43929.385416666664</v>
      </c>
      <c r="Y588" s="23">
        <v>2</v>
      </c>
      <c r="Z588" s="23">
        <v>43929.395833333336</v>
      </c>
      <c r="AA588" s="23">
        <v>2.15</v>
      </c>
      <c r="AB588" s="23">
        <v>7.4999999999999997E-2</v>
      </c>
      <c r="AC588" s="23">
        <v>-4389.8999999999996</v>
      </c>
      <c r="AD588" s="23">
        <v>-7.4999999999999997E-2</v>
      </c>
      <c r="AE588" s="23">
        <v>29265.99</v>
      </c>
      <c r="AF588" s="23">
        <v>58531.98</v>
      </c>
      <c r="AG588" s="23">
        <v>1702005.76</v>
      </c>
      <c r="AH588" s="23">
        <v>2</v>
      </c>
      <c r="AI588" s="23">
        <v>-2194.9499999999998</v>
      </c>
      <c r="AJ588" s="23">
        <v>-7.4999999999999997E-2</v>
      </c>
      <c r="AK588" s="23">
        <v>2.5000000000000001E-2</v>
      </c>
      <c r="AL588" s="23" t="s">
        <v>24</v>
      </c>
      <c r="AM588" s="23">
        <v>20.2</v>
      </c>
      <c r="AN588" s="23">
        <v>18730.55</v>
      </c>
      <c r="AO588" s="23">
        <v>20.57</v>
      </c>
      <c r="AP588" s="23">
        <v>0</v>
      </c>
      <c r="AR588" s="46"/>
      <c r="AS588" s="44"/>
      <c r="AT588" s="45"/>
      <c r="AU588" s="2">
        <v>43929</v>
      </c>
      <c r="AV588" s="52">
        <v>0.38541666666666669</v>
      </c>
      <c r="AW588" s="2" t="s">
        <v>212</v>
      </c>
      <c r="AY588" s="3"/>
      <c r="BA588" s="3"/>
      <c r="BG588" s="3"/>
      <c r="BH588" s="3"/>
    </row>
    <row r="589" spans="1:60">
      <c r="A589" s="23" t="s">
        <v>22</v>
      </c>
      <c r="B589" s="23" t="s">
        <v>25</v>
      </c>
      <c r="C589" s="27">
        <v>43929.395833333336</v>
      </c>
      <c r="D589" s="23">
        <v>20.6</v>
      </c>
      <c r="E589" s="27">
        <v>43929.53125</v>
      </c>
      <c r="F589" s="23">
        <v>20.65</v>
      </c>
      <c r="G589" s="31">
        <v>2.3999999999999998E-3</v>
      </c>
      <c r="H589" s="23">
        <v>121.8</v>
      </c>
      <c r="I589" s="31">
        <v>2.3999999999999998E-3</v>
      </c>
      <c r="J589" s="23">
        <v>2435.904</v>
      </c>
      <c r="K589" s="23">
        <v>50179.63</v>
      </c>
      <c r="L589" s="23">
        <v>35052.83</v>
      </c>
      <c r="M589" s="23">
        <v>14</v>
      </c>
      <c r="N589" s="23">
        <v>8.6999999999999993</v>
      </c>
      <c r="O589" s="31">
        <v>-2.4299999999999999E-2</v>
      </c>
      <c r="P589" s="31">
        <v>6.3100000000000003E-2</v>
      </c>
      <c r="Q589" s="23" t="s">
        <v>24</v>
      </c>
      <c r="R589" s="23">
        <v>0</v>
      </c>
      <c r="S589" s="23">
        <v>19.850000000000001</v>
      </c>
      <c r="U589" s="47">
        <f>VLOOKUP(AU589,[1]expiry_dates!$B$2:$C$2894,2,FALSE)</f>
        <v>43951</v>
      </c>
      <c r="V589" s="23" t="s">
        <v>160</v>
      </c>
      <c r="W589" s="23" t="s">
        <v>23</v>
      </c>
      <c r="X589" s="49">
        <v>43929.395833333336</v>
      </c>
      <c r="Y589" s="23">
        <v>0.6</v>
      </c>
      <c r="Z589" s="23">
        <v>43929.53125</v>
      </c>
      <c r="AA589" s="23">
        <v>0.7</v>
      </c>
      <c r="AB589" s="23">
        <v>0.16669999999999999</v>
      </c>
      <c r="AC589" s="23">
        <v>-9755.33</v>
      </c>
      <c r="AD589" s="23">
        <v>-0.16669999999999999</v>
      </c>
      <c r="AE589" s="23">
        <v>97553.3</v>
      </c>
      <c r="AF589" s="23">
        <v>58531.98</v>
      </c>
      <c r="AG589" s="23">
        <v>1692250.43</v>
      </c>
      <c r="AH589" s="23">
        <v>14</v>
      </c>
      <c r="AI589" s="23">
        <v>-696.81</v>
      </c>
      <c r="AJ589" s="23">
        <v>-0.16669999999999999</v>
      </c>
      <c r="AK589" s="23">
        <v>8.3299999999999999E-2</v>
      </c>
      <c r="AL589" s="23" t="s">
        <v>24</v>
      </c>
      <c r="AM589" s="23">
        <v>20.6</v>
      </c>
      <c r="AN589" s="23">
        <v>19027.7</v>
      </c>
      <c r="AO589" s="23">
        <v>19.850000000000001</v>
      </c>
      <c r="AP589" s="23">
        <v>0</v>
      </c>
      <c r="AR589" s="46"/>
      <c r="AS589" s="44"/>
      <c r="AT589" s="45"/>
      <c r="AU589" s="2">
        <v>43929</v>
      </c>
      <c r="AV589" s="52">
        <v>0.39583333333333331</v>
      </c>
      <c r="AW589" s="2" t="s">
        <v>212</v>
      </c>
      <c r="AY589" s="3"/>
      <c r="BA589" s="3"/>
      <c r="BG589" s="3"/>
      <c r="BH589" s="3"/>
    </row>
    <row r="590" spans="1:60">
      <c r="A590" s="23" t="s">
        <v>22</v>
      </c>
      <c r="B590" s="23" t="s">
        <v>23</v>
      </c>
      <c r="C590" s="27">
        <v>43929.53125</v>
      </c>
      <c r="D590" s="23">
        <v>20.65</v>
      </c>
      <c r="E590" s="27">
        <v>43930.385416666664</v>
      </c>
      <c r="F590" s="23">
        <v>21.35</v>
      </c>
      <c r="G590" s="31">
        <v>3.39E-2</v>
      </c>
      <c r="H590" s="23">
        <v>-1700.96</v>
      </c>
      <c r="I590" s="31">
        <v>-3.39E-2</v>
      </c>
      <c r="J590" s="23">
        <v>2429.942</v>
      </c>
      <c r="K590" s="23">
        <v>50178.31</v>
      </c>
      <c r="L590" s="23">
        <v>33351.870000000003</v>
      </c>
      <c r="M590" s="23">
        <v>15</v>
      </c>
      <c r="N590" s="23">
        <v>-113.4</v>
      </c>
      <c r="O590" s="31">
        <v>-3.39E-2</v>
      </c>
      <c r="P590" s="31">
        <v>1.21E-2</v>
      </c>
      <c r="Q590" s="23" t="s">
        <v>24</v>
      </c>
      <c r="R590" s="23">
        <v>0</v>
      </c>
      <c r="S590" s="23">
        <v>21.85</v>
      </c>
      <c r="U590" s="47">
        <f>VLOOKUP(AU590,[1]expiry_dates!$B$2:$C$2894,2,FALSE)</f>
        <v>43951</v>
      </c>
      <c r="V590" s="23" t="s">
        <v>158</v>
      </c>
      <c r="W590" s="23" t="s">
        <v>23</v>
      </c>
      <c r="X590" s="49">
        <v>43929.53125</v>
      </c>
      <c r="Y590" s="23">
        <v>2.35</v>
      </c>
      <c r="Z590" s="23">
        <v>43930.385416666664</v>
      </c>
      <c r="AA590" s="23">
        <v>2.75</v>
      </c>
      <c r="AB590" s="23">
        <v>0.17019999999999999</v>
      </c>
      <c r="AC590" s="23">
        <v>-9950.85</v>
      </c>
      <c r="AD590" s="23">
        <v>-0.17019999999999999</v>
      </c>
      <c r="AE590" s="23">
        <v>24877.13</v>
      </c>
      <c r="AF590" s="23">
        <v>58461.25</v>
      </c>
      <c r="AG590" s="23">
        <v>1682299.58</v>
      </c>
      <c r="AH590" s="23">
        <v>15</v>
      </c>
      <c r="AI590" s="23">
        <v>-663.39</v>
      </c>
      <c r="AJ590" s="23">
        <v>-0.17019999999999999</v>
      </c>
      <c r="AK590" s="23">
        <v>2.1299999999999999E-2</v>
      </c>
      <c r="AL590" s="23" t="s">
        <v>24</v>
      </c>
      <c r="AM590" s="23">
        <v>20.65</v>
      </c>
      <c r="AN590" s="23">
        <v>19020.45</v>
      </c>
      <c r="AO590" s="23">
        <v>21.85</v>
      </c>
      <c r="AP590" s="23">
        <v>0</v>
      </c>
      <c r="AR590" s="46"/>
      <c r="AS590" s="44"/>
      <c r="AT590" s="45"/>
      <c r="AU590" s="2">
        <v>43929</v>
      </c>
      <c r="AV590" s="52">
        <v>0.53125</v>
      </c>
      <c r="AW590" s="2" t="s">
        <v>213</v>
      </c>
      <c r="AY590" s="3"/>
      <c r="BA590" s="3"/>
      <c r="BG590" s="3"/>
      <c r="BH590" s="3"/>
    </row>
    <row r="591" spans="1:60">
      <c r="A591" s="23" t="s">
        <v>22</v>
      </c>
      <c r="B591" s="23" t="s">
        <v>25</v>
      </c>
      <c r="C591" s="27">
        <v>43930.385416666664</v>
      </c>
      <c r="D591" s="23">
        <v>21.35</v>
      </c>
      <c r="E591" s="27">
        <v>43934.395833333336</v>
      </c>
      <c r="F591" s="23">
        <v>21.8</v>
      </c>
      <c r="G591" s="31">
        <v>2.1100000000000001E-2</v>
      </c>
      <c r="H591" s="23">
        <v>1057.49</v>
      </c>
      <c r="I591" s="31">
        <v>2.1100000000000001E-2</v>
      </c>
      <c r="J591" s="23">
        <v>2349.9870000000001</v>
      </c>
      <c r="K591" s="23">
        <v>50172.23</v>
      </c>
      <c r="L591" s="23">
        <v>34409.360000000001</v>
      </c>
      <c r="M591" s="23">
        <v>30</v>
      </c>
      <c r="N591" s="23">
        <v>35.25</v>
      </c>
      <c r="O591" s="31">
        <v>-2.3400000000000001E-2</v>
      </c>
      <c r="P591" s="31">
        <v>7.7299999999999994E-2</v>
      </c>
      <c r="Q591" s="23" t="s">
        <v>24</v>
      </c>
      <c r="R591" s="23">
        <v>0</v>
      </c>
      <c r="S591" s="23">
        <v>20.43</v>
      </c>
      <c r="U591" s="47">
        <f>VLOOKUP(AU591,[1]expiry_dates!$B$2:$C$2894,2,FALSE)</f>
        <v>43951</v>
      </c>
      <c r="V591" s="23" t="s">
        <v>157</v>
      </c>
      <c r="W591" s="23" t="s">
        <v>23</v>
      </c>
      <c r="X591" s="49">
        <v>43930.385416666664</v>
      </c>
      <c r="Y591" s="23">
        <v>1.9</v>
      </c>
      <c r="Z591" s="23">
        <v>43934.395833333336</v>
      </c>
      <c r="AA591" s="23">
        <v>1.75</v>
      </c>
      <c r="AB591" s="23">
        <v>-7.8899999999999998E-2</v>
      </c>
      <c r="AC591" s="23">
        <v>4615.8500000000004</v>
      </c>
      <c r="AD591" s="23">
        <v>7.8899999999999998E-2</v>
      </c>
      <c r="AE591" s="23">
        <v>30772.35</v>
      </c>
      <c r="AF591" s="23">
        <v>58467.47</v>
      </c>
      <c r="AG591" s="23">
        <v>1686915.44</v>
      </c>
      <c r="AH591" s="23">
        <v>30</v>
      </c>
      <c r="AI591" s="23">
        <v>153.86000000000001</v>
      </c>
      <c r="AJ591" s="23">
        <v>-0.15790000000000001</v>
      </c>
      <c r="AK591" s="23">
        <v>0.15790000000000001</v>
      </c>
      <c r="AL591" s="23" t="s">
        <v>24</v>
      </c>
      <c r="AM591" s="23">
        <v>21.35</v>
      </c>
      <c r="AN591" s="23">
        <v>19594.7</v>
      </c>
      <c r="AO591" s="23">
        <v>20.43</v>
      </c>
      <c r="AP591" s="23">
        <v>0</v>
      </c>
      <c r="AR591" s="46"/>
      <c r="AS591" s="44"/>
      <c r="AT591" s="45"/>
      <c r="AU591" s="2">
        <v>43930</v>
      </c>
      <c r="AV591" s="52">
        <v>0.38541666666666669</v>
      </c>
      <c r="AW591" s="2" t="s">
        <v>212</v>
      </c>
      <c r="AY591" s="3"/>
      <c r="BA591" s="3"/>
      <c r="BG591" s="3"/>
      <c r="BH591" s="3"/>
    </row>
    <row r="592" spans="1:60">
      <c r="A592" s="23" t="s">
        <v>22</v>
      </c>
      <c r="B592" s="23" t="s">
        <v>23</v>
      </c>
      <c r="C592" s="27">
        <v>43934.395833333336</v>
      </c>
      <c r="D592" s="23">
        <v>21.8</v>
      </c>
      <c r="E592" s="27">
        <v>43934.583333333336</v>
      </c>
      <c r="F592" s="23">
        <v>22.05</v>
      </c>
      <c r="G592" s="31">
        <v>1.15E-2</v>
      </c>
      <c r="H592" s="23">
        <v>-575.4</v>
      </c>
      <c r="I592" s="31">
        <v>-1.15E-2</v>
      </c>
      <c r="J592" s="23">
        <v>2301.605</v>
      </c>
      <c r="K592" s="23">
        <v>50174.99</v>
      </c>
      <c r="L592" s="23">
        <v>33833.96</v>
      </c>
      <c r="M592" s="23">
        <v>19</v>
      </c>
      <c r="N592" s="23">
        <v>-30.28</v>
      </c>
      <c r="O592" s="31">
        <v>-2.06E-2</v>
      </c>
      <c r="P592" s="31">
        <v>4.5999999999999999E-3</v>
      </c>
      <c r="Q592" s="23" t="s">
        <v>24</v>
      </c>
      <c r="R592" s="23">
        <v>0</v>
      </c>
      <c r="S592" s="23">
        <v>22.97</v>
      </c>
      <c r="U592" s="47">
        <f>VLOOKUP(AU592,[1]expiry_dates!$B$2:$C$2894,2,FALSE)</f>
        <v>43951</v>
      </c>
      <c r="V592" s="23" t="s">
        <v>156</v>
      </c>
      <c r="W592" s="23" t="s">
        <v>23</v>
      </c>
      <c r="X592" s="49">
        <v>43934.395833333336</v>
      </c>
      <c r="Y592" s="23">
        <v>2</v>
      </c>
      <c r="Z592" s="23">
        <v>43934.583333333336</v>
      </c>
      <c r="AA592" s="23">
        <v>2.0499999999999998</v>
      </c>
      <c r="AB592" s="23">
        <v>2.5000000000000001E-2</v>
      </c>
      <c r="AC592" s="23">
        <v>-1460.86</v>
      </c>
      <c r="AD592" s="23">
        <v>-2.5000000000000001E-2</v>
      </c>
      <c r="AE592" s="23">
        <v>29217.29</v>
      </c>
      <c r="AF592" s="23">
        <v>58434.58</v>
      </c>
      <c r="AG592" s="23">
        <v>1685454.57</v>
      </c>
      <c r="AH592" s="23">
        <v>19</v>
      </c>
      <c r="AI592" s="23">
        <v>-76.89</v>
      </c>
      <c r="AJ592" s="23">
        <v>-0.05</v>
      </c>
      <c r="AK592" s="23">
        <v>2.5000000000000001E-2</v>
      </c>
      <c r="AL592" s="23" t="s">
        <v>24</v>
      </c>
      <c r="AM592" s="23">
        <v>21.8</v>
      </c>
      <c r="AN592" s="23">
        <v>19356.5</v>
      </c>
      <c r="AO592" s="23">
        <v>22.97</v>
      </c>
      <c r="AP592" s="23">
        <v>0</v>
      </c>
      <c r="AR592" s="46"/>
      <c r="AS592" s="44"/>
      <c r="AT592" s="45"/>
      <c r="AU592" s="2">
        <v>43934</v>
      </c>
      <c r="AV592" s="52">
        <v>0.39583333333333331</v>
      </c>
      <c r="AW592" s="2" t="s">
        <v>212</v>
      </c>
      <c r="AY592" s="3"/>
      <c r="BA592" s="3"/>
      <c r="BG592" s="3"/>
      <c r="BH592" s="3"/>
    </row>
    <row r="593" spans="1:60">
      <c r="A593" s="23" t="s">
        <v>22</v>
      </c>
      <c r="B593" s="23" t="s">
        <v>25</v>
      </c>
      <c r="C593" s="27">
        <v>43934.583333333336</v>
      </c>
      <c r="D593" s="23">
        <v>22.05</v>
      </c>
      <c r="E593" s="27">
        <v>43936.552083333336</v>
      </c>
      <c r="F593" s="23">
        <v>22.75</v>
      </c>
      <c r="G593" s="31">
        <v>3.1699999999999999E-2</v>
      </c>
      <c r="H593" s="23">
        <v>1592.67</v>
      </c>
      <c r="I593" s="31">
        <v>3.1699999999999999E-2</v>
      </c>
      <c r="J593" s="23">
        <v>2275.2460000000001</v>
      </c>
      <c r="K593" s="23">
        <v>50169.17</v>
      </c>
      <c r="L593" s="23">
        <v>35426.629999999997</v>
      </c>
      <c r="M593" s="23">
        <v>26</v>
      </c>
      <c r="N593" s="23">
        <v>61.26</v>
      </c>
      <c r="O593" s="31">
        <v>0</v>
      </c>
      <c r="P593" s="31">
        <v>4.99E-2</v>
      </c>
      <c r="Q593" s="23" t="s">
        <v>24</v>
      </c>
      <c r="R593" s="23">
        <v>0</v>
      </c>
      <c r="S593" s="23">
        <v>21.72</v>
      </c>
      <c r="U593" s="47">
        <f>VLOOKUP(AU593,[1]expiry_dates!$B$2:$C$2894,2,FALSE)</f>
        <v>43951</v>
      </c>
      <c r="V593" s="23" t="s">
        <v>164</v>
      </c>
      <c r="W593" s="23" t="s">
        <v>23</v>
      </c>
      <c r="X593" s="49">
        <v>43934.583333333336</v>
      </c>
      <c r="Y593" s="23">
        <v>1.3</v>
      </c>
      <c r="Z593" s="23">
        <v>43936.552083333336</v>
      </c>
      <c r="AA593" s="23">
        <v>0.9</v>
      </c>
      <c r="AB593" s="23">
        <v>-0.30769999999999997</v>
      </c>
      <c r="AC593" s="23">
        <v>17982.12</v>
      </c>
      <c r="AD593" s="23">
        <v>0.30769999999999997</v>
      </c>
      <c r="AE593" s="23">
        <v>44955.3</v>
      </c>
      <c r="AF593" s="23">
        <v>58441.88</v>
      </c>
      <c r="AG593" s="23">
        <v>1703436.69</v>
      </c>
      <c r="AH593" s="23">
        <v>26</v>
      </c>
      <c r="AI593" s="23">
        <v>691.62</v>
      </c>
      <c r="AJ593" s="23">
        <v>0</v>
      </c>
      <c r="AK593" s="23">
        <v>0.42309999999999998</v>
      </c>
      <c r="AL593" s="23" t="s">
        <v>24</v>
      </c>
      <c r="AM593" s="23">
        <v>22.05</v>
      </c>
      <c r="AN593" s="23">
        <v>19334.3</v>
      </c>
      <c r="AO593" s="23">
        <v>21.72</v>
      </c>
      <c r="AP593" s="23">
        <v>0</v>
      </c>
      <c r="AR593" s="46"/>
      <c r="AS593" s="44"/>
      <c r="AT593" s="45"/>
      <c r="AU593" s="2">
        <v>43934</v>
      </c>
      <c r="AV593" s="52">
        <v>8.3333333333333329E-2</v>
      </c>
      <c r="AW593" s="2" t="s">
        <v>213</v>
      </c>
      <c r="AY593" s="3"/>
      <c r="BA593" s="3"/>
      <c r="BG593" s="3"/>
      <c r="BH593" s="3"/>
    </row>
    <row r="594" spans="1:60">
      <c r="A594" s="23" t="s">
        <v>22</v>
      </c>
      <c r="B594" s="23" t="s">
        <v>23</v>
      </c>
      <c r="C594" s="27">
        <v>43936.552083333336</v>
      </c>
      <c r="D594" s="23">
        <v>22.75</v>
      </c>
      <c r="E594" s="27">
        <v>43936.635416666664</v>
      </c>
      <c r="F594" s="23">
        <v>22.75</v>
      </c>
      <c r="G594" s="31">
        <v>0</v>
      </c>
      <c r="H594" s="23">
        <v>0</v>
      </c>
      <c r="I594" s="31">
        <v>0</v>
      </c>
      <c r="J594" s="23">
        <v>2205.5880000000002</v>
      </c>
      <c r="K594" s="23">
        <v>50177.14</v>
      </c>
      <c r="L594" s="23">
        <v>35426.629999999997</v>
      </c>
      <c r="M594" s="23">
        <v>9</v>
      </c>
      <c r="N594" s="23">
        <v>0</v>
      </c>
      <c r="O594" s="31">
        <v>-8.8000000000000005E-3</v>
      </c>
      <c r="P594" s="31">
        <v>3.0800000000000001E-2</v>
      </c>
      <c r="Q594" s="23" t="s">
        <v>24</v>
      </c>
      <c r="R594" s="23">
        <v>0</v>
      </c>
      <c r="S594" s="23">
        <v>23.13</v>
      </c>
      <c r="U594" s="47">
        <f>VLOOKUP(AU594,[1]expiry_dates!$B$2:$C$2894,2,FALSE)</f>
        <v>43951</v>
      </c>
      <c r="V594" s="23" t="s">
        <v>167</v>
      </c>
      <c r="W594" s="23" t="s">
        <v>23</v>
      </c>
      <c r="X594" s="49">
        <v>43936.552083333336</v>
      </c>
      <c r="Y594" s="23">
        <v>1.8</v>
      </c>
      <c r="Z594" s="23">
        <v>43936.635416666664</v>
      </c>
      <c r="AA594" s="23">
        <v>1.75</v>
      </c>
      <c r="AB594" s="23">
        <v>-2.7799999999999998E-2</v>
      </c>
      <c r="AC594" s="23">
        <v>1625.79</v>
      </c>
      <c r="AD594" s="23">
        <v>2.7799999999999998E-2</v>
      </c>
      <c r="AE594" s="23">
        <v>32515.79</v>
      </c>
      <c r="AF594" s="23">
        <v>58528.42</v>
      </c>
      <c r="AG594" s="23">
        <v>1705062.48</v>
      </c>
      <c r="AH594" s="23">
        <v>9</v>
      </c>
      <c r="AI594" s="23">
        <v>180.64</v>
      </c>
      <c r="AJ594" s="23">
        <v>-2.7799999999999998E-2</v>
      </c>
      <c r="AK594" s="23">
        <v>0.1389</v>
      </c>
      <c r="AL594" s="23" t="s">
        <v>24</v>
      </c>
      <c r="AM594" s="23">
        <v>22.75</v>
      </c>
      <c r="AN594" s="23">
        <v>19621</v>
      </c>
      <c r="AO594" s="23">
        <v>23.13</v>
      </c>
      <c r="AP594" s="23">
        <v>0</v>
      </c>
      <c r="AR594" s="46"/>
      <c r="AS594" s="44"/>
      <c r="AT594" s="45"/>
      <c r="AU594" s="2">
        <v>43936</v>
      </c>
      <c r="AV594" s="52">
        <v>5.2083333333333336E-2</v>
      </c>
      <c r="AW594" s="2" t="s">
        <v>213</v>
      </c>
      <c r="AY594" s="3"/>
      <c r="BA594" s="3"/>
      <c r="BG594" s="3"/>
      <c r="BH594" s="3"/>
    </row>
    <row r="595" spans="1:60">
      <c r="A595" s="23" t="s">
        <v>22</v>
      </c>
      <c r="B595" s="23" t="s">
        <v>25</v>
      </c>
      <c r="C595" s="27">
        <v>43936.635416666664</v>
      </c>
      <c r="D595" s="23">
        <v>22.75</v>
      </c>
      <c r="E595" s="27">
        <v>43937.385416666664</v>
      </c>
      <c r="F595" s="23">
        <v>22.65</v>
      </c>
      <c r="G595" s="31">
        <v>-4.4000000000000003E-3</v>
      </c>
      <c r="H595" s="23">
        <v>-220.57</v>
      </c>
      <c r="I595" s="31">
        <v>-4.4000000000000003E-3</v>
      </c>
      <c r="J595" s="23">
        <v>2205.6849999999999</v>
      </c>
      <c r="K595" s="23">
        <v>50179.34</v>
      </c>
      <c r="L595" s="23">
        <v>35206.06</v>
      </c>
      <c r="M595" s="23">
        <v>5</v>
      </c>
      <c r="N595" s="23">
        <v>-44.11</v>
      </c>
      <c r="O595" s="31">
        <v>-2.4199999999999999E-2</v>
      </c>
      <c r="P595" s="31">
        <v>4.4000000000000003E-3</v>
      </c>
      <c r="Q595" s="23" t="s">
        <v>24</v>
      </c>
      <c r="R595" s="23">
        <v>0</v>
      </c>
      <c r="S595" s="23">
        <v>22.08</v>
      </c>
      <c r="U595" s="47">
        <f>VLOOKUP(AU595,[1]expiry_dates!$B$2:$C$2894,2,FALSE)</f>
        <v>43951</v>
      </c>
      <c r="V595" s="23" t="s">
        <v>155</v>
      </c>
      <c r="W595" s="23" t="s">
        <v>23</v>
      </c>
      <c r="X595" s="49">
        <v>43936.635416666664</v>
      </c>
      <c r="Y595" s="23">
        <v>1.65</v>
      </c>
      <c r="Z595" s="23">
        <v>43937.385416666664</v>
      </c>
      <c r="AA595" s="23">
        <v>1.65</v>
      </c>
      <c r="AB595" s="23">
        <v>0</v>
      </c>
      <c r="AC595" s="23">
        <v>0</v>
      </c>
      <c r="AD595" s="23">
        <v>0</v>
      </c>
      <c r="AE595" s="23">
        <v>35474.81</v>
      </c>
      <c r="AF595" s="23">
        <v>58533.440000000002</v>
      </c>
      <c r="AG595" s="23">
        <v>1705062.48</v>
      </c>
      <c r="AH595" s="23">
        <v>5</v>
      </c>
      <c r="AI595" s="23">
        <v>0</v>
      </c>
      <c r="AJ595" s="23">
        <v>0</v>
      </c>
      <c r="AK595" s="23">
        <v>3.0300000000000001E-2</v>
      </c>
      <c r="AL595" s="23" t="s">
        <v>24</v>
      </c>
      <c r="AM595" s="23">
        <v>22.75</v>
      </c>
      <c r="AN595" s="23">
        <v>19120.900000000001</v>
      </c>
      <c r="AO595" s="23">
        <v>22.08</v>
      </c>
      <c r="AP595" s="23">
        <v>0</v>
      </c>
      <c r="AR595" s="46"/>
      <c r="AS595" s="44"/>
      <c r="AT595" s="45"/>
      <c r="AU595" s="2">
        <v>43936</v>
      </c>
      <c r="AV595" s="52">
        <v>0.13541666666666666</v>
      </c>
      <c r="AW595" s="2" t="s">
        <v>213</v>
      </c>
      <c r="AY595" s="3"/>
      <c r="BA595" s="3"/>
      <c r="BG595" s="3"/>
      <c r="BH595" s="3"/>
    </row>
    <row r="596" spans="1:60">
      <c r="A596" s="23" t="s">
        <v>22</v>
      </c>
      <c r="B596" s="23" t="s">
        <v>23</v>
      </c>
      <c r="C596" s="27">
        <v>43937.385416666664</v>
      </c>
      <c r="D596" s="23">
        <v>22.65</v>
      </c>
      <c r="E596" s="27">
        <v>43937.395833333336</v>
      </c>
      <c r="F596" s="23">
        <v>22.95</v>
      </c>
      <c r="G596" s="31">
        <v>1.32E-2</v>
      </c>
      <c r="H596" s="23">
        <v>-664.53</v>
      </c>
      <c r="I596" s="31">
        <v>-1.32E-2</v>
      </c>
      <c r="J596" s="23">
        <v>2215.107</v>
      </c>
      <c r="K596" s="23">
        <v>50172.17</v>
      </c>
      <c r="L596" s="23">
        <v>34541.53</v>
      </c>
      <c r="M596" s="23">
        <v>2</v>
      </c>
      <c r="N596" s="23">
        <v>-332.27</v>
      </c>
      <c r="O596" s="31">
        <v>-1.32E-2</v>
      </c>
      <c r="P596" s="31">
        <v>2.4299999999999999E-2</v>
      </c>
      <c r="Q596" s="23" t="s">
        <v>24</v>
      </c>
      <c r="R596" s="23">
        <v>0</v>
      </c>
      <c r="S596" s="23">
        <v>22.82</v>
      </c>
      <c r="U596" s="47">
        <f>VLOOKUP(AU596,[1]expiry_dates!$B$2:$C$2894,2,FALSE)</f>
        <v>43951</v>
      </c>
      <c r="V596" s="23" t="s">
        <v>156</v>
      </c>
      <c r="W596" s="23" t="s">
        <v>23</v>
      </c>
      <c r="X596" s="49">
        <v>43937.385416666664</v>
      </c>
      <c r="Y596" s="23">
        <v>2.35</v>
      </c>
      <c r="Z596" s="23">
        <v>43937.395833333336</v>
      </c>
      <c r="AA596" s="23">
        <v>2.35</v>
      </c>
      <c r="AB596" s="23">
        <v>0</v>
      </c>
      <c r="AC596" s="23">
        <v>0</v>
      </c>
      <c r="AD596" s="23">
        <v>0</v>
      </c>
      <c r="AE596" s="23">
        <v>24904.39</v>
      </c>
      <c r="AF596" s="23">
        <v>58525.31</v>
      </c>
      <c r="AG596" s="23">
        <v>1705062.48</v>
      </c>
      <c r="AH596" s="23">
        <v>2</v>
      </c>
      <c r="AI596" s="23">
        <v>0</v>
      </c>
      <c r="AJ596" s="23">
        <v>0</v>
      </c>
      <c r="AK596" s="23">
        <v>0.1489</v>
      </c>
      <c r="AL596" s="23" t="s">
        <v>24</v>
      </c>
      <c r="AM596" s="23">
        <v>22.65</v>
      </c>
      <c r="AN596" s="23">
        <v>18756.3</v>
      </c>
      <c r="AO596" s="23">
        <v>22.82</v>
      </c>
      <c r="AP596" s="23">
        <v>0</v>
      </c>
      <c r="AR596" s="46"/>
      <c r="AS596" s="44"/>
      <c r="AT596" s="45"/>
      <c r="AU596" s="2">
        <v>43937</v>
      </c>
      <c r="AV596" s="52">
        <v>0.38541666666666669</v>
      </c>
      <c r="AW596" s="2" t="s">
        <v>212</v>
      </c>
      <c r="AY596" s="3"/>
      <c r="BA596" s="3"/>
      <c r="BG596" s="3"/>
      <c r="BH596" s="3"/>
    </row>
    <row r="597" spans="1:60">
      <c r="A597" s="23" t="s">
        <v>22</v>
      </c>
      <c r="B597" s="23" t="s">
        <v>25</v>
      </c>
      <c r="C597" s="27">
        <v>43937.395833333336</v>
      </c>
      <c r="D597" s="23">
        <v>22.95</v>
      </c>
      <c r="E597" s="27">
        <v>43941.458333333336</v>
      </c>
      <c r="F597" s="23">
        <v>26.15</v>
      </c>
      <c r="G597" s="31">
        <v>0.1394</v>
      </c>
      <c r="H597" s="23">
        <v>6996.22</v>
      </c>
      <c r="I597" s="31">
        <v>0.1394</v>
      </c>
      <c r="J597" s="23">
        <v>2186.319</v>
      </c>
      <c r="K597" s="23">
        <v>50176.03</v>
      </c>
      <c r="L597" s="23">
        <v>41537.75</v>
      </c>
      <c r="M597" s="23">
        <v>63</v>
      </c>
      <c r="N597" s="23">
        <v>111.05</v>
      </c>
      <c r="O597" s="31">
        <v>-1.7399999999999999E-2</v>
      </c>
      <c r="P597" s="31">
        <v>0.1721</v>
      </c>
      <c r="Q597" s="23" t="s">
        <v>24</v>
      </c>
      <c r="R597" s="23">
        <v>0</v>
      </c>
      <c r="S597" s="23">
        <v>22.13</v>
      </c>
      <c r="U597" s="47">
        <f>VLOOKUP(AU597,[1]expiry_dates!$B$2:$C$2894,2,FALSE)</f>
        <v>43951</v>
      </c>
      <c r="V597" s="23" t="s">
        <v>155</v>
      </c>
      <c r="W597" s="23" t="s">
        <v>23</v>
      </c>
      <c r="X597" s="49">
        <v>43937.395833333336</v>
      </c>
      <c r="Y597" s="23">
        <v>1.4</v>
      </c>
      <c r="Z597" s="23">
        <v>43941.458333333336</v>
      </c>
      <c r="AA597" s="23">
        <v>0.35</v>
      </c>
      <c r="AB597" s="23">
        <v>-0.75</v>
      </c>
      <c r="AC597" s="23">
        <v>43893.99</v>
      </c>
      <c r="AD597" s="23">
        <v>0.75</v>
      </c>
      <c r="AE597" s="23">
        <v>41803.800000000003</v>
      </c>
      <c r="AF597" s="23">
        <v>58525.32</v>
      </c>
      <c r="AG597" s="23">
        <v>1748956.47</v>
      </c>
      <c r="AH597" s="23">
        <v>63</v>
      </c>
      <c r="AI597" s="23">
        <v>696.73</v>
      </c>
      <c r="AJ597" s="23">
        <v>-0.17860000000000001</v>
      </c>
      <c r="AK597" s="23">
        <v>0.75</v>
      </c>
      <c r="AL597" s="23" t="s">
        <v>24</v>
      </c>
      <c r="AM597" s="23">
        <v>22.95</v>
      </c>
      <c r="AN597" s="23">
        <v>19009.55</v>
      </c>
      <c r="AO597" s="23">
        <v>22.13</v>
      </c>
      <c r="AP597" s="23">
        <v>0</v>
      </c>
      <c r="AR597" s="46"/>
      <c r="AS597" s="44"/>
      <c r="AT597" s="45"/>
      <c r="AU597" s="2">
        <v>43937</v>
      </c>
      <c r="AV597" s="52">
        <v>0.39583333333333331</v>
      </c>
      <c r="AW597" s="2" t="s">
        <v>212</v>
      </c>
      <c r="AY597" s="3"/>
      <c r="BA597" s="3"/>
      <c r="BG597" s="3"/>
      <c r="BH597" s="3"/>
    </row>
    <row r="598" spans="1:60">
      <c r="A598" s="23" t="s">
        <v>22</v>
      </c>
      <c r="B598" s="23" t="s">
        <v>23</v>
      </c>
      <c r="C598" s="27">
        <v>43941.458333333336</v>
      </c>
      <c r="D598" s="23">
        <v>26.15</v>
      </c>
      <c r="E598" s="27">
        <v>43942.604166666664</v>
      </c>
      <c r="F598" s="23">
        <v>23.7</v>
      </c>
      <c r="G598" s="31">
        <v>-9.3700000000000006E-2</v>
      </c>
      <c r="H598" s="23">
        <v>4704.07</v>
      </c>
      <c r="I598" s="31">
        <v>9.3700000000000006E-2</v>
      </c>
      <c r="J598" s="23">
        <v>1920.03</v>
      </c>
      <c r="K598" s="23">
        <v>50208.78</v>
      </c>
      <c r="L598" s="23">
        <v>46241.83</v>
      </c>
      <c r="M598" s="23">
        <v>43</v>
      </c>
      <c r="N598" s="23">
        <v>109.4</v>
      </c>
      <c r="O598" s="31">
        <v>-7.6E-3</v>
      </c>
      <c r="P598" s="31">
        <v>0.1052</v>
      </c>
      <c r="Q598" s="23" t="s">
        <v>24</v>
      </c>
      <c r="R598" s="23">
        <v>0</v>
      </c>
      <c r="S598" s="23">
        <v>26.88</v>
      </c>
      <c r="U598" s="47">
        <f>VLOOKUP(AU598,[1]expiry_dates!$B$2:$C$2894,2,FALSE)</f>
        <v>43951</v>
      </c>
      <c r="V598" s="23" t="s">
        <v>165</v>
      </c>
      <c r="W598" s="23" t="s">
        <v>23</v>
      </c>
      <c r="X598" s="49">
        <v>43941.458333333336</v>
      </c>
      <c r="Y598" s="23">
        <v>2.4</v>
      </c>
      <c r="Z598" s="23">
        <v>43942.604166666664</v>
      </c>
      <c r="AA598" s="23">
        <v>1.1000000000000001</v>
      </c>
      <c r="AB598" s="23">
        <v>-0.54169999999999996</v>
      </c>
      <c r="AC598" s="23">
        <v>31820.09</v>
      </c>
      <c r="AD598" s="23">
        <v>0.54169999999999996</v>
      </c>
      <c r="AE598" s="23">
        <v>24476.99</v>
      </c>
      <c r="AF598" s="23">
        <v>58744.79</v>
      </c>
      <c r="AG598" s="23">
        <v>1780776.56</v>
      </c>
      <c r="AH598" s="23">
        <v>43</v>
      </c>
      <c r="AI598" s="23">
        <v>740</v>
      </c>
      <c r="AJ598" s="23">
        <v>0</v>
      </c>
      <c r="AK598" s="23">
        <v>0.625</v>
      </c>
      <c r="AL598" s="23" t="s">
        <v>24</v>
      </c>
      <c r="AM598" s="23">
        <v>26.15</v>
      </c>
      <c r="AN598" s="23">
        <v>20913.5</v>
      </c>
      <c r="AO598" s="23">
        <v>26.88</v>
      </c>
      <c r="AP598" s="23">
        <v>0</v>
      </c>
      <c r="AR598" s="46"/>
      <c r="AS598" s="44"/>
      <c r="AT598" s="45"/>
      <c r="AU598" s="2">
        <v>43941</v>
      </c>
      <c r="AV598" s="52">
        <v>0.45833333333333331</v>
      </c>
      <c r="AW598" s="2" t="s">
        <v>212</v>
      </c>
      <c r="AY598" s="3"/>
      <c r="BA598" s="3"/>
      <c r="BG598" s="3"/>
      <c r="BH598" s="3"/>
    </row>
    <row r="599" spans="1:60">
      <c r="A599" s="23" t="s">
        <v>22</v>
      </c>
      <c r="B599" s="23" t="s">
        <v>25</v>
      </c>
      <c r="C599" s="27">
        <v>43942.604166666664</v>
      </c>
      <c r="D599" s="23">
        <v>23.7</v>
      </c>
      <c r="E599" s="27">
        <v>43942.635416666664</v>
      </c>
      <c r="F599" s="23">
        <v>23.65</v>
      </c>
      <c r="G599" s="31">
        <v>-2.0999999999999999E-3</v>
      </c>
      <c r="H599" s="23">
        <v>-105.97</v>
      </c>
      <c r="I599" s="31">
        <v>-2.0999999999999999E-3</v>
      </c>
      <c r="J599" s="23">
        <v>2119.44</v>
      </c>
      <c r="K599" s="23">
        <v>50230.73</v>
      </c>
      <c r="L599" s="23">
        <v>46135.86</v>
      </c>
      <c r="M599" s="23">
        <v>4</v>
      </c>
      <c r="N599" s="23">
        <v>-26.49</v>
      </c>
      <c r="O599" s="31">
        <v>-4.1999999999999997E-3</v>
      </c>
      <c r="P599" s="31">
        <v>2.1100000000000001E-2</v>
      </c>
      <c r="Q599" s="23" t="s">
        <v>24</v>
      </c>
      <c r="R599" s="23">
        <v>0</v>
      </c>
      <c r="S599" s="23">
        <v>23.43</v>
      </c>
      <c r="U599" s="47">
        <f>VLOOKUP(AU599,[1]expiry_dates!$B$2:$C$2894,2,FALSE)</f>
        <v>43951</v>
      </c>
      <c r="V599" s="23" t="s">
        <v>155</v>
      </c>
      <c r="W599" s="23" t="s">
        <v>23</v>
      </c>
      <c r="X599" s="49">
        <v>43942.604166666664</v>
      </c>
      <c r="Y599" s="23">
        <v>0.85</v>
      </c>
      <c r="Z599" s="23">
        <v>43942.635416666664</v>
      </c>
      <c r="AA599" s="23">
        <v>0.85</v>
      </c>
      <c r="AB599" s="23">
        <v>0</v>
      </c>
      <c r="AC599" s="23">
        <v>0</v>
      </c>
      <c r="AD599" s="23">
        <v>0</v>
      </c>
      <c r="AE599" s="23">
        <v>69305.88</v>
      </c>
      <c r="AF599" s="23">
        <v>58910</v>
      </c>
      <c r="AG599" s="23">
        <v>1780776.56</v>
      </c>
      <c r="AH599" s="23">
        <v>4</v>
      </c>
      <c r="AI599" s="23">
        <v>0</v>
      </c>
      <c r="AJ599" s="23">
        <v>-5.8799999999999998E-2</v>
      </c>
      <c r="AK599" s="23">
        <v>5.8799999999999998E-2</v>
      </c>
      <c r="AL599" s="23" t="s">
        <v>24</v>
      </c>
      <c r="AM599" s="23">
        <v>23.7</v>
      </c>
      <c r="AN599" s="23">
        <v>19381.349999999999</v>
      </c>
      <c r="AO599" s="23">
        <v>23.43</v>
      </c>
      <c r="AP599" s="23">
        <v>0</v>
      </c>
      <c r="AR599" s="46"/>
      <c r="AS599" s="44"/>
      <c r="AT599" s="45"/>
      <c r="AU599" s="2">
        <v>43942</v>
      </c>
      <c r="AV599" s="52">
        <v>0.10416666666666667</v>
      </c>
      <c r="AW599" s="2" t="s">
        <v>213</v>
      </c>
      <c r="AY599" s="3"/>
      <c r="BA599" s="3"/>
      <c r="BG599" s="3"/>
      <c r="BH599" s="3"/>
    </row>
    <row r="600" spans="1:60">
      <c r="A600" s="23" t="s">
        <v>22</v>
      </c>
      <c r="B600" s="23" t="s">
        <v>23</v>
      </c>
      <c r="C600" s="27">
        <v>43942.635416666664</v>
      </c>
      <c r="D600" s="23">
        <v>23.65</v>
      </c>
      <c r="E600" s="27">
        <v>43943.458333333336</v>
      </c>
      <c r="F600" s="23">
        <v>23.8</v>
      </c>
      <c r="G600" s="31">
        <v>6.3E-3</v>
      </c>
      <c r="H600" s="23">
        <v>-318.60000000000002</v>
      </c>
      <c r="I600" s="31">
        <v>-6.3E-3</v>
      </c>
      <c r="J600" s="23">
        <v>2123.9859999999999</v>
      </c>
      <c r="K600" s="23">
        <v>50232.27</v>
      </c>
      <c r="L600" s="23">
        <v>45817.26</v>
      </c>
      <c r="M600" s="23">
        <v>12</v>
      </c>
      <c r="N600" s="23">
        <v>-26.55</v>
      </c>
      <c r="O600" s="31">
        <v>-8.5000000000000006E-3</v>
      </c>
      <c r="P600" s="31">
        <v>3.5900000000000001E-2</v>
      </c>
      <c r="Q600" s="23" t="s">
        <v>24</v>
      </c>
      <c r="R600" s="23">
        <v>0</v>
      </c>
      <c r="S600" s="23">
        <v>24.2</v>
      </c>
      <c r="U600" s="47">
        <f>VLOOKUP(AU600,[1]expiry_dates!$B$2:$C$2894,2,FALSE)</f>
        <v>43951</v>
      </c>
      <c r="V600" s="23" t="s">
        <v>167</v>
      </c>
      <c r="W600" s="23" t="s">
        <v>23</v>
      </c>
      <c r="X600" s="49">
        <v>43942.635416666664</v>
      </c>
      <c r="Y600" s="23">
        <v>1.9</v>
      </c>
      <c r="Z600" s="23">
        <v>43943.458333333336</v>
      </c>
      <c r="AA600" s="23">
        <v>1.9</v>
      </c>
      <c r="AB600" s="23">
        <v>0</v>
      </c>
      <c r="AC600" s="23">
        <v>0</v>
      </c>
      <c r="AD600" s="23">
        <v>0</v>
      </c>
      <c r="AE600" s="23">
        <v>31002.04</v>
      </c>
      <c r="AF600" s="23">
        <v>58903.88</v>
      </c>
      <c r="AG600" s="23">
        <v>1780776.56</v>
      </c>
      <c r="AH600" s="23">
        <v>12</v>
      </c>
      <c r="AI600" s="23">
        <v>0</v>
      </c>
      <c r="AJ600" s="23">
        <v>0</v>
      </c>
      <c r="AK600" s="23">
        <v>0.31580000000000003</v>
      </c>
      <c r="AL600" s="23" t="s">
        <v>24</v>
      </c>
      <c r="AM600" s="23">
        <v>23.65</v>
      </c>
      <c r="AN600" s="23">
        <v>19354.25</v>
      </c>
      <c r="AO600" s="23">
        <v>24.2</v>
      </c>
      <c r="AP600" s="23">
        <v>0</v>
      </c>
      <c r="AR600" s="46"/>
      <c r="AS600" s="44"/>
      <c r="AT600" s="45"/>
      <c r="AU600" s="2">
        <v>43942</v>
      </c>
      <c r="AV600" s="52">
        <v>0.13541666666666666</v>
      </c>
      <c r="AW600" s="2" t="s">
        <v>213</v>
      </c>
      <c r="AY600" s="3"/>
      <c r="BA600" s="3"/>
      <c r="BG600" s="3"/>
      <c r="BH600" s="3"/>
    </row>
    <row r="601" spans="1:60">
      <c r="A601" s="23" t="s">
        <v>22</v>
      </c>
      <c r="B601" s="23" t="s">
        <v>25</v>
      </c>
      <c r="C601" s="27">
        <v>43943.458333333336</v>
      </c>
      <c r="D601" s="23">
        <v>23.8</v>
      </c>
      <c r="E601" s="27">
        <v>43944.541666666664</v>
      </c>
      <c r="F601" s="23">
        <v>24.25</v>
      </c>
      <c r="G601" s="31">
        <v>1.89E-2</v>
      </c>
      <c r="H601" s="23">
        <v>949.74</v>
      </c>
      <c r="I601" s="31">
        <v>1.89E-2</v>
      </c>
      <c r="J601" s="23">
        <v>2110.5329999999999</v>
      </c>
      <c r="K601" s="23">
        <v>50230.68</v>
      </c>
      <c r="L601" s="23">
        <v>46767</v>
      </c>
      <c r="M601" s="23">
        <v>37</v>
      </c>
      <c r="N601" s="23">
        <v>25.67</v>
      </c>
      <c r="O601" s="31">
        <v>-1.89E-2</v>
      </c>
      <c r="P601" s="31">
        <v>3.9899999999999998E-2</v>
      </c>
      <c r="Q601" s="23" t="s">
        <v>24</v>
      </c>
      <c r="R601" s="23">
        <v>0</v>
      </c>
      <c r="S601" s="23">
        <v>22.84</v>
      </c>
      <c r="U601" s="47">
        <f>VLOOKUP(AU601,[1]expiry_dates!$B$2:$C$2894,2,FALSE)</f>
        <v>43951</v>
      </c>
      <c r="V601" s="23" t="s">
        <v>157</v>
      </c>
      <c r="W601" s="23" t="s">
        <v>23</v>
      </c>
      <c r="X601" s="49">
        <v>43943.458333333336</v>
      </c>
      <c r="Y601" s="23">
        <v>0.5</v>
      </c>
      <c r="Z601" s="23">
        <v>43944.541666666664</v>
      </c>
      <c r="AA601" s="23">
        <v>0.25</v>
      </c>
      <c r="AB601" s="23">
        <v>-0.5</v>
      </c>
      <c r="AC601" s="23">
        <v>29459.69</v>
      </c>
      <c r="AD601" s="23">
        <v>0.5</v>
      </c>
      <c r="AE601" s="23">
        <v>117838.8</v>
      </c>
      <c r="AF601" s="23">
        <v>58919.38</v>
      </c>
      <c r="AG601" s="23">
        <v>1810236.25</v>
      </c>
      <c r="AH601" s="23">
        <v>37</v>
      </c>
      <c r="AI601" s="23">
        <v>796.21</v>
      </c>
      <c r="AJ601" s="23">
        <v>-0.1</v>
      </c>
      <c r="AK601" s="23">
        <v>0.5</v>
      </c>
      <c r="AL601" s="23" t="s">
        <v>24</v>
      </c>
      <c r="AM601" s="23">
        <v>23.8</v>
      </c>
      <c r="AN601" s="23">
        <v>19550.849999999999</v>
      </c>
      <c r="AO601" s="23">
        <v>22.84</v>
      </c>
      <c r="AP601" s="23">
        <v>0</v>
      </c>
      <c r="AR601" s="46"/>
      <c r="AS601" s="44"/>
      <c r="AT601" s="45"/>
      <c r="AU601" s="2">
        <v>43943</v>
      </c>
      <c r="AV601" s="52">
        <v>0.45833333333333331</v>
      </c>
      <c r="AW601" s="2" t="s">
        <v>212</v>
      </c>
      <c r="AY601" s="3"/>
      <c r="BA601" s="3"/>
      <c r="BG601" s="3"/>
      <c r="BH601" s="3"/>
    </row>
    <row r="602" spans="1:60">
      <c r="A602" s="23" t="s">
        <v>22</v>
      </c>
      <c r="B602" s="23" t="s">
        <v>23</v>
      </c>
      <c r="C602" s="27">
        <v>43944.541666666664</v>
      </c>
      <c r="D602" s="23">
        <v>24.25</v>
      </c>
      <c r="E602" s="27">
        <v>43948.510416666664</v>
      </c>
      <c r="F602" s="23">
        <v>22.2</v>
      </c>
      <c r="G602" s="31">
        <v>-8.4500000000000006E-2</v>
      </c>
      <c r="H602" s="23">
        <v>4246.75</v>
      </c>
      <c r="I602" s="31">
        <v>8.4500000000000006E-2</v>
      </c>
      <c r="J602" s="23">
        <v>2071.585</v>
      </c>
      <c r="K602" s="23">
        <v>50235.95</v>
      </c>
      <c r="L602" s="23">
        <v>51013.75</v>
      </c>
      <c r="M602" s="23">
        <v>54</v>
      </c>
      <c r="N602" s="23">
        <v>78.64</v>
      </c>
      <c r="O602" s="31">
        <v>-6.1999999999999998E-3</v>
      </c>
      <c r="P602" s="31">
        <v>0.10100000000000001</v>
      </c>
      <c r="Q602" s="23" t="s">
        <v>24</v>
      </c>
      <c r="R602" s="23">
        <v>0</v>
      </c>
      <c r="S602" s="23">
        <v>24.73</v>
      </c>
      <c r="U602" s="47">
        <f>VLOOKUP(AU602,[1]expiry_dates!$B$2:$C$2894,2,FALSE)</f>
        <v>43951</v>
      </c>
      <c r="V602" s="23" t="s">
        <v>165</v>
      </c>
      <c r="W602" s="23" t="s">
        <v>23</v>
      </c>
      <c r="X602" s="49">
        <v>43944.541666666664</v>
      </c>
      <c r="Y602" s="23">
        <v>1</v>
      </c>
      <c r="Z602" s="23">
        <v>43948.510416666664</v>
      </c>
      <c r="AA602" s="23">
        <v>0.2</v>
      </c>
      <c r="AB602" s="23">
        <v>-0.8</v>
      </c>
      <c r="AC602" s="23">
        <v>47240.94</v>
      </c>
      <c r="AD602" s="23">
        <v>0.8</v>
      </c>
      <c r="AE602" s="23">
        <v>59051.18</v>
      </c>
      <c r="AF602" s="23">
        <v>59051.18</v>
      </c>
      <c r="AG602" s="23">
        <v>1857477.19</v>
      </c>
      <c r="AH602" s="23">
        <v>54</v>
      </c>
      <c r="AI602" s="23">
        <v>874.83</v>
      </c>
      <c r="AJ602" s="23">
        <v>-0.1</v>
      </c>
      <c r="AK602" s="23">
        <v>0.8</v>
      </c>
      <c r="AL602" s="23" t="s">
        <v>24</v>
      </c>
      <c r="AM602" s="23">
        <v>24.25</v>
      </c>
      <c r="AN602" s="23">
        <v>20128.55</v>
      </c>
      <c r="AO602" s="23">
        <v>24.73</v>
      </c>
      <c r="AP602" s="23">
        <v>0</v>
      </c>
      <c r="AR602" s="46"/>
      <c r="AS602" s="44"/>
      <c r="AT602" s="45"/>
      <c r="AU602" s="2">
        <v>43944</v>
      </c>
      <c r="AV602" s="52">
        <v>4.1666666666666664E-2</v>
      </c>
      <c r="AW602" s="2" t="s">
        <v>213</v>
      </c>
      <c r="AY602" s="3"/>
      <c r="BA602" s="3"/>
      <c r="BG602" s="3"/>
      <c r="BH602" s="3"/>
    </row>
    <row r="603" spans="1:60">
      <c r="A603" s="23" t="s">
        <v>22</v>
      </c>
      <c r="B603" s="23" t="s">
        <v>25</v>
      </c>
      <c r="C603" s="27">
        <v>43948.510416666664</v>
      </c>
      <c r="D603" s="23">
        <v>22.2</v>
      </c>
      <c r="E603" s="27">
        <v>43948.635416666664</v>
      </c>
      <c r="F603" s="23">
        <v>22.15</v>
      </c>
      <c r="G603" s="31">
        <v>-2.3E-3</v>
      </c>
      <c r="H603" s="23">
        <v>-113.19</v>
      </c>
      <c r="I603" s="31">
        <v>-2.3E-3</v>
      </c>
      <c r="J603" s="23">
        <v>2263.8119999999999</v>
      </c>
      <c r="K603" s="23">
        <v>50256.62</v>
      </c>
      <c r="L603" s="23">
        <v>50900.56</v>
      </c>
      <c r="M603" s="23">
        <v>13</v>
      </c>
      <c r="N603" s="23">
        <v>-8.7100000000000009</v>
      </c>
      <c r="O603" s="31">
        <v>-8.9999999999999993E-3</v>
      </c>
      <c r="P603" s="31">
        <v>8.9999999999999993E-3</v>
      </c>
      <c r="Q603" s="23" t="s">
        <v>24</v>
      </c>
      <c r="R603" s="23">
        <v>0</v>
      </c>
      <c r="S603" s="23">
        <v>21.8</v>
      </c>
      <c r="U603" s="47">
        <f>VLOOKUP(AU603,[1]expiry_dates!$B$2:$C$2894,2,FALSE)</f>
        <v>43951</v>
      </c>
      <c r="V603" s="23" t="s">
        <v>155</v>
      </c>
      <c r="W603" s="23" t="s">
        <v>23</v>
      </c>
      <c r="X603" s="49">
        <v>43948.510416666664</v>
      </c>
      <c r="Y603" s="23">
        <v>0.8</v>
      </c>
      <c r="Z603" s="23">
        <v>43948.635416666664</v>
      </c>
      <c r="AA603" s="23">
        <v>0.6</v>
      </c>
      <c r="AB603" s="23">
        <v>-0.25</v>
      </c>
      <c r="AC603" s="23">
        <v>14821.85</v>
      </c>
      <c r="AD603" s="23">
        <v>0.25</v>
      </c>
      <c r="AE603" s="23">
        <v>74109.23</v>
      </c>
      <c r="AF603" s="23">
        <v>59287.39</v>
      </c>
      <c r="AG603" s="23">
        <v>1872299.04</v>
      </c>
      <c r="AH603" s="23">
        <v>13</v>
      </c>
      <c r="AI603" s="23">
        <v>1140.1400000000001</v>
      </c>
      <c r="AJ603" s="23">
        <v>0</v>
      </c>
      <c r="AK603" s="23">
        <v>0.25</v>
      </c>
      <c r="AL603" s="23" t="s">
        <v>24</v>
      </c>
      <c r="AM603" s="23">
        <v>22.2</v>
      </c>
      <c r="AN603" s="23">
        <v>20150.95</v>
      </c>
      <c r="AO603" s="23">
        <v>21.8</v>
      </c>
      <c r="AP603" s="23">
        <v>0</v>
      </c>
      <c r="AR603" s="46"/>
      <c r="AS603" s="44"/>
      <c r="AT603" s="45"/>
      <c r="AU603" s="2">
        <v>43948</v>
      </c>
      <c r="AV603" s="52">
        <v>0.51041666666666663</v>
      </c>
      <c r="AW603" s="2" t="s">
        <v>213</v>
      </c>
      <c r="AY603" s="3"/>
      <c r="BA603" s="3"/>
      <c r="BG603" s="3"/>
      <c r="BH603" s="3"/>
    </row>
    <row r="604" spans="1:60">
      <c r="A604" s="23" t="s">
        <v>22</v>
      </c>
      <c r="B604" s="23" t="s">
        <v>23</v>
      </c>
      <c r="C604" s="27">
        <v>43948.635416666664</v>
      </c>
      <c r="D604" s="23">
        <v>22.15</v>
      </c>
      <c r="E604" s="27">
        <v>43949.385416666664</v>
      </c>
      <c r="F604" s="23">
        <v>22.6</v>
      </c>
      <c r="G604" s="31">
        <v>2.0299999999999999E-2</v>
      </c>
      <c r="H604" s="23">
        <v>-1020.96</v>
      </c>
      <c r="I604" s="31">
        <v>-2.0299999999999999E-2</v>
      </c>
      <c r="J604" s="23">
        <v>2268.8009999999999</v>
      </c>
      <c r="K604" s="23">
        <v>50253.94</v>
      </c>
      <c r="L604" s="23">
        <v>49879.6</v>
      </c>
      <c r="M604" s="23">
        <v>5</v>
      </c>
      <c r="N604" s="23">
        <v>-204.19</v>
      </c>
      <c r="O604" s="31">
        <v>-2.0299999999999999E-2</v>
      </c>
      <c r="P604" s="31">
        <v>4.4999999999999997E-3</v>
      </c>
      <c r="Q604" s="23" t="s">
        <v>24</v>
      </c>
      <c r="R604" s="23">
        <v>0</v>
      </c>
      <c r="S604" s="23">
        <v>22.39</v>
      </c>
      <c r="U604" s="47">
        <f>VLOOKUP(AU604,[1]expiry_dates!$B$2:$C$2894,2,FALSE)</f>
        <v>43951</v>
      </c>
      <c r="V604" s="23" t="s">
        <v>167</v>
      </c>
      <c r="W604" s="23" t="s">
        <v>23</v>
      </c>
      <c r="X604" s="49">
        <v>43948.635416666664</v>
      </c>
      <c r="Y604" s="23">
        <v>0.5</v>
      </c>
      <c r="Z604" s="23">
        <v>43949.385416666664</v>
      </c>
      <c r="AA604" s="23">
        <v>0.55000000000000004</v>
      </c>
      <c r="AB604" s="23">
        <v>0.1</v>
      </c>
      <c r="AC604" s="23">
        <v>-5934.3</v>
      </c>
      <c r="AD604" s="23">
        <v>-0.1</v>
      </c>
      <c r="AE604" s="23">
        <v>118685.9</v>
      </c>
      <c r="AF604" s="23">
        <v>59342.97</v>
      </c>
      <c r="AG604" s="23">
        <v>1866364.74</v>
      </c>
      <c r="AH604" s="23">
        <v>5</v>
      </c>
      <c r="AI604" s="23">
        <v>-1186.8599999999999</v>
      </c>
      <c r="AJ604" s="23">
        <v>-0.1</v>
      </c>
      <c r="AK604" s="23">
        <v>0.1</v>
      </c>
      <c r="AL604" s="23" t="s">
        <v>24</v>
      </c>
      <c r="AM604" s="23">
        <v>22.15</v>
      </c>
      <c r="AN604" s="23">
        <v>20080.8</v>
      </c>
      <c r="AO604" s="23">
        <v>22.39</v>
      </c>
      <c r="AP604" s="23">
        <v>0</v>
      </c>
      <c r="AR604" s="46"/>
      <c r="AS604" s="44"/>
      <c r="AT604" s="45"/>
      <c r="AU604" s="2">
        <v>43948</v>
      </c>
      <c r="AV604" s="52">
        <v>0.13541666666666666</v>
      </c>
      <c r="AW604" s="2" t="s">
        <v>213</v>
      </c>
      <c r="AY604" s="3"/>
      <c r="BA604" s="3"/>
      <c r="BG604" s="3"/>
      <c r="BH604" s="3"/>
    </row>
    <row r="605" spans="1:60">
      <c r="A605" s="23" t="s">
        <v>22</v>
      </c>
      <c r="B605" s="23" t="s">
        <v>25</v>
      </c>
      <c r="C605" s="27">
        <v>43949.385416666664</v>
      </c>
      <c r="D605" s="23">
        <v>22.6</v>
      </c>
      <c r="E605" s="27">
        <v>43949.395833333336</v>
      </c>
      <c r="F605" s="23">
        <v>22.1</v>
      </c>
      <c r="G605" s="31">
        <v>-2.2100000000000002E-2</v>
      </c>
      <c r="H605" s="23">
        <v>-1111.75</v>
      </c>
      <c r="I605" s="31">
        <v>-2.2100000000000002E-2</v>
      </c>
      <c r="J605" s="23">
        <v>2223.5</v>
      </c>
      <c r="K605" s="23">
        <v>50251.1</v>
      </c>
      <c r="L605" s="23">
        <v>48767.85</v>
      </c>
      <c r="M605" s="23">
        <v>2</v>
      </c>
      <c r="N605" s="23">
        <v>-555.88</v>
      </c>
      <c r="O605" s="31">
        <v>-2.2100000000000002E-2</v>
      </c>
      <c r="P605" s="31">
        <v>4.4000000000000003E-3</v>
      </c>
      <c r="Q605" s="23" t="s">
        <v>24</v>
      </c>
      <c r="R605" s="23">
        <v>0</v>
      </c>
      <c r="S605" s="23">
        <v>22.08</v>
      </c>
      <c r="U605" s="47">
        <f>VLOOKUP(AU605,[1]expiry_dates!$B$2:$C$2894,2,FALSE)</f>
        <v>43951</v>
      </c>
      <c r="V605" s="23" t="s">
        <v>168</v>
      </c>
      <c r="W605" s="23" t="s">
        <v>23</v>
      </c>
      <c r="X605" s="49">
        <v>43949.385416666664</v>
      </c>
      <c r="Y605" s="23">
        <v>0.95</v>
      </c>
      <c r="Z605" s="23">
        <v>43949.395833333336</v>
      </c>
      <c r="AA605" s="23">
        <v>0.95</v>
      </c>
      <c r="AB605" s="23">
        <v>0</v>
      </c>
      <c r="AC605" s="23">
        <v>0</v>
      </c>
      <c r="AD605" s="23">
        <v>0</v>
      </c>
      <c r="AE605" s="23">
        <v>62485.79</v>
      </c>
      <c r="AF605" s="23">
        <v>59361.5</v>
      </c>
      <c r="AG605" s="23">
        <v>1866364.74</v>
      </c>
      <c r="AH605" s="23">
        <v>2</v>
      </c>
      <c r="AI605" s="23">
        <v>0</v>
      </c>
      <c r="AJ605" s="23">
        <v>0</v>
      </c>
      <c r="AK605" s="23">
        <v>0</v>
      </c>
      <c r="AL605" s="23" t="s">
        <v>24</v>
      </c>
      <c r="AM605" s="23">
        <v>22.6</v>
      </c>
      <c r="AN605" s="23">
        <v>20527.849999999999</v>
      </c>
      <c r="AO605" s="23">
        <v>22.08</v>
      </c>
      <c r="AP605" s="23">
        <v>0</v>
      </c>
      <c r="AR605" s="46"/>
      <c r="AS605" s="44"/>
      <c r="AT605" s="45"/>
      <c r="AU605" s="2">
        <v>43949</v>
      </c>
      <c r="AV605" s="52">
        <v>0.38541666666666669</v>
      </c>
      <c r="AW605" s="2" t="s">
        <v>212</v>
      </c>
      <c r="AY605" s="3"/>
      <c r="BA605" s="3"/>
      <c r="BG605" s="3"/>
      <c r="BH605" s="3"/>
    </row>
    <row r="606" spans="1:60">
      <c r="A606" s="23" t="s">
        <v>22</v>
      </c>
      <c r="B606" s="23" t="s">
        <v>23</v>
      </c>
      <c r="C606" s="27">
        <v>43949.395833333336</v>
      </c>
      <c r="D606" s="23">
        <v>22.1</v>
      </c>
      <c r="E606" s="27">
        <v>43949.552083333336</v>
      </c>
      <c r="F606" s="23">
        <v>22.2</v>
      </c>
      <c r="G606" s="31">
        <v>4.4999999999999997E-3</v>
      </c>
      <c r="H606" s="23">
        <v>-227.37</v>
      </c>
      <c r="I606" s="31">
        <v>-4.4999999999999997E-3</v>
      </c>
      <c r="J606" s="23">
        <v>2273.7280000000001</v>
      </c>
      <c r="K606" s="23">
        <v>50249.39</v>
      </c>
      <c r="L606" s="23">
        <v>48540.47</v>
      </c>
      <c r="M606" s="23">
        <v>16</v>
      </c>
      <c r="N606" s="23">
        <v>-14.21</v>
      </c>
      <c r="O606" s="31">
        <v>-2.2599999999999999E-2</v>
      </c>
      <c r="P606" s="31">
        <v>8.9999999999999993E-3</v>
      </c>
      <c r="Q606" s="23" t="s">
        <v>24</v>
      </c>
      <c r="R606" s="23">
        <v>0</v>
      </c>
      <c r="S606" s="23">
        <v>22.7</v>
      </c>
      <c r="U606" s="47">
        <f>VLOOKUP(AU606,[1]expiry_dates!$B$2:$C$2894,2,FALSE)</f>
        <v>43951</v>
      </c>
      <c r="V606" s="23" t="s">
        <v>156</v>
      </c>
      <c r="W606" s="23" t="s">
        <v>23</v>
      </c>
      <c r="X606" s="49">
        <v>43949.395833333336</v>
      </c>
      <c r="Y606" s="23">
        <v>0.85</v>
      </c>
      <c r="Z606" s="23">
        <v>43949.552083333336</v>
      </c>
      <c r="AA606" s="23">
        <v>0.75</v>
      </c>
      <c r="AB606" s="23">
        <v>-0.1176</v>
      </c>
      <c r="AC606" s="23">
        <v>6980.21</v>
      </c>
      <c r="AD606" s="23">
        <v>0.1176</v>
      </c>
      <c r="AE606" s="23">
        <v>69802.14</v>
      </c>
      <c r="AF606" s="23">
        <v>59331.82</v>
      </c>
      <c r="AG606" s="23">
        <v>1873344.95</v>
      </c>
      <c r="AH606" s="23">
        <v>16</v>
      </c>
      <c r="AI606" s="23">
        <v>436.26</v>
      </c>
      <c r="AJ606" s="23">
        <v>-0.4118</v>
      </c>
      <c r="AK606" s="23">
        <v>0.29409999999999997</v>
      </c>
      <c r="AL606" s="23" t="s">
        <v>24</v>
      </c>
      <c r="AM606" s="23">
        <v>22.1</v>
      </c>
      <c r="AN606" s="23">
        <v>20427.400000000001</v>
      </c>
      <c r="AO606" s="23">
        <v>22.7</v>
      </c>
      <c r="AP606" s="23">
        <v>0</v>
      </c>
      <c r="AR606" s="46"/>
      <c r="AS606" s="44"/>
      <c r="AT606" s="45"/>
      <c r="AU606" s="2">
        <v>43949</v>
      </c>
      <c r="AV606" s="52">
        <v>0.39583333333333331</v>
      </c>
      <c r="AW606" s="2" t="s">
        <v>212</v>
      </c>
      <c r="AY606" s="3"/>
      <c r="BA606" s="3"/>
      <c r="BG606" s="3"/>
      <c r="BH606" s="3"/>
    </row>
    <row r="607" spans="1:60">
      <c r="A607" s="23" t="s">
        <v>22</v>
      </c>
      <c r="B607" s="23" t="s">
        <v>25</v>
      </c>
      <c r="C607" s="27">
        <v>43949.552083333336</v>
      </c>
      <c r="D607" s="23">
        <v>22.2</v>
      </c>
      <c r="E607" s="27">
        <v>43949.583333333336</v>
      </c>
      <c r="F607" s="23">
        <v>22.05</v>
      </c>
      <c r="G607" s="31">
        <v>-6.7999999999999996E-3</v>
      </c>
      <c r="H607" s="23">
        <v>-339.49</v>
      </c>
      <c r="I607" s="31">
        <v>-6.7999999999999996E-3</v>
      </c>
      <c r="J607" s="23">
        <v>2263.261</v>
      </c>
      <c r="K607" s="23">
        <v>50244.41</v>
      </c>
      <c r="L607" s="23">
        <v>48200.98</v>
      </c>
      <c r="M607" s="23">
        <v>4</v>
      </c>
      <c r="N607" s="23">
        <v>-84.87</v>
      </c>
      <c r="O607" s="31">
        <v>-1.1299999999999999E-2</v>
      </c>
      <c r="P607" s="31">
        <v>2.3E-3</v>
      </c>
      <c r="Q607" s="23" t="s">
        <v>24</v>
      </c>
      <c r="R607" s="23">
        <v>0</v>
      </c>
      <c r="S607" s="23">
        <v>21.91</v>
      </c>
      <c r="U607" s="47">
        <f>VLOOKUP(AU607,[1]expiry_dates!$B$2:$C$2894,2,FALSE)</f>
        <v>43951</v>
      </c>
      <c r="V607" s="23" t="s">
        <v>164</v>
      </c>
      <c r="W607" s="23" t="s">
        <v>23</v>
      </c>
      <c r="X607" s="49">
        <v>43949.552083333336</v>
      </c>
      <c r="Y607" s="23">
        <v>0.1</v>
      </c>
      <c r="Z607" s="23">
        <v>43949.583333333336</v>
      </c>
      <c r="AA607" s="23">
        <v>0.1</v>
      </c>
      <c r="AB607" s="23">
        <v>0</v>
      </c>
      <c r="AC607" s="23">
        <v>0</v>
      </c>
      <c r="AD607" s="23">
        <v>0</v>
      </c>
      <c r="AE607" s="23">
        <v>594016.30000000005</v>
      </c>
      <c r="AF607" s="23">
        <v>59401.63</v>
      </c>
      <c r="AG607" s="23">
        <v>1873344.95</v>
      </c>
      <c r="AH607" s="23">
        <v>4</v>
      </c>
      <c r="AI607" s="23">
        <v>0</v>
      </c>
      <c r="AJ607" s="23">
        <v>0</v>
      </c>
      <c r="AK607" s="23">
        <v>0</v>
      </c>
      <c r="AL607" s="23" t="s">
        <v>24</v>
      </c>
      <c r="AM607" s="23">
        <v>22.2</v>
      </c>
      <c r="AN607" s="23">
        <v>20595.2</v>
      </c>
      <c r="AO607" s="23">
        <v>21.91</v>
      </c>
      <c r="AP607" s="23">
        <v>0</v>
      </c>
      <c r="AR607" s="46"/>
      <c r="AS607" s="44"/>
      <c r="AT607" s="45"/>
      <c r="AU607" s="2">
        <v>43949</v>
      </c>
      <c r="AV607" s="52">
        <v>5.2083333333333336E-2</v>
      </c>
      <c r="AW607" s="2" t="s">
        <v>213</v>
      </c>
      <c r="AY607" s="3"/>
      <c r="BA607" s="3"/>
      <c r="BG607" s="3"/>
      <c r="BH607" s="3"/>
    </row>
    <row r="608" spans="1:60">
      <c r="A608" s="23" t="s">
        <v>22</v>
      </c>
      <c r="B608" s="23" t="s">
        <v>23</v>
      </c>
      <c r="C608" s="27">
        <v>43949.583333333336</v>
      </c>
      <c r="D608" s="23">
        <v>22.05</v>
      </c>
      <c r="E608" s="27">
        <v>43949.635416666664</v>
      </c>
      <c r="F608" s="23">
        <v>22.3</v>
      </c>
      <c r="G608" s="31">
        <v>1.1299999999999999E-2</v>
      </c>
      <c r="H608" s="23">
        <v>-569.62</v>
      </c>
      <c r="I608" s="31">
        <v>-1.1299999999999999E-2</v>
      </c>
      <c r="J608" s="23">
        <v>2278.4780000000001</v>
      </c>
      <c r="K608" s="23">
        <v>50240.44</v>
      </c>
      <c r="L608" s="23">
        <v>47631.37</v>
      </c>
      <c r="M608" s="23">
        <v>6</v>
      </c>
      <c r="N608" s="23">
        <v>-94.94</v>
      </c>
      <c r="O608" s="31">
        <v>-1.1299999999999999E-2</v>
      </c>
      <c r="P608" s="31">
        <v>4.4999999999999997E-3</v>
      </c>
      <c r="Q608" s="23" t="s">
        <v>24</v>
      </c>
      <c r="R608" s="23">
        <v>0</v>
      </c>
      <c r="S608" s="23">
        <v>22.24</v>
      </c>
      <c r="U608" s="47">
        <f>VLOOKUP(AU608,[1]expiry_dates!$B$2:$C$2894,2,FALSE)</f>
        <v>43951</v>
      </c>
      <c r="V608" s="23" t="s">
        <v>156</v>
      </c>
      <c r="W608" s="23" t="s">
        <v>23</v>
      </c>
      <c r="X608" s="49">
        <v>43949.583333333336</v>
      </c>
      <c r="Y608" s="23">
        <v>0.65</v>
      </c>
      <c r="Z608" s="23">
        <v>43949.635416666664</v>
      </c>
      <c r="AA608" s="23">
        <v>0.8</v>
      </c>
      <c r="AB608" s="23">
        <v>0.23080000000000001</v>
      </c>
      <c r="AC608" s="23">
        <v>-13700.01</v>
      </c>
      <c r="AD608" s="23">
        <v>-0.23080000000000001</v>
      </c>
      <c r="AE608" s="23">
        <v>91333.43</v>
      </c>
      <c r="AF608" s="23">
        <v>59366.73</v>
      </c>
      <c r="AG608" s="23">
        <v>1859644.94</v>
      </c>
      <c r="AH608" s="23">
        <v>6</v>
      </c>
      <c r="AI608" s="23">
        <v>-2283.34</v>
      </c>
      <c r="AJ608" s="23">
        <v>-0.23080000000000001</v>
      </c>
      <c r="AK608" s="23">
        <v>7.6899999999999996E-2</v>
      </c>
      <c r="AL608" s="23" t="s">
        <v>24</v>
      </c>
      <c r="AM608" s="23">
        <v>22.05</v>
      </c>
      <c r="AN608" s="23">
        <v>20623.7</v>
      </c>
      <c r="AO608" s="23">
        <v>22.24</v>
      </c>
      <c r="AP608" s="23">
        <v>0</v>
      </c>
      <c r="AR608" s="46"/>
      <c r="AS608" s="44"/>
      <c r="AT608" s="45"/>
      <c r="AU608" s="2">
        <v>43949</v>
      </c>
      <c r="AV608" s="52">
        <v>8.3333333333333329E-2</v>
      </c>
      <c r="AW608" s="2" t="s">
        <v>213</v>
      </c>
      <c r="AY608" s="3"/>
      <c r="BA608" s="3"/>
      <c r="BG608" s="3"/>
      <c r="BH608" s="3"/>
    </row>
    <row r="609" spans="1:60">
      <c r="A609" s="23" t="s">
        <v>22</v>
      </c>
      <c r="B609" s="23" t="s">
        <v>25</v>
      </c>
      <c r="C609" s="27">
        <v>43949.635416666664</v>
      </c>
      <c r="D609" s="23">
        <v>22.3</v>
      </c>
      <c r="E609" s="27">
        <v>43950.4375</v>
      </c>
      <c r="F609" s="23">
        <v>22.15</v>
      </c>
      <c r="G609" s="31">
        <v>-6.7000000000000002E-3</v>
      </c>
      <c r="H609" s="23">
        <v>-337.93</v>
      </c>
      <c r="I609" s="31">
        <v>-6.7000000000000002E-3</v>
      </c>
      <c r="J609" s="23">
        <v>2252.8580000000002</v>
      </c>
      <c r="K609" s="23">
        <v>50238.720000000001</v>
      </c>
      <c r="L609" s="23">
        <v>47293.440000000002</v>
      </c>
      <c r="M609" s="23">
        <v>10</v>
      </c>
      <c r="N609" s="23">
        <v>-33.79</v>
      </c>
      <c r="O609" s="31">
        <v>-6.7000000000000002E-3</v>
      </c>
      <c r="P609" s="31">
        <v>1.35E-2</v>
      </c>
      <c r="Q609" s="23" t="s">
        <v>24</v>
      </c>
      <c r="R609" s="23">
        <v>0</v>
      </c>
      <c r="S609" s="23">
        <v>21.97</v>
      </c>
      <c r="U609" s="47">
        <f>VLOOKUP(AU609,[1]expiry_dates!$B$2:$C$2894,2,FALSE)</f>
        <v>43951</v>
      </c>
      <c r="V609" s="23" t="s">
        <v>155</v>
      </c>
      <c r="W609" s="23" t="s">
        <v>23</v>
      </c>
      <c r="X609" s="49">
        <v>43949.635416666664</v>
      </c>
      <c r="Y609" s="23">
        <v>0.4</v>
      </c>
      <c r="Z609" s="23">
        <v>43950.4375</v>
      </c>
      <c r="AA609" s="23">
        <v>0.4</v>
      </c>
      <c r="AB609" s="23">
        <v>0</v>
      </c>
      <c r="AC609" s="23">
        <v>0</v>
      </c>
      <c r="AD609" s="23">
        <v>0</v>
      </c>
      <c r="AE609" s="23">
        <v>148416.79999999999</v>
      </c>
      <c r="AF609" s="23">
        <v>59366.73</v>
      </c>
      <c r="AG609" s="23">
        <v>1859644.94</v>
      </c>
      <c r="AH609" s="23">
        <v>10</v>
      </c>
      <c r="AI609" s="23">
        <v>0</v>
      </c>
      <c r="AJ609" s="23">
        <v>0</v>
      </c>
      <c r="AK609" s="23">
        <v>0.125</v>
      </c>
      <c r="AL609" s="23" t="s">
        <v>24</v>
      </c>
      <c r="AM609" s="23">
        <v>22.3</v>
      </c>
      <c r="AN609" s="23">
        <v>20739</v>
      </c>
      <c r="AO609" s="23">
        <v>21.97</v>
      </c>
      <c r="AP609" s="23">
        <v>0</v>
      </c>
      <c r="AR609" s="46"/>
      <c r="AS609" s="44"/>
      <c r="AT609" s="45"/>
      <c r="AU609" s="2">
        <v>43949</v>
      </c>
      <c r="AV609" s="52">
        <v>0.13541666666666666</v>
      </c>
      <c r="AW609" s="2" t="s">
        <v>213</v>
      </c>
      <c r="AY609" s="3"/>
      <c r="BA609" s="3"/>
      <c r="BG609" s="3"/>
      <c r="BH609" s="3"/>
    </row>
    <row r="610" spans="1:60">
      <c r="A610" s="23" t="s">
        <v>22</v>
      </c>
      <c r="B610" s="23" t="s">
        <v>23</v>
      </c>
      <c r="C610" s="27">
        <v>43950.4375</v>
      </c>
      <c r="D610" s="23">
        <v>22.15</v>
      </c>
      <c r="E610" s="27">
        <v>43951.385416666664</v>
      </c>
      <c r="F610" s="23">
        <v>22.2</v>
      </c>
      <c r="G610" s="31">
        <v>2.3E-3</v>
      </c>
      <c r="H610" s="23">
        <v>-113.4</v>
      </c>
      <c r="I610" s="31">
        <v>-2.3E-3</v>
      </c>
      <c r="J610" s="23">
        <v>2268.0630000000001</v>
      </c>
      <c r="K610" s="23">
        <v>50237.59</v>
      </c>
      <c r="L610" s="23">
        <v>47180.03</v>
      </c>
      <c r="M610" s="23">
        <v>24</v>
      </c>
      <c r="N610" s="23">
        <v>-4.7300000000000004</v>
      </c>
      <c r="O610" s="31">
        <v>-1.1299999999999999E-2</v>
      </c>
      <c r="P610" s="31">
        <v>8.9999999999999993E-3</v>
      </c>
      <c r="Q610" s="23" t="s">
        <v>24</v>
      </c>
      <c r="R610" s="23">
        <v>0</v>
      </c>
      <c r="S610" s="23">
        <v>22.59</v>
      </c>
      <c r="U610" s="47">
        <f>VLOOKUP(AU610,[1]expiry_dates!$B$2:$C$2894,2,FALSE)</f>
        <v>43951</v>
      </c>
      <c r="V610" s="23" t="s">
        <v>156</v>
      </c>
      <c r="W610" s="23" t="s">
        <v>23</v>
      </c>
      <c r="X610" s="49">
        <v>43950.4375</v>
      </c>
      <c r="Y610" s="23">
        <v>0.7</v>
      </c>
      <c r="Z610" s="23">
        <v>43951.385416666664</v>
      </c>
      <c r="AA610" s="23">
        <v>0.4</v>
      </c>
      <c r="AB610" s="23">
        <v>-0.42859999999999998</v>
      </c>
      <c r="AC610" s="23">
        <v>25429.43</v>
      </c>
      <c r="AD610" s="23">
        <v>0.42859999999999998</v>
      </c>
      <c r="AE610" s="23">
        <v>84764.76</v>
      </c>
      <c r="AF610" s="23">
        <v>59335.33</v>
      </c>
      <c r="AG610" s="23">
        <v>1885074.37</v>
      </c>
      <c r="AH610" s="23">
        <v>24</v>
      </c>
      <c r="AI610" s="23">
        <v>1059.56</v>
      </c>
      <c r="AJ610" s="23">
        <v>0</v>
      </c>
      <c r="AK610" s="23">
        <v>0.42859999999999998</v>
      </c>
      <c r="AL610" s="23" t="s">
        <v>24</v>
      </c>
      <c r="AM610" s="23">
        <v>22.15</v>
      </c>
      <c r="AN610" s="23">
        <v>20663.650000000001</v>
      </c>
      <c r="AO610" s="23">
        <v>22.59</v>
      </c>
      <c r="AP610" s="23">
        <v>0</v>
      </c>
      <c r="AR610" s="46"/>
      <c r="AS610" s="44"/>
      <c r="AT610" s="45"/>
      <c r="AU610" s="2">
        <v>43950</v>
      </c>
      <c r="AV610" s="52">
        <v>0.4375</v>
      </c>
      <c r="AW610" s="2" t="s">
        <v>212</v>
      </c>
      <c r="AY610" s="3"/>
      <c r="BA610" s="3"/>
      <c r="BG610" s="3"/>
      <c r="BH610" s="3"/>
    </row>
    <row r="611" spans="1:60">
      <c r="A611" s="23" t="s">
        <v>22</v>
      </c>
      <c r="B611" s="23" t="s">
        <v>25</v>
      </c>
      <c r="C611" s="27">
        <v>43951.385416666664</v>
      </c>
      <c r="D611" s="23">
        <v>22.2</v>
      </c>
      <c r="E611" s="27">
        <v>43951.46875</v>
      </c>
      <c r="F611" s="23">
        <v>22.2</v>
      </c>
      <c r="G611" s="31">
        <v>0</v>
      </c>
      <c r="H611" s="23">
        <v>0</v>
      </c>
      <c r="I611" s="31">
        <v>0</v>
      </c>
      <c r="J611" s="23">
        <v>2262.7759999999998</v>
      </c>
      <c r="K611" s="23">
        <v>50233.63</v>
      </c>
      <c r="L611" s="23">
        <v>47180.03</v>
      </c>
      <c r="M611" s="23">
        <v>9</v>
      </c>
      <c r="N611" s="23">
        <v>0</v>
      </c>
      <c r="O611" s="31">
        <v>-8.9999999999999993E-3</v>
      </c>
      <c r="P611" s="31">
        <v>2.4799999999999999E-2</v>
      </c>
      <c r="Q611" s="23" t="s">
        <v>24</v>
      </c>
      <c r="R611" s="23">
        <v>0</v>
      </c>
      <c r="S611" s="23">
        <v>21.98</v>
      </c>
      <c r="U611" s="47">
        <f>VLOOKUP(AU611,[1]expiry_dates!$B$2:$C$2894,2,FALSE)</f>
        <v>43951</v>
      </c>
      <c r="V611" s="23" t="s">
        <v>164</v>
      </c>
      <c r="W611" s="23" t="s">
        <v>23</v>
      </c>
      <c r="X611" s="49">
        <v>43951.385416666664</v>
      </c>
      <c r="Y611" s="23">
        <v>0.05</v>
      </c>
      <c r="Z611" s="23">
        <v>43951.46875</v>
      </c>
      <c r="AA611" s="23">
        <v>0.05</v>
      </c>
      <c r="AB611" s="23">
        <v>0</v>
      </c>
      <c r="AC611" s="23">
        <v>0</v>
      </c>
      <c r="AD611" s="23">
        <v>0</v>
      </c>
      <c r="AE611" s="23">
        <v>1188507</v>
      </c>
      <c r="AF611" s="23">
        <v>59425.37</v>
      </c>
      <c r="AG611" s="23">
        <v>1885074.37</v>
      </c>
      <c r="AH611" s="23">
        <v>9</v>
      </c>
      <c r="AI611" s="23">
        <v>0</v>
      </c>
      <c r="AJ611" s="23">
        <v>0</v>
      </c>
      <c r="AK611" s="23">
        <v>0</v>
      </c>
      <c r="AL611" s="23" t="s">
        <v>24</v>
      </c>
      <c r="AM611" s="23">
        <v>22.2</v>
      </c>
      <c r="AN611" s="23">
        <v>21790.05</v>
      </c>
      <c r="AO611" s="23">
        <v>21.98</v>
      </c>
      <c r="AP611" s="23">
        <v>0</v>
      </c>
      <c r="AR611" s="46"/>
      <c r="AS611" s="44"/>
      <c r="AT611" s="45"/>
      <c r="AU611" s="2">
        <v>43951</v>
      </c>
      <c r="AV611" s="52">
        <v>0.38541666666666669</v>
      </c>
      <c r="AW611" s="2" t="s">
        <v>212</v>
      </c>
      <c r="AY611" s="3"/>
      <c r="BA611" s="3"/>
      <c r="BG611" s="3"/>
      <c r="BH611" s="3"/>
    </row>
    <row r="612" spans="1:60">
      <c r="A612" s="23" t="s">
        <v>22</v>
      </c>
      <c r="B612" s="23" t="s">
        <v>23</v>
      </c>
      <c r="C612" s="27">
        <v>43951.46875</v>
      </c>
      <c r="D612" s="23">
        <v>22.2</v>
      </c>
      <c r="E612" s="27">
        <v>43951.6875</v>
      </c>
      <c r="F612" s="23">
        <v>21.9</v>
      </c>
      <c r="G612" s="31">
        <v>-1.35E-2</v>
      </c>
      <c r="H612" s="23">
        <v>678.89</v>
      </c>
      <c r="I612" s="31">
        <v>1.35E-2</v>
      </c>
      <c r="J612" s="23">
        <v>2262.9549999999999</v>
      </c>
      <c r="K612" s="23">
        <v>50237.599999999999</v>
      </c>
      <c r="L612" s="23">
        <v>47858.92</v>
      </c>
      <c r="M612" s="23">
        <v>19</v>
      </c>
      <c r="N612" s="23">
        <v>35.729999999999997</v>
      </c>
      <c r="O612" s="31">
        <v>-6.7999999999999996E-3</v>
      </c>
      <c r="P612" s="31">
        <v>2.2499999999999999E-2</v>
      </c>
      <c r="Q612" s="23" t="s">
        <v>24</v>
      </c>
      <c r="R612" s="23">
        <v>0</v>
      </c>
      <c r="S612" s="23">
        <v>22.74</v>
      </c>
      <c r="U612" s="47">
        <f>VLOOKUP(AU612,[1]expiry_dates!$B$2:$C$2894,2,FALSE)</f>
        <v>43951</v>
      </c>
      <c r="V612" s="23" t="s">
        <v>167</v>
      </c>
      <c r="W612" s="23" t="s">
        <v>23</v>
      </c>
      <c r="X612" s="49">
        <v>43951.46875</v>
      </c>
      <c r="Y612" s="23">
        <v>0.15</v>
      </c>
      <c r="Z612" s="23">
        <v>43951.6875</v>
      </c>
      <c r="AA612" s="23">
        <v>0.05</v>
      </c>
      <c r="AB612" s="23">
        <v>-0.66669999999999996</v>
      </c>
      <c r="AC612" s="23">
        <v>39616.910000000003</v>
      </c>
      <c r="AD612" s="23">
        <v>0.66669999999999996</v>
      </c>
      <c r="AE612" s="23">
        <v>396169.1</v>
      </c>
      <c r="AF612" s="23">
        <v>59425.37</v>
      </c>
      <c r="AG612" s="23">
        <v>1924691.28</v>
      </c>
      <c r="AH612" s="23">
        <v>19</v>
      </c>
      <c r="AI612" s="23">
        <v>2085.1</v>
      </c>
      <c r="AJ612" s="23">
        <v>0</v>
      </c>
      <c r="AK612" s="23">
        <v>0.66669999999999996</v>
      </c>
      <c r="AL612" s="23" t="s">
        <v>24</v>
      </c>
      <c r="AM612" s="23">
        <v>22.2</v>
      </c>
      <c r="AN612" s="23">
        <v>21900.9</v>
      </c>
      <c r="AO612" s="23">
        <v>22.74</v>
      </c>
      <c r="AP612" s="23">
        <v>0</v>
      </c>
      <c r="AR612" s="46"/>
      <c r="AS612" s="44"/>
      <c r="AT612" s="45"/>
      <c r="AU612" s="2">
        <v>43951</v>
      </c>
      <c r="AV612" s="52">
        <v>0.46875</v>
      </c>
      <c r="AW612" s="2" t="s">
        <v>212</v>
      </c>
      <c r="AY612" s="3"/>
      <c r="BA612" s="3"/>
      <c r="BG612" s="3"/>
      <c r="BH612" s="3"/>
    </row>
    <row r="613" spans="1:60">
      <c r="A613" s="23" t="s">
        <v>22</v>
      </c>
      <c r="B613" s="23" t="s">
        <v>23</v>
      </c>
      <c r="C613" s="27">
        <v>43955.385416666664</v>
      </c>
      <c r="D613" s="23">
        <v>20.9</v>
      </c>
      <c r="E613" s="27">
        <v>43955.635416666664</v>
      </c>
      <c r="F613" s="23">
        <v>20.65</v>
      </c>
      <c r="G613" s="31">
        <v>-1.2E-2</v>
      </c>
      <c r="H613" s="23">
        <v>600.95000000000005</v>
      </c>
      <c r="I613" s="31">
        <v>1.2E-2</v>
      </c>
      <c r="J613" s="23">
        <v>2403.7939999999999</v>
      </c>
      <c r="K613" s="23">
        <v>50239.29</v>
      </c>
      <c r="L613" s="23">
        <v>48459.87</v>
      </c>
      <c r="M613" s="23">
        <v>25</v>
      </c>
      <c r="N613" s="23">
        <v>24.04</v>
      </c>
      <c r="O613" s="31">
        <v>-1.2E-2</v>
      </c>
      <c r="P613" s="31">
        <v>3.3500000000000002E-2</v>
      </c>
      <c r="Q613" s="23" t="s">
        <v>24</v>
      </c>
      <c r="R613" s="23">
        <v>0</v>
      </c>
      <c r="S613" s="23">
        <v>22.05</v>
      </c>
      <c r="U613" s="47">
        <f>VLOOKUP(AU613,[1]expiry_dates!$B$2:$C$2894,2,FALSE)</f>
        <v>43979</v>
      </c>
      <c r="V613" s="23" t="s">
        <v>163</v>
      </c>
      <c r="W613" s="23" t="s">
        <v>23</v>
      </c>
      <c r="X613" s="49">
        <v>43955.385416666664</v>
      </c>
      <c r="Y613" s="23">
        <v>2</v>
      </c>
      <c r="Z613" s="23">
        <v>43955.635416666664</v>
      </c>
      <c r="AA613" s="23">
        <v>1.9</v>
      </c>
      <c r="AB613" s="23">
        <v>-0.05</v>
      </c>
      <c r="AC613" s="23">
        <v>2981.17</v>
      </c>
      <c r="AD613" s="23">
        <v>0.05</v>
      </c>
      <c r="AE613" s="23">
        <v>29811.73</v>
      </c>
      <c r="AF613" s="23">
        <v>59623.46</v>
      </c>
      <c r="AG613" s="23">
        <v>1927672.45</v>
      </c>
      <c r="AH613" s="23">
        <v>25</v>
      </c>
      <c r="AI613" s="23">
        <v>119.25</v>
      </c>
      <c r="AJ613" s="23">
        <v>0</v>
      </c>
      <c r="AK613" s="23">
        <v>0.17499999999999999</v>
      </c>
      <c r="AL613" s="23" t="s">
        <v>24</v>
      </c>
      <c r="AM613" s="23">
        <v>20.9</v>
      </c>
      <c r="AN613" s="23">
        <v>20257.849999999999</v>
      </c>
      <c r="AO613" s="23">
        <v>22.05</v>
      </c>
      <c r="AP613" s="23">
        <v>0</v>
      </c>
      <c r="AR613" s="46"/>
      <c r="AS613" s="44"/>
      <c r="AT613" s="45"/>
      <c r="AU613" s="2">
        <v>43955</v>
      </c>
      <c r="AV613" s="52">
        <v>0.38541666666666669</v>
      </c>
      <c r="AW613" s="2" t="s">
        <v>212</v>
      </c>
      <c r="AY613" s="3"/>
      <c r="BA613" s="3"/>
      <c r="BG613" s="3"/>
      <c r="BH613" s="3"/>
    </row>
    <row r="614" spans="1:60">
      <c r="A614" s="23" t="s">
        <v>22</v>
      </c>
      <c r="B614" s="23" t="s">
        <v>25</v>
      </c>
      <c r="C614" s="27">
        <v>43955.635416666664</v>
      </c>
      <c r="D614" s="23">
        <v>20.65</v>
      </c>
      <c r="E614" s="27">
        <v>43956.510416666664</v>
      </c>
      <c r="F614" s="23">
        <v>21</v>
      </c>
      <c r="G614" s="31">
        <v>1.6899999999999998E-2</v>
      </c>
      <c r="H614" s="23">
        <v>851.58</v>
      </c>
      <c r="I614" s="31">
        <v>1.6899999999999998E-2</v>
      </c>
      <c r="J614" s="23">
        <v>2433.0990000000002</v>
      </c>
      <c r="K614" s="23">
        <v>50243.5</v>
      </c>
      <c r="L614" s="23">
        <v>49311.45</v>
      </c>
      <c r="M614" s="23">
        <v>17</v>
      </c>
      <c r="N614" s="23">
        <v>50.09</v>
      </c>
      <c r="O614" s="31">
        <v>-7.3000000000000001E-3</v>
      </c>
      <c r="P614" s="31">
        <v>4.36E-2</v>
      </c>
      <c r="Q614" s="23" t="s">
        <v>24</v>
      </c>
      <c r="R614" s="23">
        <v>0</v>
      </c>
      <c r="S614" s="23">
        <v>20.2</v>
      </c>
      <c r="U614" s="47">
        <f>VLOOKUP(AU614,[1]expiry_dates!$B$2:$C$2894,2,FALSE)</f>
        <v>43979</v>
      </c>
      <c r="V614" s="23" t="s">
        <v>164</v>
      </c>
      <c r="W614" s="23" t="s">
        <v>23</v>
      </c>
      <c r="X614" s="49">
        <v>43955.635416666664</v>
      </c>
      <c r="Y614" s="23">
        <v>1.75</v>
      </c>
      <c r="Z614" s="23">
        <v>43956.510416666664</v>
      </c>
      <c r="AA614" s="23">
        <v>1.6</v>
      </c>
      <c r="AB614" s="23">
        <v>-8.5699999999999998E-2</v>
      </c>
      <c r="AC614" s="23">
        <v>5112.5</v>
      </c>
      <c r="AD614" s="23">
        <v>8.5699999999999998E-2</v>
      </c>
      <c r="AE614" s="23">
        <v>34083.32</v>
      </c>
      <c r="AF614" s="23">
        <v>59645.82</v>
      </c>
      <c r="AG614" s="23">
        <v>1932784.95</v>
      </c>
      <c r="AH614" s="23">
        <v>17</v>
      </c>
      <c r="AI614" s="23">
        <v>300.74</v>
      </c>
      <c r="AJ614" s="23">
        <v>-2.86E-2</v>
      </c>
      <c r="AK614" s="23">
        <v>0.2286</v>
      </c>
      <c r="AL614" s="23" t="s">
        <v>24</v>
      </c>
      <c r="AM614" s="23">
        <v>20.65</v>
      </c>
      <c r="AN614" s="23">
        <v>19813.25</v>
      </c>
      <c r="AO614" s="23">
        <v>20.2</v>
      </c>
      <c r="AP614" s="23">
        <v>0</v>
      </c>
      <c r="AR614" s="46"/>
      <c r="AS614" s="44"/>
      <c r="AT614" s="45"/>
      <c r="AU614" s="2">
        <v>43955</v>
      </c>
      <c r="AV614" s="52">
        <v>0.13541666666666666</v>
      </c>
      <c r="AW614" s="2" t="s">
        <v>213</v>
      </c>
      <c r="AY614" s="3"/>
      <c r="BA614" s="3"/>
      <c r="BG614" s="3"/>
      <c r="BH614" s="3"/>
    </row>
    <row r="615" spans="1:60">
      <c r="A615" s="23" t="s">
        <v>22</v>
      </c>
      <c r="B615" s="23" t="s">
        <v>23</v>
      </c>
      <c r="C615" s="27">
        <v>43956.510416666664</v>
      </c>
      <c r="D615" s="23">
        <v>21</v>
      </c>
      <c r="E615" s="27">
        <v>43957.416666666664</v>
      </c>
      <c r="F615" s="23">
        <v>20.95</v>
      </c>
      <c r="G615" s="31">
        <v>-2.3999999999999998E-3</v>
      </c>
      <c r="H615" s="23">
        <v>119.63</v>
      </c>
      <c r="I615" s="31">
        <v>2.3999999999999998E-3</v>
      </c>
      <c r="J615" s="23">
        <v>2392.6930000000002</v>
      </c>
      <c r="K615" s="23">
        <v>50246.55</v>
      </c>
      <c r="L615" s="23">
        <v>49431.09</v>
      </c>
      <c r="M615" s="23">
        <v>20</v>
      </c>
      <c r="N615" s="23">
        <v>5.98</v>
      </c>
      <c r="O615" s="31">
        <v>-7.1000000000000004E-3</v>
      </c>
      <c r="P615" s="31">
        <v>4.0500000000000001E-2</v>
      </c>
      <c r="Q615" s="23" t="s">
        <v>24</v>
      </c>
      <c r="R615" s="23">
        <v>0</v>
      </c>
      <c r="S615" s="23">
        <v>21.54</v>
      </c>
      <c r="U615" s="47">
        <f>VLOOKUP(AU615,[1]expiry_dates!$B$2:$C$2894,2,FALSE)</f>
        <v>43979</v>
      </c>
      <c r="V615" s="23" t="s">
        <v>158</v>
      </c>
      <c r="W615" s="23" t="s">
        <v>23</v>
      </c>
      <c r="X615" s="49">
        <v>43956.510416666664</v>
      </c>
      <c r="Y615" s="23">
        <v>2.5</v>
      </c>
      <c r="Z615" s="23">
        <v>43957.416666666664</v>
      </c>
      <c r="AA615" s="23">
        <v>2.35</v>
      </c>
      <c r="AB615" s="23">
        <v>-0.06</v>
      </c>
      <c r="AC615" s="23">
        <v>3579.84</v>
      </c>
      <c r="AD615" s="23">
        <v>0.06</v>
      </c>
      <c r="AE615" s="23">
        <v>23865.57</v>
      </c>
      <c r="AF615" s="23">
        <v>59663.93</v>
      </c>
      <c r="AG615" s="23">
        <v>1936364.79</v>
      </c>
      <c r="AH615" s="23">
        <v>20</v>
      </c>
      <c r="AI615" s="23">
        <v>178.99</v>
      </c>
      <c r="AJ615" s="23">
        <v>-0.1</v>
      </c>
      <c r="AK615" s="23">
        <v>0.18</v>
      </c>
      <c r="AL615" s="23" t="s">
        <v>24</v>
      </c>
      <c r="AM615" s="23">
        <v>21</v>
      </c>
      <c r="AN615" s="23">
        <v>19681.55</v>
      </c>
      <c r="AO615" s="23">
        <v>21.54</v>
      </c>
      <c r="AP615" s="23">
        <v>0</v>
      </c>
      <c r="AR615" s="46"/>
      <c r="AS615" s="44"/>
      <c r="AT615" s="45"/>
      <c r="AU615" s="2">
        <v>43956</v>
      </c>
      <c r="AV615" s="52">
        <v>0.51041666666666663</v>
      </c>
      <c r="AW615" s="2" t="s">
        <v>213</v>
      </c>
      <c r="AY615" s="3"/>
      <c r="BA615" s="3"/>
      <c r="BG615" s="3"/>
      <c r="BH615" s="3"/>
    </row>
    <row r="616" spans="1:60">
      <c r="A616" s="23" t="s">
        <v>22</v>
      </c>
      <c r="B616" s="23" t="s">
        <v>25</v>
      </c>
      <c r="C616" s="27">
        <v>43957.416666666664</v>
      </c>
      <c r="D616" s="23">
        <v>20.95</v>
      </c>
      <c r="E616" s="27">
        <v>43957.489583333336</v>
      </c>
      <c r="F616" s="23">
        <v>20.75</v>
      </c>
      <c r="G616" s="31">
        <v>-9.4999999999999998E-3</v>
      </c>
      <c r="H616" s="23">
        <v>-479.69</v>
      </c>
      <c r="I616" s="31">
        <v>-9.4999999999999998E-3</v>
      </c>
      <c r="J616" s="23">
        <v>2398.4609999999998</v>
      </c>
      <c r="K616" s="23">
        <v>50247.75</v>
      </c>
      <c r="L616" s="23">
        <v>48951.4</v>
      </c>
      <c r="M616" s="23">
        <v>8</v>
      </c>
      <c r="N616" s="23">
        <v>-59.96</v>
      </c>
      <c r="O616" s="31">
        <v>-2.1499999999999998E-2</v>
      </c>
      <c r="P616" s="31">
        <v>7.1999999999999998E-3</v>
      </c>
      <c r="Q616" s="23" t="s">
        <v>24</v>
      </c>
      <c r="R616" s="23">
        <v>0</v>
      </c>
      <c r="S616" s="23">
        <v>20.16</v>
      </c>
      <c r="U616" s="47">
        <f>VLOOKUP(AU616,[1]expiry_dates!$B$2:$C$2894,2,FALSE)</f>
        <v>43979</v>
      </c>
      <c r="V616" s="23" t="s">
        <v>157</v>
      </c>
      <c r="W616" s="23" t="s">
        <v>23</v>
      </c>
      <c r="X616" s="49">
        <v>43957.416666666664</v>
      </c>
      <c r="Y616" s="23">
        <v>2.0499999999999998</v>
      </c>
      <c r="Z616" s="23">
        <v>43957.489583333336</v>
      </c>
      <c r="AA616" s="23">
        <v>2.1</v>
      </c>
      <c r="AB616" s="23">
        <v>2.4400000000000002E-2</v>
      </c>
      <c r="AC616" s="23">
        <v>-1455.95</v>
      </c>
      <c r="AD616" s="23">
        <v>-2.4400000000000002E-2</v>
      </c>
      <c r="AE616" s="23">
        <v>29118.91</v>
      </c>
      <c r="AF616" s="23">
        <v>59693.760000000002</v>
      </c>
      <c r="AG616" s="23">
        <v>1934908.84</v>
      </c>
      <c r="AH616" s="23">
        <v>8</v>
      </c>
      <c r="AI616" s="23">
        <v>-181.99</v>
      </c>
      <c r="AJ616" s="23">
        <v>-2.4400000000000002E-2</v>
      </c>
      <c r="AK616" s="23">
        <v>2.4400000000000002E-2</v>
      </c>
      <c r="AL616" s="23" t="s">
        <v>24</v>
      </c>
      <c r="AM616" s="23">
        <v>20.95</v>
      </c>
      <c r="AN616" s="23">
        <v>19522.5</v>
      </c>
      <c r="AO616" s="23">
        <v>20.16</v>
      </c>
      <c r="AP616" s="23">
        <v>0</v>
      </c>
      <c r="AR616" s="46"/>
      <c r="AS616" s="44"/>
      <c r="AT616" s="45"/>
      <c r="AU616" s="2">
        <v>43957</v>
      </c>
      <c r="AV616" s="52">
        <v>0.41666666666666669</v>
      </c>
      <c r="AW616" s="2" t="s">
        <v>212</v>
      </c>
      <c r="AY616" s="3"/>
      <c r="BA616" s="3"/>
      <c r="BG616" s="3"/>
      <c r="BH616" s="3"/>
    </row>
    <row r="617" spans="1:60">
      <c r="A617" s="23" t="s">
        <v>22</v>
      </c>
      <c r="B617" s="23" t="s">
        <v>23</v>
      </c>
      <c r="C617" s="27">
        <v>43957.489583333336</v>
      </c>
      <c r="D617" s="23">
        <v>20.75</v>
      </c>
      <c r="E617" s="27">
        <v>43957.5625</v>
      </c>
      <c r="F617" s="23">
        <v>20.95</v>
      </c>
      <c r="G617" s="31">
        <v>9.5999999999999992E-3</v>
      </c>
      <c r="H617" s="23">
        <v>-484.26</v>
      </c>
      <c r="I617" s="31">
        <v>-9.5999999999999992E-3</v>
      </c>
      <c r="J617" s="23">
        <v>2421.319</v>
      </c>
      <c r="K617" s="23">
        <v>50242.36</v>
      </c>
      <c r="L617" s="23">
        <v>48467.13</v>
      </c>
      <c r="M617" s="23">
        <v>8</v>
      </c>
      <c r="N617" s="23">
        <v>-60.53</v>
      </c>
      <c r="O617" s="31">
        <v>-9.5999999999999992E-3</v>
      </c>
      <c r="P617" s="31">
        <v>1.4500000000000001E-2</v>
      </c>
      <c r="Q617" s="23" t="s">
        <v>24</v>
      </c>
      <c r="R617" s="23">
        <v>0</v>
      </c>
      <c r="S617" s="23">
        <v>21.07</v>
      </c>
      <c r="U617" s="47">
        <f>VLOOKUP(AU617,[1]expiry_dates!$B$2:$C$2894,2,FALSE)</f>
        <v>43979</v>
      </c>
      <c r="V617" s="23" t="s">
        <v>163</v>
      </c>
      <c r="W617" s="23" t="s">
        <v>23</v>
      </c>
      <c r="X617" s="49">
        <v>43957.489583333336</v>
      </c>
      <c r="Y617" s="23">
        <v>1.85</v>
      </c>
      <c r="Z617" s="23">
        <v>43957.5625</v>
      </c>
      <c r="AA617" s="23">
        <v>1.9</v>
      </c>
      <c r="AB617" s="23">
        <v>2.7E-2</v>
      </c>
      <c r="AC617" s="23">
        <v>-1612.83</v>
      </c>
      <c r="AD617" s="23">
        <v>-2.7E-2</v>
      </c>
      <c r="AE617" s="23">
        <v>32256.51</v>
      </c>
      <c r="AF617" s="23">
        <v>59674.54</v>
      </c>
      <c r="AG617" s="23">
        <v>1933296.02</v>
      </c>
      <c r="AH617" s="23">
        <v>8</v>
      </c>
      <c r="AI617" s="23">
        <v>-201.6</v>
      </c>
      <c r="AJ617" s="23">
        <v>-2.7E-2</v>
      </c>
      <c r="AK617" s="23">
        <v>5.4100000000000002E-2</v>
      </c>
      <c r="AL617" s="23" t="s">
        <v>24</v>
      </c>
      <c r="AM617" s="23">
        <v>20.75</v>
      </c>
      <c r="AN617" s="23">
        <v>19656.95</v>
      </c>
      <c r="AO617" s="23">
        <v>21.07</v>
      </c>
      <c r="AP617" s="23">
        <v>0</v>
      </c>
      <c r="AR617" s="46"/>
      <c r="AS617" s="44"/>
      <c r="AT617" s="45"/>
      <c r="AU617" s="2">
        <v>43957</v>
      </c>
      <c r="AV617" s="52">
        <v>0.48958333333333331</v>
      </c>
      <c r="AW617" s="2" t="s">
        <v>212</v>
      </c>
      <c r="AY617" s="3"/>
      <c r="BA617" s="3"/>
      <c r="BG617" s="3"/>
      <c r="BH617" s="3"/>
    </row>
    <row r="618" spans="1:60">
      <c r="A618" s="23" t="s">
        <v>22</v>
      </c>
      <c r="B618" s="23" t="s">
        <v>25</v>
      </c>
      <c r="C618" s="27">
        <v>43957.5625</v>
      </c>
      <c r="D618" s="23">
        <v>20.95</v>
      </c>
      <c r="E618" s="27">
        <v>43958.4375</v>
      </c>
      <c r="F618" s="23">
        <v>20.75</v>
      </c>
      <c r="G618" s="31">
        <v>-9.4999999999999998E-3</v>
      </c>
      <c r="H618" s="23">
        <v>-479.65</v>
      </c>
      <c r="I618" s="31">
        <v>-9.4999999999999998E-3</v>
      </c>
      <c r="J618" s="23">
        <v>2398.2600000000002</v>
      </c>
      <c r="K618" s="23">
        <v>50243.54</v>
      </c>
      <c r="L618" s="23">
        <v>47987.48</v>
      </c>
      <c r="M618" s="23">
        <v>17</v>
      </c>
      <c r="N618" s="23">
        <v>-28.21</v>
      </c>
      <c r="O618" s="31">
        <v>-1.67E-2</v>
      </c>
      <c r="P618" s="31">
        <v>1.1900000000000001E-2</v>
      </c>
      <c r="Q618" s="23" t="s">
        <v>24</v>
      </c>
      <c r="R618" s="23">
        <v>0</v>
      </c>
      <c r="S618" s="23">
        <v>20.46</v>
      </c>
      <c r="U618" s="47">
        <f>VLOOKUP(AU618,[1]expiry_dates!$B$2:$C$2894,2,FALSE)</f>
        <v>43979</v>
      </c>
      <c r="V618" s="23" t="s">
        <v>166</v>
      </c>
      <c r="W618" s="23" t="s">
        <v>23</v>
      </c>
      <c r="X618" s="49">
        <v>43957.5625</v>
      </c>
      <c r="Y618" s="23">
        <v>0.3</v>
      </c>
      <c r="Z618" s="23">
        <v>43958.4375</v>
      </c>
      <c r="AA618" s="23">
        <v>0.3</v>
      </c>
      <c r="AB618" s="23">
        <v>0</v>
      </c>
      <c r="AC618" s="23">
        <v>0</v>
      </c>
      <c r="AD618" s="23">
        <v>0</v>
      </c>
      <c r="AE618" s="23">
        <v>198915.1</v>
      </c>
      <c r="AF618" s="23">
        <v>59674.54</v>
      </c>
      <c r="AG618" s="23">
        <v>1933296.02</v>
      </c>
      <c r="AH618" s="23">
        <v>17</v>
      </c>
      <c r="AI618" s="23">
        <v>0</v>
      </c>
      <c r="AJ618" s="23">
        <v>0</v>
      </c>
      <c r="AK618" s="23">
        <v>0.16669999999999999</v>
      </c>
      <c r="AL618" s="23" t="s">
        <v>24</v>
      </c>
      <c r="AM618" s="23">
        <v>20.95</v>
      </c>
      <c r="AN618" s="23">
        <v>19728.349999999999</v>
      </c>
      <c r="AO618" s="23">
        <v>20.46</v>
      </c>
      <c r="AP618" s="23">
        <v>0</v>
      </c>
      <c r="AR618" s="46"/>
      <c r="AS618" s="44"/>
      <c r="AT618" s="45"/>
      <c r="AU618" s="2">
        <v>43957</v>
      </c>
      <c r="AV618" s="52">
        <v>6.25E-2</v>
      </c>
      <c r="AW618" s="2" t="s">
        <v>213</v>
      </c>
      <c r="AY618" s="3"/>
      <c r="BA618" s="3"/>
      <c r="BG618" s="3"/>
      <c r="BH618" s="3"/>
    </row>
    <row r="619" spans="1:60">
      <c r="A619" s="23" t="s">
        <v>22</v>
      </c>
      <c r="B619" s="23" t="s">
        <v>23</v>
      </c>
      <c r="C619" s="27">
        <v>43958.4375</v>
      </c>
      <c r="D619" s="23">
        <v>20.75</v>
      </c>
      <c r="E619" s="27">
        <v>43958.604166666664</v>
      </c>
      <c r="F619" s="23">
        <v>20.85</v>
      </c>
      <c r="G619" s="31">
        <v>4.7999999999999996E-3</v>
      </c>
      <c r="H619" s="23">
        <v>-242.13</v>
      </c>
      <c r="I619" s="31">
        <v>-4.7999999999999996E-3</v>
      </c>
      <c r="J619" s="23">
        <v>2421.317</v>
      </c>
      <c r="K619" s="23">
        <v>50242.34</v>
      </c>
      <c r="L619" s="23">
        <v>47745.35</v>
      </c>
      <c r="M619" s="23">
        <v>17</v>
      </c>
      <c r="N619" s="23">
        <v>-14.24</v>
      </c>
      <c r="O619" s="31">
        <v>-1.2E-2</v>
      </c>
      <c r="P619" s="31">
        <v>2.3999999999999998E-3</v>
      </c>
      <c r="Q619" s="23" t="s">
        <v>24</v>
      </c>
      <c r="R619" s="23">
        <v>0</v>
      </c>
      <c r="S619" s="23">
        <v>21.2</v>
      </c>
      <c r="U619" s="47">
        <f>VLOOKUP(AU619,[1]expiry_dates!$B$2:$C$2894,2,FALSE)</f>
        <v>43979</v>
      </c>
      <c r="V619" s="23" t="s">
        <v>158</v>
      </c>
      <c r="W619" s="23" t="s">
        <v>23</v>
      </c>
      <c r="X619" s="49">
        <v>43958.4375</v>
      </c>
      <c r="Y619" s="23">
        <v>2.2999999999999998</v>
      </c>
      <c r="Z619" s="23">
        <v>43958.604166666664</v>
      </c>
      <c r="AA619" s="23">
        <v>2.2999999999999998</v>
      </c>
      <c r="AB619" s="23">
        <v>0</v>
      </c>
      <c r="AC619" s="23">
        <v>0</v>
      </c>
      <c r="AD619" s="23">
        <v>0</v>
      </c>
      <c r="AE619" s="23">
        <v>25941.95</v>
      </c>
      <c r="AF619" s="23">
        <v>59666.48</v>
      </c>
      <c r="AG619" s="23">
        <v>1933296.02</v>
      </c>
      <c r="AH619" s="23">
        <v>17</v>
      </c>
      <c r="AI619" s="23">
        <v>0</v>
      </c>
      <c r="AJ619" s="23">
        <v>0</v>
      </c>
      <c r="AK619" s="23">
        <v>0</v>
      </c>
      <c r="AL619" s="23" t="s">
        <v>24</v>
      </c>
      <c r="AM619" s="23">
        <v>20.75</v>
      </c>
      <c r="AN619" s="23">
        <v>19437.05</v>
      </c>
      <c r="AO619" s="23">
        <v>21.2</v>
      </c>
      <c r="AP619" s="23">
        <v>0</v>
      </c>
      <c r="AR619" s="46"/>
      <c r="AS619" s="44"/>
      <c r="AT619" s="45"/>
      <c r="AU619" s="2">
        <v>43958</v>
      </c>
      <c r="AV619" s="52">
        <v>0.4375</v>
      </c>
      <c r="AW619" s="2" t="s">
        <v>212</v>
      </c>
      <c r="AY619" s="3"/>
      <c r="BA619" s="3"/>
      <c r="BG619" s="3"/>
      <c r="BH619" s="3"/>
    </row>
    <row r="620" spans="1:60">
      <c r="A620" s="23" t="s">
        <v>22</v>
      </c>
      <c r="B620" s="23" t="s">
        <v>25</v>
      </c>
      <c r="C620" s="27">
        <v>43958.604166666664</v>
      </c>
      <c r="D620" s="23">
        <v>20.85</v>
      </c>
      <c r="E620" s="27">
        <v>43958.635416666664</v>
      </c>
      <c r="F620" s="23">
        <v>20.8</v>
      </c>
      <c r="G620" s="31">
        <v>-2.3999999999999998E-3</v>
      </c>
      <c r="H620" s="23">
        <v>-120.48</v>
      </c>
      <c r="I620" s="31">
        <v>-2.3999999999999998E-3</v>
      </c>
      <c r="J620" s="23">
        <v>2409.5309999999999</v>
      </c>
      <c r="K620" s="23">
        <v>50238.73</v>
      </c>
      <c r="L620" s="23">
        <v>47624.87</v>
      </c>
      <c r="M620" s="23">
        <v>4</v>
      </c>
      <c r="N620" s="23">
        <v>-30.12</v>
      </c>
      <c r="O620" s="31">
        <v>-4.7999999999999996E-3</v>
      </c>
      <c r="P620" s="31">
        <v>2.3999999999999998E-3</v>
      </c>
      <c r="Q620" s="23" t="s">
        <v>24</v>
      </c>
      <c r="R620" s="23">
        <v>0</v>
      </c>
      <c r="S620" s="23">
        <v>20.71</v>
      </c>
      <c r="U620" s="47">
        <f>VLOOKUP(AU620,[1]expiry_dates!$B$2:$C$2894,2,FALSE)</f>
        <v>43979</v>
      </c>
      <c r="V620" s="23" t="s">
        <v>169</v>
      </c>
      <c r="W620" s="23" t="s">
        <v>23</v>
      </c>
      <c r="X620" s="49">
        <v>43958.604166666664</v>
      </c>
      <c r="Y620" s="23">
        <v>1</v>
      </c>
      <c r="Z620" s="23">
        <v>43958.635416666664</v>
      </c>
      <c r="AA620" s="23">
        <v>1</v>
      </c>
      <c r="AB620" s="23">
        <v>0</v>
      </c>
      <c r="AC620" s="23">
        <v>0</v>
      </c>
      <c r="AD620" s="23">
        <v>0</v>
      </c>
      <c r="AE620" s="23">
        <v>59666.48</v>
      </c>
      <c r="AF620" s="23">
        <v>59666.48</v>
      </c>
      <c r="AG620" s="23">
        <v>1933296.02</v>
      </c>
      <c r="AH620" s="23">
        <v>4</v>
      </c>
      <c r="AI620" s="23">
        <v>0</v>
      </c>
      <c r="AJ620" s="23">
        <v>0</v>
      </c>
      <c r="AK620" s="23">
        <v>0</v>
      </c>
      <c r="AL620" s="23" t="s">
        <v>24</v>
      </c>
      <c r="AM620" s="23">
        <v>20.85</v>
      </c>
      <c r="AN620" s="23">
        <v>19509.05</v>
      </c>
      <c r="AO620" s="23">
        <v>20.71</v>
      </c>
      <c r="AP620" s="23">
        <v>0</v>
      </c>
      <c r="AR620" s="46"/>
      <c r="AS620" s="44"/>
      <c r="AT620" s="45"/>
      <c r="AU620" s="2">
        <v>43958</v>
      </c>
      <c r="AV620" s="52">
        <v>0.10416666666666667</v>
      </c>
      <c r="AW620" s="2" t="s">
        <v>213</v>
      </c>
      <c r="AY620" s="3"/>
      <c r="BA620" s="3"/>
      <c r="BG620" s="3"/>
      <c r="BH620" s="3"/>
    </row>
    <row r="621" spans="1:60">
      <c r="A621" s="23" t="s">
        <v>22</v>
      </c>
      <c r="B621" s="23" t="s">
        <v>23</v>
      </c>
      <c r="C621" s="27">
        <v>43958.635416666664</v>
      </c>
      <c r="D621" s="23">
        <v>20.8</v>
      </c>
      <c r="E621" s="27">
        <v>43959.385416666664</v>
      </c>
      <c r="F621" s="23">
        <v>20.95</v>
      </c>
      <c r="G621" s="31">
        <v>7.1999999999999998E-3</v>
      </c>
      <c r="H621" s="23">
        <v>-362.29</v>
      </c>
      <c r="I621" s="31">
        <v>-7.1999999999999998E-3</v>
      </c>
      <c r="J621" s="23">
        <v>2415.2939999999999</v>
      </c>
      <c r="K621" s="23">
        <v>50238.12</v>
      </c>
      <c r="L621" s="23">
        <v>47262.58</v>
      </c>
      <c r="M621" s="23">
        <v>5</v>
      </c>
      <c r="N621" s="23">
        <v>-72.459999999999994</v>
      </c>
      <c r="O621" s="31">
        <v>-9.5999999999999992E-3</v>
      </c>
      <c r="P621" s="31">
        <v>4.7999999999999996E-3</v>
      </c>
      <c r="Q621" s="23" t="s">
        <v>24</v>
      </c>
      <c r="R621" s="23">
        <v>0</v>
      </c>
      <c r="S621" s="23">
        <v>20.89</v>
      </c>
      <c r="U621" s="47">
        <f>VLOOKUP(AU621,[1]expiry_dates!$B$2:$C$2894,2,FALSE)</f>
        <v>43979</v>
      </c>
      <c r="V621" s="23" t="s">
        <v>163</v>
      </c>
      <c r="W621" s="23" t="s">
        <v>23</v>
      </c>
      <c r="X621" s="49">
        <v>43958.635416666664</v>
      </c>
      <c r="Y621" s="23">
        <v>1.7</v>
      </c>
      <c r="Z621" s="23">
        <v>43959.385416666664</v>
      </c>
      <c r="AA621" s="23">
        <v>1.7</v>
      </c>
      <c r="AB621" s="23">
        <v>0</v>
      </c>
      <c r="AC621" s="23">
        <v>0</v>
      </c>
      <c r="AD621" s="23">
        <v>0</v>
      </c>
      <c r="AE621" s="23">
        <v>35097.93</v>
      </c>
      <c r="AF621" s="23">
        <v>59666.48</v>
      </c>
      <c r="AG621" s="23">
        <v>1933296.02</v>
      </c>
      <c r="AH621" s="23">
        <v>5</v>
      </c>
      <c r="AI621" s="23">
        <v>0</v>
      </c>
      <c r="AJ621" s="23">
        <v>-5.8799999999999998E-2</v>
      </c>
      <c r="AK621" s="23">
        <v>0</v>
      </c>
      <c r="AL621" s="23" t="s">
        <v>24</v>
      </c>
      <c r="AM621" s="23">
        <v>20.8</v>
      </c>
      <c r="AN621" s="23">
        <v>19528.400000000001</v>
      </c>
      <c r="AO621" s="23">
        <v>20.89</v>
      </c>
      <c r="AP621" s="23">
        <v>0</v>
      </c>
      <c r="AR621" s="46"/>
      <c r="AS621" s="44"/>
      <c r="AT621" s="45"/>
      <c r="AU621" s="2">
        <v>43958</v>
      </c>
      <c r="AV621" s="52">
        <v>0.13541666666666666</v>
      </c>
      <c r="AW621" s="2" t="s">
        <v>213</v>
      </c>
      <c r="AY621" s="3"/>
      <c r="BA621" s="3"/>
      <c r="BG621" s="3"/>
      <c r="BH621" s="3"/>
    </row>
    <row r="622" spans="1:60">
      <c r="A622" s="23" t="s">
        <v>22</v>
      </c>
      <c r="B622" s="23" t="s">
        <v>25</v>
      </c>
      <c r="C622" s="27">
        <v>43959.385416666664</v>
      </c>
      <c r="D622" s="23">
        <v>20.95</v>
      </c>
      <c r="E622" s="27">
        <v>43959.40625</v>
      </c>
      <c r="F622" s="23">
        <v>20.8</v>
      </c>
      <c r="G622" s="31">
        <v>-7.1999999999999998E-3</v>
      </c>
      <c r="H622" s="23">
        <v>-359.68</v>
      </c>
      <c r="I622" s="31">
        <v>-7.1999999999999998E-3</v>
      </c>
      <c r="J622" s="23">
        <v>2397.886</v>
      </c>
      <c r="K622" s="23">
        <v>50235.71</v>
      </c>
      <c r="L622" s="23">
        <v>46902.89</v>
      </c>
      <c r="M622" s="23">
        <v>3</v>
      </c>
      <c r="N622" s="23">
        <v>-119.89</v>
      </c>
      <c r="O622" s="31">
        <v>-7.1999999999999998E-3</v>
      </c>
      <c r="P622" s="31">
        <v>7.1999999999999998E-3</v>
      </c>
      <c r="Q622" s="23" t="s">
        <v>24</v>
      </c>
      <c r="R622" s="23">
        <v>0</v>
      </c>
      <c r="S622" s="23">
        <v>20.72</v>
      </c>
      <c r="U622" s="47">
        <f>VLOOKUP(AU622,[1]expiry_dates!$B$2:$C$2894,2,FALSE)</f>
        <v>43979</v>
      </c>
      <c r="V622" s="23" t="s">
        <v>164</v>
      </c>
      <c r="W622" s="23" t="s">
        <v>23</v>
      </c>
      <c r="X622" s="49">
        <v>43959.385416666664</v>
      </c>
      <c r="Y622" s="23">
        <v>1.25</v>
      </c>
      <c r="Z622" s="23">
        <v>43959.40625</v>
      </c>
      <c r="AA622" s="23">
        <v>1.35</v>
      </c>
      <c r="AB622" s="23">
        <v>0.08</v>
      </c>
      <c r="AC622" s="23">
        <v>-4773.32</v>
      </c>
      <c r="AD622" s="23">
        <v>-0.08</v>
      </c>
      <c r="AE622" s="23">
        <v>47733.18</v>
      </c>
      <c r="AF622" s="23">
        <v>59666.48</v>
      </c>
      <c r="AG622" s="23">
        <v>1928522.7</v>
      </c>
      <c r="AH622" s="23">
        <v>3</v>
      </c>
      <c r="AI622" s="23">
        <v>-1591.11</v>
      </c>
      <c r="AJ622" s="23">
        <v>-0.08</v>
      </c>
      <c r="AK622" s="23">
        <v>0.04</v>
      </c>
      <c r="AL622" s="23" t="s">
        <v>24</v>
      </c>
      <c r="AM622" s="23">
        <v>20.95</v>
      </c>
      <c r="AN622" s="23">
        <v>19863.900000000001</v>
      </c>
      <c r="AO622" s="23">
        <v>20.72</v>
      </c>
      <c r="AP622" s="23">
        <v>0</v>
      </c>
      <c r="AR622" s="46"/>
      <c r="AS622" s="44"/>
      <c r="AT622" s="45"/>
      <c r="AU622" s="2">
        <v>43959</v>
      </c>
      <c r="AV622" s="52">
        <v>0.38541666666666669</v>
      </c>
      <c r="AW622" s="2" t="s">
        <v>212</v>
      </c>
      <c r="AY622" s="3"/>
      <c r="BA622" s="3"/>
      <c r="BG622" s="3"/>
      <c r="BH622" s="3"/>
    </row>
    <row r="623" spans="1:60">
      <c r="A623" s="23" t="s">
        <v>22</v>
      </c>
      <c r="B623" s="23" t="s">
        <v>23</v>
      </c>
      <c r="C623" s="27">
        <v>43959.40625</v>
      </c>
      <c r="D623" s="23">
        <v>20.8</v>
      </c>
      <c r="E623" s="27">
        <v>43962.385416666664</v>
      </c>
      <c r="F623" s="23">
        <v>20.6</v>
      </c>
      <c r="G623" s="31">
        <v>-9.5999999999999992E-3</v>
      </c>
      <c r="H623" s="23">
        <v>483.04</v>
      </c>
      <c r="I623" s="31">
        <v>9.5999999999999992E-3</v>
      </c>
      <c r="J623" s="23">
        <v>2415.2080000000001</v>
      </c>
      <c r="K623" s="23">
        <v>50236.32</v>
      </c>
      <c r="L623" s="23">
        <v>47385.94</v>
      </c>
      <c r="M623" s="23">
        <v>27</v>
      </c>
      <c r="N623" s="23">
        <v>17.89</v>
      </c>
      <c r="O623" s="31">
        <v>-9.5999999999999992E-3</v>
      </c>
      <c r="P623" s="31">
        <v>2.8799999999999999E-2</v>
      </c>
      <c r="Q623" s="23" t="s">
        <v>24</v>
      </c>
      <c r="R623" s="23">
        <v>0</v>
      </c>
      <c r="S623" s="23">
        <v>21.09</v>
      </c>
      <c r="U623" s="47">
        <f>VLOOKUP(AU623,[1]expiry_dates!$B$2:$C$2894,2,FALSE)</f>
        <v>43979</v>
      </c>
      <c r="V623" s="23" t="s">
        <v>158</v>
      </c>
      <c r="W623" s="23" t="s">
        <v>23</v>
      </c>
      <c r="X623" s="49">
        <v>43959.40625</v>
      </c>
      <c r="Y623" s="23">
        <v>2.25</v>
      </c>
      <c r="Z623" s="23">
        <v>43962.385416666664</v>
      </c>
      <c r="AA623" s="23">
        <v>2</v>
      </c>
      <c r="AB623" s="23">
        <v>-0.1111</v>
      </c>
      <c r="AC623" s="23">
        <v>6628.28</v>
      </c>
      <c r="AD623" s="23">
        <v>0.1111</v>
      </c>
      <c r="AE623" s="23">
        <v>26513.13</v>
      </c>
      <c r="AF623" s="23">
        <v>59654.55</v>
      </c>
      <c r="AG623" s="23">
        <v>1935150.98</v>
      </c>
      <c r="AH623" s="23">
        <v>27</v>
      </c>
      <c r="AI623" s="23">
        <v>245.49</v>
      </c>
      <c r="AJ623" s="23">
        <v>-2.2200000000000001E-2</v>
      </c>
      <c r="AK623" s="23">
        <v>0.22220000000000001</v>
      </c>
      <c r="AL623" s="23" t="s">
        <v>24</v>
      </c>
      <c r="AM623" s="23">
        <v>20.8</v>
      </c>
      <c r="AN623" s="23">
        <v>19829.900000000001</v>
      </c>
      <c r="AO623" s="23">
        <v>21.09</v>
      </c>
      <c r="AP623" s="23">
        <v>0</v>
      </c>
      <c r="AR623" s="46"/>
      <c r="AS623" s="44"/>
      <c r="AT623" s="45"/>
      <c r="AU623" s="2">
        <v>43959</v>
      </c>
      <c r="AV623" s="52">
        <v>0.40625</v>
      </c>
      <c r="AW623" s="2" t="s">
        <v>212</v>
      </c>
      <c r="AY623" s="3"/>
      <c r="BA623" s="3"/>
      <c r="BG623" s="3"/>
      <c r="BH623" s="3"/>
    </row>
    <row r="624" spans="1:60">
      <c r="A624" s="23" t="s">
        <v>22</v>
      </c>
      <c r="B624" s="23" t="s">
        <v>25</v>
      </c>
      <c r="C624" s="27">
        <v>43962.385416666664</v>
      </c>
      <c r="D624" s="23">
        <v>20.6</v>
      </c>
      <c r="E624" s="27">
        <v>43962.416666666664</v>
      </c>
      <c r="F624" s="23">
        <v>20.350000000000001</v>
      </c>
      <c r="G624" s="31">
        <v>-1.21E-2</v>
      </c>
      <c r="H624" s="23">
        <v>-609.66</v>
      </c>
      <c r="I624" s="31">
        <v>-1.21E-2</v>
      </c>
      <c r="J624" s="23">
        <v>2438.6559999999999</v>
      </c>
      <c r="K624" s="23">
        <v>50236.32</v>
      </c>
      <c r="L624" s="23">
        <v>46776.27</v>
      </c>
      <c r="M624" s="23">
        <v>4</v>
      </c>
      <c r="N624" s="23">
        <v>-152.41999999999999</v>
      </c>
      <c r="O624" s="31">
        <v>-1.21E-2</v>
      </c>
      <c r="P624" s="31">
        <v>7.3000000000000001E-3</v>
      </c>
      <c r="Q624" s="23" t="s">
        <v>24</v>
      </c>
      <c r="R624" s="23">
        <v>0</v>
      </c>
      <c r="S624" s="23">
        <v>20.23</v>
      </c>
      <c r="U624" s="47">
        <f>VLOOKUP(AU624,[1]expiry_dates!$B$2:$C$2894,2,FALSE)</f>
        <v>43979</v>
      </c>
      <c r="V624" s="23" t="s">
        <v>164</v>
      </c>
      <c r="W624" s="23" t="s">
        <v>23</v>
      </c>
      <c r="X624" s="49">
        <v>43962.385416666664</v>
      </c>
      <c r="Y624" s="23">
        <v>1.3</v>
      </c>
      <c r="Z624" s="23">
        <v>43962.416666666664</v>
      </c>
      <c r="AA624" s="23">
        <v>1.3</v>
      </c>
      <c r="AB624" s="23">
        <v>0</v>
      </c>
      <c r="AC624" s="23">
        <v>0</v>
      </c>
      <c r="AD624" s="23">
        <v>0</v>
      </c>
      <c r="AE624" s="23">
        <v>45929.919999999998</v>
      </c>
      <c r="AF624" s="23">
        <v>59708.89</v>
      </c>
      <c r="AG624" s="23">
        <v>1935150.98</v>
      </c>
      <c r="AH624" s="23">
        <v>4</v>
      </c>
      <c r="AI624" s="23">
        <v>0</v>
      </c>
      <c r="AJ624" s="23">
        <v>-7.6899999999999996E-2</v>
      </c>
      <c r="AK624" s="23">
        <v>0</v>
      </c>
      <c r="AL624" s="23" t="s">
        <v>24</v>
      </c>
      <c r="AM624" s="23">
        <v>20.6</v>
      </c>
      <c r="AN624" s="23">
        <v>19509</v>
      </c>
      <c r="AO624" s="23">
        <v>20.23</v>
      </c>
      <c r="AP624" s="23">
        <v>0</v>
      </c>
      <c r="AR624" s="46"/>
      <c r="AS624" s="44"/>
      <c r="AT624" s="45"/>
      <c r="AU624" s="2">
        <v>43962</v>
      </c>
      <c r="AV624" s="52">
        <v>0.38541666666666669</v>
      </c>
      <c r="AW624" s="2" t="s">
        <v>212</v>
      </c>
      <c r="AY624" s="3"/>
      <c r="BA624" s="3"/>
      <c r="BG624" s="3"/>
      <c r="BH624" s="3"/>
    </row>
    <row r="625" spans="1:60">
      <c r="A625" s="23" t="s">
        <v>22</v>
      </c>
      <c r="B625" s="23" t="s">
        <v>23</v>
      </c>
      <c r="C625" s="27">
        <v>43962.416666666664</v>
      </c>
      <c r="D625" s="23">
        <v>20.350000000000001</v>
      </c>
      <c r="E625" s="27">
        <v>43962.489583333336</v>
      </c>
      <c r="F625" s="23">
        <v>20.6</v>
      </c>
      <c r="G625" s="31">
        <v>1.23E-2</v>
      </c>
      <c r="H625" s="23">
        <v>-617.15</v>
      </c>
      <c r="I625" s="31">
        <v>-1.23E-2</v>
      </c>
      <c r="J625" s="23">
        <v>2468.6149999999998</v>
      </c>
      <c r="K625" s="23">
        <v>50236.32</v>
      </c>
      <c r="L625" s="23">
        <v>46159.12</v>
      </c>
      <c r="M625" s="23">
        <v>8</v>
      </c>
      <c r="N625" s="23">
        <v>-77.14</v>
      </c>
      <c r="O625" s="31">
        <v>-1.47E-2</v>
      </c>
      <c r="P625" s="31">
        <v>4.8999999999999998E-3</v>
      </c>
      <c r="Q625" s="23" t="s">
        <v>24</v>
      </c>
      <c r="R625" s="23">
        <v>0</v>
      </c>
      <c r="S625" s="23">
        <v>20.75</v>
      </c>
      <c r="U625" s="47">
        <f>VLOOKUP(AU625,[1]expiry_dates!$B$2:$C$2894,2,FALSE)</f>
        <v>43979</v>
      </c>
      <c r="V625" s="23" t="s">
        <v>158</v>
      </c>
      <c r="W625" s="23" t="s">
        <v>23</v>
      </c>
      <c r="X625" s="49">
        <v>43962.416666666664</v>
      </c>
      <c r="Y625" s="23">
        <v>1.8</v>
      </c>
      <c r="Z625" s="23">
        <v>43962.489583333336</v>
      </c>
      <c r="AA625" s="23">
        <v>1.9</v>
      </c>
      <c r="AB625" s="23">
        <v>5.5599999999999997E-2</v>
      </c>
      <c r="AC625" s="23">
        <v>-3315.32</v>
      </c>
      <c r="AD625" s="23">
        <v>-5.5599999999999997E-2</v>
      </c>
      <c r="AE625" s="23">
        <v>33153.199999999997</v>
      </c>
      <c r="AF625" s="23">
        <v>59675.76</v>
      </c>
      <c r="AG625" s="23">
        <v>1931835.66</v>
      </c>
      <c r="AH625" s="23">
        <v>8</v>
      </c>
      <c r="AI625" s="23">
        <v>-414.41</v>
      </c>
      <c r="AJ625" s="23">
        <v>-5.5599999999999997E-2</v>
      </c>
      <c r="AK625" s="23">
        <v>5.5599999999999997E-2</v>
      </c>
      <c r="AL625" s="23" t="s">
        <v>24</v>
      </c>
      <c r="AM625" s="23">
        <v>20.350000000000001</v>
      </c>
      <c r="AN625" s="23">
        <v>19426.599999999999</v>
      </c>
      <c r="AO625" s="23">
        <v>20.75</v>
      </c>
      <c r="AP625" s="23">
        <v>0</v>
      </c>
      <c r="AR625" s="46"/>
      <c r="AS625" s="44"/>
      <c r="AT625" s="45"/>
      <c r="AU625" s="2">
        <v>43962</v>
      </c>
      <c r="AV625" s="52">
        <v>0.41666666666666669</v>
      </c>
      <c r="AW625" s="2" t="s">
        <v>212</v>
      </c>
      <c r="AY625" s="3"/>
      <c r="BA625" s="3"/>
      <c r="BG625" s="3"/>
      <c r="BH625" s="3"/>
    </row>
    <row r="626" spans="1:60">
      <c r="A626" s="23" t="s">
        <v>22</v>
      </c>
      <c r="B626" s="23" t="s">
        <v>25</v>
      </c>
      <c r="C626" s="27">
        <v>43962.489583333336</v>
      </c>
      <c r="D626" s="23">
        <v>20.6</v>
      </c>
      <c r="E626" s="27">
        <v>43962.583333333336</v>
      </c>
      <c r="F626" s="23">
        <v>20.45</v>
      </c>
      <c r="G626" s="31">
        <v>-7.3000000000000001E-3</v>
      </c>
      <c r="H626" s="23">
        <v>-365.77</v>
      </c>
      <c r="I626" s="31">
        <v>-7.3000000000000001E-3</v>
      </c>
      <c r="J626" s="23">
        <v>2438.4780000000001</v>
      </c>
      <c r="K626" s="23">
        <v>50232.65</v>
      </c>
      <c r="L626" s="23">
        <v>45793.35</v>
      </c>
      <c r="M626" s="23">
        <v>10</v>
      </c>
      <c r="N626" s="23">
        <v>-36.58</v>
      </c>
      <c r="O626" s="31">
        <v>-7.3000000000000001E-3</v>
      </c>
      <c r="P626" s="31">
        <v>7.3000000000000001E-3</v>
      </c>
      <c r="Q626" s="23" t="s">
        <v>24</v>
      </c>
      <c r="R626" s="23">
        <v>0</v>
      </c>
      <c r="S626" s="23">
        <v>20.260000000000002</v>
      </c>
      <c r="U626" s="47">
        <f>VLOOKUP(AU626,[1]expiry_dates!$B$2:$C$2894,2,FALSE)</f>
        <v>43979</v>
      </c>
      <c r="V626" s="23" t="s">
        <v>155</v>
      </c>
      <c r="W626" s="23" t="s">
        <v>23</v>
      </c>
      <c r="X626" s="49">
        <v>43962.489583333336</v>
      </c>
      <c r="Y626" s="23">
        <v>2.4</v>
      </c>
      <c r="Z626" s="23">
        <v>43962.583333333336</v>
      </c>
      <c r="AA626" s="23">
        <v>2.35</v>
      </c>
      <c r="AB626" s="23">
        <v>-2.0799999999999999E-2</v>
      </c>
      <c r="AC626" s="23">
        <v>1242.9000000000001</v>
      </c>
      <c r="AD626" s="23">
        <v>2.0799999999999999E-2</v>
      </c>
      <c r="AE626" s="23">
        <v>24857.99</v>
      </c>
      <c r="AF626" s="23">
        <v>59659.18</v>
      </c>
      <c r="AG626" s="23">
        <v>1933078.56</v>
      </c>
      <c r="AH626" s="23">
        <v>10</v>
      </c>
      <c r="AI626" s="23">
        <v>124.29</v>
      </c>
      <c r="AJ626" s="23">
        <v>-6.25E-2</v>
      </c>
      <c r="AK626" s="23">
        <v>2.0799999999999999E-2</v>
      </c>
      <c r="AL626" s="23" t="s">
        <v>24</v>
      </c>
      <c r="AM626" s="23">
        <v>20.6</v>
      </c>
      <c r="AN626" s="23">
        <v>19254.150000000001</v>
      </c>
      <c r="AO626" s="23">
        <v>20.260000000000002</v>
      </c>
      <c r="AP626" s="23">
        <v>0</v>
      </c>
      <c r="AR626" s="46"/>
      <c r="AS626" s="44"/>
      <c r="AT626" s="45"/>
      <c r="AU626" s="2">
        <v>43962</v>
      </c>
      <c r="AV626" s="52">
        <v>0.48958333333333331</v>
      </c>
      <c r="AW626" s="2" t="s">
        <v>212</v>
      </c>
      <c r="AY626" s="3"/>
      <c r="BA626" s="3"/>
      <c r="BG626" s="3"/>
      <c r="BH626" s="3"/>
    </row>
    <row r="627" spans="1:60">
      <c r="A627" s="23" t="s">
        <v>22</v>
      </c>
      <c r="B627" s="23" t="s">
        <v>23</v>
      </c>
      <c r="C627" s="27">
        <v>43962.583333333336</v>
      </c>
      <c r="D627" s="23">
        <v>20.45</v>
      </c>
      <c r="E627" s="27">
        <v>43963.59375</v>
      </c>
      <c r="F627" s="23">
        <v>20.100000000000001</v>
      </c>
      <c r="G627" s="31">
        <v>-1.7100000000000001E-2</v>
      </c>
      <c r="H627" s="23">
        <v>859.67</v>
      </c>
      <c r="I627" s="31">
        <v>1.7100000000000001E-2</v>
      </c>
      <c r="J627" s="23">
        <v>2456.2139999999999</v>
      </c>
      <c r="K627" s="23">
        <v>50229.57</v>
      </c>
      <c r="L627" s="23">
        <v>46653.02</v>
      </c>
      <c r="M627" s="23">
        <v>30</v>
      </c>
      <c r="N627" s="23">
        <v>28.66</v>
      </c>
      <c r="O627" s="31">
        <v>-7.3000000000000001E-3</v>
      </c>
      <c r="P627" s="31">
        <v>2.93E-2</v>
      </c>
      <c r="Q627" s="23" t="s">
        <v>24</v>
      </c>
      <c r="R627" s="23">
        <v>0</v>
      </c>
      <c r="S627" s="23">
        <v>20.75</v>
      </c>
      <c r="U627" s="47">
        <f>VLOOKUP(AU627,[1]expiry_dates!$B$2:$C$2894,2,FALSE)</f>
        <v>43979</v>
      </c>
      <c r="V627" s="23" t="s">
        <v>158</v>
      </c>
      <c r="W627" s="23" t="s">
        <v>23</v>
      </c>
      <c r="X627" s="49">
        <v>43962.583333333336</v>
      </c>
      <c r="Y627" s="23">
        <v>1.8</v>
      </c>
      <c r="Z627" s="23">
        <v>43963.59375</v>
      </c>
      <c r="AA627" s="23">
        <v>1.5</v>
      </c>
      <c r="AB627" s="23">
        <v>-0.16669999999999999</v>
      </c>
      <c r="AC627" s="23">
        <v>9944.23</v>
      </c>
      <c r="AD627" s="23">
        <v>0.16669999999999999</v>
      </c>
      <c r="AE627" s="23">
        <v>33147.440000000002</v>
      </c>
      <c r="AF627" s="23">
        <v>59665.39</v>
      </c>
      <c r="AG627" s="23">
        <v>1943022.79</v>
      </c>
      <c r="AH627" s="23">
        <v>30</v>
      </c>
      <c r="AI627" s="23">
        <v>331.47</v>
      </c>
      <c r="AJ627" s="23">
        <v>-5.5599999999999997E-2</v>
      </c>
      <c r="AK627" s="23">
        <v>0.22220000000000001</v>
      </c>
      <c r="AL627" s="23" t="s">
        <v>24</v>
      </c>
      <c r="AM627" s="23">
        <v>20.45</v>
      </c>
      <c r="AN627" s="23">
        <v>19088.599999999999</v>
      </c>
      <c r="AO627" s="23">
        <v>20.75</v>
      </c>
      <c r="AP627" s="23">
        <v>0</v>
      </c>
      <c r="AR627" s="46"/>
      <c r="AS627" s="44"/>
      <c r="AT627" s="45"/>
      <c r="AU627" s="2">
        <v>43962</v>
      </c>
      <c r="AV627" s="52">
        <v>8.3333333333333329E-2</v>
      </c>
      <c r="AW627" s="2" t="s">
        <v>213</v>
      </c>
      <c r="AY627" s="3"/>
      <c r="BA627" s="3"/>
      <c r="BG627" s="3"/>
      <c r="BH627" s="3"/>
    </row>
    <row r="628" spans="1:60">
      <c r="A628" s="23" t="s">
        <v>22</v>
      </c>
      <c r="B628" s="23" t="s">
        <v>25</v>
      </c>
      <c r="C628" s="27">
        <v>43963.59375</v>
      </c>
      <c r="D628" s="23">
        <v>20.100000000000001</v>
      </c>
      <c r="E628" s="27">
        <v>43964.541666666664</v>
      </c>
      <c r="F628" s="23">
        <v>21.1</v>
      </c>
      <c r="G628" s="31">
        <v>4.9799999999999997E-2</v>
      </c>
      <c r="H628" s="23">
        <v>2499.23</v>
      </c>
      <c r="I628" s="31">
        <v>4.9799999999999997E-2</v>
      </c>
      <c r="J628" s="23">
        <v>2499.2289999999998</v>
      </c>
      <c r="K628" s="23">
        <v>50234.49</v>
      </c>
      <c r="L628" s="23">
        <v>49152.25</v>
      </c>
      <c r="M628" s="23">
        <v>24</v>
      </c>
      <c r="N628" s="23">
        <v>104.13</v>
      </c>
      <c r="O628" s="31">
        <v>-5.0000000000000001E-3</v>
      </c>
      <c r="P628" s="31">
        <v>7.9600000000000004E-2</v>
      </c>
      <c r="Q628" s="23" t="s">
        <v>24</v>
      </c>
      <c r="R628" s="23">
        <v>0</v>
      </c>
      <c r="S628" s="23">
        <v>19.86</v>
      </c>
      <c r="U628" s="47">
        <f>VLOOKUP(AU628,[1]expiry_dates!$B$2:$C$2894,2,FALSE)</f>
        <v>43979</v>
      </c>
      <c r="V628" s="23" t="s">
        <v>169</v>
      </c>
      <c r="W628" s="23" t="s">
        <v>23</v>
      </c>
      <c r="X628" s="49">
        <v>43963.59375</v>
      </c>
      <c r="Y628" s="23">
        <v>0.95</v>
      </c>
      <c r="Z628" s="23">
        <v>43964.541666666664</v>
      </c>
      <c r="AA628" s="23">
        <v>0.55000000000000004</v>
      </c>
      <c r="AB628" s="23">
        <v>-0.42109999999999997</v>
      </c>
      <c r="AC628" s="23">
        <v>25146.7</v>
      </c>
      <c r="AD628" s="23">
        <v>0.42109999999999997</v>
      </c>
      <c r="AE628" s="23">
        <v>62866.74</v>
      </c>
      <c r="AF628" s="23">
        <v>59723.4</v>
      </c>
      <c r="AG628" s="23">
        <v>1968169.49</v>
      </c>
      <c r="AH628" s="23">
        <v>24</v>
      </c>
      <c r="AI628" s="23">
        <v>1047.78</v>
      </c>
      <c r="AJ628" s="23">
        <v>0</v>
      </c>
      <c r="AK628" s="23">
        <v>0.47370000000000001</v>
      </c>
      <c r="AL628" s="23" t="s">
        <v>24</v>
      </c>
      <c r="AM628" s="23">
        <v>20.100000000000001</v>
      </c>
      <c r="AN628" s="23">
        <v>18718.349999999999</v>
      </c>
      <c r="AO628" s="23">
        <v>19.86</v>
      </c>
      <c r="AP628" s="23">
        <v>0</v>
      </c>
      <c r="AR628" s="46"/>
      <c r="AS628" s="44"/>
      <c r="AT628" s="45"/>
      <c r="AU628" s="2">
        <v>43963</v>
      </c>
      <c r="AV628" s="52">
        <v>9.375E-2</v>
      </c>
      <c r="AW628" s="2" t="s">
        <v>213</v>
      </c>
      <c r="AY628" s="3"/>
      <c r="BA628" s="3"/>
      <c r="BG628" s="3"/>
      <c r="BH628" s="3"/>
    </row>
    <row r="629" spans="1:60">
      <c r="A629" s="23" t="s">
        <v>22</v>
      </c>
      <c r="B629" s="23" t="s">
        <v>23</v>
      </c>
      <c r="C629" s="27">
        <v>43964.541666666664</v>
      </c>
      <c r="D629" s="23">
        <v>21.1</v>
      </c>
      <c r="E629" s="27">
        <v>43964.583333333336</v>
      </c>
      <c r="F629" s="23">
        <v>21.5</v>
      </c>
      <c r="G629" s="31">
        <v>1.9E-2</v>
      </c>
      <c r="H629" s="23">
        <v>-952.54</v>
      </c>
      <c r="I629" s="31">
        <v>-1.9E-2</v>
      </c>
      <c r="J629" s="23">
        <v>2381.3449999999998</v>
      </c>
      <c r="K629" s="23">
        <v>50246.39</v>
      </c>
      <c r="L629" s="23">
        <v>48199.71</v>
      </c>
      <c r="M629" s="23">
        <v>5</v>
      </c>
      <c r="N629" s="23">
        <v>-190.51</v>
      </c>
      <c r="O629" s="31">
        <v>-1.9E-2</v>
      </c>
      <c r="P629" s="31">
        <v>2.3999999999999998E-3</v>
      </c>
      <c r="Q629" s="23" t="s">
        <v>24</v>
      </c>
      <c r="R629" s="23">
        <v>0</v>
      </c>
      <c r="S629" s="23">
        <v>21.7</v>
      </c>
      <c r="U629" s="47">
        <f>VLOOKUP(AU629,[1]expiry_dates!$B$2:$C$2894,2,FALSE)</f>
        <v>43979</v>
      </c>
      <c r="V629" s="23" t="s">
        <v>156</v>
      </c>
      <c r="W629" s="23" t="s">
        <v>23</v>
      </c>
      <c r="X629" s="49">
        <v>43964.541666666664</v>
      </c>
      <c r="Y629" s="23">
        <v>1.1499999999999999</v>
      </c>
      <c r="Z629" s="23">
        <v>43964.583333333336</v>
      </c>
      <c r="AA629" s="23">
        <v>1.45</v>
      </c>
      <c r="AB629" s="23">
        <v>0.26090000000000002</v>
      </c>
      <c r="AC629" s="23">
        <v>-15610.66</v>
      </c>
      <c r="AD629" s="23">
        <v>-0.26090000000000002</v>
      </c>
      <c r="AE629" s="23">
        <v>52035.519999999997</v>
      </c>
      <c r="AF629" s="23">
        <v>59840.85</v>
      </c>
      <c r="AG629" s="23">
        <v>1952558.83</v>
      </c>
      <c r="AH629" s="23">
        <v>5</v>
      </c>
      <c r="AI629" s="23">
        <v>-3122.13</v>
      </c>
      <c r="AJ629" s="23">
        <v>-0.26090000000000002</v>
      </c>
      <c r="AK629" s="23">
        <v>0</v>
      </c>
      <c r="AL629" s="23" t="s">
        <v>24</v>
      </c>
      <c r="AM629" s="23">
        <v>21.1</v>
      </c>
      <c r="AN629" s="23">
        <v>19503.349999999999</v>
      </c>
      <c r="AO629" s="23">
        <v>21.7</v>
      </c>
      <c r="AP629" s="23">
        <v>0</v>
      </c>
      <c r="AR629" s="46"/>
      <c r="AS629" s="44"/>
      <c r="AT629" s="45"/>
      <c r="AU629" s="2">
        <v>43964</v>
      </c>
      <c r="AV629" s="52">
        <v>4.1666666666666664E-2</v>
      </c>
      <c r="AW629" s="2" t="s">
        <v>213</v>
      </c>
      <c r="AY629" s="3"/>
      <c r="BA629" s="3"/>
      <c r="BG629" s="3"/>
      <c r="BH629" s="3"/>
    </row>
    <row r="630" spans="1:60">
      <c r="A630" s="23" t="s">
        <v>22</v>
      </c>
      <c r="B630" s="23" t="s">
        <v>25</v>
      </c>
      <c r="C630" s="27">
        <v>43964.583333333336</v>
      </c>
      <c r="D630" s="23">
        <v>21.5</v>
      </c>
      <c r="E630" s="27">
        <v>43965.385416666664</v>
      </c>
      <c r="F630" s="23">
        <v>21.35</v>
      </c>
      <c r="G630" s="31">
        <v>-7.0000000000000001E-3</v>
      </c>
      <c r="H630" s="23">
        <v>-350.53</v>
      </c>
      <c r="I630" s="31">
        <v>-7.0000000000000001E-3</v>
      </c>
      <c r="J630" s="23">
        <v>2336.8739999999998</v>
      </c>
      <c r="K630" s="23">
        <v>50242.79</v>
      </c>
      <c r="L630" s="23">
        <v>47849.18</v>
      </c>
      <c r="M630" s="23">
        <v>10</v>
      </c>
      <c r="N630" s="23">
        <v>-35.049999999999997</v>
      </c>
      <c r="O630" s="31">
        <v>-1.4E-2</v>
      </c>
      <c r="P630" s="31">
        <v>5.1200000000000002E-2</v>
      </c>
      <c r="Q630" s="23" t="s">
        <v>24</v>
      </c>
      <c r="R630" s="23">
        <v>0</v>
      </c>
      <c r="S630" s="23">
        <v>21.05</v>
      </c>
      <c r="U630" s="47">
        <f>VLOOKUP(AU630,[1]expiry_dates!$B$2:$C$2894,2,FALSE)</f>
        <v>43979</v>
      </c>
      <c r="V630" s="23" t="s">
        <v>155</v>
      </c>
      <c r="W630" s="23" t="s">
        <v>23</v>
      </c>
      <c r="X630" s="49">
        <v>43964.583333333336</v>
      </c>
      <c r="Y630" s="23">
        <v>1.8</v>
      </c>
      <c r="Z630" s="23">
        <v>43965.385416666664</v>
      </c>
      <c r="AA630" s="23">
        <v>2</v>
      </c>
      <c r="AB630" s="23">
        <v>0.1111</v>
      </c>
      <c r="AC630" s="23">
        <v>-6641.76</v>
      </c>
      <c r="AD630" s="23">
        <v>-0.1111</v>
      </c>
      <c r="AE630" s="23">
        <v>33208.78</v>
      </c>
      <c r="AF630" s="23">
        <v>59775.8</v>
      </c>
      <c r="AG630" s="23">
        <v>1945917.08</v>
      </c>
      <c r="AH630" s="23">
        <v>10</v>
      </c>
      <c r="AI630" s="23">
        <v>-664.18</v>
      </c>
      <c r="AJ630" s="23">
        <v>-0.1111</v>
      </c>
      <c r="AK630" s="23">
        <v>0.16669999999999999</v>
      </c>
      <c r="AL630" s="23" t="s">
        <v>24</v>
      </c>
      <c r="AM630" s="23">
        <v>21.5</v>
      </c>
      <c r="AN630" s="23">
        <v>19645.150000000001</v>
      </c>
      <c r="AO630" s="23">
        <v>21.05</v>
      </c>
      <c r="AP630" s="23">
        <v>0</v>
      </c>
      <c r="AR630" s="46"/>
      <c r="AS630" s="44"/>
      <c r="AT630" s="45"/>
      <c r="AU630" s="2">
        <v>43964</v>
      </c>
      <c r="AV630" s="52">
        <v>8.3333333333333329E-2</v>
      </c>
      <c r="AW630" s="2" t="s">
        <v>213</v>
      </c>
      <c r="AY630" s="3"/>
      <c r="BA630" s="3"/>
      <c r="BG630" s="3"/>
      <c r="BH630" s="3"/>
    </row>
    <row r="631" spans="1:60">
      <c r="A631" s="23" t="s">
        <v>22</v>
      </c>
      <c r="B631" s="23" t="s">
        <v>23</v>
      </c>
      <c r="C631" s="27">
        <v>43965.385416666664</v>
      </c>
      <c r="D631" s="23">
        <v>21.35</v>
      </c>
      <c r="E631" s="27">
        <v>43966.489583333336</v>
      </c>
      <c r="F631" s="23">
        <v>20.95</v>
      </c>
      <c r="G631" s="31">
        <v>-1.8700000000000001E-2</v>
      </c>
      <c r="H631" s="23">
        <v>941.24</v>
      </c>
      <c r="I631" s="31">
        <v>1.8700000000000001E-2</v>
      </c>
      <c r="J631" s="23">
        <v>2353.0990000000002</v>
      </c>
      <c r="K631" s="23">
        <v>50238.66</v>
      </c>
      <c r="L631" s="23">
        <v>48790.42</v>
      </c>
      <c r="M631" s="23">
        <v>39</v>
      </c>
      <c r="N631" s="23">
        <v>24.13</v>
      </c>
      <c r="O631" s="31">
        <v>-1.17E-2</v>
      </c>
      <c r="P631" s="31">
        <v>3.04E-2</v>
      </c>
      <c r="Q631" s="23" t="s">
        <v>24</v>
      </c>
      <c r="R631" s="23">
        <v>0</v>
      </c>
      <c r="S631" s="23">
        <v>22.51</v>
      </c>
      <c r="U631" s="47">
        <f>VLOOKUP(AU631,[1]expiry_dates!$B$2:$C$2894,2,FALSE)</f>
        <v>43979</v>
      </c>
      <c r="V631" s="23" t="s">
        <v>163</v>
      </c>
      <c r="W631" s="23" t="s">
        <v>23</v>
      </c>
      <c r="X631" s="49">
        <v>43965.385416666664</v>
      </c>
      <c r="Y631" s="23">
        <v>1.9</v>
      </c>
      <c r="Z631" s="23">
        <v>43966.489583333336</v>
      </c>
      <c r="AA631" s="23">
        <v>1.45</v>
      </c>
      <c r="AB631" s="23">
        <v>-0.23680000000000001</v>
      </c>
      <c r="AC631" s="23">
        <v>14152.38</v>
      </c>
      <c r="AD631" s="23">
        <v>0.23680000000000001</v>
      </c>
      <c r="AE631" s="23">
        <v>31449.73</v>
      </c>
      <c r="AF631" s="23">
        <v>59754.49</v>
      </c>
      <c r="AG631" s="23">
        <v>1960069.46</v>
      </c>
      <c r="AH631" s="23">
        <v>39</v>
      </c>
      <c r="AI631" s="23">
        <v>362.88</v>
      </c>
      <c r="AJ631" s="23">
        <v>-2.63E-2</v>
      </c>
      <c r="AK631" s="23">
        <v>0.26319999999999999</v>
      </c>
      <c r="AL631" s="23" t="s">
        <v>24</v>
      </c>
      <c r="AM631" s="23">
        <v>21.35</v>
      </c>
      <c r="AN631" s="23">
        <v>19301.599999999999</v>
      </c>
      <c r="AO631" s="23">
        <v>22.51</v>
      </c>
      <c r="AP631" s="23">
        <v>0</v>
      </c>
      <c r="AR631" s="46"/>
      <c r="AS631" s="44"/>
      <c r="AT631" s="45"/>
      <c r="AU631" s="2">
        <v>43965</v>
      </c>
      <c r="AV631" s="52">
        <v>0.38541666666666669</v>
      </c>
      <c r="AW631" s="2" t="s">
        <v>212</v>
      </c>
      <c r="AY631" s="3"/>
      <c r="BA631" s="3"/>
      <c r="BG631" s="3"/>
      <c r="BH631" s="3"/>
    </row>
    <row r="632" spans="1:60">
      <c r="A632" s="23" t="s">
        <v>22</v>
      </c>
      <c r="B632" s="23" t="s">
        <v>25</v>
      </c>
      <c r="C632" s="27">
        <v>43966.489583333336</v>
      </c>
      <c r="D632" s="23">
        <v>20.95</v>
      </c>
      <c r="E632" s="27">
        <v>43966.604166666664</v>
      </c>
      <c r="F632" s="23">
        <v>20.9</v>
      </c>
      <c r="G632" s="31">
        <v>-2.3999999999999998E-3</v>
      </c>
      <c r="H632" s="23">
        <v>-119.92</v>
      </c>
      <c r="I632" s="31">
        <v>-2.3999999999999998E-3</v>
      </c>
      <c r="J632" s="23">
        <v>2398.3069999999998</v>
      </c>
      <c r="K632" s="23">
        <v>50244.54</v>
      </c>
      <c r="L632" s="23">
        <v>48670.5</v>
      </c>
      <c r="M632" s="23">
        <v>12</v>
      </c>
      <c r="N632" s="23">
        <v>-9.99</v>
      </c>
      <c r="O632" s="31">
        <v>-4.7999999999999996E-3</v>
      </c>
      <c r="P632" s="31">
        <v>7.1999999999999998E-3</v>
      </c>
      <c r="Q632" s="23" t="s">
        <v>24</v>
      </c>
      <c r="R632" s="23">
        <v>0</v>
      </c>
      <c r="S632" s="23">
        <v>20.71</v>
      </c>
      <c r="U632" s="47">
        <f>VLOOKUP(AU632,[1]expiry_dates!$B$2:$C$2894,2,FALSE)</f>
        <v>43979</v>
      </c>
      <c r="V632" s="23" t="s">
        <v>166</v>
      </c>
      <c r="W632" s="23" t="s">
        <v>23</v>
      </c>
      <c r="X632" s="49">
        <v>43966.489583333336</v>
      </c>
      <c r="Y632" s="23">
        <v>0.1</v>
      </c>
      <c r="Z632" s="23">
        <v>43966.604166666664</v>
      </c>
      <c r="AA632" s="23">
        <v>0.1</v>
      </c>
      <c r="AB632" s="23">
        <v>0</v>
      </c>
      <c r="AC632" s="23">
        <v>0</v>
      </c>
      <c r="AD632" s="23">
        <v>0</v>
      </c>
      <c r="AE632" s="23">
        <v>598003.4</v>
      </c>
      <c r="AF632" s="23">
        <v>59800.34</v>
      </c>
      <c r="AG632" s="23">
        <v>1960069.46</v>
      </c>
      <c r="AH632" s="23">
        <v>12</v>
      </c>
      <c r="AI632" s="23">
        <v>0</v>
      </c>
      <c r="AJ632" s="23">
        <v>0</v>
      </c>
      <c r="AK632" s="23">
        <v>0</v>
      </c>
      <c r="AL632" s="23" t="s">
        <v>24</v>
      </c>
      <c r="AM632" s="23">
        <v>20.95</v>
      </c>
      <c r="AN632" s="23">
        <v>18760</v>
      </c>
      <c r="AO632" s="23">
        <v>20.71</v>
      </c>
      <c r="AP632" s="23">
        <v>0</v>
      </c>
      <c r="AR632" s="46"/>
      <c r="AS632" s="44"/>
      <c r="AT632" s="45"/>
      <c r="AU632" s="2">
        <v>43966</v>
      </c>
      <c r="AV632" s="52">
        <v>0.48958333333333331</v>
      </c>
      <c r="AW632" s="2" t="s">
        <v>212</v>
      </c>
      <c r="AY632" s="3"/>
      <c r="BA632" s="3"/>
      <c r="BG632" s="3"/>
      <c r="BH632" s="3"/>
    </row>
    <row r="633" spans="1:60">
      <c r="A633" s="23" t="s">
        <v>22</v>
      </c>
      <c r="B633" s="23" t="s">
        <v>23</v>
      </c>
      <c r="C633" s="27">
        <v>43966.604166666664</v>
      </c>
      <c r="D633" s="23">
        <v>20.9</v>
      </c>
      <c r="E633" s="27">
        <v>43969.572916666664</v>
      </c>
      <c r="F633" s="23">
        <v>20.149999999999999</v>
      </c>
      <c r="G633" s="31">
        <v>-3.5900000000000001E-2</v>
      </c>
      <c r="H633" s="23">
        <v>1803.01</v>
      </c>
      <c r="I633" s="31">
        <v>3.5900000000000001E-2</v>
      </c>
      <c r="J633" s="23">
        <v>2404.0169999999998</v>
      </c>
      <c r="K633" s="23">
        <v>50243.95</v>
      </c>
      <c r="L633" s="23">
        <v>50473.52</v>
      </c>
      <c r="M633" s="23">
        <v>26</v>
      </c>
      <c r="N633" s="23">
        <v>69.349999999999994</v>
      </c>
      <c r="O633" s="31">
        <v>-4.7999999999999996E-3</v>
      </c>
      <c r="P633" s="31">
        <v>6.4600000000000005E-2</v>
      </c>
      <c r="Q633" s="23" t="s">
        <v>24</v>
      </c>
      <c r="R633" s="23">
        <v>0</v>
      </c>
      <c r="S633" s="23">
        <v>21.09</v>
      </c>
      <c r="U633" s="47">
        <f>VLOOKUP(AU633,[1]expiry_dates!$B$2:$C$2894,2,FALSE)</f>
        <v>43979</v>
      </c>
      <c r="V633" s="23" t="s">
        <v>163</v>
      </c>
      <c r="W633" s="23" t="s">
        <v>23</v>
      </c>
      <c r="X633" s="49">
        <v>43966.604166666664</v>
      </c>
      <c r="Y633" s="23">
        <v>1.45</v>
      </c>
      <c r="Z633" s="23">
        <v>43969.572916666664</v>
      </c>
      <c r="AA633" s="23">
        <v>0.95</v>
      </c>
      <c r="AB633" s="23">
        <v>-0.3448</v>
      </c>
      <c r="AC633" s="23">
        <v>20620.810000000001</v>
      </c>
      <c r="AD633" s="23">
        <v>0.3448</v>
      </c>
      <c r="AE633" s="23">
        <v>41241.620000000003</v>
      </c>
      <c r="AF633" s="23">
        <v>59800.35</v>
      </c>
      <c r="AG633" s="23">
        <v>1980690.26</v>
      </c>
      <c r="AH633" s="23">
        <v>26</v>
      </c>
      <c r="AI633" s="23">
        <v>793.11</v>
      </c>
      <c r="AJ633" s="23">
        <v>-3.4500000000000003E-2</v>
      </c>
      <c r="AK633" s="23">
        <v>0.48280000000000001</v>
      </c>
      <c r="AL633" s="23" t="s">
        <v>24</v>
      </c>
      <c r="AM633" s="23">
        <v>20.9</v>
      </c>
      <c r="AN633" s="23">
        <v>18856.599999999999</v>
      </c>
      <c r="AO633" s="23">
        <v>21.09</v>
      </c>
      <c r="AP633" s="23">
        <v>0</v>
      </c>
      <c r="AR633" s="46"/>
      <c r="AS633" s="44"/>
      <c r="AT633" s="45"/>
      <c r="AU633" s="2">
        <v>43966</v>
      </c>
      <c r="AV633" s="52">
        <v>0.10416666666666667</v>
      </c>
      <c r="AW633" s="2" t="s">
        <v>213</v>
      </c>
      <c r="AY633" s="3"/>
      <c r="BA633" s="3"/>
      <c r="BG633" s="3"/>
      <c r="BH633" s="3"/>
    </row>
    <row r="634" spans="1:60">
      <c r="A634" s="23" t="s">
        <v>22</v>
      </c>
      <c r="B634" s="23" t="s">
        <v>25</v>
      </c>
      <c r="C634" s="27">
        <v>43969.572916666664</v>
      </c>
      <c r="D634" s="23">
        <v>20.149999999999999</v>
      </c>
      <c r="E634" s="27">
        <v>43969.625</v>
      </c>
      <c r="F634" s="23">
        <v>19.850000000000001</v>
      </c>
      <c r="G634" s="31">
        <v>-1.49E-2</v>
      </c>
      <c r="H634" s="23">
        <v>-748.23</v>
      </c>
      <c r="I634" s="31">
        <v>-1.49E-2</v>
      </c>
      <c r="J634" s="23">
        <v>2494.0929999999998</v>
      </c>
      <c r="K634" s="23">
        <v>50255.97</v>
      </c>
      <c r="L634" s="23">
        <v>49725.29</v>
      </c>
      <c r="M634" s="23">
        <v>6</v>
      </c>
      <c r="N634" s="23">
        <v>-124.7</v>
      </c>
      <c r="O634" s="31">
        <v>-1.7399999999999999E-2</v>
      </c>
      <c r="P634" s="31">
        <v>5.0000000000000001E-3</v>
      </c>
      <c r="Q634" s="23" t="s">
        <v>24</v>
      </c>
      <c r="R634" s="23">
        <v>0</v>
      </c>
      <c r="S634" s="23">
        <v>19.57</v>
      </c>
      <c r="U634" s="47">
        <f>VLOOKUP(AU634,[1]expiry_dates!$B$2:$C$2894,2,FALSE)</f>
        <v>43979</v>
      </c>
      <c r="V634" s="23" t="s">
        <v>169</v>
      </c>
      <c r="W634" s="23" t="s">
        <v>23</v>
      </c>
      <c r="X634" s="49">
        <v>43969.572916666664</v>
      </c>
      <c r="Y634" s="23">
        <v>0.7</v>
      </c>
      <c r="Z634" s="23">
        <v>43969.625</v>
      </c>
      <c r="AA634" s="23">
        <v>0.8</v>
      </c>
      <c r="AB634" s="23">
        <v>0.1429</v>
      </c>
      <c r="AC634" s="23">
        <v>-8562.0499999999993</v>
      </c>
      <c r="AD634" s="23">
        <v>-0.1429</v>
      </c>
      <c r="AE634" s="23">
        <v>85620.55</v>
      </c>
      <c r="AF634" s="23">
        <v>59934.38</v>
      </c>
      <c r="AG634" s="23">
        <v>1972128.21</v>
      </c>
      <c r="AH634" s="23">
        <v>6</v>
      </c>
      <c r="AI634" s="23">
        <v>-1427.01</v>
      </c>
      <c r="AJ634" s="23">
        <v>-0.21429999999999999</v>
      </c>
      <c r="AK634" s="23">
        <v>0</v>
      </c>
      <c r="AL634" s="23" t="s">
        <v>24</v>
      </c>
      <c r="AM634" s="23">
        <v>20.149999999999999</v>
      </c>
      <c r="AN634" s="23">
        <v>17773.95</v>
      </c>
      <c r="AO634" s="23">
        <v>19.57</v>
      </c>
      <c r="AP634" s="23">
        <v>0</v>
      </c>
      <c r="AR634" s="46"/>
      <c r="AS634" s="44"/>
      <c r="AT634" s="45"/>
      <c r="AU634" s="2">
        <v>43969</v>
      </c>
      <c r="AV634" s="52">
        <v>7.2916666666666671E-2</v>
      </c>
      <c r="AW634" s="2" t="s">
        <v>213</v>
      </c>
      <c r="AY634" s="3"/>
      <c r="BA634" s="3"/>
      <c r="BG634" s="3"/>
      <c r="BH634" s="3"/>
    </row>
    <row r="635" spans="1:60">
      <c r="A635" s="23" t="s">
        <v>22</v>
      </c>
      <c r="B635" s="23" t="s">
        <v>23</v>
      </c>
      <c r="C635" s="27">
        <v>43969.625</v>
      </c>
      <c r="D635" s="23">
        <v>19.850000000000001</v>
      </c>
      <c r="E635" s="27">
        <v>43970.427083333336</v>
      </c>
      <c r="F635" s="23">
        <v>20.100000000000001</v>
      </c>
      <c r="G635" s="31">
        <v>1.26E-2</v>
      </c>
      <c r="H635" s="23">
        <v>-632.88</v>
      </c>
      <c r="I635" s="31">
        <v>-1.26E-2</v>
      </c>
      <c r="J635" s="23">
        <v>2531.511</v>
      </c>
      <c r="K635" s="23">
        <v>50250.5</v>
      </c>
      <c r="L635" s="23">
        <v>49092.41</v>
      </c>
      <c r="M635" s="23">
        <v>10</v>
      </c>
      <c r="N635" s="23">
        <v>-63.29</v>
      </c>
      <c r="O635" s="31">
        <v>-1.7600000000000001E-2</v>
      </c>
      <c r="P635" s="31">
        <v>1.5100000000000001E-2</v>
      </c>
      <c r="Q635" s="23" t="s">
        <v>24</v>
      </c>
      <c r="R635" s="23">
        <v>0</v>
      </c>
      <c r="S635" s="23">
        <v>20.25</v>
      </c>
      <c r="U635" s="47">
        <f>VLOOKUP(AU635,[1]expiry_dates!$B$2:$C$2894,2,FALSE)</f>
        <v>43979</v>
      </c>
      <c r="V635" s="23" t="s">
        <v>158</v>
      </c>
      <c r="W635" s="23" t="s">
        <v>23</v>
      </c>
      <c r="X635" s="49">
        <v>43969.625</v>
      </c>
      <c r="Y635" s="23">
        <v>1.1499999999999999</v>
      </c>
      <c r="Z635" s="23">
        <v>43970.427083333336</v>
      </c>
      <c r="AA635" s="23">
        <v>1.25</v>
      </c>
      <c r="AB635" s="23">
        <v>8.6999999999999994E-2</v>
      </c>
      <c r="AC635" s="23">
        <v>-5207.13</v>
      </c>
      <c r="AD635" s="23">
        <v>-8.6999999999999994E-2</v>
      </c>
      <c r="AE635" s="23">
        <v>52071.34</v>
      </c>
      <c r="AF635" s="23">
        <v>59882.04</v>
      </c>
      <c r="AG635" s="23">
        <v>1966921.08</v>
      </c>
      <c r="AH635" s="23">
        <v>10</v>
      </c>
      <c r="AI635" s="23">
        <v>-520.71</v>
      </c>
      <c r="AJ635" s="23">
        <v>-8.6999999999999994E-2</v>
      </c>
      <c r="AK635" s="23">
        <v>0.13039999999999999</v>
      </c>
      <c r="AL635" s="23" t="s">
        <v>24</v>
      </c>
      <c r="AM635" s="23">
        <v>19.850000000000001</v>
      </c>
      <c r="AN635" s="23">
        <v>17573.099999999999</v>
      </c>
      <c r="AO635" s="23">
        <v>20.25</v>
      </c>
      <c r="AP635" s="23">
        <v>0</v>
      </c>
      <c r="AR635" s="46"/>
      <c r="AS635" s="44"/>
      <c r="AT635" s="45"/>
      <c r="AU635" s="2">
        <v>43969</v>
      </c>
      <c r="AV635" s="52">
        <v>0.125</v>
      </c>
      <c r="AW635" s="2" t="s">
        <v>213</v>
      </c>
      <c r="AY635" s="3"/>
      <c r="BA635" s="3"/>
      <c r="BG635" s="3"/>
      <c r="BH635" s="3"/>
    </row>
    <row r="636" spans="1:60">
      <c r="A636" s="23" t="s">
        <v>22</v>
      </c>
      <c r="B636" s="23" t="s">
        <v>25</v>
      </c>
      <c r="C636" s="27">
        <v>43970.427083333336</v>
      </c>
      <c r="D636" s="23">
        <v>20.100000000000001</v>
      </c>
      <c r="E636" s="27">
        <v>43970.541666666664</v>
      </c>
      <c r="F636" s="23">
        <v>19.899999999999999</v>
      </c>
      <c r="G636" s="31">
        <v>-0.01</v>
      </c>
      <c r="H636" s="23">
        <v>-499.97</v>
      </c>
      <c r="I636" s="31">
        <v>-0.01</v>
      </c>
      <c r="J636" s="23">
        <v>2499.8690000000001</v>
      </c>
      <c r="K636" s="23">
        <v>50247.360000000001</v>
      </c>
      <c r="L636" s="23">
        <v>48592.44</v>
      </c>
      <c r="M636" s="23">
        <v>12</v>
      </c>
      <c r="N636" s="23">
        <v>-41.66</v>
      </c>
      <c r="O636" s="31">
        <v>-0.01</v>
      </c>
      <c r="P636" s="31">
        <v>0.01</v>
      </c>
      <c r="Q636" s="23" t="s">
        <v>24</v>
      </c>
      <c r="R636" s="23">
        <v>0</v>
      </c>
      <c r="S636" s="23">
        <v>19.55</v>
      </c>
      <c r="U636" s="47">
        <f>VLOOKUP(AU636,[1]expiry_dates!$B$2:$C$2894,2,FALSE)</f>
        <v>43979</v>
      </c>
      <c r="V636" s="23" t="s">
        <v>159</v>
      </c>
      <c r="W636" s="23" t="s">
        <v>23</v>
      </c>
      <c r="X636" s="49">
        <v>43970.427083333336</v>
      </c>
      <c r="Y636" s="23">
        <v>0.4</v>
      </c>
      <c r="Z636" s="23">
        <v>43970.541666666664</v>
      </c>
      <c r="AA636" s="23">
        <v>0.4</v>
      </c>
      <c r="AB636" s="23">
        <v>0</v>
      </c>
      <c r="AC636" s="23">
        <v>0</v>
      </c>
      <c r="AD636" s="23">
        <v>0</v>
      </c>
      <c r="AE636" s="23">
        <v>149651.6</v>
      </c>
      <c r="AF636" s="23">
        <v>59860.639999999999</v>
      </c>
      <c r="AG636" s="23">
        <v>1966921.08</v>
      </c>
      <c r="AH636" s="23">
        <v>12</v>
      </c>
      <c r="AI636" s="23">
        <v>0</v>
      </c>
      <c r="AJ636" s="23">
        <v>0</v>
      </c>
      <c r="AK636" s="23">
        <v>0.125</v>
      </c>
      <c r="AL636" s="23" t="s">
        <v>24</v>
      </c>
      <c r="AM636" s="23">
        <v>20.100000000000001</v>
      </c>
      <c r="AN636" s="23">
        <v>18051.099999999999</v>
      </c>
      <c r="AO636" s="23">
        <v>19.55</v>
      </c>
      <c r="AP636" s="23">
        <v>0</v>
      </c>
      <c r="AR636" s="46"/>
      <c r="AS636" s="44"/>
      <c r="AT636" s="45"/>
      <c r="AU636" s="2">
        <v>43970</v>
      </c>
      <c r="AV636" s="52">
        <v>0.42708333333333331</v>
      </c>
      <c r="AW636" s="2" t="s">
        <v>212</v>
      </c>
      <c r="AY636" s="3"/>
      <c r="BA636" s="3"/>
      <c r="BG636" s="3"/>
      <c r="BH636" s="3"/>
    </row>
    <row r="637" spans="1:60">
      <c r="A637" s="23" t="s">
        <v>22</v>
      </c>
      <c r="B637" s="23" t="s">
        <v>23</v>
      </c>
      <c r="C637" s="27">
        <v>43970.541666666664</v>
      </c>
      <c r="D637" s="23">
        <v>19.899999999999999</v>
      </c>
      <c r="E637" s="27">
        <v>43971.59375</v>
      </c>
      <c r="F637" s="23">
        <v>19.45</v>
      </c>
      <c r="G637" s="31">
        <v>-2.2599999999999999E-2</v>
      </c>
      <c r="H637" s="23">
        <v>1136.1500000000001</v>
      </c>
      <c r="I637" s="31">
        <v>2.2599999999999999E-2</v>
      </c>
      <c r="J637" s="23">
        <v>2524.7719999999999</v>
      </c>
      <c r="K637" s="23">
        <v>50242.96</v>
      </c>
      <c r="L637" s="23">
        <v>49728.59</v>
      </c>
      <c r="M637" s="23">
        <v>34</v>
      </c>
      <c r="N637" s="23">
        <v>33.42</v>
      </c>
      <c r="O637" s="31">
        <v>-5.0000000000000001E-3</v>
      </c>
      <c r="P637" s="31">
        <v>4.5199999999999997E-2</v>
      </c>
      <c r="Q637" s="23" t="s">
        <v>24</v>
      </c>
      <c r="R637" s="23">
        <v>0</v>
      </c>
      <c r="S637" s="23">
        <v>20.28</v>
      </c>
      <c r="U637" s="47">
        <f>VLOOKUP(AU637,[1]expiry_dates!$B$2:$C$2894,2,FALSE)</f>
        <v>43979</v>
      </c>
      <c r="V637" s="23" t="s">
        <v>158</v>
      </c>
      <c r="W637" s="23" t="s">
        <v>23</v>
      </c>
      <c r="X637" s="49">
        <v>43970.541666666664</v>
      </c>
      <c r="Y637" s="23">
        <v>1.05</v>
      </c>
      <c r="Z637" s="23">
        <v>43971.59375</v>
      </c>
      <c r="AA637" s="23">
        <v>0.8</v>
      </c>
      <c r="AB637" s="23">
        <v>-0.23810000000000001</v>
      </c>
      <c r="AC637" s="23">
        <v>14255.24</v>
      </c>
      <c r="AD637" s="23">
        <v>0.23810000000000001</v>
      </c>
      <c r="AE637" s="23">
        <v>57020.97</v>
      </c>
      <c r="AF637" s="23">
        <v>59872.02</v>
      </c>
      <c r="AG637" s="23">
        <v>1981176.32</v>
      </c>
      <c r="AH637" s="23">
        <v>34</v>
      </c>
      <c r="AI637" s="23">
        <v>419.27</v>
      </c>
      <c r="AJ637" s="23">
        <v>-4.7600000000000003E-2</v>
      </c>
      <c r="AK637" s="23">
        <v>0.42859999999999998</v>
      </c>
      <c r="AL637" s="23" t="s">
        <v>24</v>
      </c>
      <c r="AM637" s="23">
        <v>19.899999999999999</v>
      </c>
      <c r="AN637" s="23">
        <v>17750.099999999999</v>
      </c>
      <c r="AO637" s="23">
        <v>20.28</v>
      </c>
      <c r="AP637" s="23">
        <v>0</v>
      </c>
      <c r="AR637" s="46"/>
      <c r="AS637" s="44"/>
      <c r="AT637" s="45"/>
      <c r="AU637" s="2">
        <v>43970</v>
      </c>
      <c r="AV637" s="52">
        <v>4.1666666666666664E-2</v>
      </c>
      <c r="AW637" s="2" t="s">
        <v>213</v>
      </c>
      <c r="AY637" s="3"/>
      <c r="BA637" s="3"/>
      <c r="BG637" s="3"/>
      <c r="BH637" s="3"/>
    </row>
    <row r="638" spans="1:60">
      <c r="A638" s="23" t="s">
        <v>22</v>
      </c>
      <c r="B638" s="23" t="s">
        <v>25</v>
      </c>
      <c r="C638" s="27">
        <v>43971.59375</v>
      </c>
      <c r="D638" s="23">
        <v>19.45</v>
      </c>
      <c r="E638" s="27">
        <v>43972.416666666664</v>
      </c>
      <c r="F638" s="23">
        <v>19.25</v>
      </c>
      <c r="G638" s="31">
        <v>-1.03E-2</v>
      </c>
      <c r="H638" s="23">
        <v>-516.73</v>
      </c>
      <c r="I638" s="31">
        <v>-1.03E-2</v>
      </c>
      <c r="J638" s="23">
        <v>2583.672</v>
      </c>
      <c r="K638" s="23">
        <v>50252.43</v>
      </c>
      <c r="L638" s="23">
        <v>49211.85</v>
      </c>
      <c r="M638" s="23">
        <v>12</v>
      </c>
      <c r="N638" s="23">
        <v>-43.06</v>
      </c>
      <c r="O638" s="31">
        <v>-1.54E-2</v>
      </c>
      <c r="P638" s="31">
        <v>7.7000000000000002E-3</v>
      </c>
      <c r="Q638" s="23" t="s">
        <v>24</v>
      </c>
      <c r="R638" s="23">
        <v>0</v>
      </c>
      <c r="S638" s="23">
        <v>19</v>
      </c>
      <c r="U638" s="47">
        <f>VLOOKUP(AU638,[1]expiry_dates!$B$2:$C$2894,2,FALSE)</f>
        <v>43979</v>
      </c>
      <c r="V638" s="23" t="s">
        <v>169</v>
      </c>
      <c r="W638" s="23" t="s">
        <v>23</v>
      </c>
      <c r="X638" s="49">
        <v>43971.59375</v>
      </c>
      <c r="Y638" s="23">
        <v>0.75</v>
      </c>
      <c r="Z638" s="23">
        <v>43972.416666666664</v>
      </c>
      <c r="AA638" s="23">
        <v>0.85</v>
      </c>
      <c r="AB638" s="23">
        <v>0.1333</v>
      </c>
      <c r="AC638" s="23">
        <v>-7991.25</v>
      </c>
      <c r="AD638" s="23">
        <v>-0.1333</v>
      </c>
      <c r="AE638" s="23">
        <v>79912.52</v>
      </c>
      <c r="AF638" s="23">
        <v>59934.39</v>
      </c>
      <c r="AG638" s="23">
        <v>1973185.07</v>
      </c>
      <c r="AH638" s="23">
        <v>12</v>
      </c>
      <c r="AI638" s="23">
        <v>-665.94</v>
      </c>
      <c r="AJ638" s="23">
        <v>-0.26669999999999999</v>
      </c>
      <c r="AK638" s="23">
        <v>0</v>
      </c>
      <c r="AL638" s="23" t="s">
        <v>24</v>
      </c>
      <c r="AM638" s="23">
        <v>19.45</v>
      </c>
      <c r="AN638" s="23">
        <v>17879.650000000001</v>
      </c>
      <c r="AO638" s="23">
        <v>19</v>
      </c>
      <c r="AP638" s="23">
        <v>0</v>
      </c>
      <c r="AR638" s="46"/>
      <c r="AS638" s="44"/>
      <c r="AT638" s="45"/>
      <c r="AU638" s="2">
        <v>43971</v>
      </c>
      <c r="AV638" s="52">
        <v>9.375E-2</v>
      </c>
      <c r="AW638" s="2" t="s">
        <v>213</v>
      </c>
      <c r="AY638" s="3"/>
      <c r="BA638" s="3"/>
      <c r="BG638" s="3"/>
      <c r="BH638" s="3"/>
    </row>
    <row r="639" spans="1:60">
      <c r="A639" s="23" t="s">
        <v>22</v>
      </c>
      <c r="B639" s="23" t="s">
        <v>23</v>
      </c>
      <c r="C639" s="27">
        <v>43972.416666666664</v>
      </c>
      <c r="D639" s="23">
        <v>19.25</v>
      </c>
      <c r="E639" s="27">
        <v>43972.447916666664</v>
      </c>
      <c r="F639" s="23">
        <v>19.55</v>
      </c>
      <c r="G639" s="31">
        <v>1.5599999999999999E-2</v>
      </c>
      <c r="H639" s="23">
        <v>-783.08</v>
      </c>
      <c r="I639" s="31">
        <v>-1.5599999999999999E-2</v>
      </c>
      <c r="J639" s="23">
        <v>2610.252</v>
      </c>
      <c r="K639" s="23">
        <v>50247.35</v>
      </c>
      <c r="L639" s="23">
        <v>48428.78</v>
      </c>
      <c r="M639" s="23">
        <v>4</v>
      </c>
      <c r="N639" s="23">
        <v>-195.77</v>
      </c>
      <c r="O639" s="31">
        <v>-1.5599999999999999E-2</v>
      </c>
      <c r="P639" s="31">
        <v>2.5999999999999999E-3</v>
      </c>
      <c r="Q639" s="23" t="s">
        <v>24</v>
      </c>
      <c r="R639" s="23">
        <v>0</v>
      </c>
      <c r="S639" s="23">
        <v>19.59</v>
      </c>
      <c r="U639" s="47">
        <f>VLOOKUP(AU639,[1]expiry_dates!$B$2:$C$2894,2,FALSE)</f>
        <v>43979</v>
      </c>
      <c r="V639" s="23" t="s">
        <v>161</v>
      </c>
      <c r="W639" s="23" t="s">
        <v>23</v>
      </c>
      <c r="X639" s="49">
        <v>43972.416666666664</v>
      </c>
      <c r="Y639" s="23">
        <v>0.95</v>
      </c>
      <c r="Z639" s="23">
        <v>43972.447916666664</v>
      </c>
      <c r="AA639" s="23">
        <v>1.05</v>
      </c>
      <c r="AB639" s="23">
        <v>0.1053</v>
      </c>
      <c r="AC639" s="23">
        <v>-6303.78</v>
      </c>
      <c r="AD639" s="23">
        <v>-0.1053</v>
      </c>
      <c r="AE639" s="23">
        <v>63037.79</v>
      </c>
      <c r="AF639" s="23">
        <v>59885.9</v>
      </c>
      <c r="AG639" s="23">
        <v>1966881.29</v>
      </c>
      <c r="AH639" s="23">
        <v>4</v>
      </c>
      <c r="AI639" s="23">
        <v>-1575.94</v>
      </c>
      <c r="AJ639" s="23">
        <v>-0.1053</v>
      </c>
      <c r="AK639" s="23">
        <v>0</v>
      </c>
      <c r="AL639" s="23" t="s">
        <v>24</v>
      </c>
      <c r="AM639" s="23">
        <v>19.25</v>
      </c>
      <c r="AN639" s="23">
        <v>18094.400000000001</v>
      </c>
      <c r="AO639" s="23">
        <v>19.59</v>
      </c>
      <c r="AP639" s="23">
        <v>0</v>
      </c>
      <c r="AR639" s="46"/>
      <c r="AS639" s="44"/>
      <c r="AT639" s="45"/>
      <c r="AU639" s="2">
        <v>43972</v>
      </c>
      <c r="AV639" s="52">
        <v>0.41666666666666669</v>
      </c>
      <c r="AW639" s="2" t="s">
        <v>212</v>
      </c>
      <c r="AY639" s="3"/>
      <c r="BA639" s="3"/>
      <c r="BG639" s="3"/>
      <c r="BH639" s="3"/>
    </row>
    <row r="640" spans="1:60">
      <c r="A640" s="23" t="s">
        <v>22</v>
      </c>
      <c r="B640" s="23" t="s">
        <v>25</v>
      </c>
      <c r="C640" s="27">
        <v>43972.447916666664</v>
      </c>
      <c r="D640" s="23">
        <v>19.55</v>
      </c>
      <c r="E640" s="27">
        <v>43972.520833333336</v>
      </c>
      <c r="F640" s="23">
        <v>19.3</v>
      </c>
      <c r="G640" s="31">
        <v>-1.2800000000000001E-2</v>
      </c>
      <c r="H640" s="23">
        <v>-642.5</v>
      </c>
      <c r="I640" s="31">
        <v>-1.2800000000000001E-2</v>
      </c>
      <c r="J640" s="23">
        <v>2569.998</v>
      </c>
      <c r="K640" s="23">
        <v>50243.45</v>
      </c>
      <c r="L640" s="23">
        <v>47786.28</v>
      </c>
      <c r="M640" s="23">
        <v>8</v>
      </c>
      <c r="N640" s="23">
        <v>-80.31</v>
      </c>
      <c r="O640" s="31">
        <v>-1.2800000000000001E-2</v>
      </c>
      <c r="P640" s="31">
        <v>5.1000000000000004E-3</v>
      </c>
      <c r="Q640" s="23" t="s">
        <v>24</v>
      </c>
      <c r="R640" s="23">
        <v>0</v>
      </c>
      <c r="S640" s="23">
        <v>19.21</v>
      </c>
      <c r="U640" s="47">
        <f>VLOOKUP(AU640,[1]expiry_dates!$B$2:$C$2894,2,FALSE)</f>
        <v>43979</v>
      </c>
      <c r="V640" s="23" t="s">
        <v>160</v>
      </c>
      <c r="W640" s="23" t="s">
        <v>23</v>
      </c>
      <c r="X640" s="49">
        <v>43972.447916666664</v>
      </c>
      <c r="Y640" s="23">
        <v>0.1</v>
      </c>
      <c r="Z640" s="23">
        <v>43972.520833333336</v>
      </c>
      <c r="AA640" s="23">
        <v>0.1</v>
      </c>
      <c r="AB640" s="23">
        <v>0</v>
      </c>
      <c r="AC640" s="23">
        <v>0</v>
      </c>
      <c r="AD640" s="23">
        <v>0</v>
      </c>
      <c r="AE640" s="23">
        <v>598344.1</v>
      </c>
      <c r="AF640" s="23">
        <v>59834.41</v>
      </c>
      <c r="AG640" s="23">
        <v>1966881.29</v>
      </c>
      <c r="AH640" s="23">
        <v>8</v>
      </c>
      <c r="AI640" s="23">
        <v>0</v>
      </c>
      <c r="AJ640" s="23">
        <v>0</v>
      </c>
      <c r="AK640" s="23">
        <v>0</v>
      </c>
      <c r="AL640" s="23" t="s">
        <v>24</v>
      </c>
      <c r="AM640" s="23">
        <v>19.55</v>
      </c>
      <c r="AN640" s="23">
        <v>18125.099999999999</v>
      </c>
      <c r="AO640" s="23">
        <v>19.21</v>
      </c>
      <c r="AP640" s="23">
        <v>0</v>
      </c>
      <c r="AR640" s="46"/>
      <c r="AS640" s="44"/>
      <c r="AT640" s="45"/>
      <c r="AU640" s="2">
        <v>43972</v>
      </c>
      <c r="AV640" s="52">
        <v>0.44791666666666669</v>
      </c>
      <c r="AW640" s="2" t="s">
        <v>212</v>
      </c>
      <c r="AY640" s="3"/>
      <c r="BA640" s="3"/>
      <c r="BG640" s="3"/>
      <c r="BH640" s="3"/>
    </row>
    <row r="641" spans="1:60">
      <c r="A641" s="23" t="s">
        <v>22</v>
      </c>
      <c r="B641" s="23" t="s">
        <v>23</v>
      </c>
      <c r="C641" s="27">
        <v>43972.520833333336</v>
      </c>
      <c r="D641" s="23">
        <v>19.3</v>
      </c>
      <c r="E641" s="27">
        <v>43973.395833333336</v>
      </c>
      <c r="F641" s="23">
        <v>19.2</v>
      </c>
      <c r="G641" s="31">
        <v>-5.1999999999999998E-3</v>
      </c>
      <c r="H641" s="23">
        <v>260.31</v>
      </c>
      <c r="I641" s="31">
        <v>5.1999999999999998E-3</v>
      </c>
      <c r="J641" s="23">
        <v>2603.087</v>
      </c>
      <c r="K641" s="23">
        <v>50239.57</v>
      </c>
      <c r="L641" s="23">
        <v>48046.58</v>
      </c>
      <c r="M641" s="23">
        <v>17</v>
      </c>
      <c r="N641" s="23">
        <v>15.31</v>
      </c>
      <c r="O641" s="31">
        <v>-5.1999999999999998E-3</v>
      </c>
      <c r="P641" s="31">
        <v>3.1099999999999999E-2</v>
      </c>
      <c r="Q641" s="23" t="s">
        <v>24</v>
      </c>
      <c r="R641" s="23">
        <v>0</v>
      </c>
      <c r="S641" s="23">
        <v>19.64</v>
      </c>
      <c r="U641" s="47">
        <f>VLOOKUP(AU641,[1]expiry_dates!$B$2:$C$2894,2,FALSE)</f>
        <v>43979</v>
      </c>
      <c r="V641" s="23" t="s">
        <v>161</v>
      </c>
      <c r="W641" s="23" t="s">
        <v>23</v>
      </c>
      <c r="X641" s="49">
        <v>43972.520833333336</v>
      </c>
      <c r="Y641" s="23">
        <v>0.95</v>
      </c>
      <c r="Z641" s="23">
        <v>43973.395833333336</v>
      </c>
      <c r="AA641" s="23">
        <v>0.9</v>
      </c>
      <c r="AB641" s="23">
        <v>-5.2600000000000001E-2</v>
      </c>
      <c r="AC641" s="23">
        <v>3149.18</v>
      </c>
      <c r="AD641" s="23">
        <v>5.2600000000000001E-2</v>
      </c>
      <c r="AE641" s="23">
        <v>62983.59</v>
      </c>
      <c r="AF641" s="23">
        <v>59834.41</v>
      </c>
      <c r="AG641" s="23">
        <v>1970030.47</v>
      </c>
      <c r="AH641" s="23">
        <v>17</v>
      </c>
      <c r="AI641" s="23">
        <v>185.25</v>
      </c>
      <c r="AJ641" s="23">
        <v>-5.2600000000000001E-2</v>
      </c>
      <c r="AK641" s="23">
        <v>0.26319999999999999</v>
      </c>
      <c r="AL641" s="23" t="s">
        <v>24</v>
      </c>
      <c r="AM641" s="23">
        <v>19.3</v>
      </c>
      <c r="AN641" s="23">
        <v>18013.75</v>
      </c>
      <c r="AO641" s="23">
        <v>19.64</v>
      </c>
      <c r="AP641" s="23">
        <v>0</v>
      </c>
      <c r="AR641" s="46"/>
      <c r="AS641" s="44"/>
      <c r="AT641" s="45"/>
      <c r="AU641" s="2">
        <v>43972</v>
      </c>
      <c r="AV641" s="52">
        <v>0.52083333333333337</v>
      </c>
      <c r="AW641" s="2" t="s">
        <v>213</v>
      </c>
      <c r="AY641" s="3"/>
      <c r="BA641" s="3"/>
      <c r="BG641" s="3"/>
      <c r="BH641" s="3"/>
    </row>
    <row r="642" spans="1:60">
      <c r="A642" s="23" t="s">
        <v>22</v>
      </c>
      <c r="B642" s="23" t="s">
        <v>25</v>
      </c>
      <c r="C642" s="27">
        <v>43973.395833333336</v>
      </c>
      <c r="D642" s="23">
        <v>19.2</v>
      </c>
      <c r="E642" s="27">
        <v>43973.427083333336</v>
      </c>
      <c r="F642" s="23">
        <v>18.850000000000001</v>
      </c>
      <c r="G642" s="31">
        <v>-1.8200000000000001E-2</v>
      </c>
      <c r="H642" s="23">
        <v>-915.85</v>
      </c>
      <c r="I642" s="31">
        <v>-1.8200000000000001E-2</v>
      </c>
      <c r="J642" s="23">
        <v>2616.7130000000002</v>
      </c>
      <c r="K642" s="23">
        <v>50240.89</v>
      </c>
      <c r="L642" s="23">
        <v>47130.74</v>
      </c>
      <c r="M642" s="23">
        <v>4</v>
      </c>
      <c r="N642" s="23">
        <v>-228.96</v>
      </c>
      <c r="O642" s="31">
        <v>-1.8200000000000001E-2</v>
      </c>
      <c r="P642" s="31">
        <v>5.1999999999999998E-3</v>
      </c>
      <c r="Q642" s="23" t="s">
        <v>24</v>
      </c>
      <c r="R642" s="23">
        <v>0</v>
      </c>
      <c r="S642" s="23">
        <v>18.71</v>
      </c>
      <c r="U642" s="47">
        <f>VLOOKUP(AU642,[1]expiry_dates!$B$2:$C$2894,2,FALSE)</f>
        <v>43979</v>
      </c>
      <c r="V642" s="23" t="s">
        <v>169</v>
      </c>
      <c r="W642" s="23" t="s">
        <v>23</v>
      </c>
      <c r="X642" s="49">
        <v>43973.395833333336</v>
      </c>
      <c r="Y642" s="23">
        <v>0.85</v>
      </c>
      <c r="Z642" s="23">
        <v>43973.427083333336</v>
      </c>
      <c r="AA642" s="23">
        <v>1.05</v>
      </c>
      <c r="AB642" s="23">
        <v>0.23530000000000001</v>
      </c>
      <c r="AC642" s="23">
        <v>-14086.09</v>
      </c>
      <c r="AD642" s="23">
        <v>-0.23530000000000001</v>
      </c>
      <c r="AE642" s="23">
        <v>70430.47</v>
      </c>
      <c r="AF642" s="23">
        <v>59865.9</v>
      </c>
      <c r="AG642" s="23">
        <v>1955944.37</v>
      </c>
      <c r="AH642" s="23">
        <v>4</v>
      </c>
      <c r="AI642" s="23">
        <v>-3521.52</v>
      </c>
      <c r="AJ642" s="23">
        <v>-0.23530000000000001</v>
      </c>
      <c r="AK642" s="23">
        <v>0</v>
      </c>
      <c r="AL642" s="23" t="s">
        <v>24</v>
      </c>
      <c r="AM642" s="23">
        <v>19.2</v>
      </c>
      <c r="AN642" s="23">
        <v>17755.2</v>
      </c>
      <c r="AO642" s="23">
        <v>18.71</v>
      </c>
      <c r="AP642" s="23">
        <v>0</v>
      </c>
      <c r="AR642" s="46"/>
      <c r="AS642" s="44"/>
      <c r="AT642" s="45"/>
      <c r="AU642" s="2">
        <v>43973</v>
      </c>
      <c r="AV642" s="52">
        <v>0.39583333333333331</v>
      </c>
      <c r="AW642" s="2" t="s">
        <v>212</v>
      </c>
      <c r="AY642" s="3"/>
      <c r="BA642" s="3"/>
      <c r="BG642" s="3"/>
      <c r="BH642" s="3"/>
    </row>
    <row r="643" spans="1:60">
      <c r="A643" s="23" t="s">
        <v>22</v>
      </c>
      <c r="B643" s="23" t="s">
        <v>23</v>
      </c>
      <c r="C643" s="27">
        <v>43973.427083333336</v>
      </c>
      <c r="D643" s="23">
        <v>18.850000000000001</v>
      </c>
      <c r="E643" s="27">
        <v>43973.59375</v>
      </c>
      <c r="F643" s="23">
        <v>18.8</v>
      </c>
      <c r="G643" s="31">
        <v>-2.7000000000000001E-3</v>
      </c>
      <c r="H643" s="23">
        <v>133.25</v>
      </c>
      <c r="I643" s="31">
        <v>2.7000000000000001E-3</v>
      </c>
      <c r="J643" s="23">
        <v>2665.0909999999999</v>
      </c>
      <c r="K643" s="23">
        <v>50236.959999999999</v>
      </c>
      <c r="L643" s="23">
        <v>47263.99</v>
      </c>
      <c r="M643" s="23">
        <v>17</v>
      </c>
      <c r="N643" s="23">
        <v>7.84</v>
      </c>
      <c r="O643" s="31">
        <v>-8.0000000000000002E-3</v>
      </c>
      <c r="P643" s="31">
        <v>2.12E-2</v>
      </c>
      <c r="Q643" s="23" t="s">
        <v>24</v>
      </c>
      <c r="R643" s="23">
        <v>0</v>
      </c>
      <c r="S643" s="23">
        <v>19.3</v>
      </c>
      <c r="U643" s="47">
        <f>VLOOKUP(AU643,[1]expiry_dates!$B$2:$C$2894,2,FALSE)</f>
        <v>43979</v>
      </c>
      <c r="V643" s="23" t="s">
        <v>161</v>
      </c>
      <c r="W643" s="23" t="s">
        <v>23</v>
      </c>
      <c r="X643" s="49">
        <v>43973.427083333336</v>
      </c>
      <c r="Y643" s="23">
        <v>0.65</v>
      </c>
      <c r="Z643" s="23">
        <v>43973.59375</v>
      </c>
      <c r="AA643" s="23">
        <v>0.65</v>
      </c>
      <c r="AB643" s="23">
        <v>0</v>
      </c>
      <c r="AC643" s="23">
        <v>0</v>
      </c>
      <c r="AD643" s="23">
        <v>0</v>
      </c>
      <c r="AE643" s="23">
        <v>92022.98</v>
      </c>
      <c r="AF643" s="23">
        <v>59814.94</v>
      </c>
      <c r="AG643" s="23">
        <v>1955944.37</v>
      </c>
      <c r="AH643" s="23">
        <v>17</v>
      </c>
      <c r="AI643" s="23">
        <v>0</v>
      </c>
      <c r="AJ643" s="23">
        <v>-0.15379999999999999</v>
      </c>
      <c r="AK643" s="23">
        <v>0.15379999999999999</v>
      </c>
      <c r="AL643" s="23" t="s">
        <v>24</v>
      </c>
      <c r="AM643" s="23">
        <v>18.850000000000001</v>
      </c>
      <c r="AN643" s="23">
        <v>17474.849999999999</v>
      </c>
      <c r="AO643" s="23">
        <v>19.3</v>
      </c>
      <c r="AP643" s="23">
        <v>0</v>
      </c>
      <c r="AR643" s="46"/>
      <c r="AS643" s="44"/>
      <c r="AT643" s="45"/>
      <c r="AU643" s="2">
        <v>43973</v>
      </c>
      <c r="AV643" s="52">
        <v>0.42708333333333331</v>
      </c>
      <c r="AW643" s="2" t="s">
        <v>212</v>
      </c>
      <c r="AY643" s="3"/>
      <c r="BA643" s="3"/>
      <c r="BG643" s="3"/>
      <c r="BH643" s="3"/>
    </row>
    <row r="644" spans="1:60">
      <c r="A644" s="23" t="s">
        <v>22</v>
      </c>
      <c r="B644" s="23" t="s">
        <v>25</v>
      </c>
      <c r="C644" s="27">
        <v>43973.59375</v>
      </c>
      <c r="D644" s="23">
        <v>18.8</v>
      </c>
      <c r="E644" s="27">
        <v>43977.5625</v>
      </c>
      <c r="F644" s="23">
        <v>19.649999999999999</v>
      </c>
      <c r="G644" s="31">
        <v>4.5199999999999997E-2</v>
      </c>
      <c r="H644" s="23">
        <v>2271.35</v>
      </c>
      <c r="I644" s="31">
        <v>4.5199999999999997E-2</v>
      </c>
      <c r="J644" s="23">
        <v>2672.18</v>
      </c>
      <c r="K644" s="23">
        <v>50236.98</v>
      </c>
      <c r="L644" s="23">
        <v>49535.34</v>
      </c>
      <c r="M644" s="23">
        <v>26</v>
      </c>
      <c r="N644" s="23">
        <v>87.36</v>
      </c>
      <c r="O644" s="31">
        <v>-5.3E-3</v>
      </c>
      <c r="P644" s="31">
        <v>7.4499999999999997E-2</v>
      </c>
      <c r="Q644" s="23" t="s">
        <v>24</v>
      </c>
      <c r="R644" s="23">
        <v>0</v>
      </c>
      <c r="S644" s="23">
        <v>18.47</v>
      </c>
      <c r="U644" s="47">
        <f>VLOOKUP(AU644,[1]expiry_dates!$B$2:$C$2894,2,FALSE)</f>
        <v>43979</v>
      </c>
      <c r="V644" s="23" t="s">
        <v>169</v>
      </c>
      <c r="W644" s="23" t="s">
        <v>23</v>
      </c>
      <c r="X644" s="49">
        <v>43973.59375</v>
      </c>
      <c r="Y644" s="23">
        <v>1.05</v>
      </c>
      <c r="Z644" s="23">
        <v>43977.5625</v>
      </c>
      <c r="AA644" s="23">
        <v>0.2</v>
      </c>
      <c r="AB644" s="23">
        <v>-0.8095</v>
      </c>
      <c r="AC644" s="23">
        <v>48393.11</v>
      </c>
      <c r="AD644" s="23">
        <v>0.8095</v>
      </c>
      <c r="AE644" s="23">
        <v>56933.07</v>
      </c>
      <c r="AF644" s="23">
        <v>59779.72</v>
      </c>
      <c r="AG644" s="23">
        <v>2004337.48</v>
      </c>
      <c r="AH644" s="23">
        <v>26</v>
      </c>
      <c r="AI644" s="23">
        <v>1861.27</v>
      </c>
      <c r="AJ644" s="23">
        <v>-9.5200000000000007E-2</v>
      </c>
      <c r="AK644" s="23">
        <v>0.8095</v>
      </c>
      <c r="AL644" s="23" t="s">
        <v>24</v>
      </c>
      <c r="AM644" s="23">
        <v>18.8</v>
      </c>
      <c r="AN644" s="23">
        <v>17229.650000000001</v>
      </c>
      <c r="AO644" s="23">
        <v>18.47</v>
      </c>
      <c r="AP644" s="23">
        <v>0</v>
      </c>
      <c r="AR644" s="46"/>
      <c r="AS644" s="44"/>
      <c r="AT644" s="45"/>
      <c r="AU644" s="2">
        <v>43973</v>
      </c>
      <c r="AV644" s="52">
        <v>9.375E-2</v>
      </c>
      <c r="AW644" s="2" t="s">
        <v>213</v>
      </c>
      <c r="AY644" s="3"/>
      <c r="BA644" s="3"/>
      <c r="BG644" s="3"/>
      <c r="BH644" s="3"/>
    </row>
    <row r="645" spans="1:60">
      <c r="A645" s="23" t="s">
        <v>22</v>
      </c>
      <c r="B645" s="23" t="s">
        <v>23</v>
      </c>
      <c r="C645" s="27">
        <v>43977.5625</v>
      </c>
      <c r="D645" s="23">
        <v>19.649999999999999</v>
      </c>
      <c r="E645" s="27">
        <v>43977.635416666664</v>
      </c>
      <c r="F645" s="23">
        <v>20</v>
      </c>
      <c r="G645" s="31">
        <v>1.78E-2</v>
      </c>
      <c r="H645" s="23">
        <v>-895.02</v>
      </c>
      <c r="I645" s="31">
        <v>-1.78E-2</v>
      </c>
      <c r="J645" s="23">
        <v>2557.2020000000002</v>
      </c>
      <c r="K645" s="23">
        <v>50249.01</v>
      </c>
      <c r="L645" s="23">
        <v>48640.32</v>
      </c>
      <c r="M645" s="23">
        <v>8</v>
      </c>
      <c r="N645" s="23">
        <v>-111.88</v>
      </c>
      <c r="O645" s="31">
        <v>-1.78E-2</v>
      </c>
      <c r="P645" s="31">
        <v>5.1000000000000004E-3</v>
      </c>
      <c r="Q645" s="23" t="s">
        <v>24</v>
      </c>
      <c r="R645" s="23">
        <v>0</v>
      </c>
      <c r="S645" s="23">
        <v>20.2</v>
      </c>
      <c r="U645" s="47">
        <f>VLOOKUP(AU645,[1]expiry_dates!$B$2:$C$2894,2,FALSE)</f>
        <v>43979</v>
      </c>
      <c r="V645" s="23" t="s">
        <v>158</v>
      </c>
      <c r="W645" s="23" t="s">
        <v>23</v>
      </c>
      <c r="X645" s="49">
        <v>43977.5625</v>
      </c>
      <c r="Y645" s="23">
        <v>0.4</v>
      </c>
      <c r="Z645" s="23">
        <v>43977.635416666664</v>
      </c>
      <c r="AA645" s="23">
        <v>0.45</v>
      </c>
      <c r="AB645" s="23">
        <v>0.125</v>
      </c>
      <c r="AC645" s="23">
        <v>-7500.93</v>
      </c>
      <c r="AD645" s="23">
        <v>-0.125</v>
      </c>
      <c r="AE645" s="23">
        <v>150018.6</v>
      </c>
      <c r="AF645" s="23">
        <v>60007.46</v>
      </c>
      <c r="AG645" s="23">
        <v>1996836.55</v>
      </c>
      <c r="AH645" s="23">
        <v>8</v>
      </c>
      <c r="AI645" s="23">
        <v>-937.62</v>
      </c>
      <c r="AJ645" s="23">
        <v>-0.125</v>
      </c>
      <c r="AK645" s="23">
        <v>0.25</v>
      </c>
      <c r="AL645" s="23" t="s">
        <v>24</v>
      </c>
      <c r="AM645" s="23">
        <v>19.649999999999999</v>
      </c>
      <c r="AN645" s="23">
        <v>17450.900000000001</v>
      </c>
      <c r="AO645" s="23">
        <v>20.2</v>
      </c>
      <c r="AP645" s="23">
        <v>0</v>
      </c>
      <c r="AR645" s="46"/>
      <c r="AS645" s="44"/>
      <c r="AT645" s="45"/>
      <c r="AU645" s="2">
        <v>43977</v>
      </c>
      <c r="AV645" s="52">
        <v>6.25E-2</v>
      </c>
      <c r="AW645" s="2" t="s">
        <v>213</v>
      </c>
      <c r="AY645" s="3"/>
      <c r="BA645" s="3"/>
      <c r="BG645" s="3"/>
      <c r="BH645" s="3"/>
    </row>
    <row r="646" spans="1:60">
      <c r="A646" s="23" t="s">
        <v>22</v>
      </c>
      <c r="B646" s="23" t="s">
        <v>25</v>
      </c>
      <c r="C646" s="27">
        <v>43977.635416666664</v>
      </c>
      <c r="D646" s="23">
        <v>20</v>
      </c>
      <c r="E646" s="27">
        <v>43978.385416666664</v>
      </c>
      <c r="F646" s="23">
        <v>19.649999999999999</v>
      </c>
      <c r="G646" s="31">
        <v>-1.7500000000000002E-2</v>
      </c>
      <c r="H646" s="23">
        <v>-879.29</v>
      </c>
      <c r="I646" s="31">
        <v>-1.7500000000000002E-2</v>
      </c>
      <c r="J646" s="23">
        <v>2512.2559999999999</v>
      </c>
      <c r="K646" s="23">
        <v>50245.120000000003</v>
      </c>
      <c r="L646" s="23">
        <v>47761.03</v>
      </c>
      <c r="M646" s="23">
        <v>5</v>
      </c>
      <c r="N646" s="23">
        <v>-175.86</v>
      </c>
      <c r="O646" s="31">
        <v>-1.7500000000000002E-2</v>
      </c>
      <c r="P646" s="31">
        <v>0</v>
      </c>
      <c r="Q646" s="23" t="s">
        <v>24</v>
      </c>
      <c r="R646" s="23">
        <v>0</v>
      </c>
      <c r="S646" s="23">
        <v>19.55</v>
      </c>
      <c r="U646" s="47">
        <f>VLOOKUP(AU646,[1]expiry_dates!$B$2:$C$2894,2,FALSE)</f>
        <v>43979</v>
      </c>
      <c r="V646" s="23" t="s">
        <v>164</v>
      </c>
      <c r="W646" s="23" t="s">
        <v>23</v>
      </c>
      <c r="X646" s="49">
        <v>43977.635416666664</v>
      </c>
      <c r="Y646" s="23">
        <v>0.5</v>
      </c>
      <c r="Z646" s="23">
        <v>43978.385416666664</v>
      </c>
      <c r="AA646" s="23">
        <v>0.55000000000000004</v>
      </c>
      <c r="AB646" s="23">
        <v>0.1</v>
      </c>
      <c r="AC646" s="23">
        <v>-6002.17</v>
      </c>
      <c r="AD646" s="23">
        <v>-0.1</v>
      </c>
      <c r="AE646" s="23">
        <v>120043.4</v>
      </c>
      <c r="AF646" s="23">
        <v>60021.69</v>
      </c>
      <c r="AG646" s="23">
        <v>1990834.38</v>
      </c>
      <c r="AH646" s="23">
        <v>5</v>
      </c>
      <c r="AI646" s="23">
        <v>-1200.43</v>
      </c>
      <c r="AJ646" s="23">
        <v>-0.1</v>
      </c>
      <c r="AK646" s="23">
        <v>0</v>
      </c>
      <c r="AL646" s="23" t="s">
        <v>24</v>
      </c>
      <c r="AM646" s="23">
        <v>20</v>
      </c>
      <c r="AN646" s="23">
        <v>17506.5</v>
      </c>
      <c r="AO646" s="23">
        <v>19.55</v>
      </c>
      <c r="AP646" s="23">
        <v>0</v>
      </c>
      <c r="AR646" s="46"/>
      <c r="AS646" s="44"/>
      <c r="AT646" s="45"/>
      <c r="AU646" s="2">
        <v>43977</v>
      </c>
      <c r="AV646" s="52">
        <v>0.13541666666666666</v>
      </c>
      <c r="AW646" s="2" t="s">
        <v>213</v>
      </c>
      <c r="AY646" s="3"/>
      <c r="BA646" s="3"/>
      <c r="BG646" s="3"/>
      <c r="BH646" s="3"/>
    </row>
    <row r="647" spans="1:60">
      <c r="A647" s="23" t="s">
        <v>22</v>
      </c>
      <c r="B647" s="23" t="s">
        <v>23</v>
      </c>
      <c r="C647" s="27">
        <v>43978.385416666664</v>
      </c>
      <c r="D647" s="23">
        <v>19.649999999999999</v>
      </c>
      <c r="E647" s="27">
        <v>43978.40625</v>
      </c>
      <c r="F647" s="23">
        <v>19.899999999999999</v>
      </c>
      <c r="G647" s="31">
        <v>1.2699999999999999E-2</v>
      </c>
      <c r="H647" s="23">
        <v>-639.22</v>
      </c>
      <c r="I647" s="31">
        <v>-1.2699999999999999E-2</v>
      </c>
      <c r="J647" s="23">
        <v>2556.8739999999998</v>
      </c>
      <c r="K647" s="23">
        <v>50242.57</v>
      </c>
      <c r="L647" s="23">
        <v>47121.81</v>
      </c>
      <c r="M647" s="23">
        <v>3</v>
      </c>
      <c r="N647" s="23">
        <v>-213.07</v>
      </c>
      <c r="O647" s="31">
        <v>-1.78E-2</v>
      </c>
      <c r="P647" s="31">
        <v>2.5000000000000001E-3</v>
      </c>
      <c r="Q647" s="23" t="s">
        <v>24</v>
      </c>
      <c r="R647" s="23">
        <v>0</v>
      </c>
      <c r="S647" s="23">
        <v>20</v>
      </c>
      <c r="U647" s="47">
        <f>VLOOKUP(AU647,[1]expiry_dates!$B$2:$C$2894,2,FALSE)</f>
        <v>43979</v>
      </c>
      <c r="V647" s="23" t="s">
        <v>158</v>
      </c>
      <c r="W647" s="23" t="s">
        <v>23</v>
      </c>
      <c r="X647" s="49">
        <v>43978.385416666664</v>
      </c>
      <c r="Y647" s="23">
        <v>0.3</v>
      </c>
      <c r="Z647" s="23">
        <v>43978.40625</v>
      </c>
      <c r="AA647" s="23">
        <v>0.35</v>
      </c>
      <c r="AB647" s="23">
        <v>0.16669999999999999</v>
      </c>
      <c r="AC647" s="23">
        <v>-9997.36</v>
      </c>
      <c r="AD647" s="23">
        <v>-0.16669999999999999</v>
      </c>
      <c r="AE647" s="23">
        <v>199947.3</v>
      </c>
      <c r="AF647" s="23">
        <v>59984.18</v>
      </c>
      <c r="AG647" s="23">
        <v>1980837.02</v>
      </c>
      <c r="AH647" s="23">
        <v>3</v>
      </c>
      <c r="AI647" s="23">
        <v>-3332.45</v>
      </c>
      <c r="AJ647" s="23">
        <v>-0.33329999999999999</v>
      </c>
      <c r="AK647" s="23">
        <v>0.16669999999999999</v>
      </c>
      <c r="AL647" s="23" t="s">
        <v>24</v>
      </c>
      <c r="AM647" s="23">
        <v>19.649999999999999</v>
      </c>
      <c r="AN647" s="23">
        <v>17636.900000000001</v>
      </c>
      <c r="AO647" s="23">
        <v>20</v>
      </c>
      <c r="AP647" s="23">
        <v>0</v>
      </c>
      <c r="AR647" s="46"/>
      <c r="AS647" s="44"/>
      <c r="AT647" s="45"/>
      <c r="AU647" s="2">
        <v>43978</v>
      </c>
      <c r="AV647" s="52">
        <v>0.38541666666666669</v>
      </c>
      <c r="AW647" s="2" t="s">
        <v>212</v>
      </c>
      <c r="AY647" s="3"/>
      <c r="BA647" s="3"/>
      <c r="BG647" s="3"/>
      <c r="BH647" s="3"/>
    </row>
    <row r="648" spans="1:60">
      <c r="A648" s="23" t="s">
        <v>22</v>
      </c>
      <c r="B648" s="23" t="s">
        <v>25</v>
      </c>
      <c r="C648" s="27">
        <v>43978.40625</v>
      </c>
      <c r="D648" s="23">
        <v>19.899999999999999</v>
      </c>
      <c r="E648" s="27">
        <v>43979.385416666664</v>
      </c>
      <c r="F648" s="23">
        <v>20.45</v>
      </c>
      <c r="G648" s="31">
        <v>2.76E-2</v>
      </c>
      <c r="H648" s="23">
        <v>1388.44</v>
      </c>
      <c r="I648" s="31">
        <v>2.76E-2</v>
      </c>
      <c r="J648" s="23">
        <v>2524.4349999999999</v>
      </c>
      <c r="K648" s="23">
        <v>50236.25</v>
      </c>
      <c r="L648" s="23">
        <v>48510.25</v>
      </c>
      <c r="M648" s="23">
        <v>27</v>
      </c>
      <c r="N648" s="23">
        <v>51.42</v>
      </c>
      <c r="O648" s="31">
        <v>-2.5000000000000001E-3</v>
      </c>
      <c r="P648" s="31">
        <v>4.2700000000000002E-2</v>
      </c>
      <c r="Q648" s="23" t="s">
        <v>24</v>
      </c>
      <c r="R648" s="23">
        <v>0</v>
      </c>
      <c r="S648" s="23">
        <v>19.61</v>
      </c>
      <c r="U648" s="47">
        <f>VLOOKUP(AU648,[1]expiry_dates!$B$2:$C$2894,2,FALSE)</f>
        <v>43979</v>
      </c>
      <c r="V648" s="23" t="s">
        <v>164</v>
      </c>
      <c r="W648" s="23" t="s">
        <v>23</v>
      </c>
      <c r="X648" s="49">
        <v>43978.40625</v>
      </c>
      <c r="Y648" s="23">
        <v>0.35</v>
      </c>
      <c r="Z648" s="23">
        <v>43979.385416666664</v>
      </c>
      <c r="AA648" s="23">
        <v>0.05</v>
      </c>
      <c r="AB648" s="23">
        <v>-0.85709999999999997</v>
      </c>
      <c r="AC648" s="23">
        <v>51389.29</v>
      </c>
      <c r="AD648" s="23">
        <v>0.85709999999999997</v>
      </c>
      <c r="AE648" s="23">
        <v>171297.6</v>
      </c>
      <c r="AF648" s="23">
        <v>59954.17</v>
      </c>
      <c r="AG648" s="23">
        <v>2032226.31</v>
      </c>
      <c r="AH648" s="23">
        <v>27</v>
      </c>
      <c r="AI648" s="23">
        <v>1903.31</v>
      </c>
      <c r="AJ648" s="23">
        <v>-0.28570000000000001</v>
      </c>
      <c r="AK648" s="23">
        <v>0.85709999999999997</v>
      </c>
      <c r="AL648" s="23" t="s">
        <v>24</v>
      </c>
      <c r="AM648" s="23">
        <v>19.899999999999999</v>
      </c>
      <c r="AN648" s="23">
        <v>17609.400000000001</v>
      </c>
      <c r="AO648" s="23">
        <v>19.61</v>
      </c>
      <c r="AP648" s="23">
        <v>0</v>
      </c>
      <c r="AR648" s="46"/>
      <c r="AS648" s="44"/>
      <c r="AT648" s="45"/>
      <c r="AU648" s="2">
        <v>43978</v>
      </c>
      <c r="AV648" s="52">
        <v>0.40625</v>
      </c>
      <c r="AW648" s="2" t="s">
        <v>212</v>
      </c>
      <c r="AY648" s="3"/>
      <c r="BA648" s="3"/>
      <c r="BG648" s="3"/>
      <c r="BH648" s="3"/>
    </row>
    <row r="649" spans="1:60">
      <c r="A649" s="23" t="s">
        <v>22</v>
      </c>
      <c r="B649" s="23" t="s">
        <v>23</v>
      </c>
      <c r="C649" s="27">
        <v>43979.385416666664</v>
      </c>
      <c r="D649" s="23">
        <v>20.45</v>
      </c>
      <c r="E649" s="27">
        <v>43979.395833333336</v>
      </c>
      <c r="F649" s="23">
        <v>20.65</v>
      </c>
      <c r="G649" s="31">
        <v>9.7999999999999997E-3</v>
      </c>
      <c r="H649" s="23">
        <v>-491.36</v>
      </c>
      <c r="I649" s="31">
        <v>-9.7999999999999997E-3</v>
      </c>
      <c r="J649" s="23">
        <v>2456.8180000000002</v>
      </c>
      <c r="K649" s="23">
        <v>50241.919999999998</v>
      </c>
      <c r="L649" s="23">
        <v>48018.89</v>
      </c>
      <c r="M649" s="23">
        <v>2</v>
      </c>
      <c r="N649" s="23">
        <v>-245.68</v>
      </c>
      <c r="O649" s="31">
        <v>-9.7999999999999997E-3</v>
      </c>
      <c r="P649" s="31">
        <v>1.7100000000000001E-2</v>
      </c>
      <c r="Q649" s="23" t="s">
        <v>24</v>
      </c>
      <c r="R649" s="23">
        <v>0</v>
      </c>
      <c r="S649" s="23">
        <v>20.72</v>
      </c>
      <c r="U649" s="47">
        <f>VLOOKUP(AU649,[1]expiry_dates!$B$2:$C$2894,2,FALSE)</f>
        <v>43979</v>
      </c>
      <c r="V649" s="23" t="s">
        <v>158</v>
      </c>
      <c r="W649" s="23" t="s">
        <v>23</v>
      </c>
      <c r="X649" s="49">
        <v>43979.385416666664</v>
      </c>
      <c r="Y649" s="23">
        <v>0.5</v>
      </c>
      <c r="Z649" s="23">
        <v>43979.395833333336</v>
      </c>
      <c r="AA649" s="23">
        <v>0.6</v>
      </c>
      <c r="AB649" s="23">
        <v>0.2</v>
      </c>
      <c r="AC649" s="23">
        <v>-12023.66</v>
      </c>
      <c r="AD649" s="23">
        <v>-0.2</v>
      </c>
      <c r="AE649" s="23">
        <v>120236.6</v>
      </c>
      <c r="AF649" s="23">
        <v>60118.31</v>
      </c>
      <c r="AG649" s="23">
        <v>2020202.65</v>
      </c>
      <c r="AH649" s="23">
        <v>2</v>
      </c>
      <c r="AI649" s="23">
        <v>-6011.83</v>
      </c>
      <c r="AJ649" s="23">
        <v>-0.2</v>
      </c>
      <c r="AK649" s="23">
        <v>0.1</v>
      </c>
      <c r="AL649" s="23" t="s">
        <v>24</v>
      </c>
      <c r="AM649" s="23">
        <v>20.45</v>
      </c>
      <c r="AN649" s="23">
        <v>19082.150000000001</v>
      </c>
      <c r="AO649" s="23">
        <v>20.72</v>
      </c>
      <c r="AP649" s="23">
        <v>0</v>
      </c>
      <c r="AR649" s="46"/>
      <c r="AS649" s="44"/>
      <c r="AT649" s="45"/>
      <c r="AU649" s="2">
        <v>43979</v>
      </c>
      <c r="AV649" s="52">
        <v>0.38541666666666669</v>
      </c>
      <c r="AW649" s="2" t="s">
        <v>212</v>
      </c>
      <c r="AY649" s="3"/>
      <c r="BA649" s="3"/>
      <c r="BG649" s="3"/>
      <c r="BH649" s="3"/>
    </row>
    <row r="650" spans="1:60">
      <c r="A650" s="23" t="s">
        <v>22</v>
      </c>
      <c r="B650" s="23" t="s">
        <v>25</v>
      </c>
      <c r="C650" s="27">
        <v>43979.395833333336</v>
      </c>
      <c r="D650" s="23">
        <v>20.65</v>
      </c>
      <c r="E650" s="27">
        <v>43979.53125</v>
      </c>
      <c r="F650" s="23">
        <v>20.399999999999999</v>
      </c>
      <c r="G650" s="31">
        <v>-1.21E-2</v>
      </c>
      <c r="H650" s="23">
        <v>-608.26</v>
      </c>
      <c r="I650" s="31">
        <v>-1.21E-2</v>
      </c>
      <c r="J650" s="23">
        <v>2433.0529999999999</v>
      </c>
      <c r="K650" s="23">
        <v>50242.55</v>
      </c>
      <c r="L650" s="23">
        <v>47410.63</v>
      </c>
      <c r="M650" s="23">
        <v>14</v>
      </c>
      <c r="N650" s="23">
        <v>-43.45</v>
      </c>
      <c r="O650" s="31">
        <v>-1.21E-2</v>
      </c>
      <c r="P650" s="31">
        <v>2.3999999999999998E-3</v>
      </c>
      <c r="Q650" s="23" t="s">
        <v>24</v>
      </c>
      <c r="R650" s="23">
        <v>0</v>
      </c>
      <c r="S650" s="23">
        <v>20.11</v>
      </c>
      <c r="U650" s="47">
        <f>VLOOKUP(AU650,[1]expiry_dates!$B$2:$C$2894,2,FALSE)</f>
        <v>43979</v>
      </c>
      <c r="V650" s="23" t="s">
        <v>164</v>
      </c>
      <c r="W650" s="23" t="s">
        <v>23</v>
      </c>
      <c r="X650" s="49">
        <v>43979.395833333336</v>
      </c>
      <c r="Y650" s="23">
        <v>0.05</v>
      </c>
      <c r="Z650" s="23">
        <v>43979.53125</v>
      </c>
      <c r="AA650" s="23">
        <v>0.05</v>
      </c>
      <c r="AB650" s="23">
        <v>0</v>
      </c>
      <c r="AC650" s="23">
        <v>0</v>
      </c>
      <c r="AD650" s="23">
        <v>0</v>
      </c>
      <c r="AE650" s="23">
        <v>1203223</v>
      </c>
      <c r="AF650" s="23">
        <v>60161.13</v>
      </c>
      <c r="AG650" s="23">
        <v>2020202.65</v>
      </c>
      <c r="AH650" s="23">
        <v>14</v>
      </c>
      <c r="AI650" s="23">
        <v>0</v>
      </c>
      <c r="AJ650" s="23">
        <v>-1</v>
      </c>
      <c r="AK650" s="23">
        <v>0</v>
      </c>
      <c r="AL650" s="23" t="s">
        <v>24</v>
      </c>
      <c r="AM650" s="23">
        <v>20.65</v>
      </c>
      <c r="AN650" s="23">
        <v>19235.55</v>
      </c>
      <c r="AO650" s="23">
        <v>20.11</v>
      </c>
      <c r="AP650" s="23">
        <v>0</v>
      </c>
      <c r="AR650" s="46"/>
      <c r="AS650" s="44"/>
      <c r="AT650" s="45"/>
      <c r="AU650" s="2">
        <v>43979</v>
      </c>
      <c r="AV650" s="52">
        <v>0.39583333333333331</v>
      </c>
      <c r="AW650" s="2" t="s">
        <v>212</v>
      </c>
      <c r="AY650" s="3"/>
      <c r="BA650" s="3"/>
      <c r="BG650" s="3"/>
      <c r="BH650" s="3"/>
    </row>
    <row r="651" spans="1:60">
      <c r="A651" s="23" t="s">
        <v>22</v>
      </c>
      <c r="B651" s="23" t="s">
        <v>23</v>
      </c>
      <c r="C651" s="27">
        <v>43979.53125</v>
      </c>
      <c r="D651" s="23">
        <v>20.399999999999999</v>
      </c>
      <c r="E651" s="27">
        <v>43979.6875</v>
      </c>
      <c r="F651" s="23">
        <v>20.25</v>
      </c>
      <c r="G651" s="31">
        <v>-7.4000000000000003E-3</v>
      </c>
      <c r="H651" s="23">
        <v>369.39</v>
      </c>
      <c r="I651" s="31">
        <v>7.4000000000000003E-3</v>
      </c>
      <c r="J651" s="23">
        <v>2462.6309999999999</v>
      </c>
      <c r="K651" s="23">
        <v>50237.66</v>
      </c>
      <c r="L651" s="23">
        <v>47780.02</v>
      </c>
      <c r="M651" s="23">
        <v>13</v>
      </c>
      <c r="N651" s="23">
        <v>28.41</v>
      </c>
      <c r="O651" s="31">
        <v>-7.4000000000000003E-3</v>
      </c>
      <c r="P651" s="31">
        <v>1.9599999999999999E-2</v>
      </c>
      <c r="Q651" s="23" t="s">
        <v>24</v>
      </c>
      <c r="R651" s="23">
        <v>0</v>
      </c>
      <c r="S651" s="23">
        <v>20.69</v>
      </c>
      <c r="U651" s="47">
        <f>VLOOKUP(AU651,[1]expiry_dates!$B$2:$C$2894,2,FALSE)</f>
        <v>43979</v>
      </c>
      <c r="V651" s="23" t="s">
        <v>158</v>
      </c>
      <c r="W651" s="23" t="s">
        <v>23</v>
      </c>
      <c r="X651" s="49">
        <v>43979.53125</v>
      </c>
      <c r="Y651" s="23">
        <v>0.45</v>
      </c>
      <c r="Z651" s="23">
        <v>43979.6875</v>
      </c>
      <c r="AA651" s="23">
        <v>0.15</v>
      </c>
      <c r="AB651" s="23">
        <v>-0.66669999999999996</v>
      </c>
      <c r="AC651" s="23">
        <v>40067.339999999997</v>
      </c>
      <c r="AD651" s="23">
        <v>0.66669999999999996</v>
      </c>
      <c r="AE651" s="23">
        <v>133557.79999999999</v>
      </c>
      <c r="AF651" s="23">
        <v>60101.02</v>
      </c>
      <c r="AG651" s="23">
        <v>2060269.99</v>
      </c>
      <c r="AH651" s="23">
        <v>13</v>
      </c>
      <c r="AI651" s="23">
        <v>3082.1</v>
      </c>
      <c r="AJ651" s="23">
        <v>-0.22220000000000001</v>
      </c>
      <c r="AK651" s="23">
        <v>0.77780000000000005</v>
      </c>
      <c r="AL651" s="23" t="s">
        <v>24</v>
      </c>
      <c r="AM651" s="23">
        <v>20.399999999999999</v>
      </c>
      <c r="AN651" s="23">
        <v>19142.150000000001</v>
      </c>
      <c r="AO651" s="23">
        <v>20.69</v>
      </c>
      <c r="AP651" s="23">
        <v>0</v>
      </c>
      <c r="AR651" s="46"/>
      <c r="AS651" s="44"/>
      <c r="AT651" s="45"/>
      <c r="AU651" s="2">
        <v>43979</v>
      </c>
      <c r="AV651" s="52">
        <v>0.53125</v>
      </c>
      <c r="AW651" s="2" t="s">
        <v>213</v>
      </c>
      <c r="AY651" s="3"/>
      <c r="BA651" s="3"/>
      <c r="BG651" s="3"/>
      <c r="BH651" s="3"/>
    </row>
    <row r="652" spans="1:60">
      <c r="A652" s="23" t="s">
        <v>22</v>
      </c>
      <c r="B652" s="23" t="s">
        <v>23</v>
      </c>
      <c r="C652" s="27">
        <v>43980.385416666664</v>
      </c>
      <c r="D652" s="23">
        <v>20.05</v>
      </c>
      <c r="E652" s="27">
        <v>43980.395833333336</v>
      </c>
      <c r="F652" s="23">
        <v>21.7</v>
      </c>
      <c r="G652" s="31">
        <v>8.2299999999999998E-2</v>
      </c>
      <c r="H652" s="23">
        <v>-4134.37</v>
      </c>
      <c r="I652" s="31">
        <v>-8.2299999999999998E-2</v>
      </c>
      <c r="J652" s="23">
        <v>2505.681</v>
      </c>
      <c r="K652" s="23">
        <v>50238.9</v>
      </c>
      <c r="L652" s="23">
        <v>43645.65</v>
      </c>
      <c r="M652" s="23">
        <v>2</v>
      </c>
      <c r="N652" s="23">
        <v>-2067.19</v>
      </c>
      <c r="O652" s="31">
        <v>-8.2299999999999998E-2</v>
      </c>
      <c r="P652" s="31">
        <v>1.7500000000000002E-2</v>
      </c>
      <c r="Q652" s="23" t="s">
        <v>24</v>
      </c>
      <c r="R652" s="23">
        <v>0</v>
      </c>
      <c r="S652" s="23">
        <v>20.399999999999999</v>
      </c>
      <c r="U652" s="47">
        <f>VLOOKUP(AU652,[1]expiry_dates!$B$2:$C$2894,2,FALSE)</f>
        <v>44007</v>
      </c>
      <c r="V652" s="23" t="s">
        <v>158</v>
      </c>
      <c r="W652" s="23" t="s">
        <v>23</v>
      </c>
      <c r="X652" s="49">
        <v>43980.385416666664</v>
      </c>
      <c r="Y652" s="23">
        <v>1.6</v>
      </c>
      <c r="Z652" s="23">
        <v>43980.395833333336</v>
      </c>
      <c r="AA652" s="23">
        <v>2.5499999999999998</v>
      </c>
      <c r="AB652" s="23">
        <v>0.59370000000000001</v>
      </c>
      <c r="AC652" s="23">
        <v>-35803.93</v>
      </c>
      <c r="AD652" s="23">
        <v>-0.59370000000000001</v>
      </c>
      <c r="AE652" s="23">
        <v>37688.339999999997</v>
      </c>
      <c r="AF652" s="23">
        <v>60301.35</v>
      </c>
      <c r="AG652" s="23">
        <v>2024466.07</v>
      </c>
      <c r="AH652" s="23">
        <v>2</v>
      </c>
      <c r="AI652" s="23">
        <v>-17901.96</v>
      </c>
      <c r="AJ652" s="23">
        <v>-0.59370000000000001</v>
      </c>
      <c r="AK652" s="23">
        <v>3.1300000000000001E-2</v>
      </c>
      <c r="AL652" s="23" t="s">
        <v>24</v>
      </c>
      <c r="AM652" s="23">
        <v>20.05</v>
      </c>
      <c r="AN652" s="23">
        <v>18816.099999999999</v>
      </c>
      <c r="AO652" s="23">
        <v>20.399999999999999</v>
      </c>
      <c r="AP652" s="23">
        <v>0</v>
      </c>
      <c r="AR652" s="46"/>
      <c r="AS652" s="44"/>
      <c r="AT652" s="45"/>
      <c r="AU652" s="2">
        <v>43980</v>
      </c>
      <c r="AV652" s="52">
        <v>0.38541666666666669</v>
      </c>
      <c r="AW652" s="2" t="s">
        <v>212</v>
      </c>
      <c r="AY652" s="3"/>
      <c r="BA652" s="3"/>
      <c r="BG652" s="3"/>
      <c r="BH652" s="3"/>
    </row>
    <row r="653" spans="1:60">
      <c r="A653" s="23" t="s">
        <v>22</v>
      </c>
      <c r="B653" s="23" t="s">
        <v>25</v>
      </c>
      <c r="C653" s="27">
        <v>43980.395833333336</v>
      </c>
      <c r="D653" s="23">
        <v>21.7</v>
      </c>
      <c r="E653" s="27">
        <v>43980.604166666664</v>
      </c>
      <c r="F653" s="23">
        <v>21.8</v>
      </c>
      <c r="G653" s="31">
        <v>4.5999999999999999E-3</v>
      </c>
      <c r="H653" s="23">
        <v>231.52</v>
      </c>
      <c r="I653" s="31">
        <v>4.5999999999999999E-3</v>
      </c>
      <c r="J653" s="23">
        <v>2315.1559999999999</v>
      </c>
      <c r="K653" s="23">
        <v>50238.9</v>
      </c>
      <c r="L653" s="23">
        <v>43877.16</v>
      </c>
      <c r="M653" s="23">
        <v>21</v>
      </c>
      <c r="N653" s="23">
        <v>11.02</v>
      </c>
      <c r="O653" s="31">
        <v>-7.8299999999999995E-2</v>
      </c>
      <c r="P653" s="31">
        <v>7.1400000000000005E-2</v>
      </c>
      <c r="Q653" s="23" t="s">
        <v>24</v>
      </c>
      <c r="R653" s="23">
        <v>0</v>
      </c>
      <c r="S653" s="23">
        <v>19.7</v>
      </c>
      <c r="U653" s="47">
        <f>VLOOKUP(AU653,[1]expiry_dates!$B$2:$C$2894,2,FALSE)</f>
        <v>44007</v>
      </c>
      <c r="V653" s="23" t="s">
        <v>155</v>
      </c>
      <c r="W653" s="23" t="s">
        <v>23</v>
      </c>
      <c r="X653" s="49">
        <v>43980.395833333336</v>
      </c>
      <c r="Y653" s="23">
        <v>2.2000000000000002</v>
      </c>
      <c r="Z653" s="23">
        <v>43980.604166666664</v>
      </c>
      <c r="AA653" s="23">
        <v>1.9</v>
      </c>
      <c r="AB653" s="23">
        <v>-0.13639999999999999</v>
      </c>
      <c r="AC653" s="23">
        <v>8222.91</v>
      </c>
      <c r="AD653" s="23">
        <v>0.13639999999999999</v>
      </c>
      <c r="AE653" s="23">
        <v>27409.7</v>
      </c>
      <c r="AF653" s="23">
        <v>60301.35</v>
      </c>
      <c r="AG653" s="23">
        <v>2032688.98</v>
      </c>
      <c r="AH653" s="23">
        <v>21</v>
      </c>
      <c r="AI653" s="23">
        <v>391.57</v>
      </c>
      <c r="AJ653" s="23">
        <v>-0.11360000000000001</v>
      </c>
      <c r="AK653" s="23">
        <v>0.31819999999999998</v>
      </c>
      <c r="AL653" s="23" t="s">
        <v>24</v>
      </c>
      <c r="AM653" s="23">
        <v>21.7</v>
      </c>
      <c r="AN653" s="23">
        <v>18844.25</v>
      </c>
      <c r="AO653" s="23">
        <v>19.7</v>
      </c>
      <c r="AP653" s="23">
        <v>0</v>
      </c>
      <c r="AR653" s="46"/>
      <c r="AS653" s="44"/>
      <c r="AT653" s="45"/>
      <c r="AU653" s="2">
        <v>43980</v>
      </c>
      <c r="AV653" s="52">
        <v>0.39583333333333331</v>
      </c>
      <c r="AW653" s="2" t="s">
        <v>212</v>
      </c>
      <c r="AY653" s="3"/>
      <c r="BA653" s="3"/>
      <c r="BG653" s="3"/>
      <c r="BH653" s="3"/>
    </row>
    <row r="654" spans="1:60">
      <c r="A654" s="23" t="s">
        <v>22</v>
      </c>
      <c r="B654" s="23" t="s">
        <v>23</v>
      </c>
      <c r="C654" s="27">
        <v>43980.604166666664</v>
      </c>
      <c r="D654" s="23">
        <v>21.8</v>
      </c>
      <c r="E654" s="27">
        <v>43983.385416666664</v>
      </c>
      <c r="F654" s="23">
        <v>22.8</v>
      </c>
      <c r="G654" s="31">
        <v>4.5900000000000003E-2</v>
      </c>
      <c r="H654" s="23">
        <v>-2303.9899999999998</v>
      </c>
      <c r="I654" s="31">
        <v>-4.5900000000000003E-2</v>
      </c>
      <c r="J654" s="23">
        <v>2303.9870000000001</v>
      </c>
      <c r="K654" s="23">
        <v>50226.91</v>
      </c>
      <c r="L654" s="23">
        <v>41573.18</v>
      </c>
      <c r="M654" s="23">
        <v>8</v>
      </c>
      <c r="N654" s="23">
        <v>-288</v>
      </c>
      <c r="O654" s="31">
        <v>-5.5E-2</v>
      </c>
      <c r="P654" s="31">
        <v>9.1999999999999998E-3</v>
      </c>
      <c r="Q654" s="23" t="s">
        <v>24</v>
      </c>
      <c r="R654" s="23">
        <v>0</v>
      </c>
      <c r="S654" s="23">
        <v>23.18</v>
      </c>
      <c r="U654" s="47">
        <f>VLOOKUP(AU654,[1]expiry_dates!$B$2:$C$2894,2,FALSE)</f>
        <v>44007</v>
      </c>
      <c r="V654" s="23" t="s">
        <v>156</v>
      </c>
      <c r="W654" s="23" t="s">
        <v>23</v>
      </c>
      <c r="X654" s="49">
        <v>43980.604166666664</v>
      </c>
      <c r="Y654" s="23">
        <v>1.7</v>
      </c>
      <c r="Z654" s="23">
        <v>43983.385416666664</v>
      </c>
      <c r="AA654" s="23">
        <v>2.1</v>
      </c>
      <c r="AB654" s="23">
        <v>0.23530000000000001</v>
      </c>
      <c r="AC654" s="23">
        <v>-14164.17</v>
      </c>
      <c r="AD654" s="23">
        <v>-0.23530000000000001</v>
      </c>
      <c r="AE654" s="23">
        <v>35410.410000000003</v>
      </c>
      <c r="AF654" s="23">
        <v>60197.71</v>
      </c>
      <c r="AG654" s="23">
        <v>2018524.81</v>
      </c>
      <c r="AH654" s="23">
        <v>8</v>
      </c>
      <c r="AI654" s="23">
        <v>-1770.52</v>
      </c>
      <c r="AJ654" s="23">
        <v>-0.23530000000000001</v>
      </c>
      <c r="AK654" s="23">
        <v>8.8200000000000001E-2</v>
      </c>
      <c r="AL654" s="23" t="s">
        <v>24</v>
      </c>
      <c r="AM654" s="23">
        <v>21.8</v>
      </c>
      <c r="AN654" s="23">
        <v>19187.099999999999</v>
      </c>
      <c r="AO654" s="23">
        <v>23.18</v>
      </c>
      <c r="AP654" s="23">
        <v>0</v>
      </c>
      <c r="AR654" s="46"/>
      <c r="AS654" s="44"/>
      <c r="AT654" s="45"/>
      <c r="AU654" s="2">
        <v>43980</v>
      </c>
      <c r="AV654" s="52">
        <v>0.10416666666666667</v>
      </c>
      <c r="AW654" s="2" t="s">
        <v>213</v>
      </c>
      <c r="AY654" s="3"/>
      <c r="BA654" s="3"/>
      <c r="BG654" s="3"/>
      <c r="BH654" s="3"/>
    </row>
    <row r="655" spans="1:60">
      <c r="A655" s="23" t="s">
        <v>22</v>
      </c>
      <c r="B655" s="23" t="s">
        <v>25</v>
      </c>
      <c r="C655" s="27">
        <v>43983.385416666664</v>
      </c>
      <c r="D655" s="23">
        <v>22.8</v>
      </c>
      <c r="E655" s="27">
        <v>43984.385416666664</v>
      </c>
      <c r="F655" s="23">
        <v>23.85</v>
      </c>
      <c r="G655" s="31">
        <v>4.6100000000000002E-2</v>
      </c>
      <c r="H655" s="23">
        <v>2312.1</v>
      </c>
      <c r="I655" s="31">
        <v>4.6100000000000002E-2</v>
      </c>
      <c r="J655" s="23">
        <v>2201.998</v>
      </c>
      <c r="K655" s="23">
        <v>50205.56</v>
      </c>
      <c r="L655" s="23">
        <v>43885.27</v>
      </c>
      <c r="M655" s="23">
        <v>29</v>
      </c>
      <c r="N655" s="23">
        <v>79.73</v>
      </c>
      <c r="O655" s="31">
        <v>-1.7500000000000002E-2</v>
      </c>
      <c r="P655" s="31">
        <v>6.3600000000000004E-2</v>
      </c>
      <c r="Q655" s="23" t="s">
        <v>24</v>
      </c>
      <c r="R655" s="23">
        <v>0</v>
      </c>
      <c r="S655" s="23">
        <v>21.68</v>
      </c>
      <c r="U655" s="47">
        <f>VLOOKUP(AU655,[1]expiry_dates!$B$2:$C$2894,2,FALSE)</f>
        <v>44007</v>
      </c>
      <c r="V655" s="23" t="s">
        <v>155</v>
      </c>
      <c r="W655" s="23" t="s">
        <v>23</v>
      </c>
      <c r="X655" s="49">
        <v>43983.385416666664</v>
      </c>
      <c r="Y655" s="23">
        <v>1.45</v>
      </c>
      <c r="Z655" s="23">
        <v>43984.385416666664</v>
      </c>
      <c r="AA655" s="23">
        <v>0.95</v>
      </c>
      <c r="AB655" s="23">
        <v>-0.3448</v>
      </c>
      <c r="AC655" s="23">
        <v>20742.96</v>
      </c>
      <c r="AD655" s="23">
        <v>0.3448</v>
      </c>
      <c r="AE655" s="23">
        <v>41485.93</v>
      </c>
      <c r="AF655" s="23">
        <v>60154.59</v>
      </c>
      <c r="AG655" s="23">
        <v>2039267.77</v>
      </c>
      <c r="AH655" s="23">
        <v>29</v>
      </c>
      <c r="AI655" s="23">
        <v>715.27</v>
      </c>
      <c r="AJ655" s="23">
        <v>-3.4500000000000003E-2</v>
      </c>
      <c r="AK655" s="23">
        <v>0.37930000000000003</v>
      </c>
      <c r="AL655" s="23" t="s">
        <v>24</v>
      </c>
      <c r="AM655" s="23">
        <v>22.8</v>
      </c>
      <c r="AN655" s="23">
        <v>19984.8</v>
      </c>
      <c r="AO655" s="23">
        <v>21.68</v>
      </c>
      <c r="AP655" s="23">
        <v>0</v>
      </c>
      <c r="AR655" s="46"/>
      <c r="AS655" s="44"/>
      <c r="AT655" s="45"/>
      <c r="AU655" s="2">
        <v>43983</v>
      </c>
      <c r="AV655" s="52">
        <v>0.38541666666666669</v>
      </c>
      <c r="AW655" s="2" t="s">
        <v>212</v>
      </c>
      <c r="AY655" s="3"/>
      <c r="BA655" s="3"/>
      <c r="BG655" s="3"/>
      <c r="BH655" s="3"/>
    </row>
    <row r="656" spans="1:60">
      <c r="A656" s="23" t="s">
        <v>22</v>
      </c>
      <c r="B656" s="23" t="s">
        <v>23</v>
      </c>
      <c r="C656" s="27">
        <v>43984.385416666664</v>
      </c>
      <c r="D656" s="23">
        <v>23.85</v>
      </c>
      <c r="E656" s="27">
        <v>43984.479166666664</v>
      </c>
      <c r="F656" s="23">
        <v>23.85</v>
      </c>
      <c r="G656" s="31">
        <v>0</v>
      </c>
      <c r="H656" s="23">
        <v>0</v>
      </c>
      <c r="I656" s="31">
        <v>0</v>
      </c>
      <c r="J656" s="23">
        <v>2105.6590000000001</v>
      </c>
      <c r="K656" s="23">
        <v>50219.98</v>
      </c>
      <c r="L656" s="23">
        <v>43885.27</v>
      </c>
      <c r="M656" s="23">
        <v>10</v>
      </c>
      <c r="N656" s="23">
        <v>0</v>
      </c>
      <c r="O656" s="31">
        <v>-6.3E-3</v>
      </c>
      <c r="P656" s="31">
        <v>3.1399999999999997E-2</v>
      </c>
      <c r="Q656" s="23" t="s">
        <v>24</v>
      </c>
      <c r="R656" s="23">
        <v>0</v>
      </c>
      <c r="S656" s="23">
        <v>24.2</v>
      </c>
      <c r="U656" s="47">
        <f>VLOOKUP(AU656,[1]expiry_dates!$B$2:$C$2894,2,FALSE)</f>
        <v>44007</v>
      </c>
      <c r="V656" s="23" t="s">
        <v>170</v>
      </c>
      <c r="W656" s="23" t="s">
        <v>23</v>
      </c>
      <c r="X656" s="49">
        <v>43984.385416666664</v>
      </c>
      <c r="Y656" s="23">
        <v>1.7</v>
      </c>
      <c r="Z656" s="23">
        <v>43984.479166666664</v>
      </c>
      <c r="AA656" s="23">
        <v>1.8</v>
      </c>
      <c r="AB656" s="23">
        <v>5.8799999999999998E-2</v>
      </c>
      <c r="AC656" s="23">
        <v>-3540.35</v>
      </c>
      <c r="AD656" s="23">
        <v>-5.8799999999999998E-2</v>
      </c>
      <c r="AE656" s="23">
        <v>35403.51</v>
      </c>
      <c r="AF656" s="23">
        <v>60185.96</v>
      </c>
      <c r="AG656" s="23">
        <v>2035727.42</v>
      </c>
      <c r="AH656" s="23">
        <v>10</v>
      </c>
      <c r="AI656" s="23">
        <v>-354.04</v>
      </c>
      <c r="AJ656" s="23">
        <v>-5.8799999999999998E-2</v>
      </c>
      <c r="AK656" s="23">
        <v>0.14710000000000001</v>
      </c>
      <c r="AL656" s="23" t="s">
        <v>24</v>
      </c>
      <c r="AM656" s="23">
        <v>23.85</v>
      </c>
      <c r="AN656" s="23">
        <v>20142.3</v>
      </c>
      <c r="AO656" s="23">
        <v>24.2</v>
      </c>
      <c r="AP656" s="23">
        <v>0</v>
      </c>
      <c r="AR656" s="46"/>
      <c r="AS656" s="44"/>
      <c r="AT656" s="45"/>
      <c r="AU656" s="2">
        <v>43984</v>
      </c>
      <c r="AV656" s="52">
        <v>0.38541666666666669</v>
      </c>
      <c r="AW656" s="2" t="s">
        <v>212</v>
      </c>
      <c r="AY656" s="3"/>
      <c r="BA656" s="3"/>
      <c r="BG656" s="3"/>
      <c r="BH656" s="3"/>
    </row>
    <row r="657" spans="1:60">
      <c r="A657" s="23" t="s">
        <v>22</v>
      </c>
      <c r="B657" s="23" t="s">
        <v>25</v>
      </c>
      <c r="C657" s="27">
        <v>43984.479166666664</v>
      </c>
      <c r="D657" s="23">
        <v>23.85</v>
      </c>
      <c r="E657" s="27">
        <v>43985.510416666664</v>
      </c>
      <c r="F657" s="23">
        <v>24.35</v>
      </c>
      <c r="G657" s="31">
        <v>2.1000000000000001E-2</v>
      </c>
      <c r="H657" s="23">
        <v>1052.8599999999999</v>
      </c>
      <c r="I657" s="31">
        <v>2.1000000000000001E-2</v>
      </c>
      <c r="J657" s="23">
        <v>2105.7249999999999</v>
      </c>
      <c r="K657" s="23">
        <v>50221.53</v>
      </c>
      <c r="L657" s="23">
        <v>44938.14</v>
      </c>
      <c r="M657" s="23">
        <v>32</v>
      </c>
      <c r="N657" s="23">
        <v>32.9</v>
      </c>
      <c r="O657" s="31">
        <v>-1.0500000000000001E-2</v>
      </c>
      <c r="P657" s="31">
        <v>4.6100000000000002E-2</v>
      </c>
      <c r="Q657" s="23" t="s">
        <v>24</v>
      </c>
      <c r="R657" s="23">
        <v>0</v>
      </c>
      <c r="S657" s="23">
        <v>23.1</v>
      </c>
      <c r="U657" s="47">
        <f>VLOOKUP(AU657,[1]expiry_dates!$B$2:$C$2894,2,FALSE)</f>
        <v>44007</v>
      </c>
      <c r="V657" s="23" t="s">
        <v>171</v>
      </c>
      <c r="W657" s="23" t="s">
        <v>23</v>
      </c>
      <c r="X657" s="49">
        <v>43984.479166666664</v>
      </c>
      <c r="Y657" s="23">
        <v>1.75</v>
      </c>
      <c r="Z657" s="23">
        <v>43985.510416666664</v>
      </c>
      <c r="AA657" s="23">
        <v>1.65</v>
      </c>
      <c r="AB657" s="23">
        <v>-5.7099999999999998E-2</v>
      </c>
      <c r="AC657" s="23">
        <v>3440.8</v>
      </c>
      <c r="AD657" s="23">
        <v>5.7099999999999998E-2</v>
      </c>
      <c r="AE657" s="23">
        <v>34408.019999999997</v>
      </c>
      <c r="AF657" s="23">
        <v>60214.04</v>
      </c>
      <c r="AG657" s="23">
        <v>2039168.23</v>
      </c>
      <c r="AH657" s="23">
        <v>32</v>
      </c>
      <c r="AI657" s="23">
        <v>107.53</v>
      </c>
      <c r="AJ657" s="23">
        <v>-0.1714</v>
      </c>
      <c r="AK657" s="23">
        <v>0.2</v>
      </c>
      <c r="AL657" s="23" t="s">
        <v>24</v>
      </c>
      <c r="AM657" s="23">
        <v>23.85</v>
      </c>
      <c r="AN657" s="23">
        <v>20088.75</v>
      </c>
      <c r="AO657" s="23">
        <v>23.1</v>
      </c>
      <c r="AP657" s="23">
        <v>0</v>
      </c>
      <c r="AR657" s="46"/>
      <c r="AS657" s="44"/>
      <c r="AT657" s="45"/>
      <c r="AU657" s="2">
        <v>43984</v>
      </c>
      <c r="AV657" s="52">
        <v>0.47916666666666669</v>
      </c>
      <c r="AW657" s="2" t="s">
        <v>212</v>
      </c>
      <c r="AY657" s="3"/>
      <c r="BA657" s="3"/>
      <c r="BG657" s="3"/>
      <c r="BH657" s="3"/>
    </row>
    <row r="658" spans="1:60">
      <c r="A658" s="23" t="s">
        <v>22</v>
      </c>
      <c r="B658" s="23" t="s">
        <v>23</v>
      </c>
      <c r="C658" s="27">
        <v>43985.510416666664</v>
      </c>
      <c r="D658" s="23">
        <v>24.35</v>
      </c>
      <c r="E658" s="27">
        <v>43987.385416666664</v>
      </c>
      <c r="F658" s="23">
        <v>23.2</v>
      </c>
      <c r="G658" s="31">
        <v>-4.7199999999999999E-2</v>
      </c>
      <c r="H658" s="23">
        <v>2372.06</v>
      </c>
      <c r="I658" s="31">
        <v>4.7199999999999999E-2</v>
      </c>
      <c r="J658" s="23">
        <v>2062.6590000000001</v>
      </c>
      <c r="K658" s="23">
        <v>50225.75</v>
      </c>
      <c r="L658" s="23">
        <v>47310.19</v>
      </c>
      <c r="M658" s="23">
        <v>45</v>
      </c>
      <c r="N658" s="23">
        <v>52.71</v>
      </c>
      <c r="O658" s="31">
        <v>-1.03E-2</v>
      </c>
      <c r="P658" s="31">
        <v>7.3899999999999993E-2</v>
      </c>
      <c r="Q658" s="23" t="s">
        <v>24</v>
      </c>
      <c r="R658" s="23">
        <v>0</v>
      </c>
      <c r="S658" s="23">
        <v>24.94</v>
      </c>
      <c r="U658" s="47">
        <f>VLOOKUP(AU658,[1]expiry_dates!$B$2:$C$2894,2,FALSE)</f>
        <v>44007</v>
      </c>
      <c r="V658" s="23" t="s">
        <v>170</v>
      </c>
      <c r="W658" s="23" t="s">
        <v>23</v>
      </c>
      <c r="X658" s="49">
        <v>43985.510416666664</v>
      </c>
      <c r="Y658" s="23">
        <v>1.9</v>
      </c>
      <c r="Z658" s="23">
        <v>43987.385416666664</v>
      </c>
      <c r="AA658" s="23">
        <v>1.3</v>
      </c>
      <c r="AB658" s="23">
        <v>-0.31580000000000003</v>
      </c>
      <c r="AC658" s="23">
        <v>19011.93</v>
      </c>
      <c r="AD658" s="23">
        <v>0.31580000000000003</v>
      </c>
      <c r="AE658" s="23">
        <v>31686.55</v>
      </c>
      <c r="AF658" s="23">
        <v>60204.44</v>
      </c>
      <c r="AG658" s="23">
        <v>2058180.15</v>
      </c>
      <c r="AH658" s="23">
        <v>45</v>
      </c>
      <c r="AI658" s="23">
        <v>422.49</v>
      </c>
      <c r="AJ658" s="23">
        <v>-0.15790000000000001</v>
      </c>
      <c r="AK658" s="23">
        <v>0.42109999999999997</v>
      </c>
      <c r="AL658" s="23" t="s">
        <v>24</v>
      </c>
      <c r="AM658" s="23">
        <v>24.35</v>
      </c>
      <c r="AN658" s="23">
        <v>21152.6</v>
      </c>
      <c r="AO658" s="23">
        <v>24.94</v>
      </c>
      <c r="AP658" s="23">
        <v>0</v>
      </c>
      <c r="AR658" s="46"/>
      <c r="AS658" s="44"/>
      <c r="AT658" s="45"/>
      <c r="AU658" s="2">
        <v>43985</v>
      </c>
      <c r="AV658" s="52">
        <v>0.51041666666666663</v>
      </c>
      <c r="AW658" s="2" t="s">
        <v>213</v>
      </c>
      <c r="AY658" s="3"/>
      <c r="BA658" s="3"/>
      <c r="BG658" s="3"/>
      <c r="BH658" s="3"/>
    </row>
    <row r="659" spans="1:60">
      <c r="A659" s="23" t="s">
        <v>22</v>
      </c>
      <c r="B659" s="23" t="s">
        <v>25</v>
      </c>
      <c r="C659" s="27">
        <v>43987.385416666664</v>
      </c>
      <c r="D659" s="23">
        <v>23.2</v>
      </c>
      <c r="E659" s="27">
        <v>43990.552083333336</v>
      </c>
      <c r="F659" s="23">
        <v>25.65</v>
      </c>
      <c r="G659" s="31">
        <v>0.1056</v>
      </c>
      <c r="H659" s="23">
        <v>5305.64</v>
      </c>
      <c r="I659" s="31">
        <v>0.1056</v>
      </c>
      <c r="J659" s="23">
        <v>2165.569</v>
      </c>
      <c r="K659" s="23">
        <v>50241.19</v>
      </c>
      <c r="L659" s="23">
        <v>52615.839999999997</v>
      </c>
      <c r="M659" s="23">
        <v>45</v>
      </c>
      <c r="N659" s="23">
        <v>117.9</v>
      </c>
      <c r="O659" s="31">
        <v>-2.1600000000000001E-2</v>
      </c>
      <c r="P659" s="31">
        <v>0.1724</v>
      </c>
      <c r="Q659" s="23" t="s">
        <v>24</v>
      </c>
      <c r="R659" s="23">
        <v>0</v>
      </c>
      <c r="S659" s="23">
        <v>22.58</v>
      </c>
      <c r="U659" s="47">
        <f>VLOOKUP(AU659,[1]expiry_dates!$B$2:$C$2894,2,FALSE)</f>
        <v>44007</v>
      </c>
      <c r="V659" s="23" t="s">
        <v>164</v>
      </c>
      <c r="W659" s="23" t="s">
        <v>23</v>
      </c>
      <c r="X659" s="49">
        <v>43987.385416666664</v>
      </c>
      <c r="Y659" s="23">
        <v>0.5</v>
      </c>
      <c r="Z659" s="23">
        <v>43990.552083333336</v>
      </c>
      <c r="AA659" s="23">
        <v>0.3</v>
      </c>
      <c r="AB659" s="23">
        <v>-0.4</v>
      </c>
      <c r="AC659" s="23">
        <v>24125.87</v>
      </c>
      <c r="AD659" s="23">
        <v>0.4</v>
      </c>
      <c r="AE659" s="23">
        <v>120629.3</v>
      </c>
      <c r="AF659" s="23">
        <v>60314.66</v>
      </c>
      <c r="AG659" s="23">
        <v>2082306.02</v>
      </c>
      <c r="AH659" s="23">
        <v>45</v>
      </c>
      <c r="AI659" s="23">
        <v>536.13</v>
      </c>
      <c r="AJ659" s="23">
        <v>-0.2</v>
      </c>
      <c r="AK659" s="23">
        <v>0.6</v>
      </c>
      <c r="AL659" s="23" t="s">
        <v>24</v>
      </c>
      <c r="AM659" s="23">
        <v>23.2</v>
      </c>
      <c r="AN659" s="23">
        <v>20743.150000000001</v>
      </c>
      <c r="AO659" s="23">
        <v>22.58</v>
      </c>
      <c r="AP659" s="23">
        <v>0</v>
      </c>
      <c r="AR659" s="46"/>
      <c r="AS659" s="44"/>
      <c r="AT659" s="45"/>
      <c r="AU659" s="2">
        <v>43987</v>
      </c>
      <c r="AV659" s="52">
        <v>0.38541666666666669</v>
      </c>
      <c r="AW659" s="2" t="s">
        <v>212</v>
      </c>
      <c r="AY659" s="3"/>
      <c r="BA659" s="3"/>
      <c r="BG659" s="3"/>
      <c r="BH659" s="3"/>
    </row>
    <row r="660" spans="1:60">
      <c r="A660" s="23" t="s">
        <v>22</v>
      </c>
      <c r="B660" s="23" t="s">
        <v>23</v>
      </c>
      <c r="C660" s="27">
        <v>43990.552083333336</v>
      </c>
      <c r="D660" s="23">
        <v>25.65</v>
      </c>
      <c r="E660" s="27">
        <v>43991.4375</v>
      </c>
      <c r="F660" s="23">
        <v>25.95</v>
      </c>
      <c r="G660" s="31">
        <v>1.17E-2</v>
      </c>
      <c r="H660" s="23">
        <v>-587.92999999999995</v>
      </c>
      <c r="I660" s="31">
        <v>-1.17E-2</v>
      </c>
      <c r="J660" s="23">
        <v>1959.7639999999999</v>
      </c>
      <c r="K660" s="23">
        <v>50267.95</v>
      </c>
      <c r="L660" s="23">
        <v>52027.91</v>
      </c>
      <c r="M660" s="23">
        <v>19</v>
      </c>
      <c r="N660" s="23">
        <v>-30.94</v>
      </c>
      <c r="O660" s="31">
        <v>-1.7500000000000002E-2</v>
      </c>
      <c r="P660" s="31">
        <v>3.3099999999999997E-2</v>
      </c>
      <c r="Q660" s="23" t="s">
        <v>24</v>
      </c>
      <c r="R660" s="23">
        <v>0</v>
      </c>
      <c r="S660" s="23">
        <v>27.2</v>
      </c>
      <c r="U660" s="47">
        <f>VLOOKUP(AU660,[1]expiry_dates!$B$2:$C$2894,2,FALSE)</f>
        <v>44007</v>
      </c>
      <c r="V660" s="23" t="s">
        <v>154</v>
      </c>
      <c r="W660" s="23" t="s">
        <v>23</v>
      </c>
      <c r="X660" s="49">
        <v>43990.552083333336</v>
      </c>
      <c r="Y660" s="23">
        <v>1.7</v>
      </c>
      <c r="Z660" s="23">
        <v>43991.4375</v>
      </c>
      <c r="AA660" s="23">
        <v>2</v>
      </c>
      <c r="AB660" s="23">
        <v>0.17649999999999999</v>
      </c>
      <c r="AC660" s="23">
        <v>-10660.86</v>
      </c>
      <c r="AD660" s="23">
        <v>-0.17649999999999999</v>
      </c>
      <c r="AE660" s="23">
        <v>35536.19</v>
      </c>
      <c r="AF660" s="23">
        <v>60411.53</v>
      </c>
      <c r="AG660" s="23">
        <v>2071645.16</v>
      </c>
      <c r="AH660" s="23">
        <v>19</v>
      </c>
      <c r="AI660" s="23">
        <v>-561.1</v>
      </c>
      <c r="AJ660" s="23">
        <v>-0.17649999999999999</v>
      </c>
      <c r="AK660" s="23">
        <v>0.2059</v>
      </c>
      <c r="AL660" s="23" t="s">
        <v>24</v>
      </c>
      <c r="AM660" s="23">
        <v>25.65</v>
      </c>
      <c r="AN660" s="23">
        <v>21090.3</v>
      </c>
      <c r="AO660" s="23">
        <v>27.2</v>
      </c>
      <c r="AP660" s="23">
        <v>0</v>
      </c>
      <c r="AR660" s="46"/>
      <c r="AS660" s="44"/>
      <c r="AT660" s="45"/>
      <c r="AU660" s="2">
        <v>43990</v>
      </c>
      <c r="AV660" s="52">
        <v>5.2083333333333336E-2</v>
      </c>
      <c r="AW660" s="2" t="s">
        <v>213</v>
      </c>
      <c r="AY660" s="3"/>
      <c r="BA660" s="3"/>
      <c r="BG660" s="3"/>
      <c r="BH660" s="3"/>
    </row>
    <row r="661" spans="1:60">
      <c r="A661" s="23" t="s">
        <v>22</v>
      </c>
      <c r="B661" s="23" t="s">
        <v>25</v>
      </c>
      <c r="C661" s="27">
        <v>43991.4375</v>
      </c>
      <c r="D661" s="23">
        <v>25.95</v>
      </c>
      <c r="E661" s="27">
        <v>43991.552083333336</v>
      </c>
      <c r="F661" s="23">
        <v>25.6</v>
      </c>
      <c r="G661" s="31">
        <v>-1.35E-2</v>
      </c>
      <c r="H661" s="23">
        <v>-677.9</v>
      </c>
      <c r="I661" s="31">
        <v>-1.35E-2</v>
      </c>
      <c r="J661" s="23">
        <v>1936.845</v>
      </c>
      <c r="K661" s="23">
        <v>50261.120000000003</v>
      </c>
      <c r="L661" s="23">
        <v>51350.01</v>
      </c>
      <c r="M661" s="23">
        <v>12</v>
      </c>
      <c r="N661" s="23">
        <v>-56.49</v>
      </c>
      <c r="O661" s="31">
        <v>-1.7299999999999999E-2</v>
      </c>
      <c r="P661" s="31">
        <v>1.35E-2</v>
      </c>
      <c r="Q661" s="23" t="s">
        <v>24</v>
      </c>
      <c r="R661" s="23">
        <v>0</v>
      </c>
      <c r="S661" s="23">
        <v>24.82</v>
      </c>
      <c r="U661" s="47">
        <f>VLOOKUP(AU661,[1]expiry_dates!$B$2:$C$2894,2,FALSE)</f>
        <v>44007</v>
      </c>
      <c r="V661" s="23" t="s">
        <v>164</v>
      </c>
      <c r="W661" s="23" t="s">
        <v>23</v>
      </c>
      <c r="X661" s="49">
        <v>43991.4375</v>
      </c>
      <c r="Y661" s="23">
        <v>0.25</v>
      </c>
      <c r="Z661" s="23">
        <v>43991.552083333336</v>
      </c>
      <c r="AA661" s="23">
        <v>0.25</v>
      </c>
      <c r="AB661" s="23">
        <v>0</v>
      </c>
      <c r="AC661" s="23">
        <v>0</v>
      </c>
      <c r="AD661" s="23">
        <v>0</v>
      </c>
      <c r="AE661" s="23">
        <v>241504</v>
      </c>
      <c r="AF661" s="23">
        <v>60375.99</v>
      </c>
      <c r="AG661" s="23">
        <v>2071645.16</v>
      </c>
      <c r="AH661" s="23">
        <v>12</v>
      </c>
      <c r="AI661" s="23">
        <v>0</v>
      </c>
      <c r="AJ661" s="23">
        <v>-0.2</v>
      </c>
      <c r="AK661" s="23">
        <v>0.2</v>
      </c>
      <c r="AL661" s="23" t="s">
        <v>24</v>
      </c>
      <c r="AM661" s="23">
        <v>25.95</v>
      </c>
      <c r="AN661" s="23">
        <v>21444.5</v>
      </c>
      <c r="AO661" s="23">
        <v>24.82</v>
      </c>
      <c r="AP661" s="23">
        <v>0</v>
      </c>
      <c r="AR661" s="46"/>
      <c r="AS661" s="44"/>
      <c r="AT661" s="45"/>
      <c r="AU661" s="2">
        <v>43991</v>
      </c>
      <c r="AV661" s="52">
        <v>0.4375</v>
      </c>
      <c r="AW661" s="2" t="s">
        <v>212</v>
      </c>
      <c r="AY661" s="3"/>
      <c r="BA661" s="3"/>
      <c r="BG661" s="3"/>
      <c r="BH661" s="3"/>
    </row>
    <row r="662" spans="1:60">
      <c r="A662" s="23" t="s">
        <v>22</v>
      </c>
      <c r="B662" s="23" t="s">
        <v>23</v>
      </c>
      <c r="C662" s="27">
        <v>43991.552083333336</v>
      </c>
      <c r="D662" s="23">
        <v>25.6</v>
      </c>
      <c r="E662" s="27">
        <v>43992.458333333336</v>
      </c>
      <c r="F662" s="23">
        <v>25.35</v>
      </c>
      <c r="G662" s="31">
        <v>-9.7999999999999997E-3</v>
      </c>
      <c r="H662" s="23">
        <v>490.8</v>
      </c>
      <c r="I662" s="31">
        <v>9.7999999999999997E-3</v>
      </c>
      <c r="J662" s="23">
        <v>1963.192</v>
      </c>
      <c r="K662" s="23">
        <v>50257.72</v>
      </c>
      <c r="L662" s="23">
        <v>51840.81</v>
      </c>
      <c r="M662" s="23">
        <v>20</v>
      </c>
      <c r="N662" s="23">
        <v>24.54</v>
      </c>
      <c r="O662" s="31">
        <v>-7.7999999999999996E-3</v>
      </c>
      <c r="P662" s="31">
        <v>3.1300000000000001E-2</v>
      </c>
      <c r="Q662" s="23" t="s">
        <v>24</v>
      </c>
      <c r="R662" s="23">
        <v>0</v>
      </c>
      <c r="S662" s="23">
        <v>26.27</v>
      </c>
      <c r="U662" s="47">
        <f>VLOOKUP(AU662,[1]expiry_dates!$B$2:$C$2894,2,FALSE)</f>
        <v>44007</v>
      </c>
      <c r="V662" s="23" t="s">
        <v>154</v>
      </c>
      <c r="W662" s="23" t="s">
        <v>23</v>
      </c>
      <c r="X662" s="49">
        <v>43991.552083333336</v>
      </c>
      <c r="Y662" s="23">
        <v>1.7</v>
      </c>
      <c r="Z662" s="23">
        <v>43992.458333333336</v>
      </c>
      <c r="AA662" s="23">
        <v>1.6</v>
      </c>
      <c r="AB662" s="23">
        <v>-5.8799999999999998E-2</v>
      </c>
      <c r="AC662" s="23">
        <v>3546.93</v>
      </c>
      <c r="AD662" s="23">
        <v>5.8799999999999998E-2</v>
      </c>
      <c r="AE662" s="23">
        <v>35469.32</v>
      </c>
      <c r="AF662" s="23">
        <v>60297.85</v>
      </c>
      <c r="AG662" s="23">
        <v>2075192.1</v>
      </c>
      <c r="AH662" s="23">
        <v>20</v>
      </c>
      <c r="AI662" s="23">
        <v>177.35</v>
      </c>
      <c r="AJ662" s="23">
        <v>-2.9399999999999999E-2</v>
      </c>
      <c r="AK662" s="23">
        <v>0.2059</v>
      </c>
      <c r="AL662" s="23" t="s">
        <v>24</v>
      </c>
      <c r="AM662" s="23">
        <v>25.6</v>
      </c>
      <c r="AN662" s="23">
        <v>21149.8</v>
      </c>
      <c r="AO662" s="23">
        <v>26.27</v>
      </c>
      <c r="AP662" s="23">
        <v>0</v>
      </c>
      <c r="AR662" s="46"/>
      <c r="AS662" s="44"/>
      <c r="AT662" s="45"/>
      <c r="AU662" s="2">
        <v>43991</v>
      </c>
      <c r="AV662" s="52">
        <v>5.2083333333333336E-2</v>
      </c>
      <c r="AW662" s="2" t="s">
        <v>213</v>
      </c>
      <c r="AY662" s="3"/>
      <c r="BA662" s="3"/>
      <c r="BG662" s="3"/>
      <c r="BH662" s="3"/>
    </row>
    <row r="663" spans="1:60">
      <c r="A663" s="23" t="s">
        <v>22</v>
      </c>
      <c r="B663" s="23" t="s">
        <v>25</v>
      </c>
      <c r="C663" s="27">
        <v>43992.458333333336</v>
      </c>
      <c r="D663" s="23">
        <v>25.35</v>
      </c>
      <c r="E663" s="27">
        <v>43992.614583333336</v>
      </c>
      <c r="F663" s="23">
        <v>25.3</v>
      </c>
      <c r="G663" s="31">
        <v>-2E-3</v>
      </c>
      <c r="H663" s="23">
        <v>-99.14</v>
      </c>
      <c r="I663" s="31">
        <v>-2E-3</v>
      </c>
      <c r="J663" s="23">
        <v>1982.7080000000001</v>
      </c>
      <c r="K663" s="23">
        <v>50261.66</v>
      </c>
      <c r="L663" s="23">
        <v>51741.68</v>
      </c>
      <c r="M663" s="23">
        <v>16</v>
      </c>
      <c r="N663" s="23">
        <v>-6.2</v>
      </c>
      <c r="O663" s="31">
        <v>-1.38E-2</v>
      </c>
      <c r="P663" s="31">
        <v>1.9699999999999999E-2</v>
      </c>
      <c r="Q663" s="23" t="s">
        <v>24</v>
      </c>
      <c r="R663" s="23">
        <v>0</v>
      </c>
      <c r="S663" s="23">
        <v>24.8</v>
      </c>
      <c r="U663" s="47">
        <f>VLOOKUP(AU663,[1]expiry_dates!$B$2:$C$2894,2,FALSE)</f>
        <v>44007</v>
      </c>
      <c r="V663" s="23" t="s">
        <v>172</v>
      </c>
      <c r="W663" s="23" t="s">
        <v>23</v>
      </c>
      <c r="X663" s="49">
        <v>43992.458333333336</v>
      </c>
      <c r="Y663" s="23">
        <v>1.6</v>
      </c>
      <c r="Z663" s="23">
        <v>43992.614583333336</v>
      </c>
      <c r="AA663" s="23">
        <v>1.65</v>
      </c>
      <c r="AB663" s="23">
        <v>3.1199999999999999E-2</v>
      </c>
      <c r="AC663" s="23">
        <v>-1887.58</v>
      </c>
      <c r="AD663" s="23">
        <v>-3.1199999999999999E-2</v>
      </c>
      <c r="AE663" s="23">
        <v>37751.599999999999</v>
      </c>
      <c r="AF663" s="23">
        <v>60402.559999999998</v>
      </c>
      <c r="AG663" s="23">
        <v>2073304.52</v>
      </c>
      <c r="AH663" s="23">
        <v>16</v>
      </c>
      <c r="AI663" s="23">
        <v>-117.97</v>
      </c>
      <c r="AJ663" s="23">
        <v>-9.3700000000000006E-2</v>
      </c>
      <c r="AK663" s="23">
        <v>6.25E-2</v>
      </c>
      <c r="AL663" s="23" t="s">
        <v>24</v>
      </c>
      <c r="AM663" s="23">
        <v>25.35</v>
      </c>
      <c r="AN663" s="23">
        <v>20932.900000000001</v>
      </c>
      <c r="AO663" s="23">
        <v>24.8</v>
      </c>
      <c r="AP663" s="23">
        <v>0</v>
      </c>
      <c r="AR663" s="46"/>
      <c r="AS663" s="44"/>
      <c r="AT663" s="45"/>
      <c r="AU663" s="2">
        <v>43992</v>
      </c>
      <c r="AV663" s="52">
        <v>0.45833333333333331</v>
      </c>
      <c r="AW663" s="2" t="s">
        <v>212</v>
      </c>
      <c r="AY663" s="3"/>
      <c r="BA663" s="3"/>
      <c r="BG663" s="3"/>
      <c r="BH663" s="3"/>
    </row>
    <row r="664" spans="1:60">
      <c r="A664" s="23" t="s">
        <v>22</v>
      </c>
      <c r="B664" s="23" t="s">
        <v>23</v>
      </c>
      <c r="C664" s="27">
        <v>43992.614583333336</v>
      </c>
      <c r="D664" s="23">
        <v>25.3</v>
      </c>
      <c r="E664" s="27">
        <v>43992.625</v>
      </c>
      <c r="F664" s="23">
        <v>25.8</v>
      </c>
      <c r="G664" s="31">
        <v>1.9800000000000002E-2</v>
      </c>
      <c r="H664" s="23">
        <v>-993.27</v>
      </c>
      <c r="I664" s="31">
        <v>-1.9800000000000002E-2</v>
      </c>
      <c r="J664" s="23">
        <v>1986.549</v>
      </c>
      <c r="K664" s="23">
        <v>50259.7</v>
      </c>
      <c r="L664" s="23">
        <v>50748.4</v>
      </c>
      <c r="M664" s="23">
        <v>2</v>
      </c>
      <c r="N664" s="23">
        <v>-496.64</v>
      </c>
      <c r="O664" s="31">
        <v>-1.9800000000000002E-2</v>
      </c>
      <c r="P664" s="31">
        <v>2E-3</v>
      </c>
      <c r="Q664" s="23" t="s">
        <v>24</v>
      </c>
      <c r="R664" s="23">
        <v>0</v>
      </c>
      <c r="S664" s="23">
        <v>25.83</v>
      </c>
      <c r="U664" s="47">
        <f>VLOOKUP(AU664,[1]expiry_dates!$B$2:$C$2894,2,FALSE)</f>
        <v>44007</v>
      </c>
      <c r="V664" s="23" t="s">
        <v>165</v>
      </c>
      <c r="W664" s="23" t="s">
        <v>23</v>
      </c>
      <c r="X664" s="49">
        <v>43992.614583333336</v>
      </c>
      <c r="Y664" s="23">
        <v>2</v>
      </c>
      <c r="Z664" s="23">
        <v>43992.625</v>
      </c>
      <c r="AA664" s="23">
        <v>2.2999999999999998</v>
      </c>
      <c r="AB664" s="23">
        <v>0.15</v>
      </c>
      <c r="AC664" s="23">
        <v>-9054.98</v>
      </c>
      <c r="AD664" s="23">
        <v>-0.15</v>
      </c>
      <c r="AE664" s="23">
        <v>30183.26</v>
      </c>
      <c r="AF664" s="23">
        <v>60366.52</v>
      </c>
      <c r="AG664" s="23">
        <v>2064249.54</v>
      </c>
      <c r="AH664" s="23">
        <v>2</v>
      </c>
      <c r="AI664" s="23">
        <v>-4527.49</v>
      </c>
      <c r="AJ664" s="23">
        <v>-0.15</v>
      </c>
      <c r="AK664" s="23">
        <v>2.5000000000000001E-2</v>
      </c>
      <c r="AL664" s="23" t="s">
        <v>24</v>
      </c>
      <c r="AM664" s="23">
        <v>25.3</v>
      </c>
      <c r="AN664" s="23">
        <v>20814.3</v>
      </c>
      <c r="AO664" s="23">
        <v>25.83</v>
      </c>
      <c r="AP664" s="23">
        <v>0</v>
      </c>
      <c r="AR664" s="46"/>
      <c r="AS664" s="44"/>
      <c r="AT664" s="45"/>
      <c r="AU664" s="2">
        <v>43992</v>
      </c>
      <c r="AV664" s="52">
        <v>0.11458333333333333</v>
      </c>
      <c r="AW664" s="2" t="s">
        <v>213</v>
      </c>
      <c r="AY664" s="3"/>
      <c r="BA664" s="3"/>
      <c r="BG664" s="3"/>
      <c r="BH664" s="3"/>
    </row>
    <row r="665" spans="1:60">
      <c r="A665" s="23" t="s">
        <v>22</v>
      </c>
      <c r="B665" s="23" t="s">
        <v>25</v>
      </c>
      <c r="C665" s="27">
        <v>43992.625</v>
      </c>
      <c r="D665" s="23">
        <v>25.8</v>
      </c>
      <c r="E665" s="27">
        <v>43993.46875</v>
      </c>
      <c r="F665" s="23">
        <v>26.25</v>
      </c>
      <c r="G665" s="31">
        <v>1.7399999999999999E-2</v>
      </c>
      <c r="H665" s="23">
        <v>876.61</v>
      </c>
      <c r="I665" s="31">
        <v>1.7399999999999999E-2</v>
      </c>
      <c r="J665" s="23">
        <v>1948.0119999999999</v>
      </c>
      <c r="K665" s="23">
        <v>50258.71</v>
      </c>
      <c r="L665" s="23">
        <v>51625.01</v>
      </c>
      <c r="M665" s="23">
        <v>14</v>
      </c>
      <c r="N665" s="23">
        <v>62.61</v>
      </c>
      <c r="O665" s="31">
        <v>-1.9400000000000001E-2</v>
      </c>
      <c r="P665" s="31">
        <v>4.65E-2</v>
      </c>
      <c r="Q665" s="23" t="s">
        <v>24</v>
      </c>
      <c r="R665" s="23">
        <v>0</v>
      </c>
      <c r="S665" s="23">
        <v>25.25</v>
      </c>
      <c r="U665" s="47">
        <f>VLOOKUP(AU665,[1]expiry_dates!$B$2:$C$2894,2,FALSE)</f>
        <v>44007</v>
      </c>
      <c r="V665" s="23" t="s">
        <v>151</v>
      </c>
      <c r="W665" s="23" t="s">
        <v>23</v>
      </c>
      <c r="X665" s="49">
        <v>43992.625</v>
      </c>
      <c r="Y665" s="23">
        <v>2.0499999999999998</v>
      </c>
      <c r="Z665" s="23">
        <v>43993.46875</v>
      </c>
      <c r="AA665" s="23">
        <v>2.15</v>
      </c>
      <c r="AB665" s="23">
        <v>4.8800000000000003E-2</v>
      </c>
      <c r="AC665" s="23">
        <v>-2944.71</v>
      </c>
      <c r="AD665" s="23">
        <v>-4.8800000000000003E-2</v>
      </c>
      <c r="AE665" s="23">
        <v>29447.08</v>
      </c>
      <c r="AF665" s="23">
        <v>60366.52</v>
      </c>
      <c r="AG665" s="23">
        <v>2061304.83</v>
      </c>
      <c r="AH665" s="23">
        <v>14</v>
      </c>
      <c r="AI665" s="23">
        <v>-210.34</v>
      </c>
      <c r="AJ665" s="23">
        <v>-9.7600000000000006E-2</v>
      </c>
      <c r="AK665" s="23">
        <v>0.2195</v>
      </c>
      <c r="AL665" s="23" t="s">
        <v>24</v>
      </c>
      <c r="AM665" s="23">
        <v>25.8</v>
      </c>
      <c r="AN665" s="23">
        <v>21169.25</v>
      </c>
      <c r="AO665" s="23">
        <v>25.25</v>
      </c>
      <c r="AP665" s="23">
        <v>0</v>
      </c>
      <c r="AR665" s="46"/>
      <c r="AS665" s="44"/>
      <c r="AT665" s="45"/>
      <c r="AU665" s="2">
        <v>43992</v>
      </c>
      <c r="AV665" s="52">
        <v>0.125</v>
      </c>
      <c r="AW665" s="2" t="s">
        <v>213</v>
      </c>
      <c r="AY665" s="3"/>
      <c r="BA665" s="3"/>
      <c r="BG665" s="3"/>
      <c r="BH665" s="3"/>
    </row>
    <row r="666" spans="1:60">
      <c r="A666" s="23" t="s">
        <v>22</v>
      </c>
      <c r="B666" s="23" t="s">
        <v>23</v>
      </c>
      <c r="C666" s="27">
        <v>43993.46875</v>
      </c>
      <c r="D666" s="23">
        <v>26.25</v>
      </c>
      <c r="E666" s="27">
        <v>43993.541666666664</v>
      </c>
      <c r="F666" s="23">
        <v>26.3</v>
      </c>
      <c r="G666" s="31">
        <v>1.9E-3</v>
      </c>
      <c r="H666" s="23">
        <v>-95.73</v>
      </c>
      <c r="I666" s="31">
        <v>-1.9E-3</v>
      </c>
      <c r="J666" s="23">
        <v>1914.54</v>
      </c>
      <c r="K666" s="23">
        <v>50256.66</v>
      </c>
      <c r="L666" s="23">
        <v>51529.279999999999</v>
      </c>
      <c r="M666" s="23">
        <v>8</v>
      </c>
      <c r="N666" s="23">
        <v>-11.97</v>
      </c>
      <c r="O666" s="31">
        <v>-5.7000000000000002E-3</v>
      </c>
      <c r="P666" s="31">
        <v>2.6700000000000002E-2</v>
      </c>
      <c r="Q666" s="23" t="s">
        <v>24</v>
      </c>
      <c r="R666" s="23">
        <v>0</v>
      </c>
      <c r="S666" s="23">
        <v>26.96</v>
      </c>
      <c r="U666" s="47">
        <f>VLOOKUP(AU666,[1]expiry_dates!$B$2:$C$2894,2,FALSE)</f>
        <v>44007</v>
      </c>
      <c r="V666" s="23" t="s">
        <v>154</v>
      </c>
      <c r="W666" s="23" t="s">
        <v>23</v>
      </c>
      <c r="X666" s="49">
        <v>43993.46875</v>
      </c>
      <c r="Y666" s="23">
        <v>2.1</v>
      </c>
      <c r="Z666" s="23">
        <v>43993.541666666664</v>
      </c>
      <c r="AA666" s="23">
        <v>2.15</v>
      </c>
      <c r="AB666" s="23">
        <v>2.3800000000000002E-2</v>
      </c>
      <c r="AC666" s="23">
        <v>-1436.22</v>
      </c>
      <c r="AD666" s="23">
        <v>-2.3800000000000002E-2</v>
      </c>
      <c r="AE666" s="23">
        <v>28724.400000000001</v>
      </c>
      <c r="AF666" s="23">
        <v>60321.25</v>
      </c>
      <c r="AG666" s="23">
        <v>2059868.61</v>
      </c>
      <c r="AH666" s="23">
        <v>8</v>
      </c>
      <c r="AI666" s="23">
        <v>-179.53</v>
      </c>
      <c r="AJ666" s="23">
        <v>-4.7600000000000003E-2</v>
      </c>
      <c r="AK666" s="23">
        <v>0.16669999999999999</v>
      </c>
      <c r="AL666" s="23" t="s">
        <v>24</v>
      </c>
      <c r="AM666" s="23">
        <v>26.25</v>
      </c>
      <c r="AN666" s="23">
        <v>20923.75</v>
      </c>
      <c r="AO666" s="23">
        <v>26.96</v>
      </c>
      <c r="AP666" s="23">
        <v>0</v>
      </c>
      <c r="AR666" s="46"/>
      <c r="AS666" s="44"/>
      <c r="AT666" s="45"/>
      <c r="AU666" s="2">
        <v>43993</v>
      </c>
      <c r="AV666" s="52">
        <v>0.46875</v>
      </c>
      <c r="AW666" s="2" t="s">
        <v>212</v>
      </c>
      <c r="AY666" s="3"/>
      <c r="BA666" s="3"/>
      <c r="BG666" s="3"/>
      <c r="BH666" s="3"/>
    </row>
    <row r="667" spans="1:60">
      <c r="A667" s="23" t="s">
        <v>22</v>
      </c>
      <c r="B667" s="23" t="s">
        <v>25</v>
      </c>
      <c r="C667" s="27">
        <v>43993.541666666664</v>
      </c>
      <c r="D667" s="23">
        <v>26.3</v>
      </c>
      <c r="E667" s="27">
        <v>43993.552083333336</v>
      </c>
      <c r="F667" s="23">
        <v>25.75</v>
      </c>
      <c r="G667" s="31">
        <v>-2.0899999999999998E-2</v>
      </c>
      <c r="H667" s="23">
        <v>-1051.08</v>
      </c>
      <c r="I667" s="31">
        <v>-2.0899999999999998E-2</v>
      </c>
      <c r="J667" s="23">
        <v>1911.046</v>
      </c>
      <c r="K667" s="23">
        <v>50260.52</v>
      </c>
      <c r="L667" s="23">
        <v>50478.2</v>
      </c>
      <c r="M667" s="23">
        <v>2</v>
      </c>
      <c r="N667" s="23">
        <v>-525.54</v>
      </c>
      <c r="O667" s="31">
        <v>-2.0899999999999998E-2</v>
      </c>
      <c r="P667" s="31">
        <v>2.2800000000000001E-2</v>
      </c>
      <c r="Q667" s="23" t="s">
        <v>24</v>
      </c>
      <c r="R667" s="23">
        <v>0</v>
      </c>
      <c r="S667" s="23">
        <v>25.58</v>
      </c>
      <c r="U667" s="47">
        <f>VLOOKUP(AU667,[1]expiry_dates!$B$2:$C$2894,2,FALSE)</f>
        <v>44007</v>
      </c>
      <c r="V667" s="23" t="s">
        <v>151</v>
      </c>
      <c r="W667" s="23" t="s">
        <v>23</v>
      </c>
      <c r="X667" s="49">
        <v>43993.541666666664</v>
      </c>
      <c r="Y667" s="23">
        <v>1.85</v>
      </c>
      <c r="Z667" s="23">
        <v>43993.552083333336</v>
      </c>
      <c r="AA667" s="23">
        <v>2.2000000000000002</v>
      </c>
      <c r="AB667" s="23">
        <v>0.18920000000000001</v>
      </c>
      <c r="AC667" s="23">
        <v>-11410.7</v>
      </c>
      <c r="AD667" s="23">
        <v>-0.18920000000000001</v>
      </c>
      <c r="AE667" s="23">
        <v>32602</v>
      </c>
      <c r="AF667" s="23">
        <v>60313.7</v>
      </c>
      <c r="AG667" s="23">
        <v>2048457.91</v>
      </c>
      <c r="AH667" s="23">
        <v>2</v>
      </c>
      <c r="AI667" s="23">
        <v>-5705.35</v>
      </c>
      <c r="AJ667" s="23">
        <v>-0.18920000000000001</v>
      </c>
      <c r="AK667" s="23">
        <v>8.1100000000000005E-2</v>
      </c>
      <c r="AL667" s="23" t="s">
        <v>24</v>
      </c>
      <c r="AM667" s="23">
        <v>26.3</v>
      </c>
      <c r="AN667" s="23">
        <v>20826.900000000001</v>
      </c>
      <c r="AO667" s="23">
        <v>25.58</v>
      </c>
      <c r="AP667" s="23">
        <v>0</v>
      </c>
      <c r="AR667" s="46"/>
      <c r="AS667" s="44"/>
      <c r="AT667" s="45"/>
      <c r="AU667" s="2">
        <v>43993</v>
      </c>
      <c r="AV667" s="52">
        <v>4.1666666666666664E-2</v>
      </c>
      <c r="AW667" s="2" t="s">
        <v>213</v>
      </c>
      <c r="AY667" s="3"/>
      <c r="BA667" s="3"/>
      <c r="BG667" s="3"/>
      <c r="BH667" s="3"/>
    </row>
    <row r="668" spans="1:60">
      <c r="A668" s="23" t="s">
        <v>22</v>
      </c>
      <c r="B668" s="23" t="s">
        <v>23</v>
      </c>
      <c r="C668" s="27">
        <v>43993.552083333336</v>
      </c>
      <c r="D668" s="23">
        <v>25.75</v>
      </c>
      <c r="E668" s="27">
        <v>43994.46875</v>
      </c>
      <c r="F668" s="23">
        <v>24.6</v>
      </c>
      <c r="G668" s="31">
        <v>-4.4699999999999997E-2</v>
      </c>
      <c r="H668" s="23">
        <v>2244.52</v>
      </c>
      <c r="I668" s="31">
        <v>4.4699999999999997E-2</v>
      </c>
      <c r="J668" s="23">
        <v>1951.7529999999999</v>
      </c>
      <c r="K668" s="23">
        <v>50257.65</v>
      </c>
      <c r="L668" s="23">
        <v>52722.720000000001</v>
      </c>
      <c r="M668" s="23">
        <v>21</v>
      </c>
      <c r="N668" s="23">
        <v>106.88</v>
      </c>
      <c r="O668" s="31">
        <v>-2.52E-2</v>
      </c>
      <c r="P668" s="31">
        <v>0.10680000000000001</v>
      </c>
      <c r="Q668" s="23" t="s">
        <v>24</v>
      </c>
      <c r="R668" s="23">
        <v>0</v>
      </c>
      <c r="S668" s="23">
        <v>26.9</v>
      </c>
      <c r="U668" s="47">
        <f>VLOOKUP(AU668,[1]expiry_dates!$B$2:$C$2894,2,FALSE)</f>
        <v>44007</v>
      </c>
      <c r="V668" s="23" t="s">
        <v>154</v>
      </c>
      <c r="W668" s="23" t="s">
        <v>23</v>
      </c>
      <c r="X668" s="49">
        <v>43993.552083333336</v>
      </c>
      <c r="Y668" s="23">
        <v>1.8</v>
      </c>
      <c r="Z668" s="23">
        <v>43994.46875</v>
      </c>
      <c r="AA668" s="23">
        <v>1.45</v>
      </c>
      <c r="AB668" s="23">
        <v>-0.19439999999999999</v>
      </c>
      <c r="AC668" s="23">
        <v>11724.87</v>
      </c>
      <c r="AD668" s="23">
        <v>0.19439999999999999</v>
      </c>
      <c r="AE668" s="23">
        <v>33499.64</v>
      </c>
      <c r="AF668" s="23">
        <v>60299.34</v>
      </c>
      <c r="AG668" s="23">
        <v>2060182.78</v>
      </c>
      <c r="AH668" s="23">
        <v>21</v>
      </c>
      <c r="AI668" s="23">
        <v>558.33000000000004</v>
      </c>
      <c r="AJ668" s="23">
        <v>-0.19439999999999999</v>
      </c>
      <c r="AK668" s="23">
        <v>0.55559999999999998</v>
      </c>
      <c r="AL668" s="23" t="s">
        <v>24</v>
      </c>
      <c r="AM668" s="23">
        <v>25.75</v>
      </c>
      <c r="AN668" s="23">
        <v>20747.349999999999</v>
      </c>
      <c r="AO668" s="23">
        <v>26.9</v>
      </c>
      <c r="AP668" s="23">
        <v>0</v>
      </c>
      <c r="AR668" s="46"/>
      <c r="AS668" s="44"/>
      <c r="AT668" s="45"/>
      <c r="AU668" s="2">
        <v>43993</v>
      </c>
      <c r="AV668" s="52">
        <v>5.2083333333333336E-2</v>
      </c>
      <c r="AW668" s="2" t="s">
        <v>213</v>
      </c>
      <c r="AY668" s="3"/>
      <c r="BA668" s="3"/>
      <c r="BG668" s="3"/>
      <c r="BH668" s="3"/>
    </row>
    <row r="669" spans="1:60">
      <c r="A669" s="23" t="s">
        <v>22</v>
      </c>
      <c r="B669" s="23" t="s">
        <v>25</v>
      </c>
      <c r="C669" s="27">
        <v>43994.46875</v>
      </c>
      <c r="D669" s="23">
        <v>24.6</v>
      </c>
      <c r="E669" s="27">
        <v>43997.5</v>
      </c>
      <c r="F669" s="23">
        <v>25.35</v>
      </c>
      <c r="G669" s="31">
        <v>3.0499999999999999E-2</v>
      </c>
      <c r="H669" s="23">
        <v>1532.53</v>
      </c>
      <c r="I669" s="31">
        <v>3.0499999999999999E-2</v>
      </c>
      <c r="J669" s="23">
        <v>2043.375</v>
      </c>
      <c r="K669" s="23">
        <v>50267.03</v>
      </c>
      <c r="L669" s="23">
        <v>54255.25</v>
      </c>
      <c r="M669" s="23">
        <v>32</v>
      </c>
      <c r="N669" s="23">
        <v>47.89</v>
      </c>
      <c r="O669" s="31">
        <v>-1.6299999999999999E-2</v>
      </c>
      <c r="P669" s="31">
        <v>6.9099999999999995E-2</v>
      </c>
      <c r="Q669" s="23" t="s">
        <v>24</v>
      </c>
      <c r="R669" s="23">
        <v>0</v>
      </c>
      <c r="S669" s="23">
        <v>23</v>
      </c>
      <c r="U669" s="47">
        <f>VLOOKUP(AU669,[1]expiry_dates!$B$2:$C$2894,2,FALSE)</f>
        <v>44007</v>
      </c>
      <c r="V669" s="23" t="s">
        <v>172</v>
      </c>
      <c r="W669" s="23" t="s">
        <v>23</v>
      </c>
      <c r="X669" s="49">
        <v>43994.46875</v>
      </c>
      <c r="Y669" s="23">
        <v>2</v>
      </c>
      <c r="Z669" s="23">
        <v>43997.5</v>
      </c>
      <c r="AA669" s="23">
        <v>1.5</v>
      </c>
      <c r="AB669" s="23">
        <v>-0.25</v>
      </c>
      <c r="AC669" s="23">
        <v>15083.6</v>
      </c>
      <c r="AD669" s="23">
        <v>0.25</v>
      </c>
      <c r="AE669" s="23">
        <v>30167.21</v>
      </c>
      <c r="AF669" s="23">
        <v>60334.41</v>
      </c>
      <c r="AG669" s="23">
        <v>2075266.38</v>
      </c>
      <c r="AH669" s="23">
        <v>32</v>
      </c>
      <c r="AI669" s="23">
        <v>471.36</v>
      </c>
      <c r="AJ669" s="23">
        <v>-0.1</v>
      </c>
      <c r="AK669" s="23">
        <v>0.375</v>
      </c>
      <c r="AL669" s="23" t="s">
        <v>24</v>
      </c>
      <c r="AM669" s="23">
        <v>24.6</v>
      </c>
      <c r="AN669" s="23">
        <v>20155.75</v>
      </c>
      <c r="AO669" s="23">
        <v>23</v>
      </c>
      <c r="AP669" s="23">
        <v>0</v>
      </c>
      <c r="AR669" s="46"/>
      <c r="AS669" s="44"/>
      <c r="AT669" s="45"/>
      <c r="AU669" s="2">
        <v>43994</v>
      </c>
      <c r="AV669" s="52">
        <v>0.46875</v>
      </c>
      <c r="AW669" s="2" t="s">
        <v>212</v>
      </c>
      <c r="AY669" s="3"/>
      <c r="BA669" s="3"/>
      <c r="BG669" s="3"/>
      <c r="BH669" s="3"/>
    </row>
    <row r="670" spans="1:60">
      <c r="A670" s="23" t="s">
        <v>22</v>
      </c>
      <c r="B670" s="23" t="s">
        <v>23</v>
      </c>
      <c r="C670" s="27">
        <v>43997.5</v>
      </c>
      <c r="D670" s="23">
        <v>25.35</v>
      </c>
      <c r="E670" s="27">
        <v>43998.385416666664</v>
      </c>
      <c r="F670" s="23">
        <v>25.75</v>
      </c>
      <c r="G670" s="31">
        <v>1.5800000000000002E-2</v>
      </c>
      <c r="H670" s="23">
        <v>-793.27</v>
      </c>
      <c r="I670" s="31">
        <v>-1.5800000000000002E-2</v>
      </c>
      <c r="J670" s="23">
        <v>1983.1679999999999</v>
      </c>
      <c r="K670" s="23">
        <v>50273.32</v>
      </c>
      <c r="L670" s="23">
        <v>53461.98</v>
      </c>
      <c r="M670" s="23">
        <v>18</v>
      </c>
      <c r="N670" s="23">
        <v>-44.07</v>
      </c>
      <c r="O670" s="31">
        <v>-2.76E-2</v>
      </c>
      <c r="P670" s="31">
        <v>9.9000000000000008E-3</v>
      </c>
      <c r="Q670" s="23" t="s">
        <v>24</v>
      </c>
      <c r="R670" s="23">
        <v>0</v>
      </c>
      <c r="S670" s="23">
        <v>26.3</v>
      </c>
      <c r="U670" s="47">
        <f>VLOOKUP(AU670,[1]expiry_dates!$B$2:$C$2894,2,FALSE)</f>
        <v>44007</v>
      </c>
      <c r="V670" s="23" t="s">
        <v>165</v>
      </c>
      <c r="W670" s="23" t="s">
        <v>23</v>
      </c>
      <c r="X670" s="49">
        <v>43997.5</v>
      </c>
      <c r="Y670" s="23">
        <v>1.85</v>
      </c>
      <c r="Z670" s="23">
        <v>43998.385416666664</v>
      </c>
      <c r="AA670" s="23">
        <v>2</v>
      </c>
      <c r="AB670" s="23">
        <v>8.1100000000000005E-2</v>
      </c>
      <c r="AC670" s="23">
        <v>-4895.38</v>
      </c>
      <c r="AD670" s="23">
        <v>-8.1100000000000005E-2</v>
      </c>
      <c r="AE670" s="23">
        <v>32635.86</v>
      </c>
      <c r="AF670" s="23">
        <v>60376.33</v>
      </c>
      <c r="AG670" s="23">
        <v>2070371.01</v>
      </c>
      <c r="AH670" s="23">
        <v>18</v>
      </c>
      <c r="AI670" s="23">
        <v>-271.97000000000003</v>
      </c>
      <c r="AJ670" s="23">
        <v>-0.18920000000000001</v>
      </c>
      <c r="AK670" s="23">
        <v>0.1351</v>
      </c>
      <c r="AL670" s="23" t="s">
        <v>24</v>
      </c>
      <c r="AM670" s="23">
        <v>25.35</v>
      </c>
      <c r="AN670" s="23">
        <v>19781.599999999999</v>
      </c>
      <c r="AO670" s="23">
        <v>26.3</v>
      </c>
      <c r="AP670" s="23">
        <v>0</v>
      </c>
      <c r="AR670" s="46"/>
      <c r="AS670" s="44"/>
      <c r="AT670" s="45"/>
      <c r="AU670" s="2">
        <v>43997</v>
      </c>
      <c r="AV670" s="52">
        <v>0.5</v>
      </c>
      <c r="AW670" s="2" t="s">
        <v>213</v>
      </c>
      <c r="AY670" s="3"/>
      <c r="BA670" s="3"/>
      <c r="BG670" s="3"/>
      <c r="BH670" s="3"/>
    </row>
    <row r="671" spans="1:60">
      <c r="A671" s="23" t="s">
        <v>22</v>
      </c>
      <c r="B671" s="23" t="s">
        <v>25</v>
      </c>
      <c r="C671" s="27">
        <v>43998.385416666664</v>
      </c>
      <c r="D671" s="23">
        <v>25.75</v>
      </c>
      <c r="E671" s="27">
        <v>43998.479166666664</v>
      </c>
      <c r="F671" s="23">
        <v>25.4</v>
      </c>
      <c r="G671" s="31">
        <v>-1.3599999999999999E-2</v>
      </c>
      <c r="H671" s="23">
        <v>-683.2</v>
      </c>
      <c r="I671" s="31">
        <v>-1.3599999999999999E-2</v>
      </c>
      <c r="J671" s="23">
        <v>1952.0129999999999</v>
      </c>
      <c r="K671" s="23">
        <v>50264.34</v>
      </c>
      <c r="L671" s="23">
        <v>52778.78</v>
      </c>
      <c r="M671" s="23">
        <v>10</v>
      </c>
      <c r="N671" s="23">
        <v>-68.319999999999993</v>
      </c>
      <c r="O671" s="31">
        <v>-1.3599999999999999E-2</v>
      </c>
      <c r="P671" s="31">
        <v>1.3599999999999999E-2</v>
      </c>
      <c r="Q671" s="23" t="s">
        <v>24</v>
      </c>
      <c r="R671" s="23">
        <v>0</v>
      </c>
      <c r="S671" s="23">
        <v>25.16</v>
      </c>
      <c r="U671" s="47">
        <f>VLOOKUP(AU671,[1]expiry_dates!$B$2:$C$2894,2,FALSE)</f>
        <v>44007</v>
      </c>
      <c r="V671" s="23" t="s">
        <v>172</v>
      </c>
      <c r="W671" s="23" t="s">
        <v>23</v>
      </c>
      <c r="X671" s="49">
        <v>43998.385416666664</v>
      </c>
      <c r="Y671" s="23">
        <v>1.2</v>
      </c>
      <c r="Z671" s="23">
        <v>43998.479166666664</v>
      </c>
      <c r="AA671" s="23">
        <v>1.25</v>
      </c>
      <c r="AB671" s="23">
        <v>4.1700000000000001E-2</v>
      </c>
      <c r="AC671" s="23">
        <v>-2516.6999999999998</v>
      </c>
      <c r="AD671" s="23">
        <v>-4.1700000000000001E-2</v>
      </c>
      <c r="AE671" s="23">
        <v>50334</v>
      </c>
      <c r="AF671" s="23">
        <v>60400.81</v>
      </c>
      <c r="AG671" s="23">
        <v>2067854.31</v>
      </c>
      <c r="AH671" s="23">
        <v>10</v>
      </c>
      <c r="AI671" s="23">
        <v>-251.67</v>
      </c>
      <c r="AJ671" s="23">
        <v>-8.3299999999999999E-2</v>
      </c>
      <c r="AK671" s="23">
        <v>8.3299999999999999E-2</v>
      </c>
      <c r="AL671" s="23" t="s">
        <v>24</v>
      </c>
      <c r="AM671" s="23">
        <v>25.75</v>
      </c>
      <c r="AN671" s="23">
        <v>20454.75</v>
      </c>
      <c r="AO671" s="23">
        <v>25.16</v>
      </c>
      <c r="AP671" s="23">
        <v>0</v>
      </c>
      <c r="AR671" s="46"/>
      <c r="AS671" s="44"/>
      <c r="AT671" s="45"/>
      <c r="AU671" s="2">
        <v>43998</v>
      </c>
      <c r="AV671" s="52">
        <v>0.38541666666666669</v>
      </c>
      <c r="AW671" s="2" t="s">
        <v>212</v>
      </c>
      <c r="AY671" s="3"/>
      <c r="BA671" s="3"/>
      <c r="BG671" s="3"/>
      <c r="BH671" s="3"/>
    </row>
    <row r="672" spans="1:60">
      <c r="A672" s="23" t="s">
        <v>22</v>
      </c>
      <c r="B672" s="23" t="s">
        <v>23</v>
      </c>
      <c r="C672" s="27">
        <v>43998.479166666664</v>
      </c>
      <c r="D672" s="23">
        <v>25.4</v>
      </c>
      <c r="E672" s="27">
        <v>43999.395833333336</v>
      </c>
      <c r="F672" s="23">
        <v>25</v>
      </c>
      <c r="G672" s="31">
        <v>-1.5699999999999999E-2</v>
      </c>
      <c r="H672" s="23">
        <v>791.59</v>
      </c>
      <c r="I672" s="31">
        <v>1.5699999999999999E-2</v>
      </c>
      <c r="J672" s="23">
        <v>1978.97</v>
      </c>
      <c r="K672" s="23">
        <v>50265.85</v>
      </c>
      <c r="L672" s="23">
        <v>53570.37</v>
      </c>
      <c r="M672" s="23">
        <v>21</v>
      </c>
      <c r="N672" s="23">
        <v>37.69</v>
      </c>
      <c r="O672" s="31">
        <v>-9.7999999999999997E-3</v>
      </c>
      <c r="P672" s="31">
        <v>4.3299999999999998E-2</v>
      </c>
      <c r="Q672" s="23" t="s">
        <v>24</v>
      </c>
      <c r="R672" s="23">
        <v>0</v>
      </c>
      <c r="S672" s="23">
        <v>26.07</v>
      </c>
      <c r="U672" s="47">
        <f>VLOOKUP(AU672,[1]expiry_dates!$B$2:$C$2894,2,FALSE)</f>
        <v>44007</v>
      </c>
      <c r="V672" s="23" t="s">
        <v>165</v>
      </c>
      <c r="W672" s="23" t="s">
        <v>23</v>
      </c>
      <c r="X672" s="49">
        <v>43998.479166666664</v>
      </c>
      <c r="Y672" s="23">
        <v>1.65</v>
      </c>
      <c r="Z672" s="23">
        <v>43999.395833333336</v>
      </c>
      <c r="AA672" s="23">
        <v>1.4</v>
      </c>
      <c r="AB672" s="23">
        <v>-0.1515</v>
      </c>
      <c r="AC672" s="23">
        <v>9144.2199999999993</v>
      </c>
      <c r="AD672" s="23">
        <v>0.1515</v>
      </c>
      <c r="AE672" s="23">
        <v>36576.879999999997</v>
      </c>
      <c r="AF672" s="23">
        <v>60351.86</v>
      </c>
      <c r="AG672" s="23">
        <v>2076998.53</v>
      </c>
      <c r="AH672" s="23">
        <v>21</v>
      </c>
      <c r="AI672" s="23">
        <v>435.44</v>
      </c>
      <c r="AJ672" s="23">
        <v>-0.1212</v>
      </c>
      <c r="AK672" s="23">
        <v>0.33329999999999999</v>
      </c>
      <c r="AL672" s="23" t="s">
        <v>24</v>
      </c>
      <c r="AM672" s="23">
        <v>25.4</v>
      </c>
      <c r="AN672" s="23">
        <v>20334.400000000001</v>
      </c>
      <c r="AO672" s="23">
        <v>26.07</v>
      </c>
      <c r="AP672" s="23">
        <v>0</v>
      </c>
      <c r="AR672" s="46"/>
      <c r="AS672" s="44"/>
      <c r="AT672" s="45"/>
      <c r="AU672" s="2">
        <v>43998</v>
      </c>
      <c r="AV672" s="52">
        <v>0.47916666666666669</v>
      </c>
      <c r="AW672" s="2" t="s">
        <v>212</v>
      </c>
      <c r="AY672" s="3"/>
      <c r="BA672" s="3"/>
      <c r="BG672" s="3"/>
      <c r="BH672" s="3"/>
    </row>
    <row r="673" spans="1:60">
      <c r="A673" s="23" t="s">
        <v>22</v>
      </c>
      <c r="B673" s="23" t="s">
        <v>25</v>
      </c>
      <c r="C673" s="27">
        <v>43999.395833333336</v>
      </c>
      <c r="D673" s="23">
        <v>25</v>
      </c>
      <c r="E673" s="27">
        <v>43999.614583333336</v>
      </c>
      <c r="F673" s="23">
        <v>25.25</v>
      </c>
      <c r="G673" s="31">
        <v>0.01</v>
      </c>
      <c r="H673" s="23">
        <v>502.69</v>
      </c>
      <c r="I673" s="31">
        <v>0.01</v>
      </c>
      <c r="J673" s="23">
        <v>2010.7539999999999</v>
      </c>
      <c r="K673" s="23">
        <v>50268.84</v>
      </c>
      <c r="L673" s="23">
        <v>54073.06</v>
      </c>
      <c r="M673" s="23">
        <v>22</v>
      </c>
      <c r="N673" s="23">
        <v>22.85</v>
      </c>
      <c r="O673" s="31">
        <v>-6.0000000000000001E-3</v>
      </c>
      <c r="P673" s="31">
        <v>2.5999999999999999E-2</v>
      </c>
      <c r="Q673" s="23" t="s">
        <v>24</v>
      </c>
      <c r="R673" s="23">
        <v>0</v>
      </c>
      <c r="S673" s="23">
        <v>24.33</v>
      </c>
      <c r="U673" s="47">
        <f>VLOOKUP(AU673,[1]expiry_dates!$B$2:$C$2894,2,FALSE)</f>
        <v>44007</v>
      </c>
      <c r="V673" s="23" t="s">
        <v>172</v>
      </c>
      <c r="W673" s="23" t="s">
        <v>23</v>
      </c>
      <c r="X673" s="49">
        <v>43999.395833333336</v>
      </c>
      <c r="Y673" s="23">
        <v>1.35</v>
      </c>
      <c r="Z673" s="23">
        <v>43999.614583333336</v>
      </c>
      <c r="AA673" s="23">
        <v>1.25</v>
      </c>
      <c r="AB673" s="23">
        <v>-7.4099999999999999E-2</v>
      </c>
      <c r="AC673" s="23">
        <v>4473.6400000000003</v>
      </c>
      <c r="AD673" s="23">
        <v>7.4099999999999999E-2</v>
      </c>
      <c r="AE673" s="23">
        <v>44736.4</v>
      </c>
      <c r="AF673" s="23">
        <v>60394.14</v>
      </c>
      <c r="AG673" s="23">
        <v>2081472.17</v>
      </c>
      <c r="AH673" s="23">
        <v>22</v>
      </c>
      <c r="AI673" s="23">
        <v>203.35</v>
      </c>
      <c r="AJ673" s="23">
        <v>-7.4099999999999999E-2</v>
      </c>
      <c r="AK673" s="23">
        <v>0.25929999999999997</v>
      </c>
      <c r="AL673" s="23" t="s">
        <v>24</v>
      </c>
      <c r="AM673" s="23">
        <v>25</v>
      </c>
      <c r="AN673" s="23">
        <v>20245.5</v>
      </c>
      <c r="AO673" s="23">
        <v>24.33</v>
      </c>
      <c r="AP673" s="23">
        <v>0</v>
      </c>
      <c r="AR673" s="46"/>
      <c r="AS673" s="44"/>
      <c r="AT673" s="45"/>
      <c r="AU673" s="2">
        <v>43999</v>
      </c>
      <c r="AV673" s="52">
        <v>0.39583333333333331</v>
      </c>
      <c r="AW673" s="2" t="s">
        <v>212</v>
      </c>
      <c r="AY673" s="3"/>
      <c r="BA673" s="3"/>
      <c r="BG673" s="3"/>
      <c r="BH673" s="3"/>
    </row>
    <row r="674" spans="1:60">
      <c r="A674" s="23" t="s">
        <v>22</v>
      </c>
      <c r="B674" s="23" t="s">
        <v>23</v>
      </c>
      <c r="C674" s="27">
        <v>43999.614583333336</v>
      </c>
      <c r="D674" s="23">
        <v>25.25</v>
      </c>
      <c r="E674" s="27">
        <v>43999.635416666664</v>
      </c>
      <c r="F674" s="23">
        <v>25.55</v>
      </c>
      <c r="G674" s="31">
        <v>1.1900000000000001E-2</v>
      </c>
      <c r="H674" s="23">
        <v>-597.29</v>
      </c>
      <c r="I674" s="31">
        <v>-1.1900000000000001E-2</v>
      </c>
      <c r="J674" s="23">
        <v>1990.9649999999999</v>
      </c>
      <c r="K674" s="23">
        <v>50271.88</v>
      </c>
      <c r="L674" s="23">
        <v>53475.77</v>
      </c>
      <c r="M674" s="23">
        <v>3</v>
      </c>
      <c r="N674" s="23">
        <v>-199.1</v>
      </c>
      <c r="O674" s="31">
        <v>-1.1900000000000001E-2</v>
      </c>
      <c r="P674" s="31">
        <v>5.8999999999999999E-3</v>
      </c>
      <c r="Q674" s="23" t="s">
        <v>24</v>
      </c>
      <c r="R674" s="23">
        <v>0</v>
      </c>
      <c r="S674" s="23">
        <v>25.63</v>
      </c>
      <c r="U674" s="47">
        <f>VLOOKUP(AU674,[1]expiry_dates!$B$2:$C$2894,2,FALSE)</f>
        <v>44007</v>
      </c>
      <c r="V674" s="23" t="s">
        <v>165</v>
      </c>
      <c r="W674" s="23" t="s">
        <v>23</v>
      </c>
      <c r="X674" s="49">
        <v>43999.614583333336</v>
      </c>
      <c r="Y674" s="23">
        <v>1.5</v>
      </c>
      <c r="Z674" s="23">
        <v>43999.635416666664</v>
      </c>
      <c r="AA674" s="23">
        <v>1.6</v>
      </c>
      <c r="AB674" s="23">
        <v>6.6699999999999995E-2</v>
      </c>
      <c r="AC674" s="23">
        <v>-4028.65</v>
      </c>
      <c r="AD674" s="23">
        <v>-6.6699999999999995E-2</v>
      </c>
      <c r="AE674" s="23">
        <v>40286.480000000003</v>
      </c>
      <c r="AF674" s="23">
        <v>60429.73</v>
      </c>
      <c r="AG674" s="23">
        <v>2077443.52</v>
      </c>
      <c r="AH674" s="23">
        <v>3</v>
      </c>
      <c r="AI674" s="23">
        <v>-1342.88</v>
      </c>
      <c r="AJ674" s="23">
        <v>-6.6699999999999995E-2</v>
      </c>
      <c r="AK674" s="23">
        <v>3.3300000000000003E-2</v>
      </c>
      <c r="AL674" s="23" t="s">
        <v>24</v>
      </c>
      <c r="AM674" s="23">
        <v>25.25</v>
      </c>
      <c r="AN674" s="23">
        <v>20249.5</v>
      </c>
      <c r="AO674" s="23">
        <v>25.63</v>
      </c>
      <c r="AP674" s="23">
        <v>0</v>
      </c>
      <c r="AR674" s="46"/>
      <c r="AS674" s="44"/>
      <c r="AT674" s="45"/>
      <c r="AU674" s="2">
        <v>43999</v>
      </c>
      <c r="AV674" s="52">
        <v>0.11458333333333333</v>
      </c>
      <c r="AW674" s="2" t="s">
        <v>213</v>
      </c>
      <c r="AY674" s="3"/>
      <c r="BA674" s="3"/>
      <c r="BG674" s="3"/>
      <c r="BH674" s="3"/>
    </row>
    <row r="675" spans="1:60">
      <c r="A675" s="23" t="s">
        <v>22</v>
      </c>
      <c r="B675" s="23" t="s">
        <v>25</v>
      </c>
      <c r="C675" s="27">
        <v>43999.635416666664</v>
      </c>
      <c r="D675" s="23">
        <v>25.55</v>
      </c>
      <c r="E675" s="27">
        <v>44000.510416666664</v>
      </c>
      <c r="F675" s="23">
        <v>25.55</v>
      </c>
      <c r="G675" s="31">
        <v>0</v>
      </c>
      <c r="H675" s="23">
        <v>0</v>
      </c>
      <c r="I675" s="31">
        <v>0</v>
      </c>
      <c r="J675" s="23">
        <v>1967.49</v>
      </c>
      <c r="K675" s="23">
        <v>50269.37</v>
      </c>
      <c r="L675" s="23">
        <v>53475.77</v>
      </c>
      <c r="M675" s="23">
        <v>17</v>
      </c>
      <c r="N675" s="23">
        <v>0</v>
      </c>
      <c r="O675" s="31">
        <v>-9.7999999999999997E-3</v>
      </c>
      <c r="P675" s="31">
        <v>1.5699999999999999E-2</v>
      </c>
      <c r="Q675" s="23" t="s">
        <v>24</v>
      </c>
      <c r="R675" s="23">
        <v>0</v>
      </c>
      <c r="S675" s="23">
        <v>25.11</v>
      </c>
      <c r="U675" s="47">
        <f>VLOOKUP(AU675,[1]expiry_dates!$B$2:$C$2894,2,FALSE)</f>
        <v>44007</v>
      </c>
      <c r="V675" s="23" t="s">
        <v>151</v>
      </c>
      <c r="W675" s="23" t="s">
        <v>23</v>
      </c>
      <c r="X675" s="49">
        <v>43999.635416666664</v>
      </c>
      <c r="Y675" s="23">
        <v>1.6</v>
      </c>
      <c r="Z675" s="23">
        <v>44000.510416666664</v>
      </c>
      <c r="AA675" s="23">
        <v>1.45</v>
      </c>
      <c r="AB675" s="23">
        <v>-9.3700000000000006E-2</v>
      </c>
      <c r="AC675" s="23">
        <v>5663.19</v>
      </c>
      <c r="AD675" s="23">
        <v>9.3700000000000006E-2</v>
      </c>
      <c r="AE675" s="23">
        <v>37754.6</v>
      </c>
      <c r="AF675" s="23">
        <v>60407.360000000001</v>
      </c>
      <c r="AG675" s="23">
        <v>2083106.71</v>
      </c>
      <c r="AH675" s="23">
        <v>17</v>
      </c>
      <c r="AI675" s="23">
        <v>333.13</v>
      </c>
      <c r="AJ675" s="23">
        <v>-0.125</v>
      </c>
      <c r="AK675" s="23">
        <v>0.125</v>
      </c>
      <c r="AL675" s="23" t="s">
        <v>24</v>
      </c>
      <c r="AM675" s="23">
        <v>25.55</v>
      </c>
      <c r="AN675" s="23">
        <v>20197.099999999999</v>
      </c>
      <c r="AO675" s="23">
        <v>25.11</v>
      </c>
      <c r="AP675" s="23">
        <v>0</v>
      </c>
      <c r="AR675" s="46"/>
      <c r="AS675" s="44"/>
      <c r="AT675" s="45"/>
      <c r="AU675" s="2">
        <v>43999</v>
      </c>
      <c r="AV675" s="52">
        <v>0.13541666666666666</v>
      </c>
      <c r="AW675" s="2" t="s">
        <v>213</v>
      </c>
      <c r="AY675" s="3"/>
      <c r="BA675" s="3"/>
      <c r="BG675" s="3"/>
      <c r="BH675" s="3"/>
    </row>
    <row r="676" spans="1:60">
      <c r="A676" s="23" t="s">
        <v>22</v>
      </c>
      <c r="B676" s="23" t="s">
        <v>23</v>
      </c>
      <c r="C676" s="27">
        <v>44000.510416666664</v>
      </c>
      <c r="D676" s="23">
        <v>25.55</v>
      </c>
      <c r="E676" s="27">
        <v>44000.583333333336</v>
      </c>
      <c r="F676" s="23">
        <v>25.7</v>
      </c>
      <c r="G676" s="31">
        <v>5.8999999999999999E-3</v>
      </c>
      <c r="H676" s="23">
        <v>-295.11</v>
      </c>
      <c r="I676" s="31">
        <v>-5.8999999999999999E-3</v>
      </c>
      <c r="J676" s="23">
        <v>1967.431</v>
      </c>
      <c r="K676" s="23">
        <v>50267.87</v>
      </c>
      <c r="L676" s="23">
        <v>53180.65</v>
      </c>
      <c r="M676" s="23">
        <v>8</v>
      </c>
      <c r="N676" s="23">
        <v>-36.89</v>
      </c>
      <c r="O676" s="31">
        <v>-5.8999999999999999E-3</v>
      </c>
      <c r="P676" s="31">
        <v>9.7999999999999997E-3</v>
      </c>
      <c r="Q676" s="23" t="s">
        <v>24</v>
      </c>
      <c r="R676" s="23">
        <v>0</v>
      </c>
      <c r="S676" s="23">
        <v>25.93</v>
      </c>
      <c r="U676" s="47">
        <f>VLOOKUP(AU676,[1]expiry_dates!$B$2:$C$2894,2,FALSE)</f>
        <v>44007</v>
      </c>
      <c r="V676" s="23" t="s">
        <v>154</v>
      </c>
      <c r="W676" s="23" t="s">
        <v>23</v>
      </c>
      <c r="X676" s="49">
        <v>44000.510416666664</v>
      </c>
      <c r="Y676" s="23">
        <v>0.95</v>
      </c>
      <c r="Z676" s="23">
        <v>44000.583333333336</v>
      </c>
      <c r="AA676" s="23">
        <v>1</v>
      </c>
      <c r="AB676" s="23">
        <v>5.2600000000000001E-2</v>
      </c>
      <c r="AC676" s="23">
        <v>-3179.77</v>
      </c>
      <c r="AD676" s="23">
        <v>-5.2600000000000001E-2</v>
      </c>
      <c r="AE676" s="23">
        <v>63595.3</v>
      </c>
      <c r="AF676" s="23">
        <v>60415.54</v>
      </c>
      <c r="AG676" s="23">
        <v>2079926.94</v>
      </c>
      <c r="AH676" s="23">
        <v>8</v>
      </c>
      <c r="AI676" s="23">
        <v>-397.47</v>
      </c>
      <c r="AJ676" s="23">
        <v>-0.21049999999999999</v>
      </c>
      <c r="AK676" s="23">
        <v>0.21049999999999999</v>
      </c>
      <c r="AL676" s="23" t="s">
        <v>24</v>
      </c>
      <c r="AM676" s="23">
        <v>25.55</v>
      </c>
      <c r="AN676" s="23">
        <v>20340.599999999999</v>
      </c>
      <c r="AO676" s="23">
        <v>25.93</v>
      </c>
      <c r="AP676" s="23">
        <v>0</v>
      </c>
      <c r="AR676" s="46"/>
      <c r="AS676" s="44"/>
      <c r="AT676" s="45"/>
      <c r="AU676" s="2">
        <v>44000</v>
      </c>
      <c r="AV676" s="52">
        <v>0.51041666666666663</v>
      </c>
      <c r="AW676" s="2" t="s">
        <v>213</v>
      </c>
      <c r="AY676" s="3"/>
      <c r="BA676" s="3"/>
      <c r="BG676" s="3"/>
      <c r="BH676" s="3"/>
    </row>
    <row r="677" spans="1:60">
      <c r="A677" s="23" t="s">
        <v>22</v>
      </c>
      <c r="B677" s="23" t="s">
        <v>25</v>
      </c>
      <c r="C677" s="27">
        <v>44000.583333333336</v>
      </c>
      <c r="D677" s="23">
        <v>25.7</v>
      </c>
      <c r="E677" s="27">
        <v>44001.541666666664</v>
      </c>
      <c r="F677" s="23">
        <v>25.9</v>
      </c>
      <c r="G677" s="31">
        <v>7.7999999999999996E-3</v>
      </c>
      <c r="H677" s="23">
        <v>391.18</v>
      </c>
      <c r="I677" s="31">
        <v>7.7999999999999996E-3</v>
      </c>
      <c r="J677" s="23">
        <v>1955.91</v>
      </c>
      <c r="K677" s="23">
        <v>50266.89</v>
      </c>
      <c r="L677" s="23">
        <v>53571.83</v>
      </c>
      <c r="M677" s="23">
        <v>25</v>
      </c>
      <c r="N677" s="23">
        <v>15.65</v>
      </c>
      <c r="O677" s="31">
        <v>-7.7999999999999996E-3</v>
      </c>
      <c r="P677" s="31">
        <v>2.3300000000000001E-2</v>
      </c>
      <c r="Q677" s="23" t="s">
        <v>24</v>
      </c>
      <c r="R677" s="23">
        <v>0</v>
      </c>
      <c r="S677" s="23">
        <v>25.3</v>
      </c>
      <c r="U677" s="47">
        <f>VLOOKUP(AU677,[1]expiry_dates!$B$2:$C$2894,2,FALSE)</f>
        <v>44007</v>
      </c>
      <c r="V677" s="23" t="s">
        <v>172</v>
      </c>
      <c r="W677" s="23" t="s">
        <v>23</v>
      </c>
      <c r="X677" s="49">
        <v>44000.583333333336</v>
      </c>
      <c r="Y677" s="23">
        <v>0.7</v>
      </c>
      <c r="Z677" s="23">
        <v>44001.541666666664</v>
      </c>
      <c r="AA677" s="23">
        <v>0.55000000000000004</v>
      </c>
      <c r="AB677" s="23">
        <v>-0.21429999999999999</v>
      </c>
      <c r="AC677" s="23">
        <v>12946.19</v>
      </c>
      <c r="AD677" s="23">
        <v>0.21429999999999999</v>
      </c>
      <c r="AE677" s="23">
        <v>86307.91</v>
      </c>
      <c r="AF677" s="23">
        <v>60415.54</v>
      </c>
      <c r="AG677" s="23">
        <v>2092873.13</v>
      </c>
      <c r="AH677" s="23">
        <v>25</v>
      </c>
      <c r="AI677" s="23">
        <v>517.85</v>
      </c>
      <c r="AJ677" s="23">
        <v>-0.1429</v>
      </c>
      <c r="AK677" s="23">
        <v>0.35709999999999997</v>
      </c>
      <c r="AL677" s="23" t="s">
        <v>24</v>
      </c>
      <c r="AM677" s="23">
        <v>25.7</v>
      </c>
      <c r="AN677" s="23">
        <v>20727.2</v>
      </c>
      <c r="AO677" s="23">
        <v>25.3</v>
      </c>
      <c r="AP677" s="23">
        <v>0</v>
      </c>
      <c r="AR677" s="46"/>
      <c r="AS677" s="44"/>
      <c r="AT677" s="45"/>
      <c r="AU677" s="2">
        <v>44000</v>
      </c>
      <c r="AV677" s="52">
        <v>8.3333333333333329E-2</v>
      </c>
      <c r="AW677" s="2" t="s">
        <v>213</v>
      </c>
      <c r="AY677" s="3"/>
      <c r="BA677" s="3"/>
      <c r="BG677" s="3"/>
      <c r="BH677" s="3"/>
    </row>
    <row r="678" spans="1:60">
      <c r="A678" s="23" t="s">
        <v>22</v>
      </c>
      <c r="B678" s="23" t="s">
        <v>23</v>
      </c>
      <c r="C678" s="27">
        <v>44001.541666666664</v>
      </c>
      <c r="D678" s="23">
        <v>25.9</v>
      </c>
      <c r="E678" s="27">
        <v>44004.385416666664</v>
      </c>
      <c r="F678" s="23">
        <v>26.2</v>
      </c>
      <c r="G678" s="31">
        <v>1.1599999999999999E-2</v>
      </c>
      <c r="H678" s="23">
        <v>-582.26</v>
      </c>
      <c r="I678" s="31">
        <v>-1.1599999999999999E-2</v>
      </c>
      <c r="J678" s="23">
        <v>1940.8630000000001</v>
      </c>
      <c r="K678" s="23">
        <v>50268.35</v>
      </c>
      <c r="L678" s="23">
        <v>52989.57</v>
      </c>
      <c r="M678" s="23">
        <v>14</v>
      </c>
      <c r="N678" s="23">
        <v>-41.59</v>
      </c>
      <c r="O678" s="31">
        <v>-1.1599999999999999E-2</v>
      </c>
      <c r="P678" s="31">
        <v>7.7000000000000002E-3</v>
      </c>
      <c r="Q678" s="23" t="s">
        <v>24</v>
      </c>
      <c r="R678" s="23">
        <v>0</v>
      </c>
      <c r="S678" s="23">
        <v>26.28</v>
      </c>
      <c r="U678" s="47">
        <f>VLOOKUP(AU678,[1]expiry_dates!$B$2:$C$2894,2,FALSE)</f>
        <v>44007</v>
      </c>
      <c r="V678" s="23" t="s">
        <v>154</v>
      </c>
      <c r="W678" s="23" t="s">
        <v>23</v>
      </c>
      <c r="X678" s="49">
        <v>44001.541666666664</v>
      </c>
      <c r="Y678" s="23">
        <v>1</v>
      </c>
      <c r="Z678" s="23">
        <v>44004.385416666664</v>
      </c>
      <c r="AA678" s="23">
        <v>1.05</v>
      </c>
      <c r="AB678" s="23">
        <v>0.05</v>
      </c>
      <c r="AC678" s="23">
        <v>-3023.22</v>
      </c>
      <c r="AD678" s="23">
        <v>-0.05</v>
      </c>
      <c r="AE678" s="23">
        <v>60464.37</v>
      </c>
      <c r="AF678" s="23">
        <v>60464.37</v>
      </c>
      <c r="AG678" s="23">
        <v>2089849.91</v>
      </c>
      <c r="AH678" s="23">
        <v>14</v>
      </c>
      <c r="AI678" s="23">
        <v>-215.94</v>
      </c>
      <c r="AJ678" s="23">
        <v>-0.05</v>
      </c>
      <c r="AK678" s="23">
        <v>0.15</v>
      </c>
      <c r="AL678" s="23" t="s">
        <v>24</v>
      </c>
      <c r="AM678" s="23">
        <v>25.9</v>
      </c>
      <c r="AN678" s="23">
        <v>21238.5</v>
      </c>
      <c r="AO678" s="23">
        <v>26.28</v>
      </c>
      <c r="AP678" s="23">
        <v>0</v>
      </c>
      <c r="AR678" s="46"/>
      <c r="AS678" s="44"/>
      <c r="AT678" s="45"/>
      <c r="AU678" s="2">
        <v>44001</v>
      </c>
      <c r="AV678" s="52">
        <v>4.1666666666666664E-2</v>
      </c>
      <c r="AW678" s="2" t="s">
        <v>213</v>
      </c>
      <c r="AY678" s="3"/>
      <c r="BA678" s="3"/>
      <c r="BG678" s="3"/>
      <c r="BH678" s="3"/>
    </row>
    <row r="679" spans="1:60">
      <c r="A679" s="23" t="s">
        <v>22</v>
      </c>
      <c r="B679" s="23" t="s">
        <v>25</v>
      </c>
      <c r="C679" s="27">
        <v>44004.385416666664</v>
      </c>
      <c r="D679" s="23">
        <v>26.2</v>
      </c>
      <c r="E679" s="27">
        <v>44005.479166666664</v>
      </c>
      <c r="F679" s="23">
        <v>28.2</v>
      </c>
      <c r="G679" s="31">
        <v>7.6300000000000007E-2</v>
      </c>
      <c r="H679" s="23">
        <v>3837.13</v>
      </c>
      <c r="I679" s="31">
        <v>7.6300000000000007E-2</v>
      </c>
      <c r="J679" s="23">
        <v>1918.5650000000001</v>
      </c>
      <c r="K679" s="23">
        <v>50266.400000000001</v>
      </c>
      <c r="L679" s="23">
        <v>56826.7</v>
      </c>
      <c r="M679" s="23">
        <v>38</v>
      </c>
      <c r="N679" s="23">
        <v>100.98</v>
      </c>
      <c r="O679" s="31">
        <v>-1.34E-2</v>
      </c>
      <c r="P679" s="31">
        <v>0.1145</v>
      </c>
      <c r="Q679" s="23" t="s">
        <v>24</v>
      </c>
      <c r="R679" s="23">
        <v>0</v>
      </c>
      <c r="S679" s="23">
        <v>25.73</v>
      </c>
      <c r="U679" s="47">
        <f>VLOOKUP(AU679,[1]expiry_dates!$B$2:$C$2894,2,FALSE)</f>
        <v>44007</v>
      </c>
      <c r="V679" s="23" t="s">
        <v>151</v>
      </c>
      <c r="W679" s="23" t="s">
        <v>23</v>
      </c>
      <c r="X679" s="49">
        <v>44004.385416666664</v>
      </c>
      <c r="Y679" s="23">
        <v>0.75</v>
      </c>
      <c r="Z679" s="23">
        <v>44005.479166666664</v>
      </c>
      <c r="AA679" s="23">
        <v>0.25</v>
      </c>
      <c r="AB679" s="23">
        <v>-0.66669999999999996</v>
      </c>
      <c r="AC679" s="23">
        <v>40339.81</v>
      </c>
      <c r="AD679" s="23">
        <v>0.66669999999999996</v>
      </c>
      <c r="AE679" s="23">
        <v>80679.62</v>
      </c>
      <c r="AF679" s="23">
        <v>60509.71</v>
      </c>
      <c r="AG679" s="23">
        <v>2130189.7200000002</v>
      </c>
      <c r="AH679" s="23">
        <v>38</v>
      </c>
      <c r="AI679" s="23">
        <v>1061.57</v>
      </c>
      <c r="AJ679" s="23">
        <v>-0.2</v>
      </c>
      <c r="AK679" s="23">
        <v>0.8</v>
      </c>
      <c r="AL679" s="23" t="s">
        <v>24</v>
      </c>
      <c r="AM679" s="23">
        <v>26.2</v>
      </c>
      <c r="AN679" s="23">
        <v>21643.599999999999</v>
      </c>
      <c r="AO679" s="23">
        <v>25.73</v>
      </c>
      <c r="AP679" s="23">
        <v>0</v>
      </c>
      <c r="AR679" s="46"/>
      <c r="AS679" s="44"/>
      <c r="AT679" s="45"/>
      <c r="AU679" s="2">
        <v>44004</v>
      </c>
      <c r="AV679" s="52">
        <v>0.38541666666666669</v>
      </c>
      <c r="AW679" s="2" t="s">
        <v>212</v>
      </c>
      <c r="AY679" s="3"/>
      <c r="BA679" s="3"/>
      <c r="BG679" s="3"/>
      <c r="BH679" s="3"/>
    </row>
    <row r="680" spans="1:60">
      <c r="A680" s="23" t="s">
        <v>22</v>
      </c>
      <c r="B680" s="23" t="s">
        <v>23</v>
      </c>
      <c r="C680" s="27">
        <v>44005.479166666664</v>
      </c>
      <c r="D680" s="23">
        <v>28.2</v>
      </c>
      <c r="E680" s="27">
        <v>44005.625</v>
      </c>
      <c r="F680" s="23">
        <v>28.45</v>
      </c>
      <c r="G680" s="31">
        <v>8.8999999999999999E-3</v>
      </c>
      <c r="H680" s="23">
        <v>-445.78</v>
      </c>
      <c r="I680" s="31">
        <v>-8.8999999999999999E-3</v>
      </c>
      <c r="J680" s="23">
        <v>1783.125</v>
      </c>
      <c r="K680" s="23">
        <v>50284.13</v>
      </c>
      <c r="L680" s="23">
        <v>56380.92</v>
      </c>
      <c r="M680" s="23">
        <v>15</v>
      </c>
      <c r="N680" s="23">
        <v>-29.72</v>
      </c>
      <c r="O680" s="31">
        <v>-1.06E-2</v>
      </c>
      <c r="P680" s="31">
        <v>7.1000000000000004E-3</v>
      </c>
      <c r="Q680" s="23" t="s">
        <v>24</v>
      </c>
      <c r="R680" s="23">
        <v>0</v>
      </c>
      <c r="S680" s="23">
        <v>29.15</v>
      </c>
      <c r="U680" s="47">
        <f>VLOOKUP(AU680,[1]expiry_dates!$B$2:$C$2894,2,FALSE)</f>
        <v>44007</v>
      </c>
      <c r="V680" s="23" t="s">
        <v>152</v>
      </c>
      <c r="W680" s="23" t="s">
        <v>23</v>
      </c>
      <c r="X680" s="49">
        <v>44005.479166666664</v>
      </c>
      <c r="Y680" s="23">
        <v>1</v>
      </c>
      <c r="Z680" s="23">
        <v>44005.625</v>
      </c>
      <c r="AA680" s="23">
        <v>1.05</v>
      </c>
      <c r="AB680" s="23">
        <v>0.05</v>
      </c>
      <c r="AC680" s="23">
        <v>-3032.55</v>
      </c>
      <c r="AD680" s="23">
        <v>-0.05</v>
      </c>
      <c r="AE680" s="23">
        <v>60650.95</v>
      </c>
      <c r="AF680" s="23">
        <v>60650.95</v>
      </c>
      <c r="AG680" s="23">
        <v>2127157.17</v>
      </c>
      <c r="AH680" s="23">
        <v>15</v>
      </c>
      <c r="AI680" s="23">
        <v>-202.17</v>
      </c>
      <c r="AJ680" s="23">
        <v>-0.2</v>
      </c>
      <c r="AK680" s="23">
        <v>0.1</v>
      </c>
      <c r="AL680" s="23" t="s">
        <v>24</v>
      </c>
      <c r="AM680" s="23">
        <v>28.2</v>
      </c>
      <c r="AN680" s="23">
        <v>21856.65</v>
      </c>
      <c r="AO680" s="23">
        <v>29.15</v>
      </c>
      <c r="AP680" s="23">
        <v>0</v>
      </c>
      <c r="AR680" s="46"/>
      <c r="AS680" s="44"/>
      <c r="AT680" s="45"/>
      <c r="AU680" s="2">
        <v>44005</v>
      </c>
      <c r="AV680" s="52">
        <v>0.47916666666666669</v>
      </c>
      <c r="AW680" s="2" t="s">
        <v>212</v>
      </c>
      <c r="AY680" s="3"/>
      <c r="BA680" s="3"/>
      <c r="BG680" s="3"/>
      <c r="BH680" s="3"/>
    </row>
    <row r="681" spans="1:60">
      <c r="A681" s="23" t="s">
        <v>22</v>
      </c>
      <c r="B681" s="23" t="s">
        <v>25</v>
      </c>
      <c r="C681" s="27">
        <v>44005.625</v>
      </c>
      <c r="D681" s="23">
        <v>28.45</v>
      </c>
      <c r="E681" s="27">
        <v>44006.447916666664</v>
      </c>
      <c r="F681" s="23">
        <v>28.15</v>
      </c>
      <c r="G681" s="31">
        <v>-1.0500000000000001E-2</v>
      </c>
      <c r="H681" s="23">
        <v>-530.22</v>
      </c>
      <c r="I681" s="31">
        <v>-1.0500000000000001E-2</v>
      </c>
      <c r="J681" s="23">
        <v>1767.394</v>
      </c>
      <c r="K681" s="23">
        <v>50282.35</v>
      </c>
      <c r="L681" s="23">
        <v>55850.7</v>
      </c>
      <c r="M681" s="23">
        <v>12</v>
      </c>
      <c r="N681" s="23">
        <v>-44.18</v>
      </c>
      <c r="O681" s="31">
        <v>-1.0500000000000001E-2</v>
      </c>
      <c r="P681" s="31">
        <v>2.81E-2</v>
      </c>
      <c r="Q681" s="23" t="s">
        <v>24</v>
      </c>
      <c r="R681" s="23">
        <v>0</v>
      </c>
      <c r="S681" s="23">
        <v>28.01</v>
      </c>
      <c r="U681" s="47">
        <f>VLOOKUP(AU681,[1]expiry_dates!$B$2:$C$2894,2,FALSE)</f>
        <v>44007</v>
      </c>
      <c r="V681" s="23" t="s">
        <v>173</v>
      </c>
      <c r="W681" s="23" t="s">
        <v>23</v>
      </c>
      <c r="X681" s="49">
        <v>44005.625</v>
      </c>
      <c r="Y681" s="23">
        <v>0.55000000000000004</v>
      </c>
      <c r="Z681" s="23">
        <v>44006.447916666664</v>
      </c>
      <c r="AA681" s="23">
        <v>0.5</v>
      </c>
      <c r="AB681" s="23">
        <v>-9.0899999999999995E-2</v>
      </c>
      <c r="AC681" s="23">
        <v>5510.97</v>
      </c>
      <c r="AD681" s="23">
        <v>9.0899999999999995E-2</v>
      </c>
      <c r="AE681" s="23">
        <v>110219.3</v>
      </c>
      <c r="AF681" s="23">
        <v>60620.63</v>
      </c>
      <c r="AG681" s="23">
        <v>2132668.14</v>
      </c>
      <c r="AH681" s="23">
        <v>12</v>
      </c>
      <c r="AI681" s="23">
        <v>459.25</v>
      </c>
      <c r="AJ681" s="23">
        <v>-0.18179999999999999</v>
      </c>
      <c r="AK681" s="23">
        <v>0.54549999999999998</v>
      </c>
      <c r="AL681" s="23" t="s">
        <v>24</v>
      </c>
      <c r="AM681" s="23">
        <v>28.45</v>
      </c>
      <c r="AN681" s="23">
        <v>22250.75</v>
      </c>
      <c r="AO681" s="23">
        <v>28.01</v>
      </c>
      <c r="AP681" s="23">
        <v>0</v>
      </c>
      <c r="AR681" s="46"/>
      <c r="AS681" s="44"/>
      <c r="AT681" s="45"/>
      <c r="AU681" s="2">
        <v>44005</v>
      </c>
      <c r="AV681" s="52">
        <v>0.125</v>
      </c>
      <c r="AW681" s="2" t="s">
        <v>213</v>
      </c>
      <c r="AY681" s="3"/>
      <c r="BA681" s="3"/>
      <c r="BG681" s="3"/>
      <c r="BH681" s="3"/>
    </row>
    <row r="682" spans="1:60">
      <c r="A682" s="23" t="s">
        <v>22</v>
      </c>
      <c r="B682" s="23" t="s">
        <v>23</v>
      </c>
      <c r="C682" s="27">
        <v>44006.447916666664</v>
      </c>
      <c r="D682" s="23">
        <v>28.15</v>
      </c>
      <c r="E682" s="27">
        <v>44007.4375</v>
      </c>
      <c r="F682" s="23">
        <v>27.5</v>
      </c>
      <c r="G682" s="31">
        <v>-2.3099999999999999E-2</v>
      </c>
      <c r="H682" s="23">
        <v>1161.04</v>
      </c>
      <c r="I682" s="31">
        <v>2.3099999999999999E-2</v>
      </c>
      <c r="J682" s="23">
        <v>1786.213</v>
      </c>
      <c r="K682" s="23">
        <v>50281.91</v>
      </c>
      <c r="L682" s="23">
        <v>57011.74</v>
      </c>
      <c r="M682" s="23">
        <v>28</v>
      </c>
      <c r="N682" s="23">
        <v>41.47</v>
      </c>
      <c r="O682" s="31">
        <v>-1.24E-2</v>
      </c>
      <c r="P682" s="31">
        <v>4.8000000000000001E-2</v>
      </c>
      <c r="Q682" s="23" t="s">
        <v>24</v>
      </c>
      <c r="R682" s="23">
        <v>0</v>
      </c>
      <c r="S682" s="23">
        <v>29.21</v>
      </c>
      <c r="U682" s="47">
        <f>VLOOKUP(AU682,[1]expiry_dates!$B$2:$C$2894,2,FALSE)</f>
        <v>44007</v>
      </c>
      <c r="V682" s="23" t="s">
        <v>152</v>
      </c>
      <c r="W682" s="23" t="s">
        <v>23</v>
      </c>
      <c r="X682" s="49">
        <v>44006.447916666664</v>
      </c>
      <c r="Y682" s="23">
        <v>0.7</v>
      </c>
      <c r="Z682" s="23">
        <v>44007.4375</v>
      </c>
      <c r="AA682" s="23">
        <v>0.2</v>
      </c>
      <c r="AB682" s="23">
        <v>-0.71430000000000005</v>
      </c>
      <c r="AC682" s="23">
        <v>43370.32</v>
      </c>
      <c r="AD682" s="23">
        <v>0.71430000000000005</v>
      </c>
      <c r="AE682" s="23">
        <v>86740.65</v>
      </c>
      <c r="AF682" s="23">
        <v>60718.45</v>
      </c>
      <c r="AG682" s="23">
        <v>2176038.46</v>
      </c>
      <c r="AH682" s="23">
        <v>28</v>
      </c>
      <c r="AI682" s="23">
        <v>1548.94</v>
      </c>
      <c r="AJ682" s="23">
        <v>-0.21429999999999999</v>
      </c>
      <c r="AK682" s="23">
        <v>0.78569999999999995</v>
      </c>
      <c r="AL682" s="23" t="s">
        <v>24</v>
      </c>
      <c r="AM682" s="23">
        <v>28.15</v>
      </c>
      <c r="AN682" s="23">
        <v>22070.55</v>
      </c>
      <c r="AO682" s="23">
        <v>29.21</v>
      </c>
      <c r="AP682" s="23">
        <v>0</v>
      </c>
      <c r="AR682" s="46"/>
      <c r="AS682" s="44"/>
      <c r="AT682" s="45"/>
      <c r="AU682" s="2">
        <v>44006</v>
      </c>
      <c r="AV682" s="52">
        <v>0.44791666666666669</v>
      </c>
      <c r="AW682" s="2" t="s">
        <v>212</v>
      </c>
      <c r="AY682" s="3"/>
      <c r="BA682" s="3"/>
      <c r="BG682" s="3"/>
      <c r="BH682" s="3"/>
    </row>
    <row r="683" spans="1:60">
      <c r="A683" s="23" t="s">
        <v>22</v>
      </c>
      <c r="B683" s="23" t="s">
        <v>25</v>
      </c>
      <c r="C683" s="27">
        <v>44007.4375</v>
      </c>
      <c r="D683" s="23">
        <v>27.5</v>
      </c>
      <c r="E683" s="27">
        <v>44007.510416666664</v>
      </c>
      <c r="F683" s="23">
        <v>27.25</v>
      </c>
      <c r="G683" s="31">
        <v>-9.1000000000000004E-3</v>
      </c>
      <c r="H683" s="23">
        <v>-457.12</v>
      </c>
      <c r="I683" s="31">
        <v>-9.1000000000000004E-3</v>
      </c>
      <c r="J683" s="23">
        <v>1828.4829999999999</v>
      </c>
      <c r="K683" s="23">
        <v>50283.27</v>
      </c>
      <c r="L683" s="23">
        <v>56554.62</v>
      </c>
      <c r="M683" s="23">
        <v>8</v>
      </c>
      <c r="N683" s="23">
        <v>-57.14</v>
      </c>
      <c r="O683" s="31">
        <v>-1.2699999999999999E-2</v>
      </c>
      <c r="P683" s="31">
        <v>1.09E-2</v>
      </c>
      <c r="Q683" s="23" t="s">
        <v>24</v>
      </c>
      <c r="R683" s="23">
        <v>0</v>
      </c>
      <c r="S683" s="23">
        <v>26.84</v>
      </c>
      <c r="U683" s="47">
        <f>VLOOKUP(AU683,[1]expiry_dates!$B$2:$C$2894,2,FALSE)</f>
        <v>44007</v>
      </c>
      <c r="V683" s="23" t="s">
        <v>153</v>
      </c>
      <c r="W683" s="23" t="s">
        <v>23</v>
      </c>
      <c r="X683" s="49">
        <v>44007.4375</v>
      </c>
      <c r="Y683" s="23">
        <v>0.25</v>
      </c>
      <c r="Z683" s="23">
        <v>44007.510416666664</v>
      </c>
      <c r="AA683" s="23">
        <v>0.25</v>
      </c>
      <c r="AB683" s="23">
        <v>0</v>
      </c>
      <c r="AC683" s="23">
        <v>0</v>
      </c>
      <c r="AD683" s="23">
        <v>0</v>
      </c>
      <c r="AE683" s="23">
        <v>243347.3</v>
      </c>
      <c r="AF683" s="23">
        <v>60836.82</v>
      </c>
      <c r="AG683" s="23">
        <v>2176038.46</v>
      </c>
      <c r="AH683" s="23">
        <v>8</v>
      </c>
      <c r="AI683" s="23">
        <v>0</v>
      </c>
      <c r="AJ683" s="23">
        <v>-0.2</v>
      </c>
      <c r="AK683" s="23">
        <v>0.4</v>
      </c>
      <c r="AL683" s="23" t="s">
        <v>24</v>
      </c>
      <c r="AM683" s="23">
        <v>27.5</v>
      </c>
      <c r="AN683" s="23">
        <v>21433.35</v>
      </c>
      <c r="AO683" s="23">
        <v>26.84</v>
      </c>
      <c r="AP683" s="23">
        <v>0</v>
      </c>
      <c r="AR683" s="46"/>
      <c r="AS683" s="44"/>
      <c r="AT683" s="45"/>
      <c r="AU683" s="2">
        <v>44007</v>
      </c>
      <c r="AV683" s="52">
        <v>0.4375</v>
      </c>
      <c r="AW683" s="2" t="s">
        <v>212</v>
      </c>
      <c r="AY683" s="3"/>
      <c r="BA683" s="3"/>
      <c r="BG683" s="3"/>
      <c r="BH683" s="3"/>
    </row>
    <row r="684" spans="1:60">
      <c r="A684" s="23" t="s">
        <v>22</v>
      </c>
      <c r="B684" s="23" t="s">
        <v>23</v>
      </c>
      <c r="C684" s="27">
        <v>44007.510416666664</v>
      </c>
      <c r="D684" s="23">
        <v>27.25</v>
      </c>
      <c r="E684" s="27">
        <v>44007.572916666664</v>
      </c>
      <c r="F684" s="23">
        <v>27.35</v>
      </c>
      <c r="G684" s="31">
        <v>3.7000000000000002E-3</v>
      </c>
      <c r="H684" s="23">
        <v>-184.52</v>
      </c>
      <c r="I684" s="31">
        <v>-3.7000000000000002E-3</v>
      </c>
      <c r="J684" s="23">
        <v>1845.239</v>
      </c>
      <c r="K684" s="23">
        <v>50282.77</v>
      </c>
      <c r="L684" s="23">
        <v>56370.1</v>
      </c>
      <c r="M684" s="23">
        <v>7</v>
      </c>
      <c r="N684" s="23">
        <v>-26.36</v>
      </c>
      <c r="O684" s="31">
        <v>-1.0999999999999999E-2</v>
      </c>
      <c r="P684" s="31">
        <v>1.2800000000000001E-2</v>
      </c>
      <c r="Q684" s="23" t="s">
        <v>24</v>
      </c>
      <c r="R684" s="23">
        <v>0</v>
      </c>
      <c r="S684" s="23">
        <v>27.78</v>
      </c>
      <c r="U684" s="47">
        <f>VLOOKUP(AU684,[1]expiry_dates!$B$2:$C$2894,2,FALSE)</f>
        <v>44007</v>
      </c>
      <c r="V684" s="23" t="s">
        <v>174</v>
      </c>
      <c r="W684" s="23" t="s">
        <v>23</v>
      </c>
      <c r="X684" s="49">
        <v>44007.510416666664</v>
      </c>
      <c r="Y684" s="23">
        <v>0.45</v>
      </c>
      <c r="Z684" s="23">
        <v>44007.572916666664</v>
      </c>
      <c r="AA684" s="23">
        <v>0.35</v>
      </c>
      <c r="AB684" s="23">
        <v>-0.22220000000000001</v>
      </c>
      <c r="AC684" s="23">
        <v>13528.93</v>
      </c>
      <c r="AD684" s="23">
        <v>0.22220000000000001</v>
      </c>
      <c r="AE684" s="23">
        <v>135289.29999999999</v>
      </c>
      <c r="AF684" s="23">
        <v>60880.19</v>
      </c>
      <c r="AG684" s="23">
        <v>2189567.39</v>
      </c>
      <c r="AH684" s="23">
        <v>7</v>
      </c>
      <c r="AI684" s="23">
        <v>1932.7</v>
      </c>
      <c r="AJ684" s="23">
        <v>-0.22220000000000001</v>
      </c>
      <c r="AK684" s="23">
        <v>0.77780000000000005</v>
      </c>
      <c r="AL684" s="23" t="s">
        <v>24</v>
      </c>
      <c r="AM684" s="23">
        <v>27.25</v>
      </c>
      <c r="AN684" s="23">
        <v>21322.35</v>
      </c>
      <c r="AO684" s="23">
        <v>27.78</v>
      </c>
      <c r="AP684" s="23">
        <v>0</v>
      </c>
      <c r="AR684" s="46"/>
      <c r="AS684" s="44"/>
      <c r="AT684" s="45"/>
      <c r="AU684" s="2">
        <v>44007</v>
      </c>
      <c r="AV684" s="52">
        <v>0.51041666666666663</v>
      </c>
      <c r="AW684" s="2" t="s">
        <v>213</v>
      </c>
      <c r="AY684" s="3"/>
      <c r="BA684" s="3"/>
      <c r="BG684" s="3"/>
      <c r="BH684" s="3"/>
    </row>
    <row r="685" spans="1:60">
      <c r="A685" s="23" t="s">
        <v>22</v>
      </c>
      <c r="B685" s="23" t="s">
        <v>25</v>
      </c>
      <c r="C685" s="27">
        <v>44007.572916666664</v>
      </c>
      <c r="D685" s="23">
        <v>27.35</v>
      </c>
      <c r="E685" s="27">
        <v>44007.625</v>
      </c>
      <c r="F685" s="23">
        <v>26.95</v>
      </c>
      <c r="G685" s="31">
        <v>-1.46E-2</v>
      </c>
      <c r="H685" s="23">
        <v>-735.36</v>
      </c>
      <c r="I685" s="31">
        <v>-1.46E-2</v>
      </c>
      <c r="J685" s="23">
        <v>1838.4079999999999</v>
      </c>
      <c r="K685" s="23">
        <v>50280.46</v>
      </c>
      <c r="L685" s="23">
        <v>55634.74</v>
      </c>
      <c r="M685" s="23">
        <v>6</v>
      </c>
      <c r="N685" s="23">
        <v>-122.56</v>
      </c>
      <c r="O685" s="31">
        <v>-1.46E-2</v>
      </c>
      <c r="P685" s="31">
        <v>9.1000000000000004E-3</v>
      </c>
      <c r="Q685" s="23" t="s">
        <v>24</v>
      </c>
      <c r="R685" s="23">
        <v>0</v>
      </c>
      <c r="S685" s="23">
        <v>26.93</v>
      </c>
      <c r="U685" s="47">
        <f>VLOOKUP(AU685,[1]expiry_dates!$B$2:$C$2894,2,FALSE)</f>
        <v>44007</v>
      </c>
      <c r="V685" s="23" t="s">
        <v>171</v>
      </c>
      <c r="W685" s="23" t="s">
        <v>23</v>
      </c>
      <c r="X685" s="49">
        <v>44007.572916666664</v>
      </c>
      <c r="Y685" s="23">
        <v>0.05</v>
      </c>
      <c r="Z685" s="23">
        <v>44007.625</v>
      </c>
      <c r="AA685" s="23">
        <v>0.05</v>
      </c>
      <c r="AB685" s="23">
        <v>0</v>
      </c>
      <c r="AC685" s="23">
        <v>0</v>
      </c>
      <c r="AD685" s="23">
        <v>0</v>
      </c>
      <c r="AE685" s="23">
        <v>1216927</v>
      </c>
      <c r="AF685" s="23">
        <v>60846.37</v>
      </c>
      <c r="AG685" s="23">
        <v>2189567.39</v>
      </c>
      <c r="AH685" s="23">
        <v>6</v>
      </c>
      <c r="AI685" s="23">
        <v>0</v>
      </c>
      <c r="AJ685" s="23">
        <v>0</v>
      </c>
      <c r="AK685" s="23">
        <v>0</v>
      </c>
      <c r="AL685" s="23" t="s">
        <v>24</v>
      </c>
      <c r="AM685" s="23">
        <v>27.35</v>
      </c>
      <c r="AN685" s="23">
        <v>21515.95</v>
      </c>
      <c r="AO685" s="23">
        <v>26.93</v>
      </c>
      <c r="AP685" s="23">
        <v>0</v>
      </c>
      <c r="AR685" s="46"/>
      <c r="AS685" s="44"/>
      <c r="AT685" s="45"/>
      <c r="AU685" s="2">
        <v>44007</v>
      </c>
      <c r="AV685" s="52">
        <v>7.2916666666666671E-2</v>
      </c>
      <c r="AW685" s="2" t="s">
        <v>213</v>
      </c>
      <c r="AY685" s="3"/>
      <c r="BA685" s="3"/>
      <c r="BG685" s="3"/>
      <c r="BH685" s="3"/>
    </row>
    <row r="686" spans="1:60">
      <c r="A686" s="23" t="s">
        <v>22</v>
      </c>
      <c r="B686" s="23" t="s">
        <v>23</v>
      </c>
      <c r="C686" s="27">
        <v>44007.625</v>
      </c>
      <c r="D686" s="23">
        <v>26.95</v>
      </c>
      <c r="E686" s="27">
        <v>44007.6875</v>
      </c>
      <c r="F686" s="23">
        <v>27</v>
      </c>
      <c r="G686" s="31">
        <v>1.9E-3</v>
      </c>
      <c r="H686" s="23">
        <v>-93.28</v>
      </c>
      <c r="I686" s="31">
        <v>-1.9E-3</v>
      </c>
      <c r="J686" s="23">
        <v>1865.6949999999999</v>
      </c>
      <c r="K686" s="23">
        <v>50280.47</v>
      </c>
      <c r="L686" s="23">
        <v>55541.45</v>
      </c>
      <c r="M686" s="23">
        <v>4</v>
      </c>
      <c r="N686" s="23">
        <v>-23.32</v>
      </c>
      <c r="O686" s="31">
        <v>-1.11E-2</v>
      </c>
      <c r="P686" s="31">
        <v>3.7000000000000002E-3</v>
      </c>
      <c r="Q686" s="23" t="s">
        <v>24</v>
      </c>
      <c r="R686" s="23">
        <v>0</v>
      </c>
      <c r="S686" s="23">
        <v>27.59</v>
      </c>
      <c r="U686" s="47">
        <f>VLOOKUP(AU686,[1]expiry_dates!$B$2:$C$2894,2,FALSE)</f>
        <v>44007</v>
      </c>
      <c r="V686" s="23" t="s">
        <v>174</v>
      </c>
      <c r="W686" s="23" t="s">
        <v>23</v>
      </c>
      <c r="X686" s="49">
        <v>44007.625</v>
      </c>
      <c r="Y686" s="23">
        <v>0.05</v>
      </c>
      <c r="Z686" s="23">
        <v>44007.6875</v>
      </c>
      <c r="AA686" s="23">
        <v>0.05</v>
      </c>
      <c r="AB686" s="23">
        <v>0</v>
      </c>
      <c r="AC686" s="23">
        <v>0</v>
      </c>
      <c r="AD686" s="23">
        <v>0</v>
      </c>
      <c r="AE686" s="23">
        <v>1218957</v>
      </c>
      <c r="AF686" s="23">
        <v>60947.839999999997</v>
      </c>
      <c r="AG686" s="23">
        <v>2189567.39</v>
      </c>
      <c r="AH686" s="23">
        <v>4</v>
      </c>
      <c r="AI686" s="23">
        <v>0</v>
      </c>
      <c r="AJ686" s="23">
        <v>-5</v>
      </c>
      <c r="AK686" s="23">
        <v>0</v>
      </c>
      <c r="AL686" s="23" t="s">
        <v>24</v>
      </c>
      <c r="AM686" s="23">
        <v>26.95</v>
      </c>
      <c r="AN686" s="23">
        <v>21489.4</v>
      </c>
      <c r="AO686" s="23">
        <v>27.59</v>
      </c>
      <c r="AP686" s="23">
        <v>0</v>
      </c>
      <c r="AR686" s="46"/>
      <c r="AS686" s="44"/>
      <c r="AT686" s="45"/>
      <c r="AU686" s="2">
        <v>44007</v>
      </c>
      <c r="AV686" s="52">
        <v>0.125</v>
      </c>
      <c r="AW686" s="2" t="s">
        <v>213</v>
      </c>
      <c r="AY686" s="3"/>
      <c r="BA686" s="3"/>
      <c r="BG686" s="3"/>
      <c r="BH686" s="3"/>
    </row>
    <row r="687" spans="1:60">
      <c r="A687" s="23" t="s">
        <v>22</v>
      </c>
      <c r="B687" s="23" t="s">
        <v>25</v>
      </c>
      <c r="C687" s="27">
        <v>44008.385416666664</v>
      </c>
      <c r="D687" s="23">
        <v>27.6</v>
      </c>
      <c r="E687" s="27">
        <v>44008.447916666664</v>
      </c>
      <c r="F687" s="23">
        <v>27.15</v>
      </c>
      <c r="G687" s="31">
        <v>-1.6299999999999999E-2</v>
      </c>
      <c r="H687" s="23">
        <v>-819.75</v>
      </c>
      <c r="I687" s="31">
        <v>-1.6299999999999999E-2</v>
      </c>
      <c r="J687" s="23">
        <v>1821.6559999999999</v>
      </c>
      <c r="K687" s="23">
        <v>50277.71</v>
      </c>
      <c r="L687" s="23">
        <v>54721.71</v>
      </c>
      <c r="M687" s="23">
        <v>7</v>
      </c>
      <c r="N687" s="23">
        <v>-117.11</v>
      </c>
      <c r="O687" s="31">
        <v>-1.6299999999999999E-2</v>
      </c>
      <c r="P687" s="31">
        <v>3.5999999999999999E-3</v>
      </c>
      <c r="Q687" s="23" t="s">
        <v>24</v>
      </c>
      <c r="R687" s="23">
        <v>0</v>
      </c>
      <c r="S687" s="23">
        <v>26.88</v>
      </c>
      <c r="U687" s="47">
        <f>VLOOKUP(AU687,[1]expiry_dates!$B$2:$C$2894,2,FALSE)</f>
        <v>44042</v>
      </c>
      <c r="V687" s="23" t="s">
        <v>173</v>
      </c>
      <c r="W687" s="23" t="s">
        <v>23</v>
      </c>
      <c r="X687" s="49">
        <v>44008.385416666664</v>
      </c>
      <c r="Y687" s="23">
        <v>2.5</v>
      </c>
      <c r="Z687" s="23">
        <v>44008.447916666664</v>
      </c>
      <c r="AA687" s="23">
        <v>2.85</v>
      </c>
      <c r="AB687" s="23">
        <v>0.14000000000000001</v>
      </c>
      <c r="AC687" s="23">
        <v>-8532.7000000000007</v>
      </c>
      <c r="AD687" s="23">
        <v>-0.14000000000000001</v>
      </c>
      <c r="AE687" s="23">
        <v>24379.13</v>
      </c>
      <c r="AF687" s="23">
        <v>60947.839999999997</v>
      </c>
      <c r="AG687" s="23">
        <v>2181034.7000000002</v>
      </c>
      <c r="AH687" s="23">
        <v>7</v>
      </c>
      <c r="AI687" s="23">
        <v>-1218.96</v>
      </c>
      <c r="AJ687" s="23">
        <v>-0.14000000000000001</v>
      </c>
      <c r="AK687" s="23">
        <v>0</v>
      </c>
      <c r="AL687" s="23" t="s">
        <v>24</v>
      </c>
      <c r="AM687" s="23">
        <v>27.6</v>
      </c>
      <c r="AN687" s="23">
        <v>21745.3</v>
      </c>
      <c r="AO687" s="23">
        <v>26.88</v>
      </c>
      <c r="AP687" s="23">
        <v>0</v>
      </c>
      <c r="AR687" s="46"/>
      <c r="AS687" s="44"/>
      <c r="AT687" s="45"/>
      <c r="AU687" s="2">
        <v>44008</v>
      </c>
      <c r="AV687" s="52">
        <v>0.38541666666666669</v>
      </c>
      <c r="AW687" s="2" t="s">
        <v>212</v>
      </c>
      <c r="AY687" s="3"/>
      <c r="BA687" s="3"/>
      <c r="BG687" s="3"/>
      <c r="BH687" s="3"/>
    </row>
    <row r="688" spans="1:60">
      <c r="A688" s="23" t="s">
        <v>22</v>
      </c>
      <c r="B688" s="23" t="s">
        <v>23</v>
      </c>
      <c r="C688" s="27">
        <v>44008.447916666664</v>
      </c>
      <c r="D688" s="23">
        <v>27.15</v>
      </c>
      <c r="E688" s="27">
        <v>44011.635416666664</v>
      </c>
      <c r="F688" s="23">
        <v>25.85</v>
      </c>
      <c r="G688" s="31">
        <v>-4.7899999999999998E-2</v>
      </c>
      <c r="H688" s="23">
        <v>2407.25</v>
      </c>
      <c r="I688" s="31">
        <v>4.7899999999999998E-2</v>
      </c>
      <c r="J688" s="23">
        <v>1851.732</v>
      </c>
      <c r="K688" s="23">
        <v>50274.52</v>
      </c>
      <c r="L688" s="23">
        <v>57128.959999999999</v>
      </c>
      <c r="M688" s="23">
        <v>47</v>
      </c>
      <c r="N688" s="23">
        <v>51.22</v>
      </c>
      <c r="O688" s="31">
        <v>-9.1999999999999998E-3</v>
      </c>
      <c r="P688" s="31">
        <v>5.8900000000000001E-2</v>
      </c>
      <c r="Q688" s="23" t="s">
        <v>24</v>
      </c>
      <c r="R688" s="23">
        <v>0</v>
      </c>
      <c r="S688" s="23">
        <v>27.67</v>
      </c>
      <c r="U688" s="47">
        <f>VLOOKUP(AU688,[1]expiry_dates!$B$2:$C$2894,2,FALSE)</f>
        <v>44042</v>
      </c>
      <c r="V688" s="23" t="s">
        <v>152</v>
      </c>
      <c r="W688" s="23" t="s">
        <v>23</v>
      </c>
      <c r="X688" s="49">
        <v>44008.447916666664</v>
      </c>
      <c r="Y688" s="23">
        <v>1.85</v>
      </c>
      <c r="Z688" s="23">
        <v>44011.635416666664</v>
      </c>
      <c r="AA688" s="23">
        <v>1.25</v>
      </c>
      <c r="AB688" s="23">
        <v>-0.32429999999999998</v>
      </c>
      <c r="AC688" s="23">
        <v>19766.87</v>
      </c>
      <c r="AD688" s="23">
        <v>0.32429999999999998</v>
      </c>
      <c r="AE688" s="23">
        <v>32944.78</v>
      </c>
      <c r="AF688" s="23">
        <v>60947.839999999997</v>
      </c>
      <c r="AG688" s="23">
        <v>2200801.56</v>
      </c>
      <c r="AH688" s="23">
        <v>47</v>
      </c>
      <c r="AI688" s="23">
        <v>420.57</v>
      </c>
      <c r="AJ688" s="23">
        <v>-0.1081</v>
      </c>
      <c r="AK688" s="23">
        <v>0.35139999999999999</v>
      </c>
      <c r="AL688" s="23" t="s">
        <v>24</v>
      </c>
      <c r="AM688" s="23">
        <v>27.15</v>
      </c>
      <c r="AN688" s="23">
        <v>21468.799999999999</v>
      </c>
      <c r="AO688" s="23">
        <v>27.67</v>
      </c>
      <c r="AP688" s="23">
        <v>0</v>
      </c>
      <c r="AR688" s="46"/>
      <c r="AS688" s="44"/>
      <c r="AT688" s="45"/>
      <c r="AU688" s="2">
        <v>44008</v>
      </c>
      <c r="AV688" s="52">
        <v>0.44791666666666669</v>
      </c>
      <c r="AW688" s="2" t="s">
        <v>212</v>
      </c>
      <c r="AY688" s="3"/>
      <c r="BA688" s="3"/>
      <c r="BG688" s="3"/>
      <c r="BH688" s="3"/>
    </row>
    <row r="689" spans="1:60">
      <c r="A689" s="23" t="s">
        <v>22</v>
      </c>
      <c r="B689" s="23" t="s">
        <v>25</v>
      </c>
      <c r="C689" s="27">
        <v>44011.635416666664</v>
      </c>
      <c r="D689" s="23">
        <v>25.85</v>
      </c>
      <c r="E689" s="27">
        <v>44012.479166666664</v>
      </c>
      <c r="F689" s="23">
        <v>26.15</v>
      </c>
      <c r="G689" s="31">
        <v>1.1599999999999999E-2</v>
      </c>
      <c r="H689" s="23">
        <v>583.57000000000005</v>
      </c>
      <c r="I689" s="31">
        <v>1.1599999999999999E-2</v>
      </c>
      <c r="J689" s="23">
        <v>1945.232</v>
      </c>
      <c r="K689" s="23">
        <v>50284.25</v>
      </c>
      <c r="L689" s="23">
        <v>57712.53</v>
      </c>
      <c r="M689" s="23">
        <v>14</v>
      </c>
      <c r="N689" s="23">
        <v>41.68</v>
      </c>
      <c r="O689" s="31">
        <v>-1.9E-3</v>
      </c>
      <c r="P689" s="31">
        <v>3.2899999999999999E-2</v>
      </c>
      <c r="Q689" s="23" t="s">
        <v>24</v>
      </c>
      <c r="R689" s="23">
        <v>0</v>
      </c>
      <c r="S689" s="23">
        <v>25.57</v>
      </c>
      <c r="U689" s="47">
        <f>VLOOKUP(AU689,[1]expiry_dates!$B$2:$C$2894,2,FALSE)</f>
        <v>44042</v>
      </c>
      <c r="V689" s="23" t="s">
        <v>151</v>
      </c>
      <c r="W689" s="23" t="s">
        <v>23</v>
      </c>
      <c r="X689" s="49">
        <v>44011.635416666664</v>
      </c>
      <c r="Y689" s="23">
        <v>2.2000000000000002</v>
      </c>
      <c r="Z689" s="23">
        <v>44012.479166666664</v>
      </c>
      <c r="AA689" s="23">
        <v>1.9</v>
      </c>
      <c r="AB689" s="23">
        <v>-0.13639999999999999</v>
      </c>
      <c r="AC689" s="23">
        <v>8317.6</v>
      </c>
      <c r="AD689" s="23">
        <v>0.13639999999999999</v>
      </c>
      <c r="AE689" s="23">
        <v>27725.35</v>
      </c>
      <c r="AF689" s="23">
        <v>60995.77</v>
      </c>
      <c r="AG689" s="23">
        <v>2209119.17</v>
      </c>
      <c r="AH689" s="23">
        <v>14</v>
      </c>
      <c r="AI689" s="23">
        <v>594.11</v>
      </c>
      <c r="AJ689" s="23">
        <v>0</v>
      </c>
      <c r="AK689" s="23">
        <v>0.20449999999999999</v>
      </c>
      <c r="AL689" s="23" t="s">
        <v>24</v>
      </c>
      <c r="AM689" s="23">
        <v>25.85</v>
      </c>
      <c r="AN689" s="23">
        <v>21370.25</v>
      </c>
      <c r="AO689" s="23">
        <v>25.57</v>
      </c>
      <c r="AP689" s="23">
        <v>0</v>
      </c>
      <c r="AR689" s="46"/>
      <c r="AS689" s="44"/>
      <c r="AT689" s="45"/>
      <c r="AU689" s="2">
        <v>44011</v>
      </c>
      <c r="AV689" s="52">
        <v>0.13541666666666666</v>
      </c>
      <c r="AW689" s="2" t="s">
        <v>213</v>
      </c>
      <c r="AY689" s="3"/>
      <c r="BA689" s="3"/>
      <c r="BG689" s="3"/>
      <c r="BH689" s="3"/>
    </row>
    <row r="690" spans="1:60">
      <c r="A690" s="23" t="s">
        <v>22</v>
      </c>
      <c r="B690" s="23" t="s">
        <v>23</v>
      </c>
      <c r="C690" s="27">
        <v>44012.479166666664</v>
      </c>
      <c r="D690" s="23">
        <v>26.15</v>
      </c>
      <c r="E690" s="27">
        <v>44013.416666666664</v>
      </c>
      <c r="F690" s="23">
        <v>26.25</v>
      </c>
      <c r="G690" s="31">
        <v>3.8E-3</v>
      </c>
      <c r="H690" s="23">
        <v>-192.31</v>
      </c>
      <c r="I690" s="31">
        <v>-3.8E-3</v>
      </c>
      <c r="J690" s="23">
        <v>1923.0809999999999</v>
      </c>
      <c r="K690" s="23">
        <v>50288.56</v>
      </c>
      <c r="L690" s="23">
        <v>57520.22</v>
      </c>
      <c r="M690" s="23">
        <v>23</v>
      </c>
      <c r="N690" s="23">
        <v>-8.36</v>
      </c>
      <c r="O690" s="31">
        <v>-3.8E-3</v>
      </c>
      <c r="P690" s="31">
        <v>2.29E-2</v>
      </c>
      <c r="Q690" s="23" t="s">
        <v>24</v>
      </c>
      <c r="R690" s="23">
        <v>0</v>
      </c>
      <c r="S690" s="23">
        <v>26.7</v>
      </c>
      <c r="U690" s="47">
        <f>VLOOKUP(AU690,[1]expiry_dates!$B$2:$C$2894,2,FALSE)</f>
        <v>44042</v>
      </c>
      <c r="V690" s="23" t="s">
        <v>165</v>
      </c>
      <c r="W690" s="23" t="s">
        <v>23</v>
      </c>
      <c r="X690" s="49">
        <v>44012.479166666664</v>
      </c>
      <c r="Y690" s="23">
        <v>2.4</v>
      </c>
      <c r="Z690" s="23">
        <v>44013.416666666664</v>
      </c>
      <c r="AA690" s="23">
        <v>2.25</v>
      </c>
      <c r="AB690" s="23">
        <v>-6.25E-2</v>
      </c>
      <c r="AC690" s="23">
        <v>3815.35</v>
      </c>
      <c r="AD690" s="23">
        <v>6.25E-2</v>
      </c>
      <c r="AE690" s="23">
        <v>25435.66</v>
      </c>
      <c r="AF690" s="23">
        <v>61045.599999999999</v>
      </c>
      <c r="AG690" s="23">
        <v>2212934.52</v>
      </c>
      <c r="AH690" s="23">
        <v>23</v>
      </c>
      <c r="AI690" s="23">
        <v>165.88</v>
      </c>
      <c r="AJ690" s="23">
        <v>-4.1700000000000001E-2</v>
      </c>
      <c r="AK690" s="23">
        <v>8.3299999999999999E-2</v>
      </c>
      <c r="AL690" s="23" t="s">
        <v>24</v>
      </c>
      <c r="AM690" s="23">
        <v>26.15</v>
      </c>
      <c r="AN690" s="23">
        <v>21485.85</v>
      </c>
      <c r="AO690" s="23">
        <v>26.7</v>
      </c>
      <c r="AP690" s="23">
        <v>0</v>
      </c>
      <c r="AR690" s="46"/>
      <c r="AS690" s="44"/>
      <c r="AT690" s="45"/>
      <c r="AU690" s="2">
        <v>44012</v>
      </c>
      <c r="AV690" s="52">
        <v>0.47916666666666669</v>
      </c>
      <c r="AW690" s="2" t="s">
        <v>212</v>
      </c>
      <c r="AY690" s="3"/>
      <c r="BA690" s="3"/>
      <c r="BG690" s="3"/>
      <c r="BH690" s="3"/>
    </row>
    <row r="691" spans="1:60">
      <c r="A691" s="23" t="s">
        <v>22</v>
      </c>
      <c r="B691" s="23" t="s">
        <v>25</v>
      </c>
      <c r="C691" s="27">
        <v>44013.416666666664</v>
      </c>
      <c r="D691" s="23">
        <v>26.25</v>
      </c>
      <c r="E691" s="27">
        <v>44013.572916666664</v>
      </c>
      <c r="F691" s="23">
        <v>26.05</v>
      </c>
      <c r="G691" s="31">
        <v>-7.6E-3</v>
      </c>
      <c r="H691" s="23">
        <v>-383.16</v>
      </c>
      <c r="I691" s="31">
        <v>-7.6E-3</v>
      </c>
      <c r="J691" s="23">
        <v>1915.81</v>
      </c>
      <c r="K691" s="23">
        <v>50290</v>
      </c>
      <c r="L691" s="23">
        <v>57137.06</v>
      </c>
      <c r="M691" s="23">
        <v>16</v>
      </c>
      <c r="N691" s="23">
        <v>-23.95</v>
      </c>
      <c r="O691" s="31">
        <v>-1.3299999999999999E-2</v>
      </c>
      <c r="P691" s="31">
        <v>5.7000000000000002E-3</v>
      </c>
      <c r="Q691" s="23" t="s">
        <v>24</v>
      </c>
      <c r="R691" s="23">
        <v>0</v>
      </c>
      <c r="S691" s="23">
        <v>25.58</v>
      </c>
      <c r="U691" s="47">
        <f>VLOOKUP(AU691,[1]expiry_dates!$B$2:$C$2894,2,FALSE)</f>
        <v>44042</v>
      </c>
      <c r="V691" s="23" t="s">
        <v>151</v>
      </c>
      <c r="W691" s="23" t="s">
        <v>23</v>
      </c>
      <c r="X691" s="49">
        <v>44013.416666666664</v>
      </c>
      <c r="Y691" s="23">
        <v>1.8</v>
      </c>
      <c r="Z691" s="23">
        <v>44013.572916666664</v>
      </c>
      <c r="AA691" s="23">
        <v>1.65</v>
      </c>
      <c r="AB691" s="23">
        <v>-8.3299999999999999E-2</v>
      </c>
      <c r="AC691" s="23">
        <v>5088.72</v>
      </c>
      <c r="AD691" s="23">
        <v>8.3299999999999999E-2</v>
      </c>
      <c r="AE691" s="23">
        <v>33924.82</v>
      </c>
      <c r="AF691" s="23">
        <v>61064.68</v>
      </c>
      <c r="AG691" s="23">
        <v>2218023.2400000002</v>
      </c>
      <c r="AH691" s="23">
        <v>16</v>
      </c>
      <c r="AI691" s="23">
        <v>318.05</v>
      </c>
      <c r="AJ691" s="23">
        <v>-8.3299999999999999E-2</v>
      </c>
      <c r="AK691" s="23">
        <v>8.3299999999999999E-2</v>
      </c>
      <c r="AL691" s="23" t="s">
        <v>24</v>
      </c>
      <c r="AM691" s="23">
        <v>26.25</v>
      </c>
      <c r="AN691" s="23">
        <v>21555.35</v>
      </c>
      <c r="AO691" s="23">
        <v>25.58</v>
      </c>
      <c r="AP691" s="23">
        <v>0</v>
      </c>
      <c r="AR691" s="46"/>
      <c r="AS691" s="44"/>
      <c r="AT691" s="45"/>
      <c r="AU691" s="2">
        <v>44013</v>
      </c>
      <c r="AV691" s="52">
        <v>0.41666666666666669</v>
      </c>
      <c r="AW691" s="2" t="s">
        <v>212</v>
      </c>
      <c r="AY691" s="3"/>
      <c r="BA691" s="3"/>
      <c r="BG691" s="3"/>
      <c r="BH691" s="3"/>
    </row>
    <row r="692" spans="1:60">
      <c r="A692" s="23" t="s">
        <v>22</v>
      </c>
      <c r="B692" s="23" t="s">
        <v>23</v>
      </c>
      <c r="C692" s="27">
        <v>44013.572916666664</v>
      </c>
      <c r="D692" s="23">
        <v>26.05</v>
      </c>
      <c r="E692" s="27">
        <v>44013.625</v>
      </c>
      <c r="F692" s="23">
        <v>26.35</v>
      </c>
      <c r="G692" s="31">
        <v>1.15E-2</v>
      </c>
      <c r="H692" s="23">
        <v>-579.12</v>
      </c>
      <c r="I692" s="31">
        <v>-1.15E-2</v>
      </c>
      <c r="J692" s="23">
        <v>1930.3889999999999</v>
      </c>
      <c r="K692" s="23">
        <v>50286.64</v>
      </c>
      <c r="L692" s="23">
        <v>56557.94</v>
      </c>
      <c r="M692" s="23">
        <v>6</v>
      </c>
      <c r="N692" s="23">
        <v>-96.52</v>
      </c>
      <c r="O692" s="31">
        <v>-1.15E-2</v>
      </c>
      <c r="P692" s="31">
        <v>1.9E-3</v>
      </c>
      <c r="Q692" s="23" t="s">
        <v>24</v>
      </c>
      <c r="R692" s="23">
        <v>0</v>
      </c>
      <c r="S692" s="23">
        <v>26.38</v>
      </c>
      <c r="U692" s="47">
        <f>VLOOKUP(AU692,[1]expiry_dates!$B$2:$C$2894,2,FALSE)</f>
        <v>44042</v>
      </c>
      <c r="V692" s="23" t="s">
        <v>174</v>
      </c>
      <c r="W692" s="23" t="s">
        <v>23</v>
      </c>
      <c r="X692" s="49">
        <v>44013.572916666664</v>
      </c>
      <c r="Y692" s="23">
        <v>1.5</v>
      </c>
      <c r="Z692" s="23">
        <v>44013.625</v>
      </c>
      <c r="AA692" s="23">
        <v>1.7</v>
      </c>
      <c r="AB692" s="23">
        <v>0.1333</v>
      </c>
      <c r="AC692" s="23">
        <v>-8145.35</v>
      </c>
      <c r="AD692" s="23">
        <v>-0.1333</v>
      </c>
      <c r="AE692" s="23">
        <v>40726.74</v>
      </c>
      <c r="AF692" s="23">
        <v>61090.11</v>
      </c>
      <c r="AG692" s="23">
        <v>2209877.89</v>
      </c>
      <c r="AH692" s="23">
        <v>6</v>
      </c>
      <c r="AI692" s="23">
        <v>-1357.56</v>
      </c>
      <c r="AJ692" s="23">
        <v>-0.1333</v>
      </c>
      <c r="AK692" s="23">
        <v>0</v>
      </c>
      <c r="AL692" s="23" t="s">
        <v>24</v>
      </c>
      <c r="AM692" s="23">
        <v>26.05</v>
      </c>
      <c r="AN692" s="23">
        <v>21818.75</v>
      </c>
      <c r="AO692" s="23">
        <v>26.38</v>
      </c>
      <c r="AP692" s="23">
        <v>0</v>
      </c>
      <c r="AR692" s="46"/>
      <c r="AS692" s="44"/>
      <c r="AT692" s="45"/>
      <c r="AU692" s="2">
        <v>44013</v>
      </c>
      <c r="AV692" s="52">
        <v>7.2916666666666671E-2</v>
      </c>
      <c r="AW692" s="2" t="s">
        <v>213</v>
      </c>
      <c r="AY692" s="3"/>
      <c r="BA692" s="3"/>
      <c r="BG692" s="3"/>
      <c r="BH692" s="3"/>
    </row>
    <row r="693" spans="1:60">
      <c r="A693" s="23" t="s">
        <v>22</v>
      </c>
      <c r="B693" s="23" t="s">
        <v>25</v>
      </c>
      <c r="C693" s="27">
        <v>44013.625</v>
      </c>
      <c r="D693" s="23">
        <v>26.35</v>
      </c>
      <c r="E693" s="27">
        <v>44014.5625</v>
      </c>
      <c r="F693" s="23">
        <v>26.9</v>
      </c>
      <c r="G693" s="31">
        <v>2.0899999999999998E-2</v>
      </c>
      <c r="H693" s="23">
        <v>1049.56</v>
      </c>
      <c r="I693" s="31">
        <v>2.0899999999999998E-2</v>
      </c>
      <c r="J693" s="23">
        <v>1908.2840000000001</v>
      </c>
      <c r="K693" s="23">
        <v>50283.27</v>
      </c>
      <c r="L693" s="23">
        <v>57607.5</v>
      </c>
      <c r="M693" s="23">
        <v>23</v>
      </c>
      <c r="N693" s="23">
        <v>45.63</v>
      </c>
      <c r="O693" s="31">
        <v>-3.8E-3</v>
      </c>
      <c r="P693" s="31">
        <v>3.04E-2</v>
      </c>
      <c r="Q693" s="23" t="s">
        <v>24</v>
      </c>
      <c r="R693" s="23">
        <v>0</v>
      </c>
      <c r="S693" s="23">
        <v>26.02</v>
      </c>
      <c r="U693" s="47">
        <f>VLOOKUP(AU693,[1]expiry_dates!$B$2:$C$2894,2,FALSE)</f>
        <v>44042</v>
      </c>
      <c r="V693" s="23" t="s">
        <v>151</v>
      </c>
      <c r="W693" s="23" t="s">
        <v>23</v>
      </c>
      <c r="X693" s="49">
        <v>44013.625</v>
      </c>
      <c r="Y693" s="23">
        <v>1.65</v>
      </c>
      <c r="Z693" s="23">
        <v>44014.5625</v>
      </c>
      <c r="AA693" s="23">
        <v>1.45</v>
      </c>
      <c r="AB693" s="23">
        <v>-0.1212</v>
      </c>
      <c r="AC693" s="23">
        <v>7401.16</v>
      </c>
      <c r="AD693" s="23">
        <v>0.1212</v>
      </c>
      <c r="AE693" s="23">
        <v>37005.800000000003</v>
      </c>
      <c r="AF693" s="23">
        <v>61059.57</v>
      </c>
      <c r="AG693" s="23">
        <v>2217279.0499999998</v>
      </c>
      <c r="AH693" s="23">
        <v>23</v>
      </c>
      <c r="AI693" s="23">
        <v>321.79000000000002</v>
      </c>
      <c r="AJ693" s="23">
        <v>-3.0300000000000001E-2</v>
      </c>
      <c r="AK693" s="23">
        <v>0.1515</v>
      </c>
      <c r="AL693" s="23" t="s">
        <v>24</v>
      </c>
      <c r="AM693" s="23">
        <v>26.35</v>
      </c>
      <c r="AN693" s="23">
        <v>22005.05</v>
      </c>
      <c r="AO693" s="23">
        <v>26.02</v>
      </c>
      <c r="AP693" s="23">
        <v>0</v>
      </c>
      <c r="AR693" s="46"/>
      <c r="AS693" s="44"/>
      <c r="AT693" s="45"/>
      <c r="AU693" s="2">
        <v>44013</v>
      </c>
      <c r="AV693" s="52">
        <v>0.125</v>
      </c>
      <c r="AW693" s="2" t="s">
        <v>213</v>
      </c>
      <c r="AY693" s="3"/>
      <c r="BA693" s="3"/>
      <c r="BG693" s="3"/>
      <c r="BH693" s="3"/>
    </row>
    <row r="694" spans="1:60">
      <c r="A694" s="23" t="s">
        <v>22</v>
      </c>
      <c r="B694" s="23" t="s">
        <v>23</v>
      </c>
      <c r="C694" s="27">
        <v>44014.5625</v>
      </c>
      <c r="D694" s="23">
        <v>26.9</v>
      </c>
      <c r="E694" s="27">
        <v>44015.479166666664</v>
      </c>
      <c r="F694" s="23">
        <v>26.85</v>
      </c>
      <c r="G694" s="31">
        <v>-1.9E-3</v>
      </c>
      <c r="H694" s="23">
        <v>93.47</v>
      </c>
      <c r="I694" s="31">
        <v>1.9E-3</v>
      </c>
      <c r="J694" s="23">
        <v>1869.4259999999999</v>
      </c>
      <c r="K694" s="23">
        <v>50287.56</v>
      </c>
      <c r="L694" s="23">
        <v>57700.97</v>
      </c>
      <c r="M694" s="23">
        <v>21</v>
      </c>
      <c r="N694" s="23">
        <v>4.45</v>
      </c>
      <c r="O694" s="31">
        <v>-7.4000000000000003E-3</v>
      </c>
      <c r="P694" s="31">
        <v>1.2999999999999999E-2</v>
      </c>
      <c r="Q694" s="23" t="s">
        <v>24</v>
      </c>
      <c r="R694" s="23">
        <v>0</v>
      </c>
      <c r="S694" s="23">
        <v>27.14</v>
      </c>
      <c r="U694" s="47">
        <f>VLOOKUP(AU694,[1]expiry_dates!$B$2:$C$2894,2,FALSE)</f>
        <v>44042</v>
      </c>
      <c r="V694" s="23" t="s">
        <v>174</v>
      </c>
      <c r="W694" s="23" t="s">
        <v>23</v>
      </c>
      <c r="X694" s="49">
        <v>44014.5625</v>
      </c>
      <c r="Y694" s="23">
        <v>1.85</v>
      </c>
      <c r="Z694" s="23">
        <v>44015.479166666664</v>
      </c>
      <c r="AA694" s="23">
        <v>1.8</v>
      </c>
      <c r="AB694" s="23">
        <v>-2.7E-2</v>
      </c>
      <c r="AC694" s="23">
        <v>1650.98</v>
      </c>
      <c r="AD694" s="23">
        <v>2.7E-2</v>
      </c>
      <c r="AE694" s="23">
        <v>33019.67</v>
      </c>
      <c r="AF694" s="23">
        <v>61086.39</v>
      </c>
      <c r="AG694" s="23">
        <v>2218930.0299999998</v>
      </c>
      <c r="AH694" s="23">
        <v>21</v>
      </c>
      <c r="AI694" s="23">
        <v>78.62</v>
      </c>
      <c r="AJ694" s="23">
        <v>-2.7E-2</v>
      </c>
      <c r="AK694" s="23">
        <v>8.1100000000000005E-2</v>
      </c>
      <c r="AL694" s="23" t="s">
        <v>24</v>
      </c>
      <c r="AM694" s="23">
        <v>26.9</v>
      </c>
      <c r="AN694" s="23">
        <v>22094.15</v>
      </c>
      <c r="AO694" s="23">
        <v>27.14</v>
      </c>
      <c r="AP694" s="23">
        <v>0</v>
      </c>
      <c r="AR694" s="46"/>
      <c r="AS694" s="44"/>
      <c r="AT694" s="45"/>
      <c r="AU694" s="2">
        <v>44014</v>
      </c>
      <c r="AV694" s="52">
        <v>6.25E-2</v>
      </c>
      <c r="AW694" s="2" t="s">
        <v>213</v>
      </c>
      <c r="AY694" s="3"/>
      <c r="BA694" s="3"/>
      <c r="BG694" s="3"/>
      <c r="BH694" s="3"/>
    </row>
    <row r="695" spans="1:60">
      <c r="A695" s="23" t="s">
        <v>22</v>
      </c>
      <c r="B695" s="23" t="s">
        <v>25</v>
      </c>
      <c r="C695" s="27">
        <v>44015.479166666664</v>
      </c>
      <c r="D695" s="23">
        <v>26.85</v>
      </c>
      <c r="E695" s="27">
        <v>44015.5625</v>
      </c>
      <c r="F695" s="23">
        <v>26.7</v>
      </c>
      <c r="G695" s="31">
        <v>-5.5999999999999999E-3</v>
      </c>
      <c r="H695" s="23">
        <v>-280.94</v>
      </c>
      <c r="I695" s="31">
        <v>-5.5999999999999999E-3</v>
      </c>
      <c r="J695" s="23">
        <v>1872.942</v>
      </c>
      <c r="K695" s="23">
        <v>50288.5</v>
      </c>
      <c r="L695" s="23">
        <v>57420.03</v>
      </c>
      <c r="M695" s="23">
        <v>9</v>
      </c>
      <c r="N695" s="23">
        <v>-31.22</v>
      </c>
      <c r="O695" s="31">
        <v>-5.5999999999999999E-3</v>
      </c>
      <c r="P695" s="31">
        <v>3.7000000000000002E-3</v>
      </c>
      <c r="Q695" s="23" t="s">
        <v>24</v>
      </c>
      <c r="R695" s="23">
        <v>0</v>
      </c>
      <c r="S695" s="23">
        <v>26.55</v>
      </c>
      <c r="U695" s="47">
        <f>VLOOKUP(AU695,[1]expiry_dates!$B$2:$C$2894,2,FALSE)</f>
        <v>44042</v>
      </c>
      <c r="V695" s="23" t="s">
        <v>172</v>
      </c>
      <c r="W695" s="23" t="s">
        <v>23</v>
      </c>
      <c r="X695" s="49">
        <v>44015.479166666664</v>
      </c>
      <c r="Y695" s="23">
        <v>1.05</v>
      </c>
      <c r="Z695" s="23">
        <v>44015.5625</v>
      </c>
      <c r="AA695" s="23">
        <v>1.05</v>
      </c>
      <c r="AB695" s="23">
        <v>0</v>
      </c>
      <c r="AC695" s="23">
        <v>0</v>
      </c>
      <c r="AD695" s="23">
        <v>0</v>
      </c>
      <c r="AE695" s="23">
        <v>58185.38</v>
      </c>
      <c r="AF695" s="23">
        <v>61094.65</v>
      </c>
      <c r="AG695" s="23">
        <v>2218930.0299999998</v>
      </c>
      <c r="AH695" s="23">
        <v>9</v>
      </c>
      <c r="AI695" s="23">
        <v>0</v>
      </c>
      <c r="AJ695" s="23">
        <v>0</v>
      </c>
      <c r="AK695" s="23">
        <v>4.7600000000000003E-2</v>
      </c>
      <c r="AL695" s="23" t="s">
        <v>24</v>
      </c>
      <c r="AM695" s="23">
        <v>26.85</v>
      </c>
      <c r="AN695" s="23">
        <v>21989.1</v>
      </c>
      <c r="AO695" s="23">
        <v>26.55</v>
      </c>
      <c r="AP695" s="23">
        <v>0</v>
      </c>
      <c r="AR695" s="46"/>
      <c r="AS695" s="44"/>
      <c r="AT695" s="45"/>
      <c r="AU695" s="2">
        <v>44015</v>
      </c>
      <c r="AV695" s="52">
        <v>0.47916666666666669</v>
      </c>
      <c r="AW695" s="2" t="s">
        <v>212</v>
      </c>
      <c r="AY695" s="3"/>
      <c r="BA695" s="3"/>
      <c r="BG695" s="3"/>
      <c r="BH695" s="3"/>
    </row>
    <row r="696" spans="1:60">
      <c r="A696" s="23" t="s">
        <v>22</v>
      </c>
      <c r="B696" s="23" t="s">
        <v>23</v>
      </c>
      <c r="C696" s="27">
        <v>44015.5625</v>
      </c>
      <c r="D696" s="23">
        <v>26.7</v>
      </c>
      <c r="E696" s="27">
        <v>44015.59375</v>
      </c>
      <c r="F696" s="23">
        <v>26.75</v>
      </c>
      <c r="G696" s="31">
        <v>1.9E-3</v>
      </c>
      <c r="H696" s="23">
        <v>-94.17</v>
      </c>
      <c r="I696" s="31">
        <v>-1.9E-3</v>
      </c>
      <c r="J696" s="23">
        <v>1883.4649999999999</v>
      </c>
      <c r="K696" s="23">
        <v>50288.51</v>
      </c>
      <c r="L696" s="23">
        <v>57325.85</v>
      </c>
      <c r="M696" s="23">
        <v>4</v>
      </c>
      <c r="N696" s="23">
        <v>-23.54</v>
      </c>
      <c r="O696" s="31">
        <v>-5.5999999999999999E-3</v>
      </c>
      <c r="P696" s="31">
        <v>3.7000000000000002E-3</v>
      </c>
      <c r="Q696" s="23" t="s">
        <v>24</v>
      </c>
      <c r="R696" s="23">
        <v>0</v>
      </c>
      <c r="S696" s="23">
        <v>26.94</v>
      </c>
      <c r="U696" s="47">
        <f>VLOOKUP(AU696,[1]expiry_dates!$B$2:$C$2894,2,FALSE)</f>
        <v>44042</v>
      </c>
      <c r="V696" s="23" t="s">
        <v>174</v>
      </c>
      <c r="W696" s="23" t="s">
        <v>23</v>
      </c>
      <c r="X696" s="49">
        <v>44015.5625</v>
      </c>
      <c r="Y696" s="23">
        <v>1.7</v>
      </c>
      <c r="Z696" s="23">
        <v>44015.59375</v>
      </c>
      <c r="AA696" s="23">
        <v>1.75</v>
      </c>
      <c r="AB696" s="23">
        <v>2.9399999999999999E-2</v>
      </c>
      <c r="AC696" s="23">
        <v>-1797.33</v>
      </c>
      <c r="AD696" s="23">
        <v>-2.9399999999999999E-2</v>
      </c>
      <c r="AE696" s="23">
        <v>35946.589999999997</v>
      </c>
      <c r="AF696" s="23">
        <v>61109.2</v>
      </c>
      <c r="AG696" s="23">
        <v>2217132.71</v>
      </c>
      <c r="AH696" s="23">
        <v>4</v>
      </c>
      <c r="AI696" s="23">
        <v>-449.33</v>
      </c>
      <c r="AJ696" s="23">
        <v>-2.9399999999999999E-2</v>
      </c>
      <c r="AK696" s="23">
        <v>0</v>
      </c>
      <c r="AL696" s="23" t="s">
        <v>24</v>
      </c>
      <c r="AM696" s="23">
        <v>26.7</v>
      </c>
      <c r="AN696" s="23">
        <v>21802.9</v>
      </c>
      <c r="AO696" s="23">
        <v>26.94</v>
      </c>
      <c r="AP696" s="23">
        <v>0</v>
      </c>
      <c r="AR696" s="46"/>
      <c r="AS696" s="44"/>
      <c r="AT696" s="45"/>
      <c r="AU696" s="2">
        <v>44015</v>
      </c>
      <c r="AV696" s="52">
        <v>6.25E-2</v>
      </c>
      <c r="AW696" s="2" t="s">
        <v>213</v>
      </c>
      <c r="AY696" s="3"/>
      <c r="BA696" s="3"/>
      <c r="BG696" s="3"/>
      <c r="BH696" s="3"/>
    </row>
    <row r="697" spans="1:60">
      <c r="A697" s="23" t="s">
        <v>22</v>
      </c>
      <c r="B697" s="23" t="s">
        <v>25</v>
      </c>
      <c r="C697" s="27">
        <v>44015.59375</v>
      </c>
      <c r="D697" s="23">
        <v>26.75</v>
      </c>
      <c r="E697" s="27">
        <v>44018.604166666664</v>
      </c>
      <c r="F697" s="23">
        <v>27.25</v>
      </c>
      <c r="G697" s="31">
        <v>1.8700000000000001E-2</v>
      </c>
      <c r="H697" s="23">
        <v>939.93</v>
      </c>
      <c r="I697" s="31">
        <v>1.8700000000000001E-2</v>
      </c>
      <c r="J697" s="23">
        <v>1879.856</v>
      </c>
      <c r="K697" s="23">
        <v>50286.16</v>
      </c>
      <c r="L697" s="23">
        <v>58265.78</v>
      </c>
      <c r="M697" s="23">
        <v>30</v>
      </c>
      <c r="N697" s="23">
        <v>31.33</v>
      </c>
      <c r="O697" s="31">
        <v>-1.9E-3</v>
      </c>
      <c r="P697" s="31">
        <v>3.1800000000000002E-2</v>
      </c>
      <c r="Q697" s="23" t="s">
        <v>24</v>
      </c>
      <c r="R697" s="23">
        <v>0</v>
      </c>
      <c r="S697" s="23">
        <v>26.61</v>
      </c>
      <c r="U697" s="47">
        <f>VLOOKUP(AU697,[1]expiry_dates!$B$2:$C$2894,2,FALSE)</f>
        <v>44042</v>
      </c>
      <c r="V697" s="23" t="s">
        <v>151</v>
      </c>
      <c r="W697" s="23" t="s">
        <v>23</v>
      </c>
      <c r="X697" s="49">
        <v>44015.59375</v>
      </c>
      <c r="Y697" s="23">
        <v>1.35</v>
      </c>
      <c r="Z697" s="23">
        <v>44018.604166666664</v>
      </c>
      <c r="AA697" s="23">
        <v>1.05</v>
      </c>
      <c r="AB697" s="23">
        <v>-0.22220000000000001</v>
      </c>
      <c r="AC697" s="23">
        <v>13574.59</v>
      </c>
      <c r="AD697" s="23">
        <v>0.22220000000000001</v>
      </c>
      <c r="AE697" s="23">
        <v>45248.639999999999</v>
      </c>
      <c r="AF697" s="23">
        <v>61085.66</v>
      </c>
      <c r="AG697" s="23">
        <v>2230707.2999999998</v>
      </c>
      <c r="AH697" s="23">
        <v>30</v>
      </c>
      <c r="AI697" s="23">
        <v>452.49</v>
      </c>
      <c r="AJ697" s="23">
        <v>-7.4099999999999999E-2</v>
      </c>
      <c r="AK697" s="23">
        <v>0.25929999999999997</v>
      </c>
      <c r="AL697" s="23" t="s">
        <v>24</v>
      </c>
      <c r="AM697" s="23">
        <v>26.75</v>
      </c>
      <c r="AN697" s="23">
        <v>21849.35</v>
      </c>
      <c r="AO697" s="23">
        <v>26.61</v>
      </c>
      <c r="AP697" s="23">
        <v>0</v>
      </c>
      <c r="AR697" s="46"/>
      <c r="AS697" s="44"/>
      <c r="AT697" s="45"/>
      <c r="AU697" s="2">
        <v>44015</v>
      </c>
      <c r="AV697" s="52">
        <v>9.375E-2</v>
      </c>
      <c r="AW697" s="2" t="s">
        <v>213</v>
      </c>
      <c r="AY697" s="3"/>
      <c r="BA697" s="3"/>
      <c r="BG697" s="3"/>
      <c r="BH697" s="3"/>
    </row>
    <row r="698" spans="1:60">
      <c r="A698" s="23" t="s">
        <v>22</v>
      </c>
      <c r="B698" s="23" t="s">
        <v>23</v>
      </c>
      <c r="C698" s="27">
        <v>44018.604166666664</v>
      </c>
      <c r="D698" s="23">
        <v>27.25</v>
      </c>
      <c r="E698" s="27">
        <v>44019.416666666664</v>
      </c>
      <c r="F698" s="23">
        <v>27.4</v>
      </c>
      <c r="G698" s="31">
        <v>5.4999999999999997E-3</v>
      </c>
      <c r="H698" s="23">
        <v>-276.83999999999997</v>
      </c>
      <c r="I698" s="31">
        <v>-5.4999999999999997E-3</v>
      </c>
      <c r="J698" s="23">
        <v>1845.5709999999999</v>
      </c>
      <c r="K698" s="23">
        <v>50291.8</v>
      </c>
      <c r="L698" s="23">
        <v>57988.95</v>
      </c>
      <c r="M698" s="23">
        <v>11</v>
      </c>
      <c r="N698" s="23">
        <v>-25.17</v>
      </c>
      <c r="O698" s="31">
        <v>-5.4999999999999997E-3</v>
      </c>
      <c r="P698" s="31">
        <v>2.75E-2</v>
      </c>
      <c r="Q698" s="23" t="s">
        <v>24</v>
      </c>
      <c r="R698" s="23">
        <v>0</v>
      </c>
      <c r="S698" s="23">
        <v>27.59</v>
      </c>
      <c r="U698" s="47">
        <f>VLOOKUP(AU698,[1]expiry_dates!$B$2:$C$2894,2,FALSE)</f>
        <v>44042</v>
      </c>
      <c r="V698" s="23" t="s">
        <v>174</v>
      </c>
      <c r="W698" s="23" t="s">
        <v>23</v>
      </c>
      <c r="X698" s="49">
        <v>44018.604166666664</v>
      </c>
      <c r="Y698" s="23">
        <v>1.95</v>
      </c>
      <c r="Z698" s="23">
        <v>44019.416666666664</v>
      </c>
      <c r="AA698" s="23">
        <v>2</v>
      </c>
      <c r="AB698" s="23">
        <v>2.5600000000000001E-2</v>
      </c>
      <c r="AC698" s="23">
        <v>-1568.04</v>
      </c>
      <c r="AD698" s="23">
        <v>-2.5600000000000001E-2</v>
      </c>
      <c r="AE698" s="23">
        <v>31360.79</v>
      </c>
      <c r="AF698" s="23">
        <v>61153.54</v>
      </c>
      <c r="AG698" s="23">
        <v>2229139.2599999998</v>
      </c>
      <c r="AH698" s="23">
        <v>11</v>
      </c>
      <c r="AI698" s="23">
        <v>-142.55000000000001</v>
      </c>
      <c r="AJ698" s="23">
        <v>-2.5600000000000001E-2</v>
      </c>
      <c r="AK698" s="23">
        <v>0.12820000000000001</v>
      </c>
      <c r="AL698" s="23" t="s">
        <v>24</v>
      </c>
      <c r="AM698" s="23">
        <v>27.25</v>
      </c>
      <c r="AN698" s="23">
        <v>22184.15</v>
      </c>
      <c r="AO698" s="23">
        <v>27.59</v>
      </c>
      <c r="AP698" s="23">
        <v>0</v>
      </c>
      <c r="AR698" s="46"/>
      <c r="AS698" s="44"/>
      <c r="AT698" s="45"/>
      <c r="AU698" s="2">
        <v>44018</v>
      </c>
      <c r="AV698" s="52">
        <v>0.10416666666666667</v>
      </c>
      <c r="AW698" s="2" t="s">
        <v>213</v>
      </c>
      <c r="AY698" s="3"/>
      <c r="BA698" s="3"/>
      <c r="BG698" s="3"/>
      <c r="BH698" s="3"/>
    </row>
    <row r="699" spans="1:60">
      <c r="A699" s="23" t="s">
        <v>22</v>
      </c>
      <c r="B699" s="23" t="s">
        <v>25</v>
      </c>
      <c r="C699" s="27">
        <v>44019.416666666664</v>
      </c>
      <c r="D699" s="23">
        <v>27.4</v>
      </c>
      <c r="E699" s="27">
        <v>44020.59375</v>
      </c>
      <c r="F699" s="23">
        <v>28.6</v>
      </c>
      <c r="G699" s="31">
        <v>4.3799999999999999E-2</v>
      </c>
      <c r="H699" s="23">
        <v>2202.62</v>
      </c>
      <c r="I699" s="31">
        <v>4.3799999999999999E-2</v>
      </c>
      <c r="J699" s="23">
        <v>1835.5170000000001</v>
      </c>
      <c r="K699" s="23">
        <v>50293.18</v>
      </c>
      <c r="L699" s="23">
        <v>60191.57</v>
      </c>
      <c r="M699" s="23">
        <v>46</v>
      </c>
      <c r="N699" s="23">
        <v>47.88</v>
      </c>
      <c r="O699" s="31">
        <v>-1.46E-2</v>
      </c>
      <c r="P699" s="31">
        <v>5.8400000000000001E-2</v>
      </c>
      <c r="Q699" s="23" t="s">
        <v>24</v>
      </c>
      <c r="R699" s="23">
        <v>0</v>
      </c>
      <c r="S699" s="23">
        <v>26.5</v>
      </c>
      <c r="U699" s="47">
        <f>VLOOKUP(AU699,[1]expiry_dates!$B$2:$C$2894,2,FALSE)</f>
        <v>44042</v>
      </c>
      <c r="V699" s="23" t="s">
        <v>153</v>
      </c>
      <c r="W699" s="23" t="s">
        <v>23</v>
      </c>
      <c r="X699" s="49">
        <v>44019.416666666664</v>
      </c>
      <c r="Y699" s="23">
        <v>1.55</v>
      </c>
      <c r="Z699" s="23">
        <v>44020.59375</v>
      </c>
      <c r="AA699" s="23">
        <v>1.05</v>
      </c>
      <c r="AB699" s="23">
        <v>-0.3226</v>
      </c>
      <c r="AC699" s="23">
        <v>19737.060000000001</v>
      </c>
      <c r="AD699" s="23">
        <v>0.3226</v>
      </c>
      <c r="AE699" s="23">
        <v>39474.129999999997</v>
      </c>
      <c r="AF699" s="23">
        <v>61184.9</v>
      </c>
      <c r="AG699" s="23">
        <v>2248876.3199999998</v>
      </c>
      <c r="AH699" s="23">
        <v>46</v>
      </c>
      <c r="AI699" s="23">
        <v>429.07</v>
      </c>
      <c r="AJ699" s="23">
        <v>-6.4500000000000002E-2</v>
      </c>
      <c r="AK699" s="23">
        <v>0.3871</v>
      </c>
      <c r="AL699" s="23" t="s">
        <v>24</v>
      </c>
      <c r="AM699" s="23">
        <v>27.4</v>
      </c>
      <c r="AN699" s="23">
        <v>22148.85</v>
      </c>
      <c r="AO699" s="23">
        <v>26.5</v>
      </c>
      <c r="AP699" s="23">
        <v>0</v>
      </c>
      <c r="AR699" s="46"/>
      <c r="AS699" s="44"/>
      <c r="AT699" s="45"/>
      <c r="AU699" s="2">
        <v>44019</v>
      </c>
      <c r="AV699" s="52">
        <v>0.41666666666666669</v>
      </c>
      <c r="AW699" s="2" t="s">
        <v>212</v>
      </c>
      <c r="AY699" s="3"/>
      <c r="BA699" s="3"/>
      <c r="BG699" s="3"/>
      <c r="BH699" s="3"/>
    </row>
    <row r="700" spans="1:60">
      <c r="A700" s="23" t="s">
        <v>22</v>
      </c>
      <c r="B700" s="23" t="s">
        <v>23</v>
      </c>
      <c r="C700" s="27">
        <v>44020.59375</v>
      </c>
      <c r="D700" s="23">
        <v>28.6</v>
      </c>
      <c r="E700" s="27">
        <v>44021.427083333336</v>
      </c>
      <c r="F700" s="23">
        <v>28.35</v>
      </c>
      <c r="G700" s="31">
        <v>-8.6999999999999994E-3</v>
      </c>
      <c r="H700" s="23">
        <v>439.7</v>
      </c>
      <c r="I700" s="31">
        <v>8.6999999999999994E-3</v>
      </c>
      <c r="J700" s="23">
        <v>1758.7909999999999</v>
      </c>
      <c r="K700" s="23">
        <v>50301.42</v>
      </c>
      <c r="L700" s="23">
        <v>60631.26</v>
      </c>
      <c r="M700" s="23">
        <v>13</v>
      </c>
      <c r="N700" s="23">
        <v>33.82</v>
      </c>
      <c r="O700" s="31">
        <v>-3.5000000000000001E-3</v>
      </c>
      <c r="P700" s="31">
        <v>2.8000000000000001E-2</v>
      </c>
      <c r="Q700" s="23" t="s">
        <v>24</v>
      </c>
      <c r="R700" s="23">
        <v>0</v>
      </c>
      <c r="S700" s="23">
        <v>29</v>
      </c>
      <c r="U700" s="47">
        <f>VLOOKUP(AU700,[1]expiry_dates!$B$2:$C$2894,2,FALSE)</f>
        <v>44042</v>
      </c>
      <c r="V700" s="23" t="s">
        <v>152</v>
      </c>
      <c r="W700" s="23" t="s">
        <v>23</v>
      </c>
      <c r="X700" s="49">
        <v>44020.59375</v>
      </c>
      <c r="Y700" s="23">
        <v>2.2000000000000002</v>
      </c>
      <c r="Z700" s="23">
        <v>44021.427083333336</v>
      </c>
      <c r="AA700" s="23">
        <v>2</v>
      </c>
      <c r="AB700" s="23">
        <v>-9.0899999999999995E-2</v>
      </c>
      <c r="AC700" s="23">
        <v>5567.67</v>
      </c>
      <c r="AD700" s="23">
        <v>9.0899999999999995E-2</v>
      </c>
      <c r="AE700" s="23">
        <v>27838.36</v>
      </c>
      <c r="AF700" s="23">
        <v>61244.38</v>
      </c>
      <c r="AG700" s="23">
        <v>2254443.9900000002</v>
      </c>
      <c r="AH700" s="23">
        <v>13</v>
      </c>
      <c r="AI700" s="23">
        <v>428.28</v>
      </c>
      <c r="AJ700" s="23">
        <v>0</v>
      </c>
      <c r="AK700" s="23">
        <v>0.2273</v>
      </c>
      <c r="AL700" s="23" t="s">
        <v>24</v>
      </c>
      <c r="AM700" s="23">
        <v>28.6</v>
      </c>
      <c r="AN700" s="23">
        <v>23012.35</v>
      </c>
      <c r="AO700" s="23">
        <v>29</v>
      </c>
      <c r="AP700" s="23">
        <v>0</v>
      </c>
      <c r="AR700" s="46"/>
      <c r="AS700" s="44"/>
      <c r="AT700" s="45"/>
      <c r="AU700" s="2">
        <v>44020</v>
      </c>
      <c r="AV700" s="52">
        <v>9.375E-2</v>
      </c>
      <c r="AW700" s="2" t="s">
        <v>213</v>
      </c>
      <c r="AY700" s="3"/>
      <c r="BA700" s="3"/>
      <c r="BG700" s="3"/>
      <c r="BH700" s="3"/>
    </row>
    <row r="701" spans="1:60">
      <c r="A701" s="23" t="s">
        <v>22</v>
      </c>
      <c r="B701" s="23" t="s">
        <v>25</v>
      </c>
      <c r="C701" s="27">
        <v>44021.427083333336</v>
      </c>
      <c r="D701" s="23">
        <v>28.35</v>
      </c>
      <c r="E701" s="27">
        <v>44021.53125</v>
      </c>
      <c r="F701" s="23">
        <v>28.25</v>
      </c>
      <c r="G701" s="31">
        <v>-3.5000000000000001E-3</v>
      </c>
      <c r="H701" s="23">
        <v>-177.43</v>
      </c>
      <c r="I701" s="31">
        <v>-3.5000000000000001E-3</v>
      </c>
      <c r="J701" s="23">
        <v>1774.346</v>
      </c>
      <c r="K701" s="23">
        <v>50302.71</v>
      </c>
      <c r="L701" s="23">
        <v>60453.83</v>
      </c>
      <c r="M701" s="23">
        <v>11</v>
      </c>
      <c r="N701" s="23">
        <v>-16.13</v>
      </c>
      <c r="O701" s="31">
        <v>-1.06E-2</v>
      </c>
      <c r="P701" s="31">
        <v>5.3E-3</v>
      </c>
      <c r="Q701" s="23" t="s">
        <v>24</v>
      </c>
      <c r="R701" s="23">
        <v>0</v>
      </c>
      <c r="S701" s="23">
        <v>27.83</v>
      </c>
      <c r="U701" s="47">
        <f>VLOOKUP(AU701,[1]expiry_dates!$B$2:$C$2894,2,FALSE)</f>
        <v>44042</v>
      </c>
      <c r="V701" s="23" t="s">
        <v>172</v>
      </c>
      <c r="W701" s="23" t="s">
        <v>23</v>
      </c>
      <c r="X701" s="49">
        <v>44021.427083333336</v>
      </c>
      <c r="Y701" s="23">
        <v>0.5</v>
      </c>
      <c r="Z701" s="23">
        <v>44021.53125</v>
      </c>
      <c r="AA701" s="23">
        <v>0.55000000000000004</v>
      </c>
      <c r="AB701" s="23">
        <v>0.1</v>
      </c>
      <c r="AC701" s="23">
        <v>-6127.92</v>
      </c>
      <c r="AD701" s="23">
        <v>-0.1</v>
      </c>
      <c r="AE701" s="23">
        <v>122558.39999999999</v>
      </c>
      <c r="AF701" s="23">
        <v>61279.18</v>
      </c>
      <c r="AG701" s="23">
        <v>2248316.08</v>
      </c>
      <c r="AH701" s="23">
        <v>11</v>
      </c>
      <c r="AI701" s="23">
        <v>-557.08000000000004</v>
      </c>
      <c r="AJ701" s="23">
        <v>-0.1</v>
      </c>
      <c r="AK701" s="23">
        <v>0</v>
      </c>
      <c r="AL701" s="23" t="s">
        <v>24</v>
      </c>
      <c r="AM701" s="23">
        <v>28.35</v>
      </c>
      <c r="AN701" s="23">
        <v>22832.1</v>
      </c>
      <c r="AO701" s="23">
        <v>27.83</v>
      </c>
      <c r="AP701" s="23">
        <v>0</v>
      </c>
      <c r="AR701" s="46"/>
      <c r="AS701" s="44"/>
      <c r="AT701" s="45"/>
      <c r="AU701" s="2">
        <v>44021</v>
      </c>
      <c r="AV701" s="52">
        <v>0.42708333333333331</v>
      </c>
      <c r="AW701" s="2" t="s">
        <v>212</v>
      </c>
      <c r="AY701" s="3"/>
      <c r="BA701" s="3"/>
      <c r="BG701" s="3"/>
      <c r="BH701" s="3"/>
    </row>
    <row r="702" spans="1:60">
      <c r="A702" s="23" t="s">
        <v>22</v>
      </c>
      <c r="B702" s="23" t="s">
        <v>23</v>
      </c>
      <c r="C702" s="27">
        <v>44021.53125</v>
      </c>
      <c r="D702" s="23">
        <v>28.25</v>
      </c>
      <c r="E702" s="27">
        <v>44021.614583333336</v>
      </c>
      <c r="F702" s="23">
        <v>28.1</v>
      </c>
      <c r="G702" s="31">
        <v>-5.3E-3</v>
      </c>
      <c r="H702" s="23">
        <v>267.08999999999997</v>
      </c>
      <c r="I702" s="31">
        <v>5.3E-3</v>
      </c>
      <c r="J702" s="23">
        <v>1780.58</v>
      </c>
      <c r="K702" s="23">
        <v>50301.38</v>
      </c>
      <c r="L702" s="23">
        <v>60720.92</v>
      </c>
      <c r="M702" s="23">
        <v>9</v>
      </c>
      <c r="N702" s="23">
        <v>29.68</v>
      </c>
      <c r="O702" s="31">
        <v>0</v>
      </c>
      <c r="P702" s="31">
        <v>1.24E-2</v>
      </c>
      <c r="Q702" s="23" t="s">
        <v>24</v>
      </c>
      <c r="R702" s="23">
        <v>0</v>
      </c>
      <c r="S702" s="23">
        <v>28.49</v>
      </c>
      <c r="U702" s="47">
        <f>VLOOKUP(AU702,[1]expiry_dates!$B$2:$C$2894,2,FALSE)</f>
        <v>44042</v>
      </c>
      <c r="V702" s="23" t="s">
        <v>152</v>
      </c>
      <c r="W702" s="23" t="s">
        <v>23</v>
      </c>
      <c r="X702" s="49">
        <v>44021.53125</v>
      </c>
      <c r="Y702" s="23">
        <v>1.85</v>
      </c>
      <c r="Z702" s="23">
        <v>44021.614583333336</v>
      </c>
      <c r="AA702" s="23">
        <v>1.8</v>
      </c>
      <c r="AB702" s="23">
        <v>-2.7E-2</v>
      </c>
      <c r="AC702" s="23">
        <v>1655.18</v>
      </c>
      <c r="AD702" s="23">
        <v>2.7E-2</v>
      </c>
      <c r="AE702" s="23">
        <v>33103.550000000003</v>
      </c>
      <c r="AF702" s="23">
        <v>61241.58</v>
      </c>
      <c r="AG702" s="23">
        <v>2249971.25</v>
      </c>
      <c r="AH702" s="23">
        <v>9</v>
      </c>
      <c r="AI702" s="23">
        <v>183.91</v>
      </c>
      <c r="AJ702" s="23">
        <v>0</v>
      </c>
      <c r="AK702" s="23">
        <v>8.1100000000000005E-2</v>
      </c>
      <c r="AL702" s="23" t="s">
        <v>24</v>
      </c>
      <c r="AM702" s="23">
        <v>28.25</v>
      </c>
      <c r="AN702" s="23">
        <v>22865.3</v>
      </c>
      <c r="AO702" s="23">
        <v>28.49</v>
      </c>
      <c r="AP702" s="23">
        <v>0</v>
      </c>
      <c r="AR702" s="46"/>
      <c r="AS702" s="44"/>
      <c r="AT702" s="45"/>
      <c r="AU702" s="2">
        <v>44021</v>
      </c>
      <c r="AV702" s="52">
        <v>0.53125</v>
      </c>
      <c r="AW702" s="2" t="s">
        <v>213</v>
      </c>
      <c r="AY702" s="3"/>
      <c r="BA702" s="3"/>
      <c r="BG702" s="3"/>
      <c r="BH702" s="3"/>
    </row>
    <row r="703" spans="1:60">
      <c r="A703" s="23" t="s">
        <v>22</v>
      </c>
      <c r="B703" s="23" t="s">
        <v>25</v>
      </c>
      <c r="C703" s="27">
        <v>44021.614583333336</v>
      </c>
      <c r="D703" s="23">
        <v>28.1</v>
      </c>
      <c r="E703" s="27">
        <v>44022.385416666664</v>
      </c>
      <c r="F703" s="23">
        <v>27.8</v>
      </c>
      <c r="G703" s="31">
        <v>-1.0699999999999999E-2</v>
      </c>
      <c r="H703" s="23">
        <v>-537.04</v>
      </c>
      <c r="I703" s="31">
        <v>-1.0699999999999999E-2</v>
      </c>
      <c r="J703" s="23">
        <v>1790.1320000000001</v>
      </c>
      <c r="K703" s="23">
        <v>50302.71</v>
      </c>
      <c r="L703" s="23">
        <v>60183.88</v>
      </c>
      <c r="M703" s="23">
        <v>7</v>
      </c>
      <c r="N703" s="23">
        <v>-76.72</v>
      </c>
      <c r="O703" s="31">
        <v>-1.0699999999999999E-2</v>
      </c>
      <c r="P703" s="31">
        <v>7.1000000000000004E-3</v>
      </c>
      <c r="Q703" s="23" t="s">
        <v>24</v>
      </c>
      <c r="R703" s="23">
        <v>0</v>
      </c>
      <c r="S703" s="23">
        <v>27.92</v>
      </c>
      <c r="U703" s="47">
        <f>VLOOKUP(AU703,[1]expiry_dates!$B$2:$C$2894,2,FALSE)</f>
        <v>44042</v>
      </c>
      <c r="V703" s="23" t="s">
        <v>153</v>
      </c>
      <c r="W703" s="23" t="s">
        <v>23</v>
      </c>
      <c r="X703" s="49">
        <v>44021.614583333336</v>
      </c>
      <c r="Y703" s="23">
        <v>1.2</v>
      </c>
      <c r="Z703" s="23">
        <v>44022.385416666664</v>
      </c>
      <c r="AA703" s="23">
        <v>1.35</v>
      </c>
      <c r="AB703" s="23">
        <v>0.125</v>
      </c>
      <c r="AC703" s="23">
        <v>-7656.23</v>
      </c>
      <c r="AD703" s="23">
        <v>-0.125</v>
      </c>
      <c r="AE703" s="23">
        <v>51041.54</v>
      </c>
      <c r="AF703" s="23">
        <v>61249.86</v>
      </c>
      <c r="AG703" s="23">
        <v>2242315.02</v>
      </c>
      <c r="AH703" s="23">
        <v>7</v>
      </c>
      <c r="AI703" s="23">
        <v>-1093.75</v>
      </c>
      <c r="AJ703" s="23">
        <v>-0.125</v>
      </c>
      <c r="AK703" s="23">
        <v>4.1700000000000001E-2</v>
      </c>
      <c r="AL703" s="23" t="s">
        <v>24</v>
      </c>
      <c r="AM703" s="23">
        <v>28.1</v>
      </c>
      <c r="AN703" s="23">
        <v>22864.35</v>
      </c>
      <c r="AO703" s="23">
        <v>27.92</v>
      </c>
      <c r="AP703" s="23">
        <v>0</v>
      </c>
      <c r="AR703" s="46"/>
      <c r="AS703" s="44"/>
      <c r="AT703" s="45"/>
      <c r="AU703" s="2">
        <v>44021</v>
      </c>
      <c r="AV703" s="52">
        <v>0.11458333333333333</v>
      </c>
      <c r="AW703" s="2" t="s">
        <v>213</v>
      </c>
      <c r="AY703" s="3"/>
      <c r="BA703" s="3"/>
      <c r="BG703" s="3"/>
      <c r="BH703" s="3"/>
    </row>
    <row r="704" spans="1:60">
      <c r="A704" s="23" t="s">
        <v>22</v>
      </c>
      <c r="B704" s="23" t="s">
        <v>23</v>
      </c>
      <c r="C704" s="27">
        <v>44022.385416666664</v>
      </c>
      <c r="D704" s="23">
        <v>27.8</v>
      </c>
      <c r="E704" s="27">
        <v>44022.625</v>
      </c>
      <c r="F704" s="23">
        <v>27.05</v>
      </c>
      <c r="G704" s="31">
        <v>-2.7E-2</v>
      </c>
      <c r="H704" s="23">
        <v>1357.09</v>
      </c>
      <c r="I704" s="31">
        <v>2.7E-2</v>
      </c>
      <c r="J704" s="23">
        <v>1809.45</v>
      </c>
      <c r="K704" s="23">
        <v>50302.71</v>
      </c>
      <c r="L704" s="23">
        <v>61540.959999999999</v>
      </c>
      <c r="M704" s="23">
        <v>24</v>
      </c>
      <c r="N704" s="23">
        <v>56.55</v>
      </c>
      <c r="O704" s="31">
        <v>-7.1999999999999998E-3</v>
      </c>
      <c r="P704" s="31">
        <v>4.1399999999999999E-2</v>
      </c>
      <c r="Q704" s="23" t="s">
        <v>24</v>
      </c>
      <c r="R704" s="23">
        <v>0</v>
      </c>
      <c r="S704" s="23">
        <v>28.26</v>
      </c>
      <c r="U704" s="47">
        <f>VLOOKUP(AU704,[1]expiry_dates!$B$2:$C$2894,2,FALSE)</f>
        <v>44042</v>
      </c>
      <c r="V704" s="23" t="s">
        <v>152</v>
      </c>
      <c r="W704" s="23" t="s">
        <v>23</v>
      </c>
      <c r="X704" s="49">
        <v>44022.385416666664</v>
      </c>
      <c r="Y704" s="23">
        <v>1.65</v>
      </c>
      <c r="Z704" s="23">
        <v>44022.625</v>
      </c>
      <c r="AA704" s="23">
        <v>1.35</v>
      </c>
      <c r="AB704" s="23">
        <v>-0.18179999999999999</v>
      </c>
      <c r="AC704" s="23">
        <v>11136.34</v>
      </c>
      <c r="AD704" s="23">
        <v>0.18179999999999999</v>
      </c>
      <c r="AE704" s="23">
        <v>37121.129999999997</v>
      </c>
      <c r="AF704" s="23">
        <v>61249.86</v>
      </c>
      <c r="AG704" s="23">
        <v>2253451.36</v>
      </c>
      <c r="AH704" s="23">
        <v>24</v>
      </c>
      <c r="AI704" s="23">
        <v>464.01</v>
      </c>
      <c r="AJ704" s="23">
        <v>-3.0300000000000001E-2</v>
      </c>
      <c r="AK704" s="23">
        <v>0.30299999999999999</v>
      </c>
      <c r="AL704" s="23" t="s">
        <v>24</v>
      </c>
      <c r="AM704" s="23">
        <v>27.8</v>
      </c>
      <c r="AN704" s="23">
        <v>22755.5</v>
      </c>
      <c r="AO704" s="23">
        <v>28.26</v>
      </c>
      <c r="AP704" s="23">
        <v>0</v>
      </c>
      <c r="AR704" s="46"/>
      <c r="AS704" s="44"/>
      <c r="AT704" s="45"/>
      <c r="AU704" s="2">
        <v>44022</v>
      </c>
      <c r="AV704" s="52">
        <v>0.38541666666666669</v>
      </c>
      <c r="AW704" s="2" t="s">
        <v>212</v>
      </c>
      <c r="AY704" s="3"/>
      <c r="BA704" s="3"/>
      <c r="BG704" s="3"/>
      <c r="BH704" s="3"/>
    </row>
    <row r="705" spans="1:60">
      <c r="A705" s="23" t="s">
        <v>22</v>
      </c>
      <c r="B705" s="23" t="s">
        <v>25</v>
      </c>
      <c r="C705" s="27">
        <v>44022.625</v>
      </c>
      <c r="D705" s="23">
        <v>27.05</v>
      </c>
      <c r="E705" s="27">
        <v>44025.458333333336</v>
      </c>
      <c r="F705" s="23">
        <v>26.95</v>
      </c>
      <c r="G705" s="31">
        <v>-3.7000000000000002E-3</v>
      </c>
      <c r="H705" s="23">
        <v>-185.98</v>
      </c>
      <c r="I705" s="31">
        <v>-3.7000000000000002E-3</v>
      </c>
      <c r="J705" s="23">
        <v>1859.788</v>
      </c>
      <c r="K705" s="23">
        <v>50307.25</v>
      </c>
      <c r="L705" s="23">
        <v>61354.99</v>
      </c>
      <c r="M705" s="23">
        <v>13</v>
      </c>
      <c r="N705" s="23">
        <v>-14.31</v>
      </c>
      <c r="O705" s="31">
        <v>-3.7000000000000002E-3</v>
      </c>
      <c r="P705" s="31">
        <v>2.0299999999999999E-2</v>
      </c>
      <c r="Q705" s="23" t="s">
        <v>24</v>
      </c>
      <c r="R705" s="23">
        <v>0</v>
      </c>
      <c r="S705" s="23">
        <v>26.67</v>
      </c>
      <c r="U705" s="47">
        <f>VLOOKUP(AU705,[1]expiry_dates!$B$2:$C$2894,2,FALSE)</f>
        <v>44042</v>
      </c>
      <c r="V705" s="23" t="s">
        <v>168</v>
      </c>
      <c r="W705" s="23" t="s">
        <v>23</v>
      </c>
      <c r="X705" s="49">
        <v>44022.625</v>
      </c>
      <c r="Y705" s="23">
        <v>0.35</v>
      </c>
      <c r="Z705" s="23">
        <v>44025.458333333336</v>
      </c>
      <c r="AA705" s="23">
        <v>0.35</v>
      </c>
      <c r="AB705" s="23">
        <v>0</v>
      </c>
      <c r="AC705" s="23">
        <v>0</v>
      </c>
      <c r="AD705" s="23">
        <v>0</v>
      </c>
      <c r="AE705" s="23">
        <v>175075.8</v>
      </c>
      <c r="AF705" s="23">
        <v>61276.54</v>
      </c>
      <c r="AG705" s="23">
        <v>2253451.36</v>
      </c>
      <c r="AH705" s="23">
        <v>13</v>
      </c>
      <c r="AI705" s="23">
        <v>0</v>
      </c>
      <c r="AJ705" s="23">
        <v>0</v>
      </c>
      <c r="AK705" s="23">
        <v>0.1429</v>
      </c>
      <c r="AL705" s="23" t="s">
        <v>24</v>
      </c>
      <c r="AM705" s="23">
        <v>27.05</v>
      </c>
      <c r="AN705" s="23">
        <v>22376.65</v>
      </c>
      <c r="AO705" s="23">
        <v>26.67</v>
      </c>
      <c r="AP705" s="23">
        <v>0</v>
      </c>
      <c r="AR705" s="46"/>
      <c r="AS705" s="44"/>
      <c r="AT705" s="45"/>
      <c r="AU705" s="2">
        <v>44022</v>
      </c>
      <c r="AV705" s="52">
        <v>0.125</v>
      </c>
      <c r="AW705" s="2" t="s">
        <v>213</v>
      </c>
      <c r="AY705" s="3"/>
      <c r="BA705" s="3"/>
      <c r="BG705" s="3"/>
      <c r="BH705" s="3"/>
    </row>
    <row r="706" spans="1:60">
      <c r="A706" s="23" t="s">
        <v>22</v>
      </c>
      <c r="B706" s="23" t="s">
        <v>23</v>
      </c>
      <c r="C706" s="27">
        <v>44025.458333333336</v>
      </c>
      <c r="D706" s="23">
        <v>26.95</v>
      </c>
      <c r="E706" s="27">
        <v>44025.614583333336</v>
      </c>
      <c r="F706" s="23">
        <v>27</v>
      </c>
      <c r="G706" s="31">
        <v>1.9E-3</v>
      </c>
      <c r="H706" s="23">
        <v>-93.34</v>
      </c>
      <c r="I706" s="31">
        <v>-1.9E-3</v>
      </c>
      <c r="J706" s="23">
        <v>1866.722</v>
      </c>
      <c r="K706" s="23">
        <v>50308.17</v>
      </c>
      <c r="L706" s="23">
        <v>61261.65</v>
      </c>
      <c r="M706" s="23">
        <v>16</v>
      </c>
      <c r="N706" s="23">
        <v>-5.83</v>
      </c>
      <c r="O706" s="31">
        <v>-9.2999999999999992E-3</v>
      </c>
      <c r="P706" s="31">
        <v>1.11E-2</v>
      </c>
      <c r="Q706" s="23" t="s">
        <v>24</v>
      </c>
      <c r="R706" s="23">
        <v>0</v>
      </c>
      <c r="S706" s="23">
        <v>27.59</v>
      </c>
      <c r="U706" s="47">
        <f>VLOOKUP(AU706,[1]expiry_dates!$B$2:$C$2894,2,FALSE)</f>
        <v>44042</v>
      </c>
      <c r="V706" s="23" t="s">
        <v>174</v>
      </c>
      <c r="W706" s="23" t="s">
        <v>23</v>
      </c>
      <c r="X706" s="49">
        <v>44025.458333333336</v>
      </c>
      <c r="Y706" s="23">
        <v>1.6</v>
      </c>
      <c r="Z706" s="23">
        <v>44025.614583333336</v>
      </c>
      <c r="AA706" s="23">
        <v>1.6</v>
      </c>
      <c r="AB706" s="23">
        <v>0</v>
      </c>
      <c r="AC706" s="23">
        <v>0</v>
      </c>
      <c r="AD706" s="23">
        <v>0</v>
      </c>
      <c r="AE706" s="23">
        <v>38292.04</v>
      </c>
      <c r="AF706" s="23">
        <v>61267.26</v>
      </c>
      <c r="AG706" s="23">
        <v>2253451.36</v>
      </c>
      <c r="AH706" s="23">
        <v>16</v>
      </c>
      <c r="AI706" s="23">
        <v>0</v>
      </c>
      <c r="AJ706" s="23">
        <v>-3.1199999999999999E-2</v>
      </c>
      <c r="AK706" s="23">
        <v>6.25E-2</v>
      </c>
      <c r="AL706" s="23" t="s">
        <v>24</v>
      </c>
      <c r="AM706" s="23">
        <v>26.95</v>
      </c>
      <c r="AN706" s="23">
        <v>22242.15</v>
      </c>
      <c r="AO706" s="23">
        <v>27.59</v>
      </c>
      <c r="AP706" s="23">
        <v>0</v>
      </c>
      <c r="AR706" s="46"/>
      <c r="AS706" s="44"/>
      <c r="AT706" s="45"/>
      <c r="AU706" s="2">
        <v>44025</v>
      </c>
      <c r="AV706" s="52">
        <v>0.45833333333333331</v>
      </c>
      <c r="AW706" s="2" t="s">
        <v>212</v>
      </c>
      <c r="AY706" s="3"/>
      <c r="BA706" s="3"/>
      <c r="BG706" s="3"/>
      <c r="BH706" s="3"/>
    </row>
    <row r="707" spans="1:60">
      <c r="A707" s="23" t="s">
        <v>22</v>
      </c>
      <c r="B707" s="23" t="s">
        <v>25</v>
      </c>
      <c r="C707" s="27">
        <v>44025.614583333336</v>
      </c>
      <c r="D707" s="23">
        <v>27</v>
      </c>
      <c r="E707" s="27">
        <v>44026.385416666664</v>
      </c>
      <c r="F707" s="23">
        <v>26.35</v>
      </c>
      <c r="G707" s="31">
        <v>-2.41E-2</v>
      </c>
      <c r="H707" s="23">
        <v>-1211.07</v>
      </c>
      <c r="I707" s="31">
        <v>-2.41E-2</v>
      </c>
      <c r="J707" s="23">
        <v>1863.1790000000001</v>
      </c>
      <c r="K707" s="23">
        <v>50305.84</v>
      </c>
      <c r="L707" s="23">
        <v>60050.58</v>
      </c>
      <c r="M707" s="23">
        <v>7</v>
      </c>
      <c r="N707" s="23">
        <v>-173.01</v>
      </c>
      <c r="O707" s="31">
        <v>-2.41E-2</v>
      </c>
      <c r="P707" s="31">
        <v>3.7000000000000002E-3</v>
      </c>
      <c r="Q707" s="23" t="s">
        <v>24</v>
      </c>
      <c r="R707" s="23">
        <v>0</v>
      </c>
      <c r="S707" s="23">
        <v>26.67</v>
      </c>
      <c r="U707" s="47">
        <f>VLOOKUP(AU707,[1]expiry_dates!$B$2:$C$2894,2,FALSE)</f>
        <v>44042</v>
      </c>
      <c r="V707" s="23" t="s">
        <v>171</v>
      </c>
      <c r="W707" s="23" t="s">
        <v>23</v>
      </c>
      <c r="X707" s="49">
        <v>44025.614583333336</v>
      </c>
      <c r="Y707" s="23">
        <v>0.5</v>
      </c>
      <c r="Z707" s="23">
        <v>44026.385416666664</v>
      </c>
      <c r="AA707" s="23">
        <v>0.6</v>
      </c>
      <c r="AB707" s="23">
        <v>0.2</v>
      </c>
      <c r="AC707" s="23">
        <v>-12251.54</v>
      </c>
      <c r="AD707" s="23">
        <v>-0.2</v>
      </c>
      <c r="AE707" s="23">
        <v>122515.4</v>
      </c>
      <c r="AF707" s="23">
        <v>61257.68</v>
      </c>
      <c r="AG707" s="23">
        <v>2241199.8199999998</v>
      </c>
      <c r="AH707" s="23">
        <v>7</v>
      </c>
      <c r="AI707" s="23">
        <v>-1750.22</v>
      </c>
      <c r="AJ707" s="23">
        <v>-0.2</v>
      </c>
      <c r="AK707" s="23">
        <v>0.1</v>
      </c>
      <c r="AL707" s="23" t="s">
        <v>24</v>
      </c>
      <c r="AM707" s="23">
        <v>27</v>
      </c>
      <c r="AN707" s="23">
        <v>22133.25</v>
      </c>
      <c r="AO707" s="23">
        <v>26.67</v>
      </c>
      <c r="AP707" s="23">
        <v>0</v>
      </c>
      <c r="AR707" s="46"/>
      <c r="AS707" s="44"/>
      <c r="AT707" s="45"/>
      <c r="AU707" s="2">
        <v>44025</v>
      </c>
      <c r="AV707" s="52">
        <v>0.11458333333333333</v>
      </c>
      <c r="AW707" s="2" t="s">
        <v>213</v>
      </c>
      <c r="AY707" s="3"/>
      <c r="BA707" s="3"/>
      <c r="BG707" s="3"/>
      <c r="BH707" s="3"/>
    </row>
    <row r="708" spans="1:60">
      <c r="A708" s="23" t="s">
        <v>22</v>
      </c>
      <c r="B708" s="23" t="s">
        <v>23</v>
      </c>
      <c r="C708" s="27">
        <v>44026.385416666664</v>
      </c>
      <c r="D708" s="23">
        <v>26.35</v>
      </c>
      <c r="E708" s="27">
        <v>44027.385416666664</v>
      </c>
      <c r="F708" s="23">
        <v>26.2</v>
      </c>
      <c r="G708" s="31">
        <v>-5.7000000000000002E-3</v>
      </c>
      <c r="H708" s="23">
        <v>286.35000000000002</v>
      </c>
      <c r="I708" s="31">
        <v>5.7000000000000002E-3</v>
      </c>
      <c r="J708" s="23">
        <v>1909.0160000000001</v>
      </c>
      <c r="K708" s="23">
        <v>50302.58</v>
      </c>
      <c r="L708" s="23">
        <v>60336.94</v>
      </c>
      <c r="M708" s="23">
        <v>29</v>
      </c>
      <c r="N708" s="23">
        <v>9.8699999999999992</v>
      </c>
      <c r="O708" s="31">
        <v>-1.14E-2</v>
      </c>
      <c r="P708" s="31">
        <v>2.8500000000000001E-2</v>
      </c>
      <c r="Q708" s="23" t="s">
        <v>24</v>
      </c>
      <c r="R708" s="23">
        <v>0</v>
      </c>
      <c r="S708" s="23">
        <v>27.06</v>
      </c>
      <c r="U708" s="47">
        <f>VLOOKUP(AU708,[1]expiry_dates!$B$2:$C$2894,2,FALSE)</f>
        <v>44042</v>
      </c>
      <c r="V708" s="23" t="s">
        <v>154</v>
      </c>
      <c r="W708" s="23" t="s">
        <v>23</v>
      </c>
      <c r="X708" s="49">
        <v>44026.385416666664</v>
      </c>
      <c r="Y708" s="23">
        <v>1.8</v>
      </c>
      <c r="Z708" s="23">
        <v>44027.385416666664</v>
      </c>
      <c r="AA708" s="23">
        <v>1.5</v>
      </c>
      <c r="AB708" s="23">
        <v>-0.16669999999999999</v>
      </c>
      <c r="AC708" s="23">
        <v>10211.209999999999</v>
      </c>
      <c r="AD708" s="23">
        <v>0.16669999999999999</v>
      </c>
      <c r="AE708" s="23">
        <v>34037.370000000003</v>
      </c>
      <c r="AF708" s="23">
        <v>61267.26</v>
      </c>
      <c r="AG708" s="23">
        <v>2251411.0299999998</v>
      </c>
      <c r="AH708" s="23">
        <v>29</v>
      </c>
      <c r="AI708" s="23">
        <v>352.11</v>
      </c>
      <c r="AJ708" s="23">
        <v>0</v>
      </c>
      <c r="AK708" s="23">
        <v>0.25</v>
      </c>
      <c r="AL708" s="23" t="s">
        <v>24</v>
      </c>
      <c r="AM708" s="23">
        <v>26.35</v>
      </c>
      <c r="AN708" s="23">
        <v>21689.65</v>
      </c>
      <c r="AO708" s="23">
        <v>27.06</v>
      </c>
      <c r="AP708" s="23">
        <v>0</v>
      </c>
      <c r="AR708" s="46"/>
      <c r="AS708" s="44"/>
      <c r="AT708" s="45"/>
      <c r="AU708" s="2">
        <v>44026</v>
      </c>
      <c r="AV708" s="52">
        <v>0.38541666666666669</v>
      </c>
      <c r="AW708" s="2" t="s">
        <v>212</v>
      </c>
      <c r="AY708" s="3"/>
      <c r="BA708" s="3"/>
      <c r="BG708" s="3"/>
      <c r="BH708" s="3"/>
    </row>
    <row r="709" spans="1:60">
      <c r="A709" s="23" t="s">
        <v>22</v>
      </c>
      <c r="B709" s="23" t="s">
        <v>25</v>
      </c>
      <c r="C709" s="27">
        <v>44027.385416666664</v>
      </c>
      <c r="D709" s="23">
        <v>26.2</v>
      </c>
      <c r="E709" s="27">
        <v>44027.489583333336</v>
      </c>
      <c r="F709" s="23">
        <v>26</v>
      </c>
      <c r="G709" s="31">
        <v>-7.6E-3</v>
      </c>
      <c r="H709" s="23">
        <v>-383.98</v>
      </c>
      <c r="I709" s="31">
        <v>-7.6E-3</v>
      </c>
      <c r="J709" s="23">
        <v>1919.875</v>
      </c>
      <c r="K709" s="23">
        <v>50300.73</v>
      </c>
      <c r="L709" s="23">
        <v>59952.959999999999</v>
      </c>
      <c r="M709" s="23">
        <v>11</v>
      </c>
      <c r="N709" s="23">
        <v>-34.909999999999997</v>
      </c>
      <c r="O709" s="31">
        <v>-9.4999999999999998E-3</v>
      </c>
      <c r="P709" s="31">
        <v>9.4999999999999998E-3</v>
      </c>
      <c r="Q709" s="23" t="s">
        <v>24</v>
      </c>
      <c r="R709" s="23">
        <v>0</v>
      </c>
      <c r="S709" s="23">
        <v>25.64</v>
      </c>
      <c r="U709" s="47">
        <f>VLOOKUP(AU709,[1]expiry_dates!$B$2:$C$2894,2,FALSE)</f>
        <v>44042</v>
      </c>
      <c r="V709" s="23" t="s">
        <v>151</v>
      </c>
      <c r="W709" s="23" t="s">
        <v>23</v>
      </c>
      <c r="X709" s="49">
        <v>44027.385416666664</v>
      </c>
      <c r="Y709" s="23">
        <v>1.5</v>
      </c>
      <c r="Z709" s="23">
        <v>44027.489583333336</v>
      </c>
      <c r="AA709" s="23">
        <v>1.7</v>
      </c>
      <c r="AB709" s="23">
        <v>0.1333</v>
      </c>
      <c r="AC709" s="23">
        <v>-8168.74</v>
      </c>
      <c r="AD709" s="23">
        <v>-0.1333</v>
      </c>
      <c r="AE709" s="23">
        <v>40843.71</v>
      </c>
      <c r="AF709" s="23">
        <v>61265.57</v>
      </c>
      <c r="AG709" s="23">
        <v>2243242.29</v>
      </c>
      <c r="AH709" s="23">
        <v>11</v>
      </c>
      <c r="AI709" s="23">
        <v>-742.61</v>
      </c>
      <c r="AJ709" s="23">
        <v>-0.1333</v>
      </c>
      <c r="AK709" s="23">
        <v>0.1333</v>
      </c>
      <c r="AL709" s="23" t="s">
        <v>24</v>
      </c>
      <c r="AM709" s="23">
        <v>26.2</v>
      </c>
      <c r="AN709" s="23">
        <v>21606.75</v>
      </c>
      <c r="AO709" s="23">
        <v>25.64</v>
      </c>
      <c r="AP709" s="23">
        <v>0</v>
      </c>
      <c r="AR709" s="46"/>
      <c r="AS709" s="44"/>
      <c r="AT709" s="45"/>
      <c r="AU709" s="2">
        <v>44027</v>
      </c>
      <c r="AV709" s="52">
        <v>0.38541666666666669</v>
      </c>
      <c r="AW709" s="2" t="s">
        <v>212</v>
      </c>
      <c r="AY709" s="3"/>
      <c r="BA709" s="3"/>
      <c r="BG709" s="3"/>
      <c r="BH709" s="3"/>
    </row>
    <row r="710" spans="1:60">
      <c r="A710" s="23" t="s">
        <v>22</v>
      </c>
      <c r="B710" s="23" t="s">
        <v>23</v>
      </c>
      <c r="C710" s="27">
        <v>44027.489583333336</v>
      </c>
      <c r="D710" s="23">
        <v>26</v>
      </c>
      <c r="E710" s="27">
        <v>44028.479166666664</v>
      </c>
      <c r="F710" s="23">
        <v>25.05</v>
      </c>
      <c r="G710" s="31">
        <v>-3.6499999999999998E-2</v>
      </c>
      <c r="H710" s="23">
        <v>1837.89</v>
      </c>
      <c r="I710" s="31">
        <v>3.6499999999999998E-2</v>
      </c>
      <c r="J710" s="23">
        <v>1934.625</v>
      </c>
      <c r="K710" s="23">
        <v>50300.24</v>
      </c>
      <c r="L710" s="23">
        <v>61790.85</v>
      </c>
      <c r="M710" s="23">
        <v>28</v>
      </c>
      <c r="N710" s="23">
        <v>65.64</v>
      </c>
      <c r="O710" s="31">
        <v>-1.9E-3</v>
      </c>
      <c r="P710" s="31">
        <v>7.3099999999999998E-2</v>
      </c>
      <c r="Q710" s="23" t="s">
        <v>24</v>
      </c>
      <c r="R710" s="23">
        <v>0</v>
      </c>
      <c r="S710" s="23">
        <v>26.44</v>
      </c>
      <c r="U710" s="47">
        <f>VLOOKUP(AU710,[1]expiry_dates!$B$2:$C$2894,2,FALSE)</f>
        <v>44042</v>
      </c>
      <c r="V710" s="23" t="s">
        <v>154</v>
      </c>
      <c r="W710" s="23" t="s">
        <v>23</v>
      </c>
      <c r="X710" s="49">
        <v>44027.489583333336</v>
      </c>
      <c r="Y710" s="23">
        <v>1.55</v>
      </c>
      <c r="Z710" s="23">
        <v>44028.479166666664</v>
      </c>
      <c r="AA710" s="23">
        <v>1.1499999999999999</v>
      </c>
      <c r="AB710" s="23">
        <v>-0.2581</v>
      </c>
      <c r="AC710" s="23">
        <v>15797.73</v>
      </c>
      <c r="AD710" s="23">
        <v>0.2581</v>
      </c>
      <c r="AE710" s="23">
        <v>39494.33</v>
      </c>
      <c r="AF710" s="23">
        <v>61216.21</v>
      </c>
      <c r="AG710" s="23">
        <v>2259040.02</v>
      </c>
      <c r="AH710" s="23">
        <v>28</v>
      </c>
      <c r="AI710" s="23">
        <v>564.20000000000005</v>
      </c>
      <c r="AJ710" s="23">
        <v>-3.2300000000000002E-2</v>
      </c>
      <c r="AK710" s="23">
        <v>0.4516</v>
      </c>
      <c r="AL710" s="23" t="s">
        <v>24</v>
      </c>
      <c r="AM710" s="23">
        <v>26</v>
      </c>
      <c r="AN710" s="23">
        <v>21843.35</v>
      </c>
      <c r="AO710" s="23">
        <v>26.44</v>
      </c>
      <c r="AP710" s="23">
        <v>0</v>
      </c>
      <c r="AR710" s="46"/>
      <c r="AS710" s="44"/>
      <c r="AT710" s="45"/>
      <c r="AU710" s="2">
        <v>44027</v>
      </c>
      <c r="AV710" s="52">
        <v>0.48958333333333331</v>
      </c>
      <c r="AW710" s="2" t="s">
        <v>212</v>
      </c>
      <c r="AY710" s="3"/>
      <c r="BA710" s="3"/>
      <c r="BG710" s="3"/>
      <c r="BH710" s="3"/>
    </row>
    <row r="711" spans="1:60">
      <c r="A711" s="23" t="s">
        <v>22</v>
      </c>
      <c r="B711" s="23" t="s">
        <v>25</v>
      </c>
      <c r="C711" s="27">
        <v>44028.479166666664</v>
      </c>
      <c r="D711" s="23">
        <v>25.05</v>
      </c>
      <c r="E711" s="27">
        <v>44029.5</v>
      </c>
      <c r="F711" s="23">
        <v>25.65</v>
      </c>
      <c r="G711" s="31">
        <v>2.4E-2</v>
      </c>
      <c r="H711" s="23">
        <v>1205.04</v>
      </c>
      <c r="I711" s="31">
        <v>2.4E-2</v>
      </c>
      <c r="J711" s="23">
        <v>2008.3989999999999</v>
      </c>
      <c r="K711" s="23">
        <v>50310.400000000001</v>
      </c>
      <c r="L711" s="23">
        <v>62995.89</v>
      </c>
      <c r="M711" s="23">
        <v>31</v>
      </c>
      <c r="N711" s="23">
        <v>38.869999999999997</v>
      </c>
      <c r="O711" s="31">
        <v>-0.01</v>
      </c>
      <c r="P711" s="31">
        <v>4.99E-2</v>
      </c>
      <c r="Q711" s="23" t="s">
        <v>24</v>
      </c>
      <c r="R711" s="23">
        <v>0</v>
      </c>
      <c r="S711" s="23">
        <v>24.14</v>
      </c>
      <c r="U711" s="47">
        <f>VLOOKUP(AU711,[1]expiry_dates!$B$2:$C$2894,2,FALSE)</f>
        <v>44042</v>
      </c>
      <c r="V711" s="23" t="s">
        <v>172</v>
      </c>
      <c r="W711" s="23" t="s">
        <v>23</v>
      </c>
      <c r="X711" s="49">
        <v>44028.479166666664</v>
      </c>
      <c r="Y711" s="23">
        <v>1.55</v>
      </c>
      <c r="Z711" s="23">
        <v>44029.5</v>
      </c>
      <c r="AA711" s="23">
        <v>1.1499999999999999</v>
      </c>
      <c r="AB711" s="23">
        <v>-0.2581</v>
      </c>
      <c r="AC711" s="23">
        <v>15818.12</v>
      </c>
      <c r="AD711" s="23">
        <v>0.2581</v>
      </c>
      <c r="AE711" s="23">
        <v>39545.29</v>
      </c>
      <c r="AF711" s="23">
        <v>61295.199999999997</v>
      </c>
      <c r="AG711" s="23">
        <v>2274858.14</v>
      </c>
      <c r="AH711" s="23">
        <v>31</v>
      </c>
      <c r="AI711" s="23">
        <v>510.26</v>
      </c>
      <c r="AJ711" s="23">
        <v>-6.4500000000000002E-2</v>
      </c>
      <c r="AK711" s="23">
        <v>0.4194</v>
      </c>
      <c r="AL711" s="23" t="s">
        <v>24</v>
      </c>
      <c r="AM711" s="23">
        <v>25.05</v>
      </c>
      <c r="AN711" s="23">
        <v>21338.3</v>
      </c>
      <c r="AO711" s="23">
        <v>24.14</v>
      </c>
      <c r="AP711" s="23">
        <v>0</v>
      </c>
      <c r="AR711" s="46"/>
      <c r="AS711" s="44"/>
      <c r="AT711" s="45"/>
      <c r="AU711" s="2">
        <v>44028</v>
      </c>
      <c r="AV711" s="52">
        <v>0.47916666666666669</v>
      </c>
      <c r="AW711" s="2" t="s">
        <v>212</v>
      </c>
      <c r="AY711" s="3"/>
      <c r="BA711" s="3"/>
      <c r="BG711" s="3"/>
      <c r="BH711" s="3"/>
    </row>
    <row r="712" spans="1:60">
      <c r="A712" s="23" t="s">
        <v>22</v>
      </c>
      <c r="B712" s="23" t="s">
        <v>23</v>
      </c>
      <c r="C712" s="27">
        <v>44029.5</v>
      </c>
      <c r="D712" s="23">
        <v>25.65</v>
      </c>
      <c r="E712" s="27">
        <v>44029.614583333336</v>
      </c>
      <c r="F712" s="23">
        <v>26.05</v>
      </c>
      <c r="G712" s="31">
        <v>1.5599999999999999E-2</v>
      </c>
      <c r="H712" s="23">
        <v>-784.63</v>
      </c>
      <c r="I712" s="31">
        <v>-1.5599999999999999E-2</v>
      </c>
      <c r="J712" s="23">
        <v>1961.578</v>
      </c>
      <c r="K712" s="23">
        <v>50314.48</v>
      </c>
      <c r="L712" s="23">
        <v>62211.26</v>
      </c>
      <c r="M712" s="23">
        <v>12</v>
      </c>
      <c r="N712" s="23">
        <v>-65.39</v>
      </c>
      <c r="O712" s="31">
        <v>-1.5599999999999999E-2</v>
      </c>
      <c r="P712" s="31">
        <v>5.7999999999999996E-3</v>
      </c>
      <c r="Q712" s="23" t="s">
        <v>24</v>
      </c>
      <c r="R712" s="23">
        <v>0</v>
      </c>
      <c r="S712" s="23">
        <v>26.27</v>
      </c>
      <c r="U712" s="47">
        <f>VLOOKUP(AU712,[1]expiry_dates!$B$2:$C$2894,2,FALSE)</f>
        <v>44042</v>
      </c>
      <c r="V712" s="23" t="s">
        <v>154</v>
      </c>
      <c r="W712" s="23" t="s">
        <v>23</v>
      </c>
      <c r="X712" s="49">
        <v>44029.5</v>
      </c>
      <c r="Y712" s="23">
        <v>1.3</v>
      </c>
      <c r="Z712" s="23">
        <v>44029.614583333336</v>
      </c>
      <c r="AA712" s="23">
        <v>1.45</v>
      </c>
      <c r="AB712" s="23">
        <v>0.1154</v>
      </c>
      <c r="AC712" s="23">
        <v>-7081.65</v>
      </c>
      <c r="AD712" s="23">
        <v>-0.1154</v>
      </c>
      <c r="AE712" s="23">
        <v>47211</v>
      </c>
      <c r="AF712" s="23">
        <v>61374.29</v>
      </c>
      <c r="AG712" s="23">
        <v>2267776.4900000002</v>
      </c>
      <c r="AH712" s="23">
        <v>12</v>
      </c>
      <c r="AI712" s="23">
        <v>-590.14</v>
      </c>
      <c r="AJ712" s="23">
        <v>-0.1154</v>
      </c>
      <c r="AK712" s="23">
        <v>0.1154</v>
      </c>
      <c r="AL712" s="23" t="s">
        <v>24</v>
      </c>
      <c r="AM712" s="23">
        <v>25.65</v>
      </c>
      <c r="AN712" s="23">
        <v>21697.8</v>
      </c>
      <c r="AO712" s="23">
        <v>26.27</v>
      </c>
      <c r="AP712" s="23">
        <v>0</v>
      </c>
      <c r="AR712" s="46"/>
      <c r="AS712" s="44"/>
      <c r="AT712" s="45"/>
      <c r="AU712" s="2">
        <v>44029</v>
      </c>
      <c r="AV712" s="52">
        <v>0.5</v>
      </c>
      <c r="AW712" s="2" t="s">
        <v>213</v>
      </c>
      <c r="AY712" s="3"/>
      <c r="BA712" s="3"/>
      <c r="BG712" s="3"/>
      <c r="BH712" s="3"/>
    </row>
    <row r="713" spans="1:60">
      <c r="A713" s="23" t="s">
        <v>22</v>
      </c>
      <c r="B713" s="23" t="s">
        <v>25</v>
      </c>
      <c r="C713" s="27">
        <v>44029.614583333336</v>
      </c>
      <c r="D713" s="23">
        <v>26.05</v>
      </c>
      <c r="E713" s="27">
        <v>44032.635416666664</v>
      </c>
      <c r="F713" s="23">
        <v>27.2</v>
      </c>
      <c r="G713" s="31">
        <v>4.41E-2</v>
      </c>
      <c r="H713" s="23">
        <v>2221.13</v>
      </c>
      <c r="I713" s="31">
        <v>4.41E-2</v>
      </c>
      <c r="J713" s="23">
        <v>1931.421</v>
      </c>
      <c r="K713" s="23">
        <v>50313.51</v>
      </c>
      <c r="L713" s="23">
        <v>64432.4</v>
      </c>
      <c r="M713" s="23">
        <v>31</v>
      </c>
      <c r="N713" s="23">
        <v>71.650000000000006</v>
      </c>
      <c r="O713" s="31">
        <v>-1.34E-2</v>
      </c>
      <c r="P713" s="31">
        <v>6.5299999999999997E-2</v>
      </c>
      <c r="Q713" s="23" t="s">
        <v>24</v>
      </c>
      <c r="R713" s="23">
        <v>0</v>
      </c>
      <c r="S713" s="23">
        <v>25.51</v>
      </c>
      <c r="U713" s="47">
        <f>VLOOKUP(AU713,[1]expiry_dates!$B$2:$C$2894,2,FALSE)</f>
        <v>44042</v>
      </c>
      <c r="V713" s="23" t="s">
        <v>151</v>
      </c>
      <c r="W713" s="23" t="s">
        <v>23</v>
      </c>
      <c r="X713" s="49">
        <v>44029.614583333336</v>
      </c>
      <c r="Y713" s="23">
        <v>1.45</v>
      </c>
      <c r="Z713" s="23">
        <v>44032.635416666664</v>
      </c>
      <c r="AA713" s="23">
        <v>1.1000000000000001</v>
      </c>
      <c r="AB713" s="23">
        <v>-0.2414</v>
      </c>
      <c r="AC713" s="23">
        <v>14811.63</v>
      </c>
      <c r="AD713" s="23">
        <v>0.2414</v>
      </c>
      <c r="AE713" s="23">
        <v>42318.96</v>
      </c>
      <c r="AF713" s="23">
        <v>61362.49</v>
      </c>
      <c r="AG713" s="23">
        <v>2282588.13</v>
      </c>
      <c r="AH713" s="23">
        <v>31</v>
      </c>
      <c r="AI713" s="23">
        <v>477.79</v>
      </c>
      <c r="AJ713" s="23">
        <v>-0.1724</v>
      </c>
      <c r="AK713" s="23">
        <v>0.48280000000000001</v>
      </c>
      <c r="AL713" s="23" t="s">
        <v>24</v>
      </c>
      <c r="AM713" s="23">
        <v>26.05</v>
      </c>
      <c r="AN713" s="23">
        <v>21826.45</v>
      </c>
      <c r="AO713" s="23">
        <v>25.51</v>
      </c>
      <c r="AP713" s="23">
        <v>0</v>
      </c>
      <c r="AR713" s="46"/>
      <c r="AS713" s="44"/>
      <c r="AT713" s="45"/>
      <c r="AU713" s="2">
        <v>44029</v>
      </c>
      <c r="AV713" s="52">
        <v>0.11458333333333333</v>
      </c>
      <c r="AW713" s="2" t="s">
        <v>213</v>
      </c>
      <c r="AY713" s="3"/>
      <c r="BA713" s="3"/>
      <c r="BG713" s="3"/>
      <c r="BH713" s="3"/>
    </row>
    <row r="714" spans="1:60">
      <c r="A714" s="23" t="s">
        <v>22</v>
      </c>
      <c r="B714" s="23" t="s">
        <v>23</v>
      </c>
      <c r="C714" s="27">
        <v>44032.635416666664</v>
      </c>
      <c r="D714" s="23">
        <v>27.2</v>
      </c>
      <c r="E714" s="27">
        <v>44033.385416666664</v>
      </c>
      <c r="F714" s="23">
        <v>27.35</v>
      </c>
      <c r="G714" s="31">
        <v>5.4999999999999997E-3</v>
      </c>
      <c r="H714" s="23">
        <v>-277.52</v>
      </c>
      <c r="I714" s="31">
        <v>-5.4999999999999997E-3</v>
      </c>
      <c r="J714" s="23">
        <v>1850.15</v>
      </c>
      <c r="K714" s="23">
        <v>50324.09</v>
      </c>
      <c r="L714" s="23">
        <v>64154.87</v>
      </c>
      <c r="M714" s="23">
        <v>5</v>
      </c>
      <c r="N714" s="23">
        <v>-55.5</v>
      </c>
      <c r="O714" s="31">
        <v>-1.0999999999999999E-2</v>
      </c>
      <c r="P714" s="31">
        <v>5.4999999999999997E-3</v>
      </c>
      <c r="Q714" s="23" t="s">
        <v>24</v>
      </c>
      <c r="R714" s="23">
        <v>0</v>
      </c>
      <c r="S714" s="23">
        <v>27.72</v>
      </c>
      <c r="U714" s="47">
        <f>VLOOKUP(AU714,[1]expiry_dates!$B$2:$C$2894,2,FALSE)</f>
        <v>44042</v>
      </c>
      <c r="V714" s="23" t="s">
        <v>174</v>
      </c>
      <c r="W714" s="23" t="s">
        <v>23</v>
      </c>
      <c r="X714" s="49">
        <v>44032.635416666664</v>
      </c>
      <c r="Y714" s="23">
        <v>1.75</v>
      </c>
      <c r="Z714" s="23">
        <v>44033.385416666664</v>
      </c>
      <c r="AA714" s="23">
        <v>1.55</v>
      </c>
      <c r="AB714" s="23">
        <v>-0.1143</v>
      </c>
      <c r="AC714" s="23">
        <v>7024.67</v>
      </c>
      <c r="AD714" s="23">
        <v>0.1143</v>
      </c>
      <c r="AE714" s="23">
        <v>35123.339999999997</v>
      </c>
      <c r="AF714" s="23">
        <v>61465.84</v>
      </c>
      <c r="AG714" s="23">
        <v>2289612.79</v>
      </c>
      <c r="AH714" s="23">
        <v>5</v>
      </c>
      <c r="AI714" s="23">
        <v>1404.93</v>
      </c>
      <c r="AJ714" s="23">
        <v>-2.86E-2</v>
      </c>
      <c r="AK714" s="23">
        <v>0.1143</v>
      </c>
      <c r="AL714" s="23" t="s">
        <v>24</v>
      </c>
      <c r="AM714" s="23">
        <v>27.2</v>
      </c>
      <c r="AN714" s="23">
        <v>22281.7</v>
      </c>
      <c r="AO714" s="23">
        <v>27.72</v>
      </c>
      <c r="AP714" s="23">
        <v>0</v>
      </c>
      <c r="AR714" s="46"/>
      <c r="AS714" s="44"/>
      <c r="AT714" s="45"/>
      <c r="AU714" s="2">
        <v>44032</v>
      </c>
      <c r="AV714" s="52">
        <v>0.13541666666666666</v>
      </c>
      <c r="AW714" s="2" t="s">
        <v>213</v>
      </c>
      <c r="AY714" s="3"/>
      <c r="BA714" s="3"/>
      <c r="BG714" s="3"/>
      <c r="BH714" s="3"/>
    </row>
    <row r="715" spans="1:60">
      <c r="A715" s="23" t="s">
        <v>22</v>
      </c>
      <c r="B715" s="23" t="s">
        <v>25</v>
      </c>
      <c r="C715" s="27">
        <v>44033.385416666664</v>
      </c>
      <c r="D715" s="23">
        <v>27.35</v>
      </c>
      <c r="E715" s="27">
        <v>44033.416666666664</v>
      </c>
      <c r="F715" s="23">
        <v>27.1</v>
      </c>
      <c r="G715" s="31">
        <v>-9.1000000000000004E-3</v>
      </c>
      <c r="H715" s="23">
        <v>-459.96</v>
      </c>
      <c r="I715" s="31">
        <v>-9.1000000000000004E-3</v>
      </c>
      <c r="J715" s="23">
        <v>1839.8309999999999</v>
      </c>
      <c r="K715" s="23">
        <v>50319.39</v>
      </c>
      <c r="L715" s="23">
        <v>63694.92</v>
      </c>
      <c r="M715" s="23">
        <v>4</v>
      </c>
      <c r="N715" s="23">
        <v>-114.99</v>
      </c>
      <c r="O715" s="31">
        <v>-9.1000000000000004E-3</v>
      </c>
      <c r="P715" s="31">
        <v>1.2800000000000001E-2</v>
      </c>
      <c r="Q715" s="23" t="s">
        <v>24</v>
      </c>
      <c r="R715" s="23">
        <v>0</v>
      </c>
      <c r="S715" s="23">
        <v>27.08</v>
      </c>
      <c r="U715" s="47">
        <f>VLOOKUP(AU715,[1]expiry_dates!$B$2:$C$2894,2,FALSE)</f>
        <v>44042</v>
      </c>
      <c r="V715" s="23" t="s">
        <v>153</v>
      </c>
      <c r="W715" s="23" t="s">
        <v>23</v>
      </c>
      <c r="X715" s="49">
        <v>44033.385416666664</v>
      </c>
      <c r="Y715" s="23">
        <v>1.3</v>
      </c>
      <c r="Z715" s="23">
        <v>44033.416666666664</v>
      </c>
      <c r="AA715" s="23">
        <v>1.45</v>
      </c>
      <c r="AB715" s="23">
        <v>0.1154</v>
      </c>
      <c r="AC715" s="23">
        <v>-7086.11</v>
      </c>
      <c r="AD715" s="23">
        <v>-0.1154</v>
      </c>
      <c r="AE715" s="23">
        <v>47240.73</v>
      </c>
      <c r="AF715" s="23">
        <v>61412.94</v>
      </c>
      <c r="AG715" s="23">
        <v>2282526.6800000002</v>
      </c>
      <c r="AH715" s="23">
        <v>4</v>
      </c>
      <c r="AI715" s="23">
        <v>-1771.53</v>
      </c>
      <c r="AJ715" s="23">
        <v>-0.1154</v>
      </c>
      <c r="AK715" s="23">
        <v>0.1923</v>
      </c>
      <c r="AL715" s="23" t="s">
        <v>24</v>
      </c>
      <c r="AM715" s="23">
        <v>27.35</v>
      </c>
      <c r="AN715" s="23">
        <v>22707.5</v>
      </c>
      <c r="AO715" s="23">
        <v>27.08</v>
      </c>
      <c r="AP715" s="23">
        <v>0</v>
      </c>
      <c r="AR715" s="46"/>
      <c r="AS715" s="44"/>
      <c r="AT715" s="45"/>
      <c r="AU715" s="2">
        <v>44033</v>
      </c>
      <c r="AV715" s="52">
        <v>0.38541666666666669</v>
      </c>
      <c r="AW715" s="2" t="s">
        <v>212</v>
      </c>
      <c r="AY715" s="3"/>
      <c r="BA715" s="3"/>
      <c r="BG715" s="3"/>
      <c r="BH715" s="3"/>
    </row>
    <row r="716" spans="1:60">
      <c r="A716" s="23" t="s">
        <v>22</v>
      </c>
      <c r="B716" s="23" t="s">
        <v>23</v>
      </c>
      <c r="C716" s="27">
        <v>44033.416666666664</v>
      </c>
      <c r="D716" s="23">
        <v>27.1</v>
      </c>
      <c r="E716" s="27">
        <v>44033.5625</v>
      </c>
      <c r="F716" s="23">
        <v>27.15</v>
      </c>
      <c r="G716" s="31">
        <v>1.8E-3</v>
      </c>
      <c r="H716" s="23">
        <v>-92.84</v>
      </c>
      <c r="I716" s="31">
        <v>-1.8E-3</v>
      </c>
      <c r="J716" s="23">
        <v>1856.838</v>
      </c>
      <c r="K716" s="23">
        <v>50320.31</v>
      </c>
      <c r="L716" s="23">
        <v>63602.07</v>
      </c>
      <c r="M716" s="23">
        <v>15</v>
      </c>
      <c r="N716" s="23">
        <v>-6.19</v>
      </c>
      <c r="O716" s="31">
        <v>-1.11E-2</v>
      </c>
      <c r="P716" s="31">
        <v>3.7000000000000002E-3</v>
      </c>
      <c r="Q716" s="23" t="s">
        <v>24</v>
      </c>
      <c r="R716" s="23">
        <v>0</v>
      </c>
      <c r="S716" s="23">
        <v>27.69</v>
      </c>
      <c r="U716" s="47">
        <f>VLOOKUP(AU716,[1]expiry_dates!$B$2:$C$2894,2,FALSE)</f>
        <v>44042</v>
      </c>
      <c r="V716" s="23" t="s">
        <v>174</v>
      </c>
      <c r="W716" s="23" t="s">
        <v>23</v>
      </c>
      <c r="X716" s="49">
        <v>44033.416666666664</v>
      </c>
      <c r="Y716" s="23">
        <v>1.4</v>
      </c>
      <c r="Z716" s="23">
        <v>44033.5625</v>
      </c>
      <c r="AA716" s="23">
        <v>1.5</v>
      </c>
      <c r="AB716" s="23">
        <v>7.1400000000000005E-2</v>
      </c>
      <c r="AC716" s="23">
        <v>-4387.46</v>
      </c>
      <c r="AD716" s="23">
        <v>-7.1400000000000005E-2</v>
      </c>
      <c r="AE716" s="23">
        <v>43874.6</v>
      </c>
      <c r="AF716" s="23">
        <v>61424.44</v>
      </c>
      <c r="AG716" s="23">
        <v>2278139.2200000002</v>
      </c>
      <c r="AH716" s="23">
        <v>15</v>
      </c>
      <c r="AI716" s="23">
        <v>-292.5</v>
      </c>
      <c r="AJ716" s="23">
        <v>-0.1071</v>
      </c>
      <c r="AK716" s="23">
        <v>0</v>
      </c>
      <c r="AL716" s="23" t="s">
        <v>24</v>
      </c>
      <c r="AM716" s="23">
        <v>27.1</v>
      </c>
      <c r="AN716" s="23">
        <v>22639.9</v>
      </c>
      <c r="AO716" s="23">
        <v>27.69</v>
      </c>
      <c r="AP716" s="23">
        <v>0</v>
      </c>
      <c r="AR716" s="46"/>
      <c r="AS716" s="44"/>
      <c r="AT716" s="45"/>
      <c r="AU716" s="2">
        <v>44033</v>
      </c>
      <c r="AV716" s="52">
        <v>0.41666666666666669</v>
      </c>
      <c r="AW716" s="2" t="s">
        <v>212</v>
      </c>
      <c r="AY716" s="3"/>
      <c r="BA716" s="3"/>
      <c r="BG716" s="3"/>
      <c r="BH716" s="3"/>
    </row>
    <row r="717" spans="1:60">
      <c r="A717" s="23" t="s">
        <v>22</v>
      </c>
      <c r="B717" s="23" t="s">
        <v>25</v>
      </c>
      <c r="C717" s="27">
        <v>44033.5625</v>
      </c>
      <c r="D717" s="23">
        <v>27.15</v>
      </c>
      <c r="E717" s="27">
        <v>44033.625</v>
      </c>
      <c r="F717" s="23">
        <v>27.1</v>
      </c>
      <c r="G717" s="31">
        <v>-1.8E-3</v>
      </c>
      <c r="H717" s="23">
        <v>-92.67</v>
      </c>
      <c r="I717" s="31">
        <v>-1.8E-3</v>
      </c>
      <c r="J717" s="23">
        <v>1853.317</v>
      </c>
      <c r="K717" s="23">
        <v>50317.55</v>
      </c>
      <c r="L717" s="23">
        <v>63509.41</v>
      </c>
      <c r="M717" s="23">
        <v>7</v>
      </c>
      <c r="N717" s="23">
        <v>-13.24</v>
      </c>
      <c r="O717" s="31">
        <v>-3.7000000000000002E-3</v>
      </c>
      <c r="P717" s="31">
        <v>5.4999999999999997E-3</v>
      </c>
      <c r="Q717" s="23" t="s">
        <v>24</v>
      </c>
      <c r="R717" s="23">
        <v>0</v>
      </c>
      <c r="S717" s="23">
        <v>27</v>
      </c>
      <c r="U717" s="47">
        <f>VLOOKUP(AU717,[1]expiry_dates!$B$2:$C$2894,2,FALSE)</f>
        <v>44042</v>
      </c>
      <c r="V717" s="23" t="s">
        <v>172</v>
      </c>
      <c r="W717" s="23" t="s">
        <v>23</v>
      </c>
      <c r="X717" s="49">
        <v>44033.5625</v>
      </c>
      <c r="Y717" s="23">
        <v>0.55000000000000004</v>
      </c>
      <c r="Z717" s="23">
        <v>44033.625</v>
      </c>
      <c r="AA717" s="23">
        <v>0.55000000000000004</v>
      </c>
      <c r="AB717" s="23">
        <v>0</v>
      </c>
      <c r="AC717" s="23">
        <v>0</v>
      </c>
      <c r="AD717" s="23">
        <v>0</v>
      </c>
      <c r="AE717" s="23">
        <v>111619.4</v>
      </c>
      <c r="AF717" s="23">
        <v>61390.7</v>
      </c>
      <c r="AG717" s="23">
        <v>2278139.2200000002</v>
      </c>
      <c r="AH717" s="23">
        <v>7</v>
      </c>
      <c r="AI717" s="23">
        <v>0</v>
      </c>
      <c r="AJ717" s="23">
        <v>-9.0899999999999995E-2</v>
      </c>
      <c r="AK717" s="23">
        <v>0</v>
      </c>
      <c r="AL717" s="23" t="s">
        <v>24</v>
      </c>
      <c r="AM717" s="23">
        <v>27.15</v>
      </c>
      <c r="AN717" s="23">
        <v>22706</v>
      </c>
      <c r="AO717" s="23">
        <v>27</v>
      </c>
      <c r="AP717" s="23">
        <v>0</v>
      </c>
      <c r="AR717" s="46"/>
      <c r="AS717" s="44"/>
      <c r="AT717" s="45"/>
      <c r="AU717" s="2">
        <v>44033</v>
      </c>
      <c r="AV717" s="52">
        <v>6.25E-2</v>
      </c>
      <c r="AW717" s="2" t="s">
        <v>213</v>
      </c>
      <c r="AY717" s="3"/>
      <c r="BA717" s="3"/>
      <c r="BG717" s="3"/>
      <c r="BH717" s="3"/>
    </row>
    <row r="718" spans="1:60">
      <c r="A718" s="23" t="s">
        <v>22</v>
      </c>
      <c r="B718" s="23" t="s">
        <v>23</v>
      </c>
      <c r="C718" s="27">
        <v>44033.625</v>
      </c>
      <c r="D718" s="23">
        <v>27.1</v>
      </c>
      <c r="E718" s="27">
        <v>44034.458333333336</v>
      </c>
      <c r="F718" s="23">
        <v>27.2</v>
      </c>
      <c r="G718" s="31">
        <v>3.7000000000000002E-3</v>
      </c>
      <c r="H718" s="23">
        <v>-185.68</v>
      </c>
      <c r="I718" s="31">
        <v>-3.7000000000000002E-3</v>
      </c>
      <c r="J718" s="23">
        <v>1856.7529999999999</v>
      </c>
      <c r="K718" s="23">
        <v>50318.01</v>
      </c>
      <c r="L718" s="23">
        <v>63323.73</v>
      </c>
      <c r="M718" s="23">
        <v>13</v>
      </c>
      <c r="N718" s="23">
        <v>-14.28</v>
      </c>
      <c r="O718" s="31">
        <v>-3.7000000000000002E-3</v>
      </c>
      <c r="P718" s="31">
        <v>1.66E-2</v>
      </c>
      <c r="Q718" s="23" t="s">
        <v>24</v>
      </c>
      <c r="R718" s="23">
        <v>0</v>
      </c>
      <c r="S718" s="23">
        <v>27.3</v>
      </c>
      <c r="U718" s="47">
        <f>VLOOKUP(AU718,[1]expiry_dates!$B$2:$C$2894,2,FALSE)</f>
        <v>44042</v>
      </c>
      <c r="V718" s="23" t="s">
        <v>174</v>
      </c>
      <c r="W718" s="23" t="s">
        <v>23</v>
      </c>
      <c r="X718" s="49">
        <v>44033.625</v>
      </c>
      <c r="Y718" s="23">
        <v>1.4</v>
      </c>
      <c r="Z718" s="23">
        <v>44034.458333333336</v>
      </c>
      <c r="AA718" s="23">
        <v>1.4</v>
      </c>
      <c r="AB718" s="23">
        <v>0</v>
      </c>
      <c r="AC718" s="23">
        <v>0</v>
      </c>
      <c r="AD718" s="23">
        <v>0</v>
      </c>
      <c r="AE718" s="23">
        <v>43830.57</v>
      </c>
      <c r="AF718" s="23">
        <v>61362.79</v>
      </c>
      <c r="AG718" s="23">
        <v>2278139.2200000002</v>
      </c>
      <c r="AH718" s="23">
        <v>13</v>
      </c>
      <c r="AI718" s="23">
        <v>0</v>
      </c>
      <c r="AJ718" s="23">
        <v>-3.5700000000000003E-2</v>
      </c>
      <c r="AK718" s="23">
        <v>0.1429</v>
      </c>
      <c r="AL718" s="23" t="s">
        <v>24</v>
      </c>
      <c r="AM718" s="23">
        <v>27.1</v>
      </c>
      <c r="AN718" s="23">
        <v>22801.55</v>
      </c>
      <c r="AO718" s="23">
        <v>27.3</v>
      </c>
      <c r="AP718" s="23">
        <v>0</v>
      </c>
      <c r="AR718" s="46"/>
      <c r="AS718" s="44"/>
      <c r="AT718" s="45"/>
      <c r="AU718" s="2">
        <v>44033</v>
      </c>
      <c r="AV718" s="52">
        <v>0.125</v>
      </c>
      <c r="AW718" s="2" t="s">
        <v>213</v>
      </c>
      <c r="AY718" s="3"/>
      <c r="BA718" s="3"/>
      <c r="BG718" s="3"/>
      <c r="BH718" s="3"/>
    </row>
    <row r="719" spans="1:60">
      <c r="A719" s="23" t="s">
        <v>22</v>
      </c>
      <c r="B719" s="23" t="s">
        <v>25</v>
      </c>
      <c r="C719" s="27">
        <v>44034.458333333336</v>
      </c>
      <c r="D719" s="23">
        <v>27.2</v>
      </c>
      <c r="E719" s="27">
        <v>44034.583333333336</v>
      </c>
      <c r="F719" s="23">
        <v>26.9</v>
      </c>
      <c r="G719" s="31">
        <v>-1.0999999999999999E-2</v>
      </c>
      <c r="H719" s="23">
        <v>-554.98</v>
      </c>
      <c r="I719" s="31">
        <v>-1.0999999999999999E-2</v>
      </c>
      <c r="J719" s="23">
        <v>1849.9269999999999</v>
      </c>
      <c r="K719" s="23">
        <v>50318.01</v>
      </c>
      <c r="L719" s="23">
        <v>62768.75</v>
      </c>
      <c r="M719" s="23">
        <v>13</v>
      </c>
      <c r="N719" s="23">
        <v>-42.69</v>
      </c>
      <c r="O719" s="31">
        <v>-1.0999999999999999E-2</v>
      </c>
      <c r="P719" s="31">
        <v>1.0999999999999999E-2</v>
      </c>
      <c r="Q719" s="23" t="s">
        <v>24</v>
      </c>
      <c r="R719" s="23">
        <v>0</v>
      </c>
      <c r="S719" s="23">
        <v>26.65</v>
      </c>
      <c r="U719" s="47">
        <f>VLOOKUP(AU719,[1]expiry_dates!$B$2:$C$2894,2,FALSE)</f>
        <v>44042</v>
      </c>
      <c r="V719" s="23" t="s">
        <v>153</v>
      </c>
      <c r="W719" s="23" t="s">
        <v>23</v>
      </c>
      <c r="X719" s="49">
        <v>44034.458333333336</v>
      </c>
      <c r="Y719" s="23">
        <v>1.2</v>
      </c>
      <c r="Z719" s="23">
        <v>44034.583333333336</v>
      </c>
      <c r="AA719" s="23">
        <v>1.45</v>
      </c>
      <c r="AB719" s="23">
        <v>0.20830000000000001</v>
      </c>
      <c r="AC719" s="23">
        <v>-12792.01</v>
      </c>
      <c r="AD719" s="23">
        <v>-0.20830000000000001</v>
      </c>
      <c r="AE719" s="23">
        <v>51168.04</v>
      </c>
      <c r="AF719" s="23">
        <v>61401.65</v>
      </c>
      <c r="AG719" s="23">
        <v>2265347.21</v>
      </c>
      <c r="AH719" s="23">
        <v>13</v>
      </c>
      <c r="AI719" s="23">
        <v>-984</v>
      </c>
      <c r="AJ719" s="23">
        <v>-0.20830000000000001</v>
      </c>
      <c r="AK719" s="23">
        <v>0.125</v>
      </c>
      <c r="AL719" s="23" t="s">
        <v>24</v>
      </c>
      <c r="AM719" s="23">
        <v>27.2</v>
      </c>
      <c r="AN719" s="23">
        <v>22894.25</v>
      </c>
      <c r="AO719" s="23">
        <v>26.65</v>
      </c>
      <c r="AP719" s="23">
        <v>0</v>
      </c>
      <c r="AR719" s="46"/>
      <c r="AS719" s="44"/>
      <c r="AT719" s="45"/>
      <c r="AU719" s="2">
        <v>44034</v>
      </c>
      <c r="AV719" s="52">
        <v>0.45833333333333331</v>
      </c>
      <c r="AW719" s="2" t="s">
        <v>212</v>
      </c>
      <c r="AY719" s="3"/>
      <c r="BA719" s="3"/>
      <c r="BG719" s="3"/>
      <c r="BH719" s="3"/>
    </row>
    <row r="720" spans="1:60">
      <c r="A720" s="23" t="s">
        <v>22</v>
      </c>
      <c r="B720" s="23" t="s">
        <v>23</v>
      </c>
      <c r="C720" s="27">
        <v>44034.583333333336</v>
      </c>
      <c r="D720" s="23">
        <v>26.9</v>
      </c>
      <c r="E720" s="27">
        <v>44035.385416666664</v>
      </c>
      <c r="F720" s="23">
        <v>27.3</v>
      </c>
      <c r="G720" s="31">
        <v>1.49E-2</v>
      </c>
      <c r="H720" s="23">
        <v>-748.2</v>
      </c>
      <c r="I720" s="31">
        <v>-1.49E-2</v>
      </c>
      <c r="J720" s="23">
        <v>1870.489</v>
      </c>
      <c r="K720" s="23">
        <v>50316.160000000003</v>
      </c>
      <c r="L720" s="23">
        <v>62020.56</v>
      </c>
      <c r="M720" s="23">
        <v>11</v>
      </c>
      <c r="N720" s="23">
        <v>-68.02</v>
      </c>
      <c r="O720" s="31">
        <v>-1.49E-2</v>
      </c>
      <c r="P720" s="31">
        <v>7.4000000000000003E-3</v>
      </c>
      <c r="Q720" s="23" t="s">
        <v>24</v>
      </c>
      <c r="R720" s="23">
        <v>0</v>
      </c>
      <c r="S720" s="23">
        <v>27.48</v>
      </c>
      <c r="U720" s="47">
        <f>VLOOKUP(AU720,[1]expiry_dates!$B$2:$C$2894,2,FALSE)</f>
        <v>44042</v>
      </c>
      <c r="V720" s="23" t="s">
        <v>174</v>
      </c>
      <c r="W720" s="23" t="s">
        <v>23</v>
      </c>
      <c r="X720" s="49">
        <v>44034.583333333336</v>
      </c>
      <c r="Y720" s="23">
        <v>1.1499999999999999</v>
      </c>
      <c r="Z720" s="23">
        <v>44035.385416666664</v>
      </c>
      <c r="AA720" s="23">
        <v>1.4</v>
      </c>
      <c r="AB720" s="23">
        <v>0.21740000000000001</v>
      </c>
      <c r="AC720" s="23">
        <v>-13343.02</v>
      </c>
      <c r="AD720" s="23">
        <v>-0.21740000000000001</v>
      </c>
      <c r="AE720" s="23">
        <v>53372.09</v>
      </c>
      <c r="AF720" s="23">
        <v>61377.9</v>
      </c>
      <c r="AG720" s="23">
        <v>2252004.19</v>
      </c>
      <c r="AH720" s="23">
        <v>11</v>
      </c>
      <c r="AI720" s="23">
        <v>-1213</v>
      </c>
      <c r="AJ720" s="23">
        <v>-0.21740000000000001</v>
      </c>
      <c r="AK720" s="23">
        <v>4.3499999999999997E-2</v>
      </c>
      <c r="AL720" s="23" t="s">
        <v>24</v>
      </c>
      <c r="AM720" s="23">
        <v>26.9</v>
      </c>
      <c r="AN720" s="23">
        <v>22732.9</v>
      </c>
      <c r="AO720" s="23">
        <v>27.48</v>
      </c>
      <c r="AP720" s="23">
        <v>0</v>
      </c>
      <c r="AR720" s="46"/>
      <c r="AS720" s="44"/>
      <c r="AT720" s="45"/>
      <c r="AU720" s="2">
        <v>44034</v>
      </c>
      <c r="AV720" s="52">
        <v>8.3333333333333329E-2</v>
      </c>
      <c r="AW720" s="2" t="s">
        <v>213</v>
      </c>
      <c r="AY720" s="3"/>
      <c r="BA720" s="3"/>
      <c r="BG720" s="3"/>
      <c r="BH720" s="3"/>
    </row>
    <row r="721" spans="1:60">
      <c r="A721" s="23" t="s">
        <v>22</v>
      </c>
      <c r="B721" s="23" t="s">
        <v>25</v>
      </c>
      <c r="C721" s="27">
        <v>44035.385416666664</v>
      </c>
      <c r="D721" s="23">
        <v>27.3</v>
      </c>
      <c r="E721" s="27">
        <v>44035.53125</v>
      </c>
      <c r="F721" s="23">
        <v>27.1</v>
      </c>
      <c r="G721" s="31">
        <v>-7.3000000000000001E-3</v>
      </c>
      <c r="H721" s="23">
        <v>-368.58</v>
      </c>
      <c r="I721" s="31">
        <v>-7.3000000000000001E-3</v>
      </c>
      <c r="J721" s="23">
        <v>1842.912</v>
      </c>
      <c r="K721" s="23">
        <v>50311.5</v>
      </c>
      <c r="L721" s="23">
        <v>61651.98</v>
      </c>
      <c r="M721" s="23">
        <v>15</v>
      </c>
      <c r="N721" s="23">
        <v>-24.57</v>
      </c>
      <c r="O721" s="31">
        <v>-1.83E-2</v>
      </c>
      <c r="P721" s="31">
        <v>5.4999999999999997E-3</v>
      </c>
      <c r="Q721" s="23" t="s">
        <v>24</v>
      </c>
      <c r="R721" s="23">
        <v>0</v>
      </c>
      <c r="S721" s="23">
        <v>26.72</v>
      </c>
      <c r="U721" s="47">
        <f>VLOOKUP(AU721,[1]expiry_dates!$B$2:$C$2894,2,FALSE)</f>
        <v>44042</v>
      </c>
      <c r="V721" s="23" t="s">
        <v>153</v>
      </c>
      <c r="W721" s="23" t="s">
        <v>23</v>
      </c>
      <c r="X721" s="49">
        <v>44035.385416666664</v>
      </c>
      <c r="Y721" s="23">
        <v>1.1499999999999999</v>
      </c>
      <c r="Z721" s="23">
        <v>44035.53125</v>
      </c>
      <c r="AA721" s="23">
        <v>1.2</v>
      </c>
      <c r="AB721" s="23">
        <v>4.3499999999999997E-2</v>
      </c>
      <c r="AC721" s="23">
        <v>-2664.64</v>
      </c>
      <c r="AD721" s="23">
        <v>-4.3499999999999997E-2</v>
      </c>
      <c r="AE721" s="23">
        <v>53292.79</v>
      </c>
      <c r="AF721" s="23">
        <v>61286.71</v>
      </c>
      <c r="AG721" s="23">
        <v>2249339.5499999998</v>
      </c>
      <c r="AH721" s="23">
        <v>15</v>
      </c>
      <c r="AI721" s="23">
        <v>-177.64</v>
      </c>
      <c r="AJ721" s="23">
        <v>-8.6999999999999994E-2</v>
      </c>
      <c r="AK721" s="23">
        <v>8.6999999999999994E-2</v>
      </c>
      <c r="AL721" s="23" t="s">
        <v>24</v>
      </c>
      <c r="AM721" s="23">
        <v>27.3</v>
      </c>
      <c r="AN721" s="23">
        <v>22868.65</v>
      </c>
      <c r="AO721" s="23">
        <v>26.72</v>
      </c>
      <c r="AP721" s="23">
        <v>0</v>
      </c>
      <c r="AR721" s="46"/>
      <c r="AS721" s="44"/>
      <c r="AT721" s="45"/>
      <c r="AU721" s="2">
        <v>44035</v>
      </c>
      <c r="AV721" s="52">
        <v>0.38541666666666669</v>
      </c>
      <c r="AW721" s="2" t="s">
        <v>212</v>
      </c>
      <c r="AY721" s="3"/>
      <c r="BA721" s="3"/>
      <c r="BG721" s="3"/>
      <c r="BH721" s="3"/>
    </row>
    <row r="722" spans="1:60">
      <c r="A722" s="23" t="s">
        <v>22</v>
      </c>
      <c r="B722" s="23" t="s">
        <v>23</v>
      </c>
      <c r="C722" s="27">
        <v>44035.53125</v>
      </c>
      <c r="D722" s="23">
        <v>27.1</v>
      </c>
      <c r="E722" s="27">
        <v>44035.625</v>
      </c>
      <c r="F722" s="23">
        <v>27.2</v>
      </c>
      <c r="G722" s="31">
        <v>3.7000000000000002E-3</v>
      </c>
      <c r="H722" s="23">
        <v>-185.64</v>
      </c>
      <c r="I722" s="31">
        <v>-3.7000000000000002E-3</v>
      </c>
      <c r="J722" s="23">
        <v>1856.4269999999999</v>
      </c>
      <c r="K722" s="23">
        <v>50309.18</v>
      </c>
      <c r="L722" s="23">
        <v>61466.33</v>
      </c>
      <c r="M722" s="23">
        <v>10</v>
      </c>
      <c r="N722" s="23">
        <v>-18.559999999999999</v>
      </c>
      <c r="O722" s="31">
        <v>-7.4000000000000003E-3</v>
      </c>
      <c r="P722" s="31">
        <v>1.8E-3</v>
      </c>
      <c r="Q722" s="23" t="s">
        <v>24</v>
      </c>
      <c r="R722" s="23">
        <v>0</v>
      </c>
      <c r="S722" s="23">
        <v>27.43</v>
      </c>
      <c r="U722" s="47">
        <f>VLOOKUP(AU722,[1]expiry_dates!$B$2:$C$2894,2,FALSE)</f>
        <v>44042</v>
      </c>
      <c r="V722" s="23" t="s">
        <v>174</v>
      </c>
      <c r="W722" s="23" t="s">
        <v>23</v>
      </c>
      <c r="X722" s="49">
        <v>44035.53125</v>
      </c>
      <c r="Y722" s="23">
        <v>1.3</v>
      </c>
      <c r="Z722" s="23">
        <v>44035.625</v>
      </c>
      <c r="AA722" s="23">
        <v>1.35</v>
      </c>
      <c r="AB722" s="23">
        <v>3.85E-2</v>
      </c>
      <c r="AC722" s="23">
        <v>-2356.15</v>
      </c>
      <c r="AD722" s="23">
        <v>-3.85E-2</v>
      </c>
      <c r="AE722" s="23">
        <v>47123.09</v>
      </c>
      <c r="AF722" s="23">
        <v>61260.02</v>
      </c>
      <c r="AG722" s="23">
        <v>2246983.4</v>
      </c>
      <c r="AH722" s="23">
        <v>10</v>
      </c>
      <c r="AI722" s="23">
        <v>-235.62</v>
      </c>
      <c r="AJ722" s="23">
        <v>-3.85E-2</v>
      </c>
      <c r="AK722" s="23">
        <v>3.85E-2</v>
      </c>
      <c r="AL722" s="23" t="s">
        <v>24</v>
      </c>
      <c r="AM722" s="23">
        <v>27.1</v>
      </c>
      <c r="AN722" s="23">
        <v>22974.1</v>
      </c>
      <c r="AO722" s="23">
        <v>27.43</v>
      </c>
      <c r="AP722" s="23">
        <v>0</v>
      </c>
      <c r="AR722" s="46"/>
      <c r="AS722" s="44"/>
      <c r="AT722" s="45"/>
      <c r="AU722" s="2">
        <v>44035</v>
      </c>
      <c r="AV722" s="52">
        <v>0.53125</v>
      </c>
      <c r="AW722" s="2" t="s">
        <v>213</v>
      </c>
      <c r="AY722" s="3"/>
      <c r="BA722" s="3"/>
      <c r="BG722" s="3"/>
      <c r="BH722" s="3"/>
    </row>
    <row r="723" spans="1:60">
      <c r="A723" s="23" t="s">
        <v>22</v>
      </c>
      <c r="B723" s="23" t="s">
        <v>25</v>
      </c>
      <c r="C723" s="27">
        <v>44035.625</v>
      </c>
      <c r="D723" s="23">
        <v>27.2</v>
      </c>
      <c r="E723" s="27">
        <v>44039.385416666664</v>
      </c>
      <c r="F723" s="23">
        <v>27.8</v>
      </c>
      <c r="G723" s="31">
        <v>2.2100000000000002E-2</v>
      </c>
      <c r="H723" s="23">
        <v>1109.74</v>
      </c>
      <c r="I723" s="31">
        <v>2.2100000000000002E-2</v>
      </c>
      <c r="J723" s="23">
        <v>1849.568</v>
      </c>
      <c r="K723" s="23">
        <v>50308.26</v>
      </c>
      <c r="L723" s="23">
        <v>62576.07</v>
      </c>
      <c r="M723" s="23">
        <v>34</v>
      </c>
      <c r="N723" s="23">
        <v>32.64</v>
      </c>
      <c r="O723" s="31">
        <v>-1.0999999999999999E-2</v>
      </c>
      <c r="P723" s="31">
        <v>6.6199999999999995E-2</v>
      </c>
      <c r="Q723" s="23" t="s">
        <v>24</v>
      </c>
      <c r="R723" s="23">
        <v>0</v>
      </c>
      <c r="S723" s="23">
        <v>27.05</v>
      </c>
      <c r="U723" s="47">
        <f>VLOOKUP(AU723,[1]expiry_dates!$B$2:$C$2894,2,FALSE)</f>
        <v>44042</v>
      </c>
      <c r="V723" s="23" t="s">
        <v>151</v>
      </c>
      <c r="W723" s="23" t="s">
        <v>23</v>
      </c>
      <c r="X723" s="49">
        <v>44035.625</v>
      </c>
      <c r="Y723" s="23">
        <v>0.6</v>
      </c>
      <c r="Z723" s="23">
        <v>44039.385416666664</v>
      </c>
      <c r="AA723" s="23">
        <v>0.3</v>
      </c>
      <c r="AB723" s="23">
        <v>-0.5</v>
      </c>
      <c r="AC723" s="23">
        <v>30623.35</v>
      </c>
      <c r="AD723" s="23">
        <v>0.5</v>
      </c>
      <c r="AE723" s="23">
        <v>102077.8</v>
      </c>
      <c r="AF723" s="23">
        <v>61246.7</v>
      </c>
      <c r="AG723" s="23">
        <v>2277606.75</v>
      </c>
      <c r="AH723" s="23">
        <v>34</v>
      </c>
      <c r="AI723" s="23">
        <v>900.69</v>
      </c>
      <c r="AJ723" s="23">
        <v>-8.3299999999999999E-2</v>
      </c>
      <c r="AK723" s="23">
        <v>0.58330000000000004</v>
      </c>
      <c r="AL723" s="23" t="s">
        <v>24</v>
      </c>
      <c r="AM723" s="23">
        <v>27.2</v>
      </c>
      <c r="AN723" s="23">
        <v>23073.200000000001</v>
      </c>
      <c r="AO723" s="23">
        <v>27.05</v>
      </c>
      <c r="AP723" s="23">
        <v>0</v>
      </c>
      <c r="AR723" s="46"/>
      <c r="AS723" s="44"/>
      <c r="AT723" s="45"/>
      <c r="AU723" s="2">
        <v>44035</v>
      </c>
      <c r="AV723" s="52">
        <v>0.125</v>
      </c>
      <c r="AW723" s="2" t="s">
        <v>213</v>
      </c>
      <c r="AY723" s="3"/>
      <c r="BA723" s="3"/>
      <c r="BG723" s="3"/>
      <c r="BH723" s="3"/>
    </row>
    <row r="724" spans="1:60">
      <c r="A724" s="23" t="s">
        <v>22</v>
      </c>
      <c r="B724" s="23" t="s">
        <v>23</v>
      </c>
      <c r="C724" s="27">
        <v>44039.385416666664</v>
      </c>
      <c r="D724" s="23">
        <v>27.8</v>
      </c>
      <c r="E724" s="27">
        <v>44040.385416666664</v>
      </c>
      <c r="F724" s="23">
        <v>27.7</v>
      </c>
      <c r="G724" s="31">
        <v>-3.5999999999999999E-3</v>
      </c>
      <c r="H724" s="23">
        <v>181.01</v>
      </c>
      <c r="I724" s="31">
        <v>3.5999999999999999E-3</v>
      </c>
      <c r="J724" s="23">
        <v>1810.1489999999999</v>
      </c>
      <c r="K724" s="23">
        <v>50322.13</v>
      </c>
      <c r="L724" s="23">
        <v>62757.09</v>
      </c>
      <c r="M724" s="23">
        <v>28</v>
      </c>
      <c r="N724" s="23">
        <v>6.46</v>
      </c>
      <c r="O724" s="31">
        <v>-3.5999999999999997E-2</v>
      </c>
      <c r="P724" s="31">
        <v>1.9800000000000002E-2</v>
      </c>
      <c r="Q724" s="23" t="s">
        <v>24</v>
      </c>
      <c r="R724" s="23">
        <v>0</v>
      </c>
      <c r="S724" s="23">
        <v>28.98</v>
      </c>
      <c r="U724" s="47">
        <f>VLOOKUP(AU724,[1]expiry_dates!$B$2:$C$2894,2,FALSE)</f>
        <v>44042</v>
      </c>
      <c r="V724" s="23" t="s">
        <v>152</v>
      </c>
      <c r="W724" s="23" t="s">
        <v>23</v>
      </c>
      <c r="X724" s="49">
        <v>44039.385416666664</v>
      </c>
      <c r="Y724" s="23">
        <v>1.1000000000000001</v>
      </c>
      <c r="Z724" s="23">
        <v>44040.385416666664</v>
      </c>
      <c r="AA724" s="23">
        <v>0.85</v>
      </c>
      <c r="AB724" s="23">
        <v>-0.2273</v>
      </c>
      <c r="AC724" s="23">
        <v>13946.03</v>
      </c>
      <c r="AD724" s="23">
        <v>0.2273</v>
      </c>
      <c r="AE724" s="23">
        <v>55784.1</v>
      </c>
      <c r="AF724" s="23">
        <v>61362.51</v>
      </c>
      <c r="AG724" s="23">
        <v>2291552.77</v>
      </c>
      <c r="AH724" s="23">
        <v>28</v>
      </c>
      <c r="AI724" s="23">
        <v>498.07</v>
      </c>
      <c r="AJ724" s="23">
        <v>-0.31819999999999998</v>
      </c>
      <c r="AK724" s="23">
        <v>0.36359999999999998</v>
      </c>
      <c r="AL724" s="23" t="s">
        <v>24</v>
      </c>
      <c r="AM724" s="23">
        <v>27.8</v>
      </c>
      <c r="AN724" s="23">
        <v>22165.8</v>
      </c>
      <c r="AO724" s="23">
        <v>28.98</v>
      </c>
      <c r="AP724" s="23">
        <v>0</v>
      </c>
      <c r="AR724" s="46"/>
      <c r="AS724" s="44"/>
      <c r="AT724" s="45"/>
      <c r="AU724" s="2">
        <v>44039</v>
      </c>
      <c r="AV724" s="52">
        <v>0.38541666666666669</v>
      </c>
      <c r="AW724" s="2" t="s">
        <v>212</v>
      </c>
      <c r="AY724" s="3"/>
      <c r="BA724" s="3"/>
      <c r="BG724" s="3"/>
      <c r="BH724" s="3"/>
    </row>
    <row r="725" spans="1:60">
      <c r="A725" s="23" t="s">
        <v>22</v>
      </c>
      <c r="B725" s="23" t="s">
        <v>25</v>
      </c>
      <c r="C725" s="27">
        <v>44040.385416666664</v>
      </c>
      <c r="D725" s="23">
        <v>27.7</v>
      </c>
      <c r="E725" s="27">
        <v>44040.40625</v>
      </c>
      <c r="F725" s="23">
        <v>27.5</v>
      </c>
      <c r="G725" s="31">
        <v>-7.1999999999999998E-3</v>
      </c>
      <c r="H725" s="23">
        <v>-363.29</v>
      </c>
      <c r="I725" s="31">
        <v>-7.1999999999999998E-3</v>
      </c>
      <c r="J725" s="23">
        <v>1816.4469999999999</v>
      </c>
      <c r="K725" s="23">
        <v>50315.59</v>
      </c>
      <c r="L725" s="23">
        <v>62393.8</v>
      </c>
      <c r="M725" s="23">
        <v>3</v>
      </c>
      <c r="N725" s="23">
        <v>-121.1</v>
      </c>
      <c r="O725" s="31">
        <v>-7.1999999999999998E-3</v>
      </c>
      <c r="P725" s="31">
        <v>8.9999999999999993E-3</v>
      </c>
      <c r="Q725" s="23" t="s">
        <v>24</v>
      </c>
      <c r="R725" s="23">
        <v>0</v>
      </c>
      <c r="S725" s="23">
        <v>27.28</v>
      </c>
      <c r="U725" s="47">
        <f>VLOOKUP(AU725,[1]expiry_dates!$B$2:$C$2894,2,FALSE)</f>
        <v>44042</v>
      </c>
      <c r="V725" s="23" t="s">
        <v>153</v>
      </c>
      <c r="W725" s="23" t="s">
        <v>23</v>
      </c>
      <c r="X725" s="49">
        <v>44040.385416666664</v>
      </c>
      <c r="Y725" s="23">
        <v>0.7</v>
      </c>
      <c r="Z725" s="23">
        <v>44040.40625</v>
      </c>
      <c r="AA725" s="23">
        <v>0.8</v>
      </c>
      <c r="AB725" s="23">
        <v>0.1429</v>
      </c>
      <c r="AC725" s="23">
        <v>-8783.67</v>
      </c>
      <c r="AD725" s="23">
        <v>-0.1429</v>
      </c>
      <c r="AE725" s="23">
        <v>87836.66</v>
      </c>
      <c r="AF725" s="23">
        <v>61485.66</v>
      </c>
      <c r="AG725" s="23">
        <v>2282769.11</v>
      </c>
      <c r="AH725" s="23">
        <v>3</v>
      </c>
      <c r="AI725" s="23">
        <v>-2927.89</v>
      </c>
      <c r="AJ725" s="23">
        <v>-0.1429</v>
      </c>
      <c r="AK725" s="23">
        <v>7.1400000000000005E-2</v>
      </c>
      <c r="AL725" s="23" t="s">
        <v>24</v>
      </c>
      <c r="AM725" s="23">
        <v>27.7</v>
      </c>
      <c r="AN725" s="23">
        <v>22034.5</v>
      </c>
      <c r="AO725" s="23">
        <v>27.28</v>
      </c>
      <c r="AP725" s="23">
        <v>0</v>
      </c>
      <c r="AR725" s="46"/>
      <c r="AS725" s="44"/>
      <c r="AT725" s="45"/>
      <c r="AU725" s="2">
        <v>44040</v>
      </c>
      <c r="AV725" s="52">
        <v>0.38541666666666669</v>
      </c>
      <c r="AW725" s="2" t="s">
        <v>212</v>
      </c>
      <c r="AY725" s="3"/>
      <c r="BA725" s="3"/>
      <c r="BG725" s="3"/>
      <c r="BH725" s="3"/>
    </row>
    <row r="726" spans="1:60">
      <c r="A726" s="23" t="s">
        <v>22</v>
      </c>
      <c r="B726" s="23" t="s">
        <v>23</v>
      </c>
      <c r="C726" s="27">
        <v>44040.40625</v>
      </c>
      <c r="D726" s="23">
        <v>27.5</v>
      </c>
      <c r="E726" s="27">
        <v>44040.46875</v>
      </c>
      <c r="F726" s="23">
        <v>27.65</v>
      </c>
      <c r="G726" s="31">
        <v>5.4999999999999997E-3</v>
      </c>
      <c r="H726" s="23">
        <v>-274.44</v>
      </c>
      <c r="I726" s="31">
        <v>-5.4999999999999997E-3</v>
      </c>
      <c r="J726" s="23">
        <v>1829.5920000000001</v>
      </c>
      <c r="K726" s="23">
        <v>50313.79</v>
      </c>
      <c r="L726" s="23">
        <v>62119.360000000001</v>
      </c>
      <c r="M726" s="23">
        <v>7</v>
      </c>
      <c r="N726" s="23">
        <v>-39.21</v>
      </c>
      <c r="O726" s="31">
        <v>-9.1000000000000004E-3</v>
      </c>
      <c r="P726" s="31">
        <v>7.3000000000000001E-3</v>
      </c>
      <c r="Q726" s="23" t="s">
        <v>24</v>
      </c>
      <c r="R726" s="23">
        <v>0</v>
      </c>
      <c r="S726" s="23">
        <v>27.94</v>
      </c>
      <c r="U726" s="47">
        <f>VLOOKUP(AU726,[1]expiry_dates!$B$2:$C$2894,2,FALSE)</f>
        <v>44042</v>
      </c>
      <c r="V726" s="23" t="s">
        <v>152</v>
      </c>
      <c r="W726" s="23" t="s">
        <v>23</v>
      </c>
      <c r="X726" s="49">
        <v>44040.40625</v>
      </c>
      <c r="Y726" s="23">
        <v>0.8</v>
      </c>
      <c r="Z726" s="23">
        <v>44040.46875</v>
      </c>
      <c r="AA726" s="23">
        <v>0.85</v>
      </c>
      <c r="AB726" s="23">
        <v>6.25E-2</v>
      </c>
      <c r="AC726" s="23">
        <v>-3841.11</v>
      </c>
      <c r="AD726" s="23">
        <v>-6.25E-2</v>
      </c>
      <c r="AE726" s="23">
        <v>76822.2</v>
      </c>
      <c r="AF726" s="23">
        <v>61457.760000000002</v>
      </c>
      <c r="AG726" s="23">
        <v>2278928</v>
      </c>
      <c r="AH726" s="23">
        <v>7</v>
      </c>
      <c r="AI726" s="23">
        <v>-548.73</v>
      </c>
      <c r="AJ726" s="23">
        <v>-6.25E-2</v>
      </c>
      <c r="AK726" s="23">
        <v>0.125</v>
      </c>
      <c r="AL726" s="23" t="s">
        <v>24</v>
      </c>
      <c r="AM726" s="23">
        <v>27.5</v>
      </c>
      <c r="AN726" s="23">
        <v>21839.15</v>
      </c>
      <c r="AO726" s="23">
        <v>27.94</v>
      </c>
      <c r="AP726" s="23">
        <v>0</v>
      </c>
      <c r="AR726" s="46"/>
      <c r="AS726" s="44"/>
      <c r="AT726" s="45"/>
      <c r="AU726" s="2">
        <v>44040</v>
      </c>
      <c r="AV726" s="52">
        <v>0.40625</v>
      </c>
      <c r="AW726" s="2" t="s">
        <v>212</v>
      </c>
      <c r="AY726" s="3"/>
      <c r="BA726" s="3"/>
      <c r="BG726" s="3"/>
      <c r="BH726" s="3"/>
    </row>
    <row r="727" spans="1:60">
      <c r="A727" s="23" t="s">
        <v>22</v>
      </c>
      <c r="B727" s="23" t="s">
        <v>25</v>
      </c>
      <c r="C727" s="27">
        <v>44040.46875</v>
      </c>
      <c r="D727" s="23">
        <v>27.65</v>
      </c>
      <c r="E727" s="27">
        <v>44040.572916666664</v>
      </c>
      <c r="F727" s="23">
        <v>27.55</v>
      </c>
      <c r="G727" s="31">
        <v>-3.5999999999999999E-3</v>
      </c>
      <c r="H727" s="23">
        <v>-181.96</v>
      </c>
      <c r="I727" s="31">
        <v>-3.5999999999999999E-3</v>
      </c>
      <c r="J727" s="23">
        <v>1819.568</v>
      </c>
      <c r="K727" s="23">
        <v>50311.05</v>
      </c>
      <c r="L727" s="23">
        <v>61937.4</v>
      </c>
      <c r="M727" s="23">
        <v>11</v>
      </c>
      <c r="N727" s="23">
        <v>-16.54</v>
      </c>
      <c r="O727" s="31">
        <v>-5.4000000000000003E-3</v>
      </c>
      <c r="P727" s="31">
        <v>7.1999999999999998E-3</v>
      </c>
      <c r="Q727" s="23" t="s">
        <v>24</v>
      </c>
      <c r="R727" s="23">
        <v>0</v>
      </c>
      <c r="S727" s="23">
        <v>27.3</v>
      </c>
      <c r="U727" s="47">
        <f>VLOOKUP(AU727,[1]expiry_dates!$B$2:$C$2894,2,FALSE)</f>
        <v>44042</v>
      </c>
      <c r="V727" s="23" t="s">
        <v>173</v>
      </c>
      <c r="W727" s="23" t="s">
        <v>23</v>
      </c>
      <c r="X727" s="49">
        <v>44040.46875</v>
      </c>
      <c r="Y727" s="23">
        <v>1.2</v>
      </c>
      <c r="Z727" s="23">
        <v>44040.572916666664</v>
      </c>
      <c r="AA727" s="23">
        <v>1.25</v>
      </c>
      <c r="AB727" s="23">
        <v>4.1700000000000001E-2</v>
      </c>
      <c r="AC727" s="23">
        <v>-2558.11</v>
      </c>
      <c r="AD727" s="23">
        <v>-4.1700000000000001E-2</v>
      </c>
      <c r="AE727" s="23">
        <v>51162.2</v>
      </c>
      <c r="AF727" s="23">
        <v>61394.64</v>
      </c>
      <c r="AG727" s="23">
        <v>2276369.89</v>
      </c>
      <c r="AH727" s="23">
        <v>11</v>
      </c>
      <c r="AI727" s="23">
        <v>-232.56</v>
      </c>
      <c r="AJ727" s="23">
        <v>-8.3299999999999999E-2</v>
      </c>
      <c r="AK727" s="23">
        <v>8.3299999999999999E-2</v>
      </c>
      <c r="AL727" s="23" t="s">
        <v>24</v>
      </c>
      <c r="AM727" s="23">
        <v>27.65</v>
      </c>
      <c r="AN727" s="23">
        <v>21765.85</v>
      </c>
      <c r="AO727" s="23">
        <v>27.3</v>
      </c>
      <c r="AP727" s="23">
        <v>0</v>
      </c>
      <c r="AR727" s="46"/>
      <c r="AS727" s="44"/>
      <c r="AT727" s="45"/>
      <c r="AU727" s="2">
        <v>44040</v>
      </c>
      <c r="AV727" s="52">
        <v>0.46875</v>
      </c>
      <c r="AW727" s="2" t="s">
        <v>212</v>
      </c>
      <c r="AY727" s="3"/>
      <c r="BA727" s="3"/>
      <c r="BG727" s="3"/>
      <c r="BH727" s="3"/>
    </row>
    <row r="728" spans="1:60">
      <c r="A728" s="23" t="s">
        <v>22</v>
      </c>
      <c r="B728" s="23" t="s">
        <v>23</v>
      </c>
      <c r="C728" s="27">
        <v>44040.572916666664</v>
      </c>
      <c r="D728" s="23">
        <v>27.55</v>
      </c>
      <c r="E728" s="27">
        <v>44040.59375</v>
      </c>
      <c r="F728" s="23">
        <v>27.85</v>
      </c>
      <c r="G728" s="31">
        <v>1.09E-2</v>
      </c>
      <c r="H728" s="23">
        <v>-547.84</v>
      </c>
      <c r="I728" s="31">
        <v>-1.09E-2</v>
      </c>
      <c r="J728" s="23">
        <v>1826.123</v>
      </c>
      <c r="K728" s="23">
        <v>50309.69</v>
      </c>
      <c r="L728" s="23">
        <v>61389.57</v>
      </c>
      <c r="M728" s="23">
        <v>3</v>
      </c>
      <c r="N728" s="23">
        <v>-182.61</v>
      </c>
      <c r="O728" s="31">
        <v>-1.09E-2</v>
      </c>
      <c r="P728" s="31">
        <v>3.5999999999999999E-3</v>
      </c>
      <c r="Q728" s="23" t="s">
        <v>24</v>
      </c>
      <c r="R728" s="23">
        <v>0</v>
      </c>
      <c r="S728" s="23">
        <v>27.84</v>
      </c>
      <c r="U728" s="47">
        <f>VLOOKUP(AU728,[1]expiry_dates!$B$2:$C$2894,2,FALSE)</f>
        <v>44042</v>
      </c>
      <c r="V728" s="23" t="s">
        <v>152</v>
      </c>
      <c r="W728" s="23" t="s">
        <v>23</v>
      </c>
      <c r="X728" s="49">
        <v>44040.572916666664</v>
      </c>
      <c r="Y728" s="23">
        <v>0.75</v>
      </c>
      <c r="Z728" s="23">
        <v>44040.59375</v>
      </c>
      <c r="AA728" s="23">
        <v>0.85</v>
      </c>
      <c r="AB728" s="23">
        <v>0.1333</v>
      </c>
      <c r="AC728" s="23">
        <v>-8185.95</v>
      </c>
      <c r="AD728" s="23">
        <v>-0.1333</v>
      </c>
      <c r="AE728" s="23">
        <v>81859.520000000004</v>
      </c>
      <c r="AF728" s="23">
        <v>61394.64</v>
      </c>
      <c r="AG728" s="23">
        <v>2268183.9300000002</v>
      </c>
      <c r="AH728" s="23">
        <v>3</v>
      </c>
      <c r="AI728" s="23">
        <v>-2728.65</v>
      </c>
      <c r="AJ728" s="23">
        <v>-0.1333</v>
      </c>
      <c r="AK728" s="23">
        <v>0</v>
      </c>
      <c r="AL728" s="23" t="s">
        <v>24</v>
      </c>
      <c r="AM728" s="23">
        <v>27.55</v>
      </c>
      <c r="AN728" s="23">
        <v>21910.95</v>
      </c>
      <c r="AO728" s="23">
        <v>27.84</v>
      </c>
      <c r="AP728" s="23">
        <v>0</v>
      </c>
      <c r="AR728" s="46"/>
      <c r="AS728" s="44"/>
      <c r="AT728" s="45"/>
      <c r="AU728" s="2">
        <v>44040</v>
      </c>
      <c r="AV728" s="52">
        <v>7.2916666666666671E-2</v>
      </c>
      <c r="AW728" s="2" t="s">
        <v>213</v>
      </c>
      <c r="AY728" s="3"/>
      <c r="BA728" s="3"/>
      <c r="BG728" s="3"/>
      <c r="BH728" s="3"/>
    </row>
    <row r="729" spans="1:60">
      <c r="A729" s="23" t="s">
        <v>22</v>
      </c>
      <c r="B729" s="23" t="s">
        <v>25</v>
      </c>
      <c r="C729" s="27">
        <v>44040.59375</v>
      </c>
      <c r="D729" s="23">
        <v>27.85</v>
      </c>
      <c r="E729" s="27">
        <v>44041.53125</v>
      </c>
      <c r="F729" s="23">
        <v>28.4</v>
      </c>
      <c r="G729" s="31">
        <v>1.9699999999999999E-2</v>
      </c>
      <c r="H729" s="23">
        <v>993.53</v>
      </c>
      <c r="I729" s="31">
        <v>1.9699999999999999E-2</v>
      </c>
      <c r="J729" s="23">
        <v>1806.4190000000001</v>
      </c>
      <c r="K729" s="23">
        <v>50308.77</v>
      </c>
      <c r="L729" s="23">
        <v>62383.1</v>
      </c>
      <c r="M729" s="23">
        <v>23</v>
      </c>
      <c r="N729" s="23">
        <v>43.2</v>
      </c>
      <c r="O729" s="31">
        <v>-8.9999999999999993E-3</v>
      </c>
      <c r="P729" s="31">
        <v>4.8500000000000001E-2</v>
      </c>
      <c r="Q729" s="23" t="s">
        <v>24</v>
      </c>
      <c r="R729" s="23">
        <v>0</v>
      </c>
      <c r="S729" s="23">
        <v>27.45</v>
      </c>
      <c r="U729" s="47">
        <f>VLOOKUP(AU729,[1]expiry_dates!$B$2:$C$2894,2,FALSE)</f>
        <v>44042</v>
      </c>
      <c r="V729" s="23" t="s">
        <v>172</v>
      </c>
      <c r="W729" s="23" t="s">
        <v>23</v>
      </c>
      <c r="X729" s="49">
        <v>44040.59375</v>
      </c>
      <c r="Y729" s="23">
        <v>0.15</v>
      </c>
      <c r="Z729" s="23">
        <v>44041.53125</v>
      </c>
      <c r="AA729" s="23">
        <v>0.05</v>
      </c>
      <c r="AB729" s="23">
        <v>-0.66669999999999996</v>
      </c>
      <c r="AC729" s="23">
        <v>40907.589999999997</v>
      </c>
      <c r="AD729" s="23">
        <v>0.66669999999999996</v>
      </c>
      <c r="AE729" s="23">
        <v>409075.9</v>
      </c>
      <c r="AF729" s="23">
        <v>61361.38</v>
      </c>
      <c r="AG729" s="23">
        <v>2309091.52</v>
      </c>
      <c r="AH729" s="23">
        <v>23</v>
      </c>
      <c r="AI729" s="23">
        <v>1778.59</v>
      </c>
      <c r="AJ729" s="23">
        <v>0</v>
      </c>
      <c r="AK729" s="23">
        <v>0.66669999999999996</v>
      </c>
      <c r="AL729" s="23" t="s">
        <v>24</v>
      </c>
      <c r="AM729" s="23">
        <v>27.85</v>
      </c>
      <c r="AN729" s="23">
        <v>22099.1</v>
      </c>
      <c r="AO729" s="23">
        <v>27.45</v>
      </c>
      <c r="AP729" s="23">
        <v>0</v>
      </c>
      <c r="AR729" s="46"/>
      <c r="AS729" s="44"/>
      <c r="AT729" s="45"/>
      <c r="AU729" s="2">
        <v>44040</v>
      </c>
      <c r="AV729" s="52">
        <v>9.375E-2</v>
      </c>
      <c r="AW729" s="2" t="s">
        <v>213</v>
      </c>
      <c r="AY729" s="3"/>
      <c r="BA729" s="3"/>
      <c r="BG729" s="3"/>
      <c r="BH729" s="3"/>
    </row>
    <row r="730" spans="1:60">
      <c r="A730" s="23" t="s">
        <v>22</v>
      </c>
      <c r="B730" s="23" t="s">
        <v>23</v>
      </c>
      <c r="C730" s="27">
        <v>44041.53125</v>
      </c>
      <c r="D730" s="23">
        <v>28.4</v>
      </c>
      <c r="E730" s="27">
        <v>44042.6875</v>
      </c>
      <c r="F730" s="23">
        <v>27</v>
      </c>
      <c r="G730" s="31">
        <v>-4.9299999999999997E-2</v>
      </c>
      <c r="H730" s="23">
        <v>2480.2800000000002</v>
      </c>
      <c r="I730" s="31">
        <v>4.9299999999999997E-2</v>
      </c>
      <c r="J730" s="23">
        <v>1771.626</v>
      </c>
      <c r="K730" s="23">
        <v>50314.17</v>
      </c>
      <c r="L730" s="23">
        <v>64863.37</v>
      </c>
      <c r="M730" s="23">
        <v>41</v>
      </c>
      <c r="N730" s="23">
        <v>60.49</v>
      </c>
      <c r="O730" s="31">
        <v>-8.8000000000000005E-3</v>
      </c>
      <c r="P730" s="31">
        <v>5.9900000000000002E-2</v>
      </c>
      <c r="Q730" s="23" t="s">
        <v>24</v>
      </c>
      <c r="R730" s="23">
        <v>0</v>
      </c>
      <c r="S730" s="23">
        <v>29.2</v>
      </c>
      <c r="U730" s="47">
        <f>VLOOKUP(AU730,[1]expiry_dates!$B$2:$C$2894,2,FALSE)</f>
        <v>44042</v>
      </c>
      <c r="V730" s="23" t="s">
        <v>152</v>
      </c>
      <c r="W730" s="23" t="s">
        <v>23</v>
      </c>
      <c r="X730" s="49">
        <v>44041.53125</v>
      </c>
      <c r="Y730" s="23">
        <v>0.75</v>
      </c>
      <c r="Z730" s="23">
        <v>44042.6875</v>
      </c>
      <c r="AA730" s="23">
        <v>0.05</v>
      </c>
      <c r="AB730" s="23">
        <v>-0.93330000000000002</v>
      </c>
      <c r="AC730" s="23">
        <v>57442.43</v>
      </c>
      <c r="AD730" s="23">
        <v>0.93330000000000002</v>
      </c>
      <c r="AE730" s="23">
        <v>82060.61</v>
      </c>
      <c r="AF730" s="23">
        <v>61545.46</v>
      </c>
      <c r="AG730" s="23">
        <v>2366533.9500000002</v>
      </c>
      <c r="AH730" s="23">
        <v>41</v>
      </c>
      <c r="AI730" s="23">
        <v>1401.03</v>
      </c>
      <c r="AJ730" s="23">
        <v>-0.1333</v>
      </c>
      <c r="AK730" s="23">
        <v>0.93330000000000002</v>
      </c>
      <c r="AL730" s="23" t="s">
        <v>24</v>
      </c>
      <c r="AM730" s="23">
        <v>28.4</v>
      </c>
      <c r="AN730" s="23">
        <v>22284.15</v>
      </c>
      <c r="AO730" s="23">
        <v>29.2</v>
      </c>
      <c r="AP730" s="23">
        <v>0</v>
      </c>
      <c r="AR730" s="46"/>
      <c r="AS730" s="44"/>
      <c r="AT730" s="45"/>
      <c r="AU730" s="2">
        <v>44041</v>
      </c>
      <c r="AV730" s="52">
        <v>0.53125</v>
      </c>
      <c r="AW730" s="2" t="s">
        <v>213</v>
      </c>
      <c r="AY730" s="3"/>
      <c r="BA730" s="3"/>
      <c r="BG730" s="3"/>
      <c r="BH730" s="3"/>
    </row>
    <row r="731" spans="1:60">
      <c r="A731" s="23" t="s">
        <v>22</v>
      </c>
      <c r="B731" s="23" t="s">
        <v>23</v>
      </c>
      <c r="C731" s="27">
        <v>44043.385416666664</v>
      </c>
      <c r="D731" s="23">
        <v>26.7</v>
      </c>
      <c r="E731" s="27">
        <v>44043.625</v>
      </c>
      <c r="F731" s="23">
        <v>26.65</v>
      </c>
      <c r="G731" s="31">
        <v>-1.9E-3</v>
      </c>
      <c r="H731" s="23">
        <v>94.24</v>
      </c>
      <c r="I731" s="31">
        <v>1.9E-3</v>
      </c>
      <c r="J731" s="23">
        <v>1884.806</v>
      </c>
      <c r="K731" s="23">
        <v>50324.32</v>
      </c>
      <c r="L731" s="23">
        <v>64957.61</v>
      </c>
      <c r="M731" s="23">
        <v>24</v>
      </c>
      <c r="N731" s="23">
        <v>3.93</v>
      </c>
      <c r="O731" s="31">
        <v>-1.6899999999999998E-2</v>
      </c>
      <c r="P731" s="31">
        <v>1.8700000000000001E-2</v>
      </c>
      <c r="Q731" s="23" t="s">
        <v>24</v>
      </c>
      <c r="R731" s="23">
        <v>0</v>
      </c>
      <c r="S731" s="23">
        <v>27.43</v>
      </c>
      <c r="U731" s="47">
        <f>VLOOKUP(AU731,[1]expiry_dates!$B$2:$C$2894,2,FALSE)</f>
        <v>44070</v>
      </c>
      <c r="V731" s="23" t="s">
        <v>174</v>
      </c>
      <c r="W731" s="23" t="s">
        <v>23</v>
      </c>
      <c r="X731" s="49">
        <v>44043.385416666664</v>
      </c>
      <c r="Y731" s="23">
        <v>1.65</v>
      </c>
      <c r="Z731" s="23">
        <v>44043.625</v>
      </c>
      <c r="AA731" s="23">
        <v>1.5</v>
      </c>
      <c r="AB731" s="23">
        <v>-9.0899999999999995E-2</v>
      </c>
      <c r="AC731" s="23">
        <v>5621.15</v>
      </c>
      <c r="AD731" s="23">
        <v>9.0899999999999995E-2</v>
      </c>
      <c r="AE731" s="23">
        <v>37474.35</v>
      </c>
      <c r="AF731" s="23">
        <v>61832.67</v>
      </c>
      <c r="AG731" s="23">
        <v>2372155.1</v>
      </c>
      <c r="AH731" s="23">
        <v>24</v>
      </c>
      <c r="AI731" s="23">
        <v>234.21</v>
      </c>
      <c r="AJ731" s="23">
        <v>-3.0300000000000001E-2</v>
      </c>
      <c r="AK731" s="23">
        <v>0.21210000000000001</v>
      </c>
      <c r="AL731" s="23" t="s">
        <v>24</v>
      </c>
      <c r="AM731" s="23">
        <v>26.7</v>
      </c>
      <c r="AN731" s="23">
        <v>21628.35</v>
      </c>
      <c r="AO731" s="23">
        <v>27.43</v>
      </c>
      <c r="AP731" s="23">
        <v>0</v>
      </c>
      <c r="AR731" s="46"/>
      <c r="AS731" s="44"/>
      <c r="AT731" s="45"/>
      <c r="AU731" s="2">
        <v>44043</v>
      </c>
      <c r="AV731" s="52">
        <v>0.38541666666666669</v>
      </c>
      <c r="AW731" s="2" t="s">
        <v>212</v>
      </c>
      <c r="AY731" s="3"/>
      <c r="BA731" s="3"/>
      <c r="BG731" s="3"/>
      <c r="BH731" s="3"/>
    </row>
    <row r="732" spans="1:60">
      <c r="A732" s="23" t="s">
        <v>22</v>
      </c>
      <c r="B732" s="23" t="s">
        <v>25</v>
      </c>
      <c r="C732" s="27">
        <v>44043.625</v>
      </c>
      <c r="D732" s="23">
        <v>26.65</v>
      </c>
      <c r="E732" s="27">
        <v>44046.40625</v>
      </c>
      <c r="F732" s="23">
        <v>26.35</v>
      </c>
      <c r="G732" s="31">
        <v>-1.1299999999999999E-2</v>
      </c>
      <c r="H732" s="23">
        <v>-566.54</v>
      </c>
      <c r="I732" s="31">
        <v>-1.1299999999999999E-2</v>
      </c>
      <c r="J732" s="23">
        <v>1888.4659999999999</v>
      </c>
      <c r="K732" s="23">
        <v>50327.62</v>
      </c>
      <c r="L732" s="23">
        <v>64391.07</v>
      </c>
      <c r="M732" s="23">
        <v>8</v>
      </c>
      <c r="N732" s="23">
        <v>-70.819999999999993</v>
      </c>
      <c r="O732" s="31">
        <v>-1.1299999999999999E-2</v>
      </c>
      <c r="P732" s="31">
        <v>1.3100000000000001E-2</v>
      </c>
      <c r="Q732" s="23" t="s">
        <v>24</v>
      </c>
      <c r="R732" s="23">
        <v>0</v>
      </c>
      <c r="S732" s="23">
        <v>26.21</v>
      </c>
      <c r="U732" s="47">
        <f>VLOOKUP(AU732,[1]expiry_dates!$B$2:$C$2894,2,FALSE)</f>
        <v>44070</v>
      </c>
      <c r="V732" s="23" t="s">
        <v>151</v>
      </c>
      <c r="W732" s="23" t="s">
        <v>23</v>
      </c>
      <c r="X732" s="49">
        <v>44043.625</v>
      </c>
      <c r="Y732" s="23">
        <v>1.55</v>
      </c>
      <c r="Z732" s="23">
        <v>44046.40625</v>
      </c>
      <c r="AA732" s="23">
        <v>1.6</v>
      </c>
      <c r="AB732" s="23">
        <v>3.2300000000000002E-2</v>
      </c>
      <c r="AC732" s="23">
        <v>-1996.11</v>
      </c>
      <c r="AD732" s="23">
        <v>-3.2300000000000002E-2</v>
      </c>
      <c r="AE732" s="23">
        <v>39922.269999999997</v>
      </c>
      <c r="AF732" s="23">
        <v>61879.51</v>
      </c>
      <c r="AG732" s="23">
        <v>2370158.9900000002</v>
      </c>
      <c r="AH732" s="23">
        <v>8</v>
      </c>
      <c r="AI732" s="23">
        <v>-249.51</v>
      </c>
      <c r="AJ732" s="23">
        <v>-3.2300000000000002E-2</v>
      </c>
      <c r="AK732" s="23">
        <v>0.19350000000000001</v>
      </c>
      <c r="AL732" s="23" t="s">
        <v>24</v>
      </c>
      <c r="AM732" s="23">
        <v>26.65</v>
      </c>
      <c r="AN732" s="23">
        <v>21630.7</v>
      </c>
      <c r="AO732" s="23">
        <v>26.21</v>
      </c>
      <c r="AP732" s="23">
        <v>0</v>
      </c>
      <c r="AR732" s="46"/>
      <c r="AS732" s="44"/>
      <c r="AT732" s="45"/>
      <c r="AU732" s="2">
        <v>44043</v>
      </c>
      <c r="AV732" s="52">
        <v>0.125</v>
      </c>
      <c r="AW732" s="2" t="s">
        <v>213</v>
      </c>
      <c r="AY732" s="3"/>
      <c r="BA732" s="3"/>
      <c r="BG732" s="3"/>
      <c r="BH732" s="3"/>
    </row>
    <row r="733" spans="1:60">
      <c r="A733" s="23" t="s">
        <v>22</v>
      </c>
      <c r="B733" s="23" t="s">
        <v>23</v>
      </c>
      <c r="C733" s="27">
        <v>44046.40625</v>
      </c>
      <c r="D733" s="23">
        <v>26.35</v>
      </c>
      <c r="E733" s="27">
        <v>44047.385416666664</v>
      </c>
      <c r="F733" s="23">
        <v>26.3</v>
      </c>
      <c r="G733" s="31">
        <v>-1.9E-3</v>
      </c>
      <c r="H733" s="23">
        <v>95.49</v>
      </c>
      <c r="I733" s="31">
        <v>1.9E-3</v>
      </c>
      <c r="J733" s="23">
        <v>1909.877</v>
      </c>
      <c r="K733" s="23">
        <v>50325.26</v>
      </c>
      <c r="L733" s="23">
        <v>64486.57</v>
      </c>
      <c r="M733" s="23">
        <v>27</v>
      </c>
      <c r="N733" s="23">
        <v>3.54</v>
      </c>
      <c r="O733" s="31">
        <v>-1.3299999999999999E-2</v>
      </c>
      <c r="P733" s="31">
        <v>1.3299999999999999E-2</v>
      </c>
      <c r="Q733" s="23" t="s">
        <v>24</v>
      </c>
      <c r="R733" s="23">
        <v>0</v>
      </c>
      <c r="S733" s="23">
        <v>27</v>
      </c>
      <c r="U733" s="47">
        <f>VLOOKUP(AU733,[1]expiry_dates!$B$2:$C$2894,2,FALSE)</f>
        <v>44070</v>
      </c>
      <c r="V733" s="23" t="s">
        <v>154</v>
      </c>
      <c r="W733" s="23" t="s">
        <v>23</v>
      </c>
      <c r="X733" s="49">
        <v>44046.40625</v>
      </c>
      <c r="Y733" s="23">
        <v>1.8</v>
      </c>
      <c r="Z733" s="23">
        <v>44047.385416666664</v>
      </c>
      <c r="AA733" s="23">
        <v>1.9</v>
      </c>
      <c r="AB733" s="23">
        <v>5.5599999999999997E-2</v>
      </c>
      <c r="AC733" s="23">
        <v>-3438.93</v>
      </c>
      <c r="AD733" s="23">
        <v>-5.5599999999999997E-2</v>
      </c>
      <c r="AE733" s="23">
        <v>34389.279999999999</v>
      </c>
      <c r="AF733" s="23">
        <v>61900.7</v>
      </c>
      <c r="AG733" s="23">
        <v>2366720.06</v>
      </c>
      <c r="AH733" s="23">
        <v>27</v>
      </c>
      <c r="AI733" s="23">
        <v>-127.37</v>
      </c>
      <c r="AJ733" s="23">
        <v>-0.16669999999999999</v>
      </c>
      <c r="AK733" s="23">
        <v>5.5599999999999997E-2</v>
      </c>
      <c r="AL733" s="23" t="s">
        <v>24</v>
      </c>
      <c r="AM733" s="23">
        <v>26.35</v>
      </c>
      <c r="AN733" s="23">
        <v>21279.25</v>
      </c>
      <c r="AO733" s="23">
        <v>27</v>
      </c>
      <c r="AP733" s="23">
        <v>0</v>
      </c>
      <c r="AR733" s="46"/>
      <c r="AS733" s="44"/>
      <c r="AT733" s="45"/>
      <c r="AU733" s="2">
        <v>44046</v>
      </c>
      <c r="AV733" s="52">
        <v>0.40625</v>
      </c>
      <c r="AW733" s="2" t="s">
        <v>212</v>
      </c>
      <c r="AY733" s="3"/>
      <c r="BA733" s="3"/>
      <c r="BG733" s="3"/>
      <c r="BH733" s="3"/>
    </row>
    <row r="734" spans="1:60">
      <c r="A734" s="23" t="s">
        <v>22</v>
      </c>
      <c r="B734" s="23" t="s">
        <v>25</v>
      </c>
      <c r="C734" s="27">
        <v>44047.385416666664</v>
      </c>
      <c r="D734" s="23">
        <v>26.3</v>
      </c>
      <c r="E734" s="27">
        <v>44047.427083333336</v>
      </c>
      <c r="F734" s="23">
        <v>26.25</v>
      </c>
      <c r="G734" s="31">
        <v>-1.9E-3</v>
      </c>
      <c r="H734" s="23">
        <v>-95.67</v>
      </c>
      <c r="I734" s="31">
        <v>-1.9E-3</v>
      </c>
      <c r="J734" s="23">
        <v>1913.364</v>
      </c>
      <c r="K734" s="23">
        <v>50321.48</v>
      </c>
      <c r="L734" s="23">
        <v>64390.9</v>
      </c>
      <c r="M734" s="23">
        <v>5</v>
      </c>
      <c r="N734" s="23">
        <v>-19.13</v>
      </c>
      <c r="O734" s="31">
        <v>-5.7000000000000002E-3</v>
      </c>
      <c r="P734" s="31">
        <v>1.14E-2</v>
      </c>
      <c r="Q734" s="23" t="s">
        <v>24</v>
      </c>
      <c r="R734" s="23">
        <v>0</v>
      </c>
      <c r="S734" s="23">
        <v>26.03</v>
      </c>
      <c r="U734" s="47">
        <f>VLOOKUP(AU734,[1]expiry_dates!$B$2:$C$2894,2,FALSE)</f>
        <v>44070</v>
      </c>
      <c r="V734" s="23" t="s">
        <v>151</v>
      </c>
      <c r="W734" s="23" t="s">
        <v>23</v>
      </c>
      <c r="X734" s="49">
        <v>44047.385416666664</v>
      </c>
      <c r="Y734" s="23">
        <v>1.55</v>
      </c>
      <c r="Z734" s="23">
        <v>44047.427083333336</v>
      </c>
      <c r="AA734" s="23">
        <v>1.6</v>
      </c>
      <c r="AB734" s="23">
        <v>3.2300000000000002E-2</v>
      </c>
      <c r="AC734" s="23">
        <v>-1995.19</v>
      </c>
      <c r="AD734" s="23">
        <v>-3.2300000000000002E-2</v>
      </c>
      <c r="AE734" s="23">
        <v>39903.74</v>
      </c>
      <c r="AF734" s="23">
        <v>61850.79</v>
      </c>
      <c r="AG734" s="23">
        <v>2364724.87</v>
      </c>
      <c r="AH734" s="23">
        <v>5</v>
      </c>
      <c r="AI734" s="23">
        <v>-399.04</v>
      </c>
      <c r="AJ734" s="23">
        <v>-3.2300000000000002E-2</v>
      </c>
      <c r="AK734" s="23">
        <v>3.2300000000000002E-2</v>
      </c>
      <c r="AL734" s="23" t="s">
        <v>24</v>
      </c>
      <c r="AM734" s="23">
        <v>26.3</v>
      </c>
      <c r="AN734" s="23">
        <v>21128.400000000001</v>
      </c>
      <c r="AO734" s="23">
        <v>26.03</v>
      </c>
      <c r="AP734" s="23">
        <v>0</v>
      </c>
      <c r="AR734" s="46"/>
      <c r="AS734" s="44"/>
      <c r="AT734" s="45"/>
      <c r="AU734" s="2">
        <v>44047</v>
      </c>
      <c r="AV734" s="52">
        <v>0.38541666666666669</v>
      </c>
      <c r="AW734" s="2" t="s">
        <v>212</v>
      </c>
      <c r="AY734" s="3"/>
      <c r="BA734" s="3"/>
      <c r="BG734" s="3"/>
      <c r="BH734" s="3"/>
    </row>
    <row r="735" spans="1:60">
      <c r="A735" s="23" t="s">
        <v>22</v>
      </c>
      <c r="B735" s="23" t="s">
        <v>23</v>
      </c>
      <c r="C735" s="27">
        <v>44047.427083333336</v>
      </c>
      <c r="D735" s="23">
        <v>26.25</v>
      </c>
      <c r="E735" s="27">
        <v>44047.447916666664</v>
      </c>
      <c r="F735" s="23">
        <v>26.45</v>
      </c>
      <c r="G735" s="31">
        <v>7.6E-3</v>
      </c>
      <c r="H735" s="23">
        <v>-383.41</v>
      </c>
      <c r="I735" s="31">
        <v>-7.6E-3</v>
      </c>
      <c r="J735" s="23">
        <v>1917.027</v>
      </c>
      <c r="K735" s="23">
        <v>50321.95</v>
      </c>
      <c r="L735" s="23">
        <v>64007.49</v>
      </c>
      <c r="M735" s="23">
        <v>3</v>
      </c>
      <c r="N735" s="23">
        <v>-127.8</v>
      </c>
      <c r="O735" s="31">
        <v>-7.6E-3</v>
      </c>
      <c r="P735" s="31">
        <v>7.6E-3</v>
      </c>
      <c r="Q735" s="23" t="s">
        <v>24</v>
      </c>
      <c r="R735" s="23">
        <v>0</v>
      </c>
      <c r="S735" s="23">
        <v>26.58</v>
      </c>
      <c r="U735" s="47">
        <f>VLOOKUP(AU735,[1]expiry_dates!$B$2:$C$2894,2,FALSE)</f>
        <v>44070</v>
      </c>
      <c r="V735" s="23" t="s">
        <v>154</v>
      </c>
      <c r="W735" s="23" t="s">
        <v>23</v>
      </c>
      <c r="X735" s="49">
        <v>44047.427083333336</v>
      </c>
      <c r="Y735" s="23">
        <v>1.65</v>
      </c>
      <c r="Z735" s="23">
        <v>44047.447916666664</v>
      </c>
      <c r="AA735" s="23">
        <v>1.8</v>
      </c>
      <c r="AB735" s="23">
        <v>9.0899999999999995E-2</v>
      </c>
      <c r="AC735" s="23">
        <v>-5621.24</v>
      </c>
      <c r="AD735" s="23">
        <v>-9.0899999999999995E-2</v>
      </c>
      <c r="AE735" s="23">
        <v>37474.910000000003</v>
      </c>
      <c r="AF735" s="23">
        <v>61833.599999999999</v>
      </c>
      <c r="AG735" s="23">
        <v>2359103.63</v>
      </c>
      <c r="AH735" s="23">
        <v>3</v>
      </c>
      <c r="AI735" s="23">
        <v>-1873.75</v>
      </c>
      <c r="AJ735" s="23">
        <v>-9.0899999999999995E-2</v>
      </c>
      <c r="AK735" s="23">
        <v>3.0300000000000001E-2</v>
      </c>
      <c r="AL735" s="23" t="s">
        <v>24</v>
      </c>
      <c r="AM735" s="23">
        <v>26.25</v>
      </c>
      <c r="AN735" s="23">
        <v>21377.75</v>
      </c>
      <c r="AO735" s="23">
        <v>26.58</v>
      </c>
      <c r="AP735" s="23">
        <v>0</v>
      </c>
      <c r="AR735" s="46"/>
      <c r="AS735" s="44"/>
      <c r="AT735" s="45"/>
      <c r="AU735" s="2">
        <v>44047</v>
      </c>
      <c r="AV735" s="52">
        <v>0.42708333333333331</v>
      </c>
      <c r="AW735" s="2" t="s">
        <v>212</v>
      </c>
      <c r="AY735" s="3"/>
      <c r="BA735" s="3"/>
      <c r="BG735" s="3"/>
      <c r="BH735" s="3"/>
    </row>
    <row r="736" spans="1:60">
      <c r="A736" s="23" t="s">
        <v>22</v>
      </c>
      <c r="B736" s="23" t="s">
        <v>25</v>
      </c>
      <c r="C736" s="27">
        <v>44047.447916666664</v>
      </c>
      <c r="D736" s="23">
        <v>26.45</v>
      </c>
      <c r="E736" s="27">
        <v>44048.489583333336</v>
      </c>
      <c r="F736" s="23">
        <v>26.8</v>
      </c>
      <c r="G736" s="31">
        <v>1.32E-2</v>
      </c>
      <c r="H736" s="23">
        <v>665.87</v>
      </c>
      <c r="I736" s="31">
        <v>1.32E-2</v>
      </c>
      <c r="J736" s="23">
        <v>1902.4949999999999</v>
      </c>
      <c r="K736" s="23">
        <v>50321</v>
      </c>
      <c r="L736" s="23">
        <v>64673.37</v>
      </c>
      <c r="M736" s="23">
        <v>33</v>
      </c>
      <c r="N736" s="23">
        <v>20.18</v>
      </c>
      <c r="O736" s="31">
        <v>-7.6E-3</v>
      </c>
      <c r="P736" s="31">
        <v>3.2099999999999997E-2</v>
      </c>
      <c r="Q736" s="23" t="s">
        <v>24</v>
      </c>
      <c r="R736" s="23">
        <v>0</v>
      </c>
      <c r="S736" s="23">
        <v>26.05</v>
      </c>
      <c r="U736" s="47">
        <f>VLOOKUP(AU736,[1]expiry_dates!$B$2:$C$2894,2,FALSE)</f>
        <v>44070</v>
      </c>
      <c r="V736" s="23" t="s">
        <v>151</v>
      </c>
      <c r="W736" s="23" t="s">
        <v>23</v>
      </c>
      <c r="X736" s="49">
        <v>44047.447916666664</v>
      </c>
      <c r="Y736" s="23">
        <v>1.55</v>
      </c>
      <c r="Z736" s="23">
        <v>44048.489583333336</v>
      </c>
      <c r="AA736" s="23">
        <v>1.1499999999999999</v>
      </c>
      <c r="AB736" s="23">
        <v>-0.2581</v>
      </c>
      <c r="AC736" s="23">
        <v>15947.23</v>
      </c>
      <c r="AD736" s="23">
        <v>0.2581</v>
      </c>
      <c r="AE736" s="23">
        <v>39868.080000000002</v>
      </c>
      <c r="AF736" s="23">
        <v>61795.519999999997</v>
      </c>
      <c r="AG736" s="23">
        <v>2375050.87</v>
      </c>
      <c r="AH736" s="23">
        <v>33</v>
      </c>
      <c r="AI736" s="23">
        <v>483.25</v>
      </c>
      <c r="AJ736" s="23">
        <v>-3.2300000000000002E-2</v>
      </c>
      <c r="AK736" s="23">
        <v>0.3548</v>
      </c>
      <c r="AL736" s="23" t="s">
        <v>24</v>
      </c>
      <c r="AM736" s="23">
        <v>26.45</v>
      </c>
      <c r="AN736" s="23">
        <v>21405.95</v>
      </c>
      <c r="AO736" s="23">
        <v>26.05</v>
      </c>
      <c r="AP736" s="23">
        <v>0</v>
      </c>
      <c r="AR736" s="46"/>
      <c r="AS736" s="44"/>
      <c r="AT736" s="45"/>
      <c r="AU736" s="2">
        <v>44047</v>
      </c>
      <c r="AV736" s="52">
        <v>0.44791666666666669</v>
      </c>
      <c r="AW736" s="2" t="s">
        <v>212</v>
      </c>
      <c r="AY736" s="3"/>
      <c r="BA736" s="3"/>
      <c r="BG736" s="3"/>
      <c r="BH736" s="3"/>
    </row>
    <row r="737" spans="1:60">
      <c r="A737" s="23" t="s">
        <v>22</v>
      </c>
      <c r="B737" s="23" t="s">
        <v>23</v>
      </c>
      <c r="C737" s="27">
        <v>44048.489583333336</v>
      </c>
      <c r="D737" s="23">
        <v>26.8</v>
      </c>
      <c r="E737" s="27">
        <v>44048.53125</v>
      </c>
      <c r="F737" s="23">
        <v>27.1</v>
      </c>
      <c r="G737" s="31">
        <v>1.12E-2</v>
      </c>
      <c r="H737" s="23">
        <v>-563.34</v>
      </c>
      <c r="I737" s="31">
        <v>-1.12E-2</v>
      </c>
      <c r="J737" s="23">
        <v>1877.809</v>
      </c>
      <c r="K737" s="23">
        <v>50325.27</v>
      </c>
      <c r="L737" s="23">
        <v>64110.03</v>
      </c>
      <c r="M737" s="23">
        <v>5</v>
      </c>
      <c r="N737" s="23">
        <v>-112.67</v>
      </c>
      <c r="O737" s="31">
        <v>-1.3100000000000001E-2</v>
      </c>
      <c r="P737" s="31">
        <v>3.7000000000000002E-3</v>
      </c>
      <c r="Q737" s="23" t="s">
        <v>24</v>
      </c>
      <c r="R737" s="23">
        <v>0</v>
      </c>
      <c r="S737" s="23">
        <v>27.28</v>
      </c>
      <c r="U737" s="47">
        <f>VLOOKUP(AU737,[1]expiry_dates!$B$2:$C$2894,2,FALSE)</f>
        <v>44070</v>
      </c>
      <c r="V737" s="23" t="s">
        <v>154</v>
      </c>
      <c r="W737" s="23" t="s">
        <v>23</v>
      </c>
      <c r="X737" s="49">
        <v>44048.489583333336</v>
      </c>
      <c r="Y737" s="23">
        <v>2.0499999999999998</v>
      </c>
      <c r="Z737" s="23">
        <v>44048.53125</v>
      </c>
      <c r="AA737" s="23">
        <v>2.2000000000000002</v>
      </c>
      <c r="AB737" s="23">
        <v>7.3200000000000001E-2</v>
      </c>
      <c r="AC737" s="23">
        <v>-4528.92</v>
      </c>
      <c r="AD737" s="23">
        <v>-7.3200000000000001E-2</v>
      </c>
      <c r="AE737" s="23">
        <v>30192.78</v>
      </c>
      <c r="AF737" s="23">
        <v>61895.19</v>
      </c>
      <c r="AG737" s="23">
        <v>2370521.9500000002</v>
      </c>
      <c r="AH737" s="23">
        <v>5</v>
      </c>
      <c r="AI737" s="23">
        <v>-905.78</v>
      </c>
      <c r="AJ737" s="23">
        <v>-7.3200000000000001E-2</v>
      </c>
      <c r="AK737" s="23">
        <v>2.4400000000000002E-2</v>
      </c>
      <c r="AL737" s="23" t="s">
        <v>24</v>
      </c>
      <c r="AM737" s="23">
        <v>26.8</v>
      </c>
      <c r="AN737" s="23">
        <v>21498.75</v>
      </c>
      <c r="AO737" s="23">
        <v>27.28</v>
      </c>
      <c r="AP737" s="23">
        <v>0</v>
      </c>
      <c r="AR737" s="46"/>
      <c r="AS737" s="44"/>
      <c r="AT737" s="45"/>
      <c r="AU737" s="2">
        <v>44048</v>
      </c>
      <c r="AV737" s="52">
        <v>0.48958333333333331</v>
      </c>
      <c r="AW737" s="2" t="s">
        <v>212</v>
      </c>
      <c r="AY737" s="3"/>
      <c r="BA737" s="3"/>
      <c r="BG737" s="3"/>
      <c r="BH737" s="3"/>
    </row>
    <row r="738" spans="1:60">
      <c r="A738" s="23" t="s">
        <v>22</v>
      </c>
      <c r="B738" s="23" t="s">
        <v>25</v>
      </c>
      <c r="C738" s="27">
        <v>44048.53125</v>
      </c>
      <c r="D738" s="23">
        <v>27.1</v>
      </c>
      <c r="E738" s="27">
        <v>44048.614583333336</v>
      </c>
      <c r="F738" s="23">
        <v>27</v>
      </c>
      <c r="G738" s="31">
        <v>-3.7000000000000002E-3</v>
      </c>
      <c r="H738" s="23">
        <v>-185.68</v>
      </c>
      <c r="I738" s="31">
        <v>-3.7000000000000002E-3</v>
      </c>
      <c r="J738" s="23">
        <v>1856.847</v>
      </c>
      <c r="K738" s="23">
        <v>50320.55</v>
      </c>
      <c r="L738" s="23">
        <v>63924.34</v>
      </c>
      <c r="M738" s="23">
        <v>9</v>
      </c>
      <c r="N738" s="23">
        <v>-20.63</v>
      </c>
      <c r="O738" s="31">
        <v>-7.4000000000000003E-3</v>
      </c>
      <c r="P738" s="31">
        <v>3.7000000000000002E-3</v>
      </c>
      <c r="Q738" s="23" t="s">
        <v>24</v>
      </c>
      <c r="R738" s="23">
        <v>0</v>
      </c>
      <c r="S738" s="23">
        <v>26.72</v>
      </c>
      <c r="U738" s="47">
        <f>VLOOKUP(AU738,[1]expiry_dates!$B$2:$C$2894,2,FALSE)</f>
        <v>44070</v>
      </c>
      <c r="V738" s="23" t="s">
        <v>164</v>
      </c>
      <c r="W738" s="23" t="s">
        <v>23</v>
      </c>
      <c r="X738" s="49">
        <v>44048.53125</v>
      </c>
      <c r="Y738" s="23">
        <v>0.05</v>
      </c>
      <c r="Z738" s="23">
        <v>44048.614583333336</v>
      </c>
      <c r="AA738" s="23">
        <v>0.05</v>
      </c>
      <c r="AB738" s="23">
        <v>0</v>
      </c>
      <c r="AC738" s="23">
        <v>0</v>
      </c>
      <c r="AD738" s="23">
        <v>0</v>
      </c>
      <c r="AE738" s="23">
        <v>1237354</v>
      </c>
      <c r="AF738" s="23">
        <v>61867.71</v>
      </c>
      <c r="AG738" s="23">
        <v>2370521.9500000002</v>
      </c>
      <c r="AH738" s="23">
        <v>9</v>
      </c>
      <c r="AI738" s="23">
        <v>0</v>
      </c>
      <c r="AJ738" s="23">
        <v>0</v>
      </c>
      <c r="AK738" s="23">
        <v>0</v>
      </c>
      <c r="AL738" s="23" t="s">
        <v>24</v>
      </c>
      <c r="AM738" s="23">
        <v>27.1</v>
      </c>
      <c r="AN738" s="23">
        <v>21634.55</v>
      </c>
      <c r="AO738" s="23">
        <v>26.72</v>
      </c>
      <c r="AP738" s="23">
        <v>0</v>
      </c>
      <c r="AR738" s="46"/>
      <c r="AS738" s="44"/>
      <c r="AT738" s="45"/>
      <c r="AU738" s="2">
        <v>44048</v>
      </c>
      <c r="AV738" s="52">
        <v>0.53125</v>
      </c>
      <c r="AW738" s="2" t="s">
        <v>213</v>
      </c>
      <c r="AY738" s="3"/>
      <c r="BA738" s="3"/>
      <c r="BG738" s="3"/>
      <c r="BH738" s="3"/>
    </row>
    <row r="739" spans="1:60">
      <c r="A739" s="23" t="s">
        <v>22</v>
      </c>
      <c r="B739" s="23" t="s">
        <v>23</v>
      </c>
      <c r="C739" s="27">
        <v>44048.614583333336</v>
      </c>
      <c r="D739" s="23">
        <v>27</v>
      </c>
      <c r="E739" s="27">
        <v>44049.395833333336</v>
      </c>
      <c r="F739" s="23">
        <v>27.1</v>
      </c>
      <c r="G739" s="31">
        <v>3.7000000000000002E-3</v>
      </c>
      <c r="H739" s="23">
        <v>-186.37</v>
      </c>
      <c r="I739" s="31">
        <v>-3.7000000000000002E-3</v>
      </c>
      <c r="J739" s="23">
        <v>1863.69</v>
      </c>
      <c r="K739" s="23">
        <v>50319.62</v>
      </c>
      <c r="L739" s="23">
        <v>63737.97</v>
      </c>
      <c r="M739" s="23">
        <v>8</v>
      </c>
      <c r="N739" s="23">
        <v>-23.3</v>
      </c>
      <c r="O739" s="31">
        <v>-3.7000000000000002E-3</v>
      </c>
      <c r="P739" s="31">
        <v>9.2999999999999992E-3</v>
      </c>
      <c r="Q739" s="23" t="s">
        <v>24</v>
      </c>
      <c r="R739" s="23">
        <v>0</v>
      </c>
      <c r="S739" s="23">
        <v>27.2</v>
      </c>
      <c r="U739" s="47">
        <f>VLOOKUP(AU739,[1]expiry_dates!$B$2:$C$2894,2,FALSE)</f>
        <v>44070</v>
      </c>
      <c r="V739" s="23" t="s">
        <v>174</v>
      </c>
      <c r="W739" s="23" t="s">
        <v>23</v>
      </c>
      <c r="X739" s="49">
        <v>44048.614583333336</v>
      </c>
      <c r="Y739" s="23">
        <v>1.55</v>
      </c>
      <c r="Z739" s="23">
        <v>44049.395833333336</v>
      </c>
      <c r="AA739" s="23">
        <v>1.55</v>
      </c>
      <c r="AB739" s="23">
        <v>0</v>
      </c>
      <c r="AC739" s="23">
        <v>0</v>
      </c>
      <c r="AD739" s="23">
        <v>0</v>
      </c>
      <c r="AE739" s="23">
        <v>39904.910000000003</v>
      </c>
      <c r="AF739" s="23">
        <v>61852.61</v>
      </c>
      <c r="AG739" s="23">
        <v>2370521.9500000002</v>
      </c>
      <c r="AH739" s="23">
        <v>8</v>
      </c>
      <c r="AI739" s="23">
        <v>0</v>
      </c>
      <c r="AJ739" s="23">
        <v>-3.2300000000000002E-2</v>
      </c>
      <c r="AK739" s="23">
        <v>3.2300000000000002E-2</v>
      </c>
      <c r="AL739" s="23" t="s">
        <v>24</v>
      </c>
      <c r="AM739" s="23">
        <v>27</v>
      </c>
      <c r="AN739" s="23">
        <v>21501.1</v>
      </c>
      <c r="AO739" s="23">
        <v>27.2</v>
      </c>
      <c r="AP739" s="23">
        <v>0</v>
      </c>
      <c r="AR739" s="46"/>
      <c r="AS739" s="44"/>
      <c r="AT739" s="45"/>
      <c r="AU739" s="2">
        <v>44048</v>
      </c>
      <c r="AV739" s="52">
        <v>0.11458333333333333</v>
      </c>
      <c r="AW739" s="2" t="s">
        <v>213</v>
      </c>
      <c r="AY739" s="3"/>
      <c r="BA739" s="3"/>
      <c r="BG739" s="3"/>
      <c r="BH739" s="3"/>
    </row>
    <row r="740" spans="1:60">
      <c r="A740" s="23" t="s">
        <v>22</v>
      </c>
      <c r="B740" s="23" t="s">
        <v>25</v>
      </c>
      <c r="C740" s="27">
        <v>44049.395833333336</v>
      </c>
      <c r="D740" s="23">
        <v>27.1</v>
      </c>
      <c r="E740" s="27">
        <v>44049.458333333336</v>
      </c>
      <c r="F740" s="23">
        <v>26.95</v>
      </c>
      <c r="G740" s="31">
        <v>-5.4999999999999997E-3</v>
      </c>
      <c r="H740" s="23">
        <v>-278.52999999999997</v>
      </c>
      <c r="I740" s="31">
        <v>-5.4999999999999997E-3</v>
      </c>
      <c r="J740" s="23">
        <v>1856.847</v>
      </c>
      <c r="K740" s="23">
        <v>50320.55</v>
      </c>
      <c r="L740" s="23">
        <v>63459.44</v>
      </c>
      <c r="M740" s="23">
        <v>7</v>
      </c>
      <c r="N740" s="23">
        <v>-39.79</v>
      </c>
      <c r="O740" s="31">
        <v>-9.1999999999999998E-3</v>
      </c>
      <c r="P740" s="31">
        <v>0</v>
      </c>
      <c r="Q740" s="23" t="s">
        <v>24</v>
      </c>
      <c r="R740" s="23">
        <v>0</v>
      </c>
      <c r="S740" s="23">
        <v>26.76</v>
      </c>
      <c r="U740" s="47">
        <f>VLOOKUP(AU740,[1]expiry_dates!$B$2:$C$2894,2,FALSE)</f>
        <v>44070</v>
      </c>
      <c r="V740" s="23" t="s">
        <v>168</v>
      </c>
      <c r="W740" s="23" t="s">
        <v>23</v>
      </c>
      <c r="X740" s="49">
        <v>44049.395833333336</v>
      </c>
      <c r="Y740" s="23">
        <v>0.25</v>
      </c>
      <c r="Z740" s="23">
        <v>44049.458333333336</v>
      </c>
      <c r="AA740" s="23">
        <v>0.25</v>
      </c>
      <c r="AB740" s="23">
        <v>0</v>
      </c>
      <c r="AC740" s="23">
        <v>0</v>
      </c>
      <c r="AD740" s="23">
        <v>0</v>
      </c>
      <c r="AE740" s="23">
        <v>247370.5</v>
      </c>
      <c r="AF740" s="23">
        <v>61842.63</v>
      </c>
      <c r="AG740" s="23">
        <v>2370521.9500000002</v>
      </c>
      <c r="AH740" s="23">
        <v>7</v>
      </c>
      <c r="AI740" s="23">
        <v>0</v>
      </c>
      <c r="AJ740" s="23">
        <v>0</v>
      </c>
      <c r="AK740" s="23">
        <v>0</v>
      </c>
      <c r="AL740" s="23" t="s">
        <v>24</v>
      </c>
      <c r="AM740" s="23">
        <v>27.1</v>
      </c>
      <c r="AN740" s="23">
        <v>21610.15</v>
      </c>
      <c r="AO740" s="23">
        <v>26.76</v>
      </c>
      <c r="AP740" s="23">
        <v>0</v>
      </c>
      <c r="AR740" s="46"/>
      <c r="AS740" s="44"/>
      <c r="AT740" s="45"/>
      <c r="AU740" s="2">
        <v>44049</v>
      </c>
      <c r="AV740" s="52">
        <v>0.39583333333333331</v>
      </c>
      <c r="AW740" s="2" t="s">
        <v>212</v>
      </c>
      <c r="AY740" s="3"/>
      <c r="BA740" s="3"/>
      <c r="BG740" s="3"/>
      <c r="BH740" s="3"/>
    </row>
    <row r="741" spans="1:60">
      <c r="A741" s="23" t="s">
        <v>22</v>
      </c>
      <c r="B741" s="23" t="s">
        <v>23</v>
      </c>
      <c r="C741" s="27">
        <v>44049.458333333336</v>
      </c>
      <c r="D741" s="23">
        <v>26.95</v>
      </c>
      <c r="E741" s="27">
        <v>44049.489583333336</v>
      </c>
      <c r="F741" s="23">
        <v>27</v>
      </c>
      <c r="G741" s="31">
        <v>1.9E-3</v>
      </c>
      <c r="H741" s="23">
        <v>-93.35</v>
      </c>
      <c r="I741" s="31">
        <v>-1.9E-3</v>
      </c>
      <c r="J741" s="23">
        <v>1867.078</v>
      </c>
      <c r="K741" s="23">
        <v>50317.760000000002</v>
      </c>
      <c r="L741" s="23">
        <v>63366.09</v>
      </c>
      <c r="M741" s="23">
        <v>4</v>
      </c>
      <c r="N741" s="23">
        <v>-23.34</v>
      </c>
      <c r="O741" s="31">
        <v>-1.9E-3</v>
      </c>
      <c r="P741" s="31">
        <v>5.5999999999999999E-3</v>
      </c>
      <c r="Q741" s="23" t="s">
        <v>24</v>
      </c>
      <c r="R741" s="23">
        <v>0</v>
      </c>
      <c r="S741" s="23">
        <v>27.09</v>
      </c>
      <c r="U741" s="47">
        <f>VLOOKUP(AU741,[1]expiry_dates!$B$2:$C$2894,2,FALSE)</f>
        <v>44070</v>
      </c>
      <c r="V741" s="23" t="s">
        <v>175</v>
      </c>
      <c r="W741" s="23" t="s">
        <v>23</v>
      </c>
      <c r="X741" s="49">
        <v>44049.458333333336</v>
      </c>
      <c r="Y741" s="23">
        <v>0.85</v>
      </c>
      <c r="Z741" s="23">
        <v>44049.489583333336</v>
      </c>
      <c r="AA741" s="23">
        <v>0.85</v>
      </c>
      <c r="AB741" s="23">
        <v>0</v>
      </c>
      <c r="AC741" s="23">
        <v>0</v>
      </c>
      <c r="AD741" s="23">
        <v>0</v>
      </c>
      <c r="AE741" s="23">
        <v>72767.77</v>
      </c>
      <c r="AF741" s="23">
        <v>61852.61</v>
      </c>
      <c r="AG741" s="23">
        <v>2370521.9500000002</v>
      </c>
      <c r="AH741" s="23">
        <v>4</v>
      </c>
      <c r="AI741" s="23">
        <v>0</v>
      </c>
      <c r="AJ741" s="23">
        <v>0</v>
      </c>
      <c r="AK741" s="23">
        <v>0</v>
      </c>
      <c r="AL741" s="23" t="s">
        <v>24</v>
      </c>
      <c r="AM741" s="23">
        <v>26.95</v>
      </c>
      <c r="AN741" s="23">
        <v>21530.45</v>
      </c>
      <c r="AO741" s="23">
        <v>27.09</v>
      </c>
      <c r="AP741" s="23">
        <v>0</v>
      </c>
      <c r="AR741" s="46"/>
      <c r="AS741" s="44"/>
      <c r="AT741" s="45"/>
      <c r="AU741" s="2">
        <v>44049</v>
      </c>
      <c r="AV741" s="52">
        <v>0.45833333333333331</v>
      </c>
      <c r="AW741" s="2" t="s">
        <v>212</v>
      </c>
      <c r="AY741" s="3"/>
      <c r="BA741" s="3"/>
      <c r="BG741" s="3"/>
      <c r="BH741" s="3"/>
    </row>
    <row r="742" spans="1:60">
      <c r="A742" s="23" t="s">
        <v>22</v>
      </c>
      <c r="B742" s="23" t="s">
        <v>25</v>
      </c>
      <c r="C742" s="27">
        <v>44049.489583333336</v>
      </c>
      <c r="D742" s="23">
        <v>27</v>
      </c>
      <c r="E742" s="27">
        <v>44049.5</v>
      </c>
      <c r="F742" s="23">
        <v>26.9</v>
      </c>
      <c r="G742" s="31">
        <v>-3.7000000000000002E-3</v>
      </c>
      <c r="H742" s="23">
        <v>-186.36</v>
      </c>
      <c r="I742" s="31">
        <v>-3.7000000000000002E-3</v>
      </c>
      <c r="J742" s="23">
        <v>1863.6210000000001</v>
      </c>
      <c r="K742" s="23">
        <v>50317.760000000002</v>
      </c>
      <c r="L742" s="23">
        <v>63179.73</v>
      </c>
      <c r="M742" s="23">
        <v>2</v>
      </c>
      <c r="N742" s="23">
        <v>-93.18</v>
      </c>
      <c r="O742" s="31">
        <v>-7.4000000000000003E-3</v>
      </c>
      <c r="P742" s="31">
        <v>3.7000000000000002E-3</v>
      </c>
      <c r="Q742" s="23" t="s">
        <v>24</v>
      </c>
      <c r="R742" s="23">
        <v>0</v>
      </c>
      <c r="S742" s="23">
        <v>26.8</v>
      </c>
      <c r="U742" s="47">
        <f>VLOOKUP(AU742,[1]expiry_dates!$B$2:$C$2894,2,FALSE)</f>
        <v>44070</v>
      </c>
      <c r="V742" s="23" t="s">
        <v>172</v>
      </c>
      <c r="W742" s="23" t="s">
        <v>23</v>
      </c>
      <c r="X742" s="49">
        <v>44049.489583333336</v>
      </c>
      <c r="Y742" s="23">
        <v>0.65</v>
      </c>
      <c r="Z742" s="23">
        <v>44049.5</v>
      </c>
      <c r="AA742" s="23">
        <v>0.7</v>
      </c>
      <c r="AB742" s="23">
        <v>7.6899999999999996E-2</v>
      </c>
      <c r="AC742" s="23">
        <v>-4757.8900000000003</v>
      </c>
      <c r="AD742" s="23">
        <v>-7.6899999999999996E-2</v>
      </c>
      <c r="AE742" s="23">
        <v>95157.87</v>
      </c>
      <c r="AF742" s="23">
        <v>61852.61</v>
      </c>
      <c r="AG742" s="23">
        <v>2365764.06</v>
      </c>
      <c r="AH742" s="23">
        <v>2</v>
      </c>
      <c r="AI742" s="23">
        <v>-2378.9499999999998</v>
      </c>
      <c r="AJ742" s="23">
        <v>-7.6899999999999996E-2</v>
      </c>
      <c r="AK742" s="23">
        <v>0</v>
      </c>
      <c r="AL742" s="23" t="s">
        <v>24</v>
      </c>
      <c r="AM742" s="23">
        <v>27</v>
      </c>
      <c r="AN742" s="23">
        <v>21566.7</v>
      </c>
      <c r="AO742" s="23">
        <v>26.8</v>
      </c>
      <c r="AP742" s="23">
        <v>0</v>
      </c>
      <c r="AR742" s="46"/>
      <c r="AS742" s="44"/>
      <c r="AT742" s="45"/>
      <c r="AU742" s="2">
        <v>44049</v>
      </c>
      <c r="AV742" s="52">
        <v>0.48958333333333331</v>
      </c>
      <c r="AW742" s="2" t="s">
        <v>212</v>
      </c>
      <c r="AY742" s="3"/>
      <c r="BA742" s="3"/>
      <c r="BG742" s="3"/>
      <c r="BH742" s="3"/>
    </row>
    <row r="743" spans="1:60">
      <c r="A743" s="23" t="s">
        <v>22</v>
      </c>
      <c r="B743" s="23" t="s">
        <v>23</v>
      </c>
      <c r="C743" s="27">
        <v>44049.5</v>
      </c>
      <c r="D743" s="23">
        <v>26.9</v>
      </c>
      <c r="E743" s="27">
        <v>44049.510416666664</v>
      </c>
      <c r="F743" s="23">
        <v>27.2</v>
      </c>
      <c r="G743" s="31">
        <v>1.12E-2</v>
      </c>
      <c r="H743" s="23">
        <v>-561.15</v>
      </c>
      <c r="I743" s="31">
        <v>-1.12E-2</v>
      </c>
      <c r="J743" s="23">
        <v>1870.5139999999999</v>
      </c>
      <c r="K743" s="23">
        <v>50316.83</v>
      </c>
      <c r="L743" s="23">
        <v>62618.57</v>
      </c>
      <c r="M743" s="23">
        <v>2</v>
      </c>
      <c r="N743" s="23">
        <v>-280.58</v>
      </c>
      <c r="O743" s="31">
        <v>-1.12E-2</v>
      </c>
      <c r="P743" s="31">
        <v>3.7000000000000002E-3</v>
      </c>
      <c r="Q743" s="23" t="s">
        <v>24</v>
      </c>
      <c r="R743" s="23">
        <v>0</v>
      </c>
      <c r="S743" s="23">
        <v>27.09</v>
      </c>
      <c r="U743" s="47">
        <f>VLOOKUP(AU743,[1]expiry_dates!$B$2:$C$2894,2,FALSE)</f>
        <v>44070</v>
      </c>
      <c r="V743" s="23" t="s">
        <v>174</v>
      </c>
      <c r="W743" s="23" t="s">
        <v>23</v>
      </c>
      <c r="X743" s="49">
        <v>44049.5</v>
      </c>
      <c r="Y743" s="23">
        <v>1.45</v>
      </c>
      <c r="Z743" s="23">
        <v>44049.510416666664</v>
      </c>
      <c r="AA743" s="23">
        <v>1.65</v>
      </c>
      <c r="AB743" s="23">
        <v>0.13789999999999999</v>
      </c>
      <c r="AC743" s="23">
        <v>-8531.39</v>
      </c>
      <c r="AD743" s="23">
        <v>-0.13789999999999999</v>
      </c>
      <c r="AE743" s="23">
        <v>42656.97</v>
      </c>
      <c r="AF743" s="23">
        <v>61852.61</v>
      </c>
      <c r="AG743" s="23">
        <v>2357232.66</v>
      </c>
      <c r="AH743" s="23">
        <v>2</v>
      </c>
      <c r="AI743" s="23">
        <v>-4265.7</v>
      </c>
      <c r="AJ743" s="23">
        <v>-0.13789999999999999</v>
      </c>
      <c r="AK743" s="23">
        <v>0</v>
      </c>
      <c r="AL743" s="23" t="s">
        <v>24</v>
      </c>
      <c r="AM743" s="23">
        <v>26.9</v>
      </c>
      <c r="AN743" s="23">
        <v>21474.95</v>
      </c>
      <c r="AO743" s="23">
        <v>27.09</v>
      </c>
      <c r="AP743" s="23">
        <v>0</v>
      </c>
      <c r="AR743" s="46"/>
      <c r="AS743" s="44"/>
      <c r="AT743" s="45"/>
      <c r="AU743" s="2">
        <v>44049</v>
      </c>
      <c r="AV743" s="52">
        <v>0.5</v>
      </c>
      <c r="AW743" s="2" t="s">
        <v>213</v>
      </c>
      <c r="AY743" s="3"/>
      <c r="BA743" s="3"/>
      <c r="BG743" s="3"/>
      <c r="BH743" s="3"/>
    </row>
    <row r="744" spans="1:60">
      <c r="A744" s="23" t="s">
        <v>22</v>
      </c>
      <c r="B744" s="23" t="s">
        <v>25</v>
      </c>
      <c r="C744" s="27">
        <v>44049.510416666664</v>
      </c>
      <c r="D744" s="23">
        <v>27.2</v>
      </c>
      <c r="E744" s="27">
        <v>44049.59375</v>
      </c>
      <c r="F744" s="23">
        <v>26.9</v>
      </c>
      <c r="G744" s="31">
        <v>-1.0999999999999999E-2</v>
      </c>
      <c r="H744" s="23">
        <v>-554.95000000000005</v>
      </c>
      <c r="I744" s="31">
        <v>-1.0999999999999999E-2</v>
      </c>
      <c r="J744" s="23">
        <v>1849.8489999999999</v>
      </c>
      <c r="K744" s="23">
        <v>50315.9</v>
      </c>
      <c r="L744" s="23">
        <v>62063.62</v>
      </c>
      <c r="M744" s="23">
        <v>9</v>
      </c>
      <c r="N744" s="23">
        <v>-61.66</v>
      </c>
      <c r="O744" s="31">
        <v>-1.29E-2</v>
      </c>
      <c r="P744" s="31">
        <v>9.1999999999999998E-3</v>
      </c>
      <c r="Q744" s="23" t="s">
        <v>24</v>
      </c>
      <c r="R744" s="23">
        <v>0</v>
      </c>
      <c r="S744" s="23">
        <v>26.81</v>
      </c>
      <c r="U744" s="47">
        <f>VLOOKUP(AU744,[1]expiry_dates!$B$2:$C$2894,2,FALSE)</f>
        <v>44070</v>
      </c>
      <c r="V744" s="23" t="s">
        <v>168</v>
      </c>
      <c r="W744" s="23" t="s">
        <v>23</v>
      </c>
      <c r="X744" s="49">
        <v>44049.510416666664</v>
      </c>
      <c r="Y744" s="23">
        <v>0.25</v>
      </c>
      <c r="Z744" s="23">
        <v>44049.59375</v>
      </c>
      <c r="AA744" s="23">
        <v>0.25</v>
      </c>
      <c r="AB744" s="23">
        <v>0</v>
      </c>
      <c r="AC744" s="23">
        <v>0</v>
      </c>
      <c r="AD744" s="23">
        <v>0</v>
      </c>
      <c r="AE744" s="23">
        <v>247315.3</v>
      </c>
      <c r="AF744" s="23">
        <v>61828.82</v>
      </c>
      <c r="AG744" s="23">
        <v>2357232.66</v>
      </c>
      <c r="AH744" s="23">
        <v>9</v>
      </c>
      <c r="AI744" s="23">
        <v>0</v>
      </c>
      <c r="AJ744" s="23">
        <v>0</v>
      </c>
      <c r="AK744" s="23">
        <v>0</v>
      </c>
      <c r="AL744" s="23" t="s">
        <v>24</v>
      </c>
      <c r="AM744" s="23">
        <v>27.2</v>
      </c>
      <c r="AN744" s="23">
        <v>21720.85</v>
      </c>
      <c r="AO744" s="23">
        <v>26.81</v>
      </c>
      <c r="AP744" s="23">
        <v>0</v>
      </c>
      <c r="AR744" s="46"/>
      <c r="AS744" s="44"/>
      <c r="AT744" s="45"/>
      <c r="AU744" s="2">
        <v>44049</v>
      </c>
      <c r="AV744" s="52">
        <v>0.51041666666666663</v>
      </c>
      <c r="AW744" s="2" t="s">
        <v>213</v>
      </c>
      <c r="AY744" s="3"/>
      <c r="BA744" s="3"/>
      <c r="BG744" s="3"/>
      <c r="BH744" s="3"/>
    </row>
    <row r="745" spans="1:60">
      <c r="A745" s="23" t="s">
        <v>22</v>
      </c>
      <c r="B745" s="23" t="s">
        <v>23</v>
      </c>
      <c r="C745" s="27">
        <v>44049.59375</v>
      </c>
      <c r="D745" s="23">
        <v>26.9</v>
      </c>
      <c r="E745" s="27">
        <v>44050.40625</v>
      </c>
      <c r="F745" s="23">
        <v>27.15</v>
      </c>
      <c r="G745" s="31">
        <v>9.2999999999999992E-3</v>
      </c>
      <c r="H745" s="23">
        <v>-467.58</v>
      </c>
      <c r="I745" s="31">
        <v>-9.2999999999999992E-3</v>
      </c>
      <c r="J745" s="23">
        <v>1870.3240000000001</v>
      </c>
      <c r="K745" s="23">
        <v>50311.7</v>
      </c>
      <c r="L745" s="23">
        <v>61596.04</v>
      </c>
      <c r="M745" s="23">
        <v>11</v>
      </c>
      <c r="N745" s="23">
        <v>-42.51</v>
      </c>
      <c r="O745" s="31">
        <v>-1.12E-2</v>
      </c>
      <c r="P745" s="31">
        <v>5.5999999999999999E-3</v>
      </c>
      <c r="Q745" s="23" t="s">
        <v>24</v>
      </c>
      <c r="R745" s="23">
        <v>0</v>
      </c>
      <c r="S745" s="23">
        <v>27.43</v>
      </c>
      <c r="U745" s="47">
        <f>VLOOKUP(AU745,[1]expiry_dates!$B$2:$C$2894,2,FALSE)</f>
        <v>44070</v>
      </c>
      <c r="V745" s="23" t="s">
        <v>174</v>
      </c>
      <c r="W745" s="23" t="s">
        <v>23</v>
      </c>
      <c r="X745" s="49">
        <v>44049.59375</v>
      </c>
      <c r="Y745" s="23">
        <v>1.5</v>
      </c>
      <c r="Z745" s="23">
        <v>44050.40625</v>
      </c>
      <c r="AA745" s="23">
        <v>1.6</v>
      </c>
      <c r="AB745" s="23">
        <v>6.6699999999999995E-2</v>
      </c>
      <c r="AC745" s="23">
        <v>-4119.08</v>
      </c>
      <c r="AD745" s="23">
        <v>-6.6699999999999995E-2</v>
      </c>
      <c r="AE745" s="23">
        <v>41190.78</v>
      </c>
      <c r="AF745" s="23">
        <v>61786.16</v>
      </c>
      <c r="AG745" s="23">
        <v>2353113.58</v>
      </c>
      <c r="AH745" s="23">
        <v>11</v>
      </c>
      <c r="AI745" s="23">
        <v>-374.46</v>
      </c>
      <c r="AJ745" s="23">
        <v>-6.6699999999999995E-2</v>
      </c>
      <c r="AK745" s="23">
        <v>0</v>
      </c>
      <c r="AL745" s="23" t="s">
        <v>24</v>
      </c>
      <c r="AM745" s="23">
        <v>26.9</v>
      </c>
      <c r="AN745" s="23">
        <v>21550.9</v>
      </c>
      <c r="AO745" s="23">
        <v>27.43</v>
      </c>
      <c r="AP745" s="23">
        <v>0</v>
      </c>
      <c r="AR745" s="46"/>
      <c r="AS745" s="44"/>
      <c r="AT745" s="45"/>
      <c r="AU745" s="2">
        <v>44049</v>
      </c>
      <c r="AV745" s="52">
        <v>9.375E-2</v>
      </c>
      <c r="AW745" s="2" t="s">
        <v>213</v>
      </c>
      <c r="AY745" s="3"/>
      <c r="BA745" s="3"/>
      <c r="BG745" s="3"/>
      <c r="BH745" s="3"/>
    </row>
    <row r="746" spans="1:60">
      <c r="A746" s="23" t="s">
        <v>22</v>
      </c>
      <c r="B746" s="23" t="s">
        <v>25</v>
      </c>
      <c r="C746" s="27">
        <v>44050.40625</v>
      </c>
      <c r="D746" s="23">
        <v>27.15</v>
      </c>
      <c r="E746" s="27">
        <v>44053.520833333336</v>
      </c>
      <c r="F746" s="23">
        <v>28.35</v>
      </c>
      <c r="G746" s="31">
        <v>4.4200000000000003E-2</v>
      </c>
      <c r="H746" s="23">
        <v>2223.58</v>
      </c>
      <c r="I746" s="31">
        <v>4.4200000000000003E-2</v>
      </c>
      <c r="J746" s="23">
        <v>1852.982</v>
      </c>
      <c r="K746" s="23">
        <v>50308.45</v>
      </c>
      <c r="L746" s="23">
        <v>63819.62</v>
      </c>
      <c r="M746" s="23">
        <v>40</v>
      </c>
      <c r="N746" s="23">
        <v>55.59</v>
      </c>
      <c r="O746" s="31">
        <v>-3.7000000000000002E-3</v>
      </c>
      <c r="P746" s="31">
        <v>5.7099999999999998E-2</v>
      </c>
      <c r="Q746" s="23" t="s">
        <v>24</v>
      </c>
      <c r="R746" s="23">
        <v>0</v>
      </c>
      <c r="S746" s="23">
        <v>26.76</v>
      </c>
      <c r="U746" s="47">
        <f>VLOOKUP(AU746,[1]expiry_dates!$B$2:$C$2894,2,FALSE)</f>
        <v>44070</v>
      </c>
      <c r="V746" s="23" t="s">
        <v>153</v>
      </c>
      <c r="W746" s="23" t="s">
        <v>23</v>
      </c>
      <c r="X746" s="49">
        <v>44050.40625</v>
      </c>
      <c r="Y746" s="23">
        <v>1.4</v>
      </c>
      <c r="Z746" s="23">
        <v>44053.520833333336</v>
      </c>
      <c r="AA746" s="23">
        <v>0.9</v>
      </c>
      <c r="AB746" s="23">
        <v>-0.35709999999999997</v>
      </c>
      <c r="AC746" s="23">
        <v>22059.13</v>
      </c>
      <c r="AD746" s="23">
        <v>0.35709999999999997</v>
      </c>
      <c r="AE746" s="23">
        <v>44118.26</v>
      </c>
      <c r="AF746" s="23">
        <v>61765.57</v>
      </c>
      <c r="AG746" s="23">
        <v>2375172.71</v>
      </c>
      <c r="AH746" s="23">
        <v>40</v>
      </c>
      <c r="AI746" s="23">
        <v>551.48</v>
      </c>
      <c r="AJ746" s="23">
        <v>0</v>
      </c>
      <c r="AK746" s="23">
        <v>0.42859999999999998</v>
      </c>
      <c r="AL746" s="23" t="s">
        <v>24</v>
      </c>
      <c r="AM746" s="23">
        <v>27.15</v>
      </c>
      <c r="AN746" s="23">
        <v>21622.9</v>
      </c>
      <c r="AO746" s="23">
        <v>26.76</v>
      </c>
      <c r="AP746" s="23">
        <v>0</v>
      </c>
      <c r="AR746" s="46"/>
      <c r="AS746" s="44"/>
      <c r="AT746" s="45"/>
      <c r="AU746" s="2">
        <v>44050</v>
      </c>
      <c r="AV746" s="52">
        <v>0.40625</v>
      </c>
      <c r="AW746" s="2" t="s">
        <v>212</v>
      </c>
      <c r="AY746" s="3"/>
      <c r="BA746" s="3"/>
      <c r="BG746" s="3"/>
      <c r="BH746" s="3"/>
    </row>
    <row r="747" spans="1:60">
      <c r="A747" s="23" t="s">
        <v>22</v>
      </c>
      <c r="B747" s="23" t="s">
        <v>23</v>
      </c>
      <c r="C747" s="27">
        <v>44053.520833333336</v>
      </c>
      <c r="D747" s="23">
        <v>28.35</v>
      </c>
      <c r="E747" s="27">
        <v>44053.614583333336</v>
      </c>
      <c r="F747" s="23">
        <v>28.4</v>
      </c>
      <c r="G747" s="31">
        <v>1.8E-3</v>
      </c>
      <c r="H747" s="23">
        <v>-88.75</v>
      </c>
      <c r="I747" s="31">
        <v>-1.8E-3</v>
      </c>
      <c r="J747" s="23">
        <v>1774.9079999999999</v>
      </c>
      <c r="K747" s="23">
        <v>50318.63</v>
      </c>
      <c r="L747" s="23">
        <v>63730.87</v>
      </c>
      <c r="M747" s="23">
        <v>10</v>
      </c>
      <c r="N747" s="23">
        <v>-8.8699999999999992</v>
      </c>
      <c r="O747" s="31">
        <v>-7.1000000000000004E-3</v>
      </c>
      <c r="P747" s="31">
        <v>1.41E-2</v>
      </c>
      <c r="Q747" s="23" t="s">
        <v>24</v>
      </c>
      <c r="R747" s="23">
        <v>0</v>
      </c>
      <c r="S747" s="23">
        <v>28.68</v>
      </c>
      <c r="U747" s="47">
        <f>VLOOKUP(AU747,[1]expiry_dates!$B$2:$C$2894,2,FALSE)</f>
        <v>44070</v>
      </c>
      <c r="V747" s="23" t="s">
        <v>152</v>
      </c>
      <c r="W747" s="23" t="s">
        <v>23</v>
      </c>
      <c r="X747" s="49">
        <v>44053.520833333336</v>
      </c>
      <c r="Y747" s="23">
        <v>1.75</v>
      </c>
      <c r="Z747" s="23">
        <v>44053.614583333336</v>
      </c>
      <c r="AA747" s="23">
        <v>1.8</v>
      </c>
      <c r="AB747" s="23">
        <v>2.86E-2</v>
      </c>
      <c r="AC747" s="23">
        <v>-1767.88</v>
      </c>
      <c r="AD747" s="23">
        <v>-2.86E-2</v>
      </c>
      <c r="AE747" s="23">
        <v>35357.64</v>
      </c>
      <c r="AF747" s="23">
        <v>61875.86</v>
      </c>
      <c r="AG747" s="23">
        <v>2373404.83</v>
      </c>
      <c r="AH747" s="23">
        <v>10</v>
      </c>
      <c r="AI747" s="23">
        <v>-176.79</v>
      </c>
      <c r="AJ747" s="23">
        <v>-8.5699999999999998E-2</v>
      </c>
      <c r="AK747" s="23">
        <v>0.1714</v>
      </c>
      <c r="AL747" s="23" t="s">
        <v>24</v>
      </c>
      <c r="AM747" s="23">
        <v>28.35</v>
      </c>
      <c r="AN747" s="23">
        <v>21961.5</v>
      </c>
      <c r="AO747" s="23">
        <v>28.68</v>
      </c>
      <c r="AP747" s="23">
        <v>0</v>
      </c>
      <c r="AR747" s="46"/>
      <c r="AS747" s="44"/>
      <c r="AT747" s="45"/>
      <c r="AU747" s="2">
        <v>44053</v>
      </c>
      <c r="AV747" s="52">
        <v>0.52083333333333337</v>
      </c>
      <c r="AW747" s="2" t="s">
        <v>213</v>
      </c>
      <c r="AY747" s="3"/>
      <c r="BA747" s="3"/>
      <c r="BG747" s="3"/>
      <c r="BH747" s="3"/>
    </row>
    <row r="748" spans="1:60">
      <c r="A748" s="23" t="s">
        <v>22</v>
      </c>
      <c r="B748" s="23" t="s">
        <v>25</v>
      </c>
      <c r="C748" s="27">
        <v>44053.614583333336</v>
      </c>
      <c r="D748" s="23">
        <v>28.4</v>
      </c>
      <c r="E748" s="27">
        <v>44056.427083333336</v>
      </c>
      <c r="F748" s="23">
        <v>31.25</v>
      </c>
      <c r="G748" s="31">
        <v>0.1004</v>
      </c>
      <c r="H748" s="23">
        <v>5049.67</v>
      </c>
      <c r="I748" s="31">
        <v>0.1004</v>
      </c>
      <c r="J748" s="23">
        <v>1771.8150000000001</v>
      </c>
      <c r="K748" s="23">
        <v>50319.54</v>
      </c>
      <c r="L748" s="23">
        <v>68780.539999999994</v>
      </c>
      <c r="M748" s="23">
        <v>67</v>
      </c>
      <c r="N748" s="23">
        <v>75.37</v>
      </c>
      <c r="O748" s="31">
        <v>-5.3E-3</v>
      </c>
      <c r="P748" s="31">
        <v>0.1144</v>
      </c>
      <c r="Q748" s="23" t="s">
        <v>24</v>
      </c>
      <c r="R748" s="23">
        <v>0</v>
      </c>
      <c r="S748" s="23">
        <v>27.96</v>
      </c>
      <c r="U748" s="47">
        <f>VLOOKUP(AU748,[1]expiry_dates!$B$2:$C$2894,2,FALSE)</f>
        <v>44070</v>
      </c>
      <c r="V748" s="23" t="s">
        <v>173</v>
      </c>
      <c r="W748" s="23" t="s">
        <v>23</v>
      </c>
      <c r="X748" s="49">
        <v>44053.614583333336</v>
      </c>
      <c r="Y748" s="23">
        <v>1.35</v>
      </c>
      <c r="Z748" s="23">
        <v>44056.427083333336</v>
      </c>
      <c r="AA748" s="23">
        <v>0.4</v>
      </c>
      <c r="AB748" s="23">
        <v>-0.70369999999999999</v>
      </c>
      <c r="AC748" s="23">
        <v>43548.49</v>
      </c>
      <c r="AD748" s="23">
        <v>0.70369999999999999</v>
      </c>
      <c r="AE748" s="23">
        <v>45840.52</v>
      </c>
      <c r="AF748" s="23">
        <v>61884.7</v>
      </c>
      <c r="AG748" s="23">
        <v>2416953.33</v>
      </c>
      <c r="AH748" s="23">
        <v>67</v>
      </c>
      <c r="AI748" s="23">
        <v>649.98</v>
      </c>
      <c r="AJ748" s="23">
        <v>-7.4099999999999999E-2</v>
      </c>
      <c r="AK748" s="23">
        <v>0.70369999999999999</v>
      </c>
      <c r="AL748" s="23" t="s">
        <v>24</v>
      </c>
      <c r="AM748" s="23">
        <v>28.4</v>
      </c>
      <c r="AN748" s="23">
        <v>21915</v>
      </c>
      <c r="AO748" s="23">
        <v>27.96</v>
      </c>
      <c r="AP748" s="23">
        <v>0</v>
      </c>
      <c r="AR748" s="46"/>
      <c r="AS748" s="44"/>
      <c r="AT748" s="45"/>
      <c r="AU748" s="2">
        <v>44053</v>
      </c>
      <c r="AV748" s="52">
        <v>0.11458333333333333</v>
      </c>
      <c r="AW748" s="2" t="s">
        <v>213</v>
      </c>
      <c r="AY748" s="3"/>
      <c r="BA748" s="3"/>
      <c r="BG748" s="3"/>
      <c r="BH748" s="3"/>
    </row>
    <row r="749" spans="1:60">
      <c r="A749" s="23" t="s">
        <v>22</v>
      </c>
      <c r="B749" s="23" t="s">
        <v>23</v>
      </c>
      <c r="C749" s="27">
        <v>44056.427083333336</v>
      </c>
      <c r="D749" s="23">
        <v>31.25</v>
      </c>
      <c r="E749" s="27">
        <v>44056.479166666664</v>
      </c>
      <c r="F749" s="23">
        <v>31.2</v>
      </c>
      <c r="G749" s="31">
        <v>-1.6000000000000001E-3</v>
      </c>
      <c r="H749" s="23">
        <v>80.55</v>
      </c>
      <c r="I749" s="31">
        <v>1.6000000000000001E-3</v>
      </c>
      <c r="J749" s="23">
        <v>1610.962</v>
      </c>
      <c r="K749" s="23">
        <v>50342.57</v>
      </c>
      <c r="L749" s="23">
        <v>68861.09</v>
      </c>
      <c r="M749" s="23">
        <v>6</v>
      </c>
      <c r="N749" s="23">
        <v>13.42</v>
      </c>
      <c r="O749" s="31">
        <v>-6.4000000000000003E-3</v>
      </c>
      <c r="P749" s="31">
        <v>1.12E-2</v>
      </c>
      <c r="Q749" s="23" t="s">
        <v>24</v>
      </c>
      <c r="R749" s="23">
        <v>0</v>
      </c>
      <c r="S749" s="23">
        <v>31.62</v>
      </c>
      <c r="U749" s="47">
        <f>VLOOKUP(AU749,[1]expiry_dates!$B$2:$C$2894,2,FALSE)</f>
        <v>44070</v>
      </c>
      <c r="V749" s="23" t="s">
        <v>176</v>
      </c>
      <c r="W749" s="23" t="s">
        <v>23</v>
      </c>
      <c r="X749" s="49">
        <v>44056.427083333336</v>
      </c>
      <c r="Y749" s="23">
        <v>1.6</v>
      </c>
      <c r="Z749" s="23">
        <v>44056.479166666664</v>
      </c>
      <c r="AA749" s="23">
        <v>1.6</v>
      </c>
      <c r="AB749" s="23">
        <v>0</v>
      </c>
      <c r="AC749" s="23">
        <v>0</v>
      </c>
      <c r="AD749" s="23">
        <v>0</v>
      </c>
      <c r="AE749" s="23">
        <v>38795.82</v>
      </c>
      <c r="AF749" s="23">
        <v>62073.31</v>
      </c>
      <c r="AG749" s="23">
        <v>2416953.33</v>
      </c>
      <c r="AH749" s="23">
        <v>6</v>
      </c>
      <c r="AI749" s="23">
        <v>0</v>
      </c>
      <c r="AJ749" s="23">
        <v>-9.3700000000000006E-2</v>
      </c>
      <c r="AK749" s="23">
        <v>6.25E-2</v>
      </c>
      <c r="AL749" s="23" t="s">
        <v>24</v>
      </c>
      <c r="AM749" s="23">
        <v>31.25</v>
      </c>
      <c r="AN749" s="23">
        <v>22375.15</v>
      </c>
      <c r="AO749" s="23">
        <v>31.62</v>
      </c>
      <c r="AP749" s="23">
        <v>0</v>
      </c>
      <c r="AR749" s="46"/>
      <c r="AS749" s="44"/>
      <c r="AT749" s="45"/>
      <c r="AU749" s="2">
        <v>44056</v>
      </c>
      <c r="AV749" s="52">
        <v>0.42708333333333331</v>
      </c>
      <c r="AW749" s="2" t="s">
        <v>212</v>
      </c>
      <c r="AY749" s="3"/>
      <c r="BA749" s="3"/>
      <c r="BG749" s="3"/>
      <c r="BH749" s="3"/>
    </row>
    <row r="750" spans="1:60">
      <c r="A750" s="23" t="s">
        <v>22</v>
      </c>
      <c r="B750" s="23" t="s">
        <v>25</v>
      </c>
      <c r="C750" s="27">
        <v>44056.479166666664</v>
      </c>
      <c r="D750" s="23">
        <v>31.2</v>
      </c>
      <c r="E750" s="27">
        <v>44056.510416666664</v>
      </c>
      <c r="F750" s="23">
        <v>31</v>
      </c>
      <c r="G750" s="31">
        <v>-6.4000000000000003E-3</v>
      </c>
      <c r="H750" s="23">
        <v>-322.70999999999998</v>
      </c>
      <c r="I750" s="31">
        <v>-6.4000000000000003E-3</v>
      </c>
      <c r="J750" s="23">
        <v>1613.548</v>
      </c>
      <c r="K750" s="23">
        <v>50342.7</v>
      </c>
      <c r="L750" s="23">
        <v>68538.38</v>
      </c>
      <c r="M750" s="23">
        <v>4</v>
      </c>
      <c r="N750" s="23">
        <v>-80.680000000000007</v>
      </c>
      <c r="O750" s="31">
        <v>-6.4000000000000003E-3</v>
      </c>
      <c r="P750" s="31">
        <v>8.0000000000000002E-3</v>
      </c>
      <c r="Q750" s="23" t="s">
        <v>24</v>
      </c>
      <c r="R750" s="23">
        <v>0</v>
      </c>
      <c r="S750" s="23">
        <v>30.91</v>
      </c>
      <c r="U750" s="47">
        <f>VLOOKUP(AU750,[1]expiry_dates!$B$2:$C$2894,2,FALSE)</f>
        <v>44070</v>
      </c>
      <c r="V750" s="23" t="s">
        <v>177</v>
      </c>
      <c r="W750" s="23" t="s">
        <v>23</v>
      </c>
      <c r="X750" s="49">
        <v>44056.479166666664</v>
      </c>
      <c r="Y750" s="23">
        <v>1.35</v>
      </c>
      <c r="Z750" s="23">
        <v>44056.510416666664</v>
      </c>
      <c r="AA750" s="23">
        <v>1.6</v>
      </c>
      <c r="AB750" s="23">
        <v>0.1852</v>
      </c>
      <c r="AC750" s="23">
        <v>-11491.79</v>
      </c>
      <c r="AD750" s="23">
        <v>-0.1852</v>
      </c>
      <c r="AE750" s="23">
        <v>45967.16</v>
      </c>
      <c r="AF750" s="23">
        <v>62055.67</v>
      </c>
      <c r="AG750" s="23">
        <v>2405461.54</v>
      </c>
      <c r="AH750" s="23">
        <v>4</v>
      </c>
      <c r="AI750" s="23">
        <v>-2872.95</v>
      </c>
      <c r="AJ750" s="23">
        <v>-0.1852</v>
      </c>
      <c r="AK750" s="23">
        <v>3.6999999999999998E-2</v>
      </c>
      <c r="AL750" s="23" t="s">
        <v>24</v>
      </c>
      <c r="AM750" s="23">
        <v>31.2</v>
      </c>
      <c r="AN750" s="23">
        <v>22285.85</v>
      </c>
      <c r="AO750" s="23">
        <v>30.91</v>
      </c>
      <c r="AP750" s="23">
        <v>0</v>
      </c>
      <c r="AR750" s="46"/>
      <c r="AS750" s="44"/>
      <c r="AT750" s="45"/>
      <c r="AU750" s="2">
        <v>44056</v>
      </c>
      <c r="AV750" s="52">
        <v>0.47916666666666669</v>
      </c>
      <c r="AW750" s="2" t="s">
        <v>212</v>
      </c>
      <c r="AY750" s="3"/>
      <c r="BA750" s="3"/>
      <c r="BG750" s="3"/>
      <c r="BH750" s="3"/>
    </row>
    <row r="751" spans="1:60">
      <c r="A751" s="23" t="s">
        <v>22</v>
      </c>
      <c r="B751" s="23" t="s">
        <v>23</v>
      </c>
      <c r="C751" s="27">
        <v>44056.510416666664</v>
      </c>
      <c r="D751" s="23">
        <v>31</v>
      </c>
      <c r="E751" s="27">
        <v>44056.572916666664</v>
      </c>
      <c r="F751" s="23">
        <v>31.3</v>
      </c>
      <c r="G751" s="31">
        <v>9.7000000000000003E-3</v>
      </c>
      <c r="H751" s="23">
        <v>-487.2</v>
      </c>
      <c r="I751" s="31">
        <v>-9.7000000000000003E-3</v>
      </c>
      <c r="J751" s="23">
        <v>1624.01</v>
      </c>
      <c r="K751" s="23">
        <v>50344.3</v>
      </c>
      <c r="L751" s="23">
        <v>68051.179999999993</v>
      </c>
      <c r="M751" s="23">
        <v>7</v>
      </c>
      <c r="N751" s="23">
        <v>-69.599999999999994</v>
      </c>
      <c r="O751" s="31">
        <v>-9.7000000000000003E-3</v>
      </c>
      <c r="P751" s="31">
        <v>6.4999999999999997E-3</v>
      </c>
      <c r="Q751" s="23" t="s">
        <v>24</v>
      </c>
      <c r="R751" s="23">
        <v>0</v>
      </c>
      <c r="S751" s="23">
        <v>31.43</v>
      </c>
      <c r="U751" s="47">
        <f>VLOOKUP(AU751,[1]expiry_dates!$B$2:$C$2894,2,FALSE)</f>
        <v>44070</v>
      </c>
      <c r="V751" s="23" t="s">
        <v>176</v>
      </c>
      <c r="W751" s="23" t="s">
        <v>23</v>
      </c>
      <c r="X751" s="49">
        <v>44056.510416666664</v>
      </c>
      <c r="Y751" s="23">
        <v>1.45</v>
      </c>
      <c r="Z751" s="23">
        <v>44056.572916666664</v>
      </c>
      <c r="AA751" s="23">
        <v>1.7</v>
      </c>
      <c r="AB751" s="23">
        <v>0.1724</v>
      </c>
      <c r="AC751" s="23">
        <v>-10700.31</v>
      </c>
      <c r="AD751" s="23">
        <v>-0.1724</v>
      </c>
      <c r="AE751" s="23">
        <v>42801.23</v>
      </c>
      <c r="AF751" s="23">
        <v>62061.78</v>
      </c>
      <c r="AG751" s="23">
        <v>2394761.23</v>
      </c>
      <c r="AH751" s="23">
        <v>7</v>
      </c>
      <c r="AI751" s="23">
        <v>-1528.62</v>
      </c>
      <c r="AJ751" s="23">
        <v>-0.1724</v>
      </c>
      <c r="AK751" s="23">
        <v>3.4500000000000003E-2</v>
      </c>
      <c r="AL751" s="23" t="s">
        <v>24</v>
      </c>
      <c r="AM751" s="23">
        <v>31</v>
      </c>
      <c r="AN751" s="23">
        <v>22214.400000000001</v>
      </c>
      <c r="AO751" s="23">
        <v>31.43</v>
      </c>
      <c r="AP751" s="23">
        <v>0</v>
      </c>
      <c r="AR751" s="46"/>
      <c r="AS751" s="44"/>
      <c r="AT751" s="45"/>
      <c r="AU751" s="2">
        <v>44056</v>
      </c>
      <c r="AV751" s="52">
        <v>0.51041666666666663</v>
      </c>
      <c r="AW751" s="2" t="s">
        <v>213</v>
      </c>
      <c r="AY751" s="3"/>
      <c r="BA751" s="3"/>
      <c r="BG751" s="3"/>
      <c r="BH751" s="3"/>
    </row>
    <row r="752" spans="1:60">
      <c r="A752" s="23" t="s">
        <v>22</v>
      </c>
      <c r="B752" s="23" t="s">
        <v>25</v>
      </c>
      <c r="C752" s="27">
        <v>44056.572916666664</v>
      </c>
      <c r="D752" s="23">
        <v>31.3</v>
      </c>
      <c r="E752" s="27">
        <v>44057.40625</v>
      </c>
      <c r="F752" s="23">
        <v>31.35</v>
      </c>
      <c r="G752" s="31">
        <v>1.6000000000000001E-3</v>
      </c>
      <c r="H752" s="23">
        <v>80.42</v>
      </c>
      <c r="I752" s="31">
        <v>1.6000000000000001E-3</v>
      </c>
      <c r="J752" s="23">
        <v>1608.3409999999999</v>
      </c>
      <c r="K752" s="23">
        <v>50341.07</v>
      </c>
      <c r="L752" s="23">
        <v>68131.600000000006</v>
      </c>
      <c r="M752" s="23">
        <v>13</v>
      </c>
      <c r="N752" s="23">
        <v>6.19</v>
      </c>
      <c r="O752" s="31">
        <v>-8.0000000000000002E-3</v>
      </c>
      <c r="P752" s="31">
        <v>1.2800000000000001E-2</v>
      </c>
      <c r="Q752" s="23" t="s">
        <v>24</v>
      </c>
      <c r="R752" s="23">
        <v>0</v>
      </c>
      <c r="S752" s="23">
        <v>30.82</v>
      </c>
      <c r="U752" s="47">
        <f>VLOOKUP(AU752,[1]expiry_dates!$B$2:$C$2894,2,FALSE)</f>
        <v>44070</v>
      </c>
      <c r="V752" s="23" t="s">
        <v>138</v>
      </c>
      <c r="W752" s="23" t="s">
        <v>23</v>
      </c>
      <c r="X752" s="49">
        <v>44056.572916666664</v>
      </c>
      <c r="Y752" s="23">
        <v>0.9</v>
      </c>
      <c r="Z752" s="23">
        <v>44057.40625</v>
      </c>
      <c r="AA752" s="23">
        <v>0.95</v>
      </c>
      <c r="AB752" s="23">
        <v>5.5599999999999997E-2</v>
      </c>
      <c r="AC752" s="23">
        <v>-3444.18</v>
      </c>
      <c r="AD752" s="23">
        <v>-5.5599999999999997E-2</v>
      </c>
      <c r="AE752" s="23">
        <v>68883.56</v>
      </c>
      <c r="AF752" s="23">
        <v>61995.199999999997</v>
      </c>
      <c r="AG752" s="23">
        <v>2391317.0499999998</v>
      </c>
      <c r="AH752" s="23">
        <v>13</v>
      </c>
      <c r="AI752" s="23">
        <v>-264.94</v>
      </c>
      <c r="AJ752" s="23">
        <v>-0.1111</v>
      </c>
      <c r="AK752" s="23">
        <v>0.1111</v>
      </c>
      <c r="AL752" s="23" t="s">
        <v>24</v>
      </c>
      <c r="AM752" s="23">
        <v>31.3</v>
      </c>
      <c r="AN752" s="23">
        <v>22286.05</v>
      </c>
      <c r="AO752" s="23">
        <v>30.82</v>
      </c>
      <c r="AP752" s="23">
        <v>0</v>
      </c>
      <c r="AR752" s="46"/>
      <c r="AS752" s="44"/>
      <c r="AT752" s="45"/>
      <c r="AU752" s="2">
        <v>44056</v>
      </c>
      <c r="AV752" s="52">
        <v>7.2916666666666671E-2</v>
      </c>
      <c r="AW752" s="2" t="s">
        <v>213</v>
      </c>
      <c r="AY752" s="3"/>
      <c r="BA752" s="3"/>
      <c r="BG752" s="3"/>
      <c r="BH752" s="3"/>
    </row>
    <row r="753" spans="1:60">
      <c r="A753" s="23" t="s">
        <v>22</v>
      </c>
      <c r="B753" s="23" t="s">
        <v>23</v>
      </c>
      <c r="C753" s="27">
        <v>44057.40625</v>
      </c>
      <c r="D753" s="23">
        <v>31.35</v>
      </c>
      <c r="E753" s="27">
        <v>44060.625</v>
      </c>
      <c r="F753" s="23">
        <v>29.5</v>
      </c>
      <c r="G753" s="31">
        <v>-5.8999999999999997E-2</v>
      </c>
      <c r="H753" s="23">
        <v>2970.61</v>
      </c>
      <c r="I753" s="31">
        <v>5.8999999999999997E-2</v>
      </c>
      <c r="J753" s="23">
        <v>1605.7370000000001</v>
      </c>
      <c r="K753" s="23">
        <v>50339.86</v>
      </c>
      <c r="L753" s="23">
        <v>71102.210000000006</v>
      </c>
      <c r="M753" s="23">
        <v>50</v>
      </c>
      <c r="N753" s="23">
        <v>59.41</v>
      </c>
      <c r="O753" s="31">
        <v>0</v>
      </c>
      <c r="P753" s="31">
        <v>7.4999999999999997E-2</v>
      </c>
      <c r="Q753" s="23" t="s">
        <v>24</v>
      </c>
      <c r="R753" s="23">
        <v>0</v>
      </c>
      <c r="S753" s="23">
        <v>31.68</v>
      </c>
      <c r="U753" s="47">
        <f>VLOOKUP(AU753,[1]expiry_dates!$B$2:$C$2894,2,FALSE)</f>
        <v>44070</v>
      </c>
      <c r="V753" s="23" t="s">
        <v>176</v>
      </c>
      <c r="W753" s="23" t="s">
        <v>23</v>
      </c>
      <c r="X753" s="49">
        <v>44057.40625</v>
      </c>
      <c r="Y753" s="23">
        <v>1.7</v>
      </c>
      <c r="Z753" s="23">
        <v>44060.625</v>
      </c>
      <c r="AA753" s="23">
        <v>0.8</v>
      </c>
      <c r="AB753" s="23">
        <v>-0.52939999999999998</v>
      </c>
      <c r="AC753" s="23">
        <v>32818.78</v>
      </c>
      <c r="AD753" s="23">
        <v>0.52939999999999998</v>
      </c>
      <c r="AE753" s="23">
        <v>36465.31</v>
      </c>
      <c r="AF753" s="23">
        <v>61991.03</v>
      </c>
      <c r="AG753" s="23">
        <v>2424135.83</v>
      </c>
      <c r="AH753" s="23">
        <v>50</v>
      </c>
      <c r="AI753" s="23">
        <v>656.38</v>
      </c>
      <c r="AJ753" s="23">
        <v>0</v>
      </c>
      <c r="AK753" s="23">
        <v>0.64710000000000001</v>
      </c>
      <c r="AL753" s="23" t="s">
        <v>24</v>
      </c>
      <c r="AM753" s="23">
        <v>31.35</v>
      </c>
      <c r="AN753" s="23">
        <v>22206.400000000001</v>
      </c>
      <c r="AO753" s="23">
        <v>31.68</v>
      </c>
      <c r="AP753" s="23">
        <v>0</v>
      </c>
      <c r="AR753" s="46"/>
      <c r="AS753" s="44"/>
      <c r="AT753" s="45"/>
      <c r="AU753" s="2">
        <v>44057</v>
      </c>
      <c r="AV753" s="52">
        <v>0.40625</v>
      </c>
      <c r="AW753" s="2" t="s">
        <v>212</v>
      </c>
      <c r="AY753" s="3"/>
      <c r="BA753" s="3"/>
      <c r="BG753" s="3"/>
      <c r="BH753" s="3"/>
    </row>
    <row r="754" spans="1:60">
      <c r="A754" s="23" t="s">
        <v>22</v>
      </c>
      <c r="B754" s="23" t="s">
        <v>25</v>
      </c>
      <c r="C754" s="27">
        <v>44060.625</v>
      </c>
      <c r="D754" s="23">
        <v>29.5</v>
      </c>
      <c r="E754" s="27">
        <v>44062.520833333336</v>
      </c>
      <c r="F754" s="23">
        <v>31.25</v>
      </c>
      <c r="G754" s="31">
        <v>5.9299999999999999E-2</v>
      </c>
      <c r="H754" s="23">
        <v>2987.29</v>
      </c>
      <c r="I754" s="31">
        <v>5.9299999999999999E-2</v>
      </c>
      <c r="J754" s="23">
        <v>1707.021</v>
      </c>
      <c r="K754" s="23">
        <v>50357.120000000003</v>
      </c>
      <c r="L754" s="23">
        <v>74089.5</v>
      </c>
      <c r="M754" s="23">
        <v>47</v>
      </c>
      <c r="N754" s="23">
        <v>63.56</v>
      </c>
      <c r="O754" s="31">
        <v>-6.7999999999999996E-3</v>
      </c>
      <c r="P754" s="31">
        <v>7.9699999999999993E-2</v>
      </c>
      <c r="Q754" s="23" t="s">
        <v>24</v>
      </c>
      <c r="R754" s="23">
        <v>0</v>
      </c>
      <c r="S754" s="23">
        <v>29.01</v>
      </c>
      <c r="U754" s="47">
        <f>VLOOKUP(AU754,[1]expiry_dates!$B$2:$C$2894,2,FALSE)</f>
        <v>44070</v>
      </c>
      <c r="V754" s="23" t="s">
        <v>178</v>
      </c>
      <c r="W754" s="23" t="s">
        <v>23</v>
      </c>
      <c r="X754" s="49">
        <v>44060.625</v>
      </c>
      <c r="Y754" s="23">
        <v>1.05</v>
      </c>
      <c r="Z754" s="23">
        <v>44062.520833333336</v>
      </c>
      <c r="AA754" s="23">
        <v>0.45</v>
      </c>
      <c r="AB754" s="23">
        <v>-0.57140000000000002</v>
      </c>
      <c r="AC754" s="23">
        <v>35502.74</v>
      </c>
      <c r="AD754" s="23">
        <v>0.57140000000000002</v>
      </c>
      <c r="AE754" s="23">
        <v>59171.24</v>
      </c>
      <c r="AF754" s="23">
        <v>62129.8</v>
      </c>
      <c r="AG754" s="23">
        <v>2459638.5699999998</v>
      </c>
      <c r="AH754" s="23">
        <v>47</v>
      </c>
      <c r="AI754" s="23">
        <v>755.38</v>
      </c>
      <c r="AJ754" s="23">
        <v>0</v>
      </c>
      <c r="AK754" s="23">
        <v>0.66669999999999996</v>
      </c>
      <c r="AL754" s="23" t="s">
        <v>24</v>
      </c>
      <c r="AM754" s="23">
        <v>29.5</v>
      </c>
      <c r="AN754" s="23">
        <v>21695.8</v>
      </c>
      <c r="AO754" s="23">
        <v>29.01</v>
      </c>
      <c r="AP754" s="23">
        <v>0</v>
      </c>
      <c r="AR754" s="46"/>
      <c r="AS754" s="44"/>
      <c r="AT754" s="45"/>
      <c r="AU754" s="2">
        <v>44060</v>
      </c>
      <c r="AV754" s="52">
        <v>0.125</v>
      </c>
      <c r="AW754" s="2" t="s">
        <v>213</v>
      </c>
      <c r="AY754" s="3"/>
      <c r="BA754" s="3"/>
      <c r="BG754" s="3"/>
      <c r="BH754" s="3"/>
    </row>
    <row r="755" spans="1:60">
      <c r="A755" s="23" t="s">
        <v>22</v>
      </c>
      <c r="B755" s="23" t="s">
        <v>23</v>
      </c>
      <c r="C755" s="27">
        <v>44062.520833333336</v>
      </c>
      <c r="D755" s="23">
        <v>31.25</v>
      </c>
      <c r="E755" s="27">
        <v>44063.489583333336</v>
      </c>
      <c r="F755" s="23">
        <v>31.2</v>
      </c>
      <c r="G755" s="31">
        <v>-1.6000000000000001E-3</v>
      </c>
      <c r="H755" s="23">
        <v>80.59</v>
      </c>
      <c r="I755" s="31">
        <v>1.6000000000000001E-3</v>
      </c>
      <c r="J755" s="23">
        <v>1611.827</v>
      </c>
      <c r="K755" s="23">
        <v>50369.59</v>
      </c>
      <c r="L755" s="23">
        <v>74170.09</v>
      </c>
      <c r="M755" s="23">
        <v>26</v>
      </c>
      <c r="N755" s="23">
        <v>3.1</v>
      </c>
      <c r="O755" s="31">
        <v>-1.12E-2</v>
      </c>
      <c r="P755" s="31">
        <v>3.04E-2</v>
      </c>
      <c r="Q755" s="23" t="s">
        <v>24</v>
      </c>
      <c r="R755" s="23">
        <v>0</v>
      </c>
      <c r="S755" s="23">
        <v>31.82</v>
      </c>
      <c r="U755" s="47">
        <f>VLOOKUP(AU755,[1]expiry_dates!$B$2:$C$2894,2,FALSE)</f>
        <v>44070</v>
      </c>
      <c r="V755" s="23" t="s">
        <v>176</v>
      </c>
      <c r="W755" s="23" t="s">
        <v>23</v>
      </c>
      <c r="X755" s="49">
        <v>44062.520833333336</v>
      </c>
      <c r="Y755" s="23">
        <v>1.4</v>
      </c>
      <c r="Z755" s="23">
        <v>44063.489583333336</v>
      </c>
      <c r="AA755" s="23">
        <v>1.3</v>
      </c>
      <c r="AB755" s="23">
        <v>-7.1400000000000005E-2</v>
      </c>
      <c r="AC755" s="23">
        <v>4449.87</v>
      </c>
      <c r="AD755" s="23">
        <v>7.1400000000000005E-2</v>
      </c>
      <c r="AE755" s="23">
        <v>44498.71</v>
      </c>
      <c r="AF755" s="23">
        <v>62298.2</v>
      </c>
      <c r="AG755" s="23">
        <v>2464088.44</v>
      </c>
      <c r="AH755" s="23">
        <v>26</v>
      </c>
      <c r="AI755" s="23">
        <v>171.15</v>
      </c>
      <c r="AJ755" s="23">
        <v>-0.1429</v>
      </c>
      <c r="AK755" s="23">
        <v>0.32140000000000002</v>
      </c>
      <c r="AL755" s="23" t="s">
        <v>24</v>
      </c>
      <c r="AM755" s="23">
        <v>31.25</v>
      </c>
      <c r="AN755" s="23">
        <v>22353.65</v>
      </c>
      <c r="AO755" s="23">
        <v>31.82</v>
      </c>
      <c r="AP755" s="23">
        <v>0</v>
      </c>
      <c r="AR755" s="46"/>
      <c r="AS755" s="44"/>
      <c r="AT755" s="45"/>
      <c r="AU755" s="2">
        <v>44062</v>
      </c>
      <c r="AV755" s="52">
        <v>0.52083333333333337</v>
      </c>
      <c r="AW755" s="2" t="s">
        <v>213</v>
      </c>
      <c r="AY755" s="3"/>
      <c r="BA755" s="3"/>
      <c r="BG755" s="3"/>
      <c r="BH755" s="3"/>
    </row>
    <row r="756" spans="1:60">
      <c r="A756" s="23" t="s">
        <v>22</v>
      </c>
      <c r="B756" s="23" t="s">
        <v>25</v>
      </c>
      <c r="C756" s="27">
        <v>44063.489583333336</v>
      </c>
      <c r="D756" s="23">
        <v>31.2</v>
      </c>
      <c r="E756" s="27">
        <v>44063.625</v>
      </c>
      <c r="F756" s="23">
        <v>30.95</v>
      </c>
      <c r="G756" s="31">
        <v>-8.0000000000000002E-3</v>
      </c>
      <c r="H756" s="23">
        <v>-403.64</v>
      </c>
      <c r="I756" s="31">
        <v>-8.0000000000000002E-3</v>
      </c>
      <c r="J756" s="23">
        <v>1614.5409999999999</v>
      </c>
      <c r="K756" s="23">
        <v>50373.67</v>
      </c>
      <c r="L756" s="23">
        <v>73766.45</v>
      </c>
      <c r="M756" s="23">
        <v>14</v>
      </c>
      <c r="N756" s="23">
        <v>-28.83</v>
      </c>
      <c r="O756" s="31">
        <v>-1.44E-2</v>
      </c>
      <c r="P756" s="31">
        <v>6.4000000000000003E-3</v>
      </c>
      <c r="Q756" s="23" t="s">
        <v>24</v>
      </c>
      <c r="R756" s="23">
        <v>0</v>
      </c>
      <c r="S756" s="23">
        <v>30.33</v>
      </c>
      <c r="U756" s="47">
        <f>VLOOKUP(AU756,[1]expiry_dates!$B$2:$C$2894,2,FALSE)</f>
        <v>44070</v>
      </c>
      <c r="V756" s="23" t="s">
        <v>177</v>
      </c>
      <c r="W756" s="23" t="s">
        <v>23</v>
      </c>
      <c r="X756" s="49">
        <v>44063.489583333336</v>
      </c>
      <c r="Y756" s="23">
        <v>1.1000000000000001</v>
      </c>
      <c r="Z756" s="23">
        <v>44063.625</v>
      </c>
      <c r="AA756" s="23">
        <v>1.1499999999999999</v>
      </c>
      <c r="AB756" s="23">
        <v>4.5499999999999999E-2</v>
      </c>
      <c r="AC756" s="23">
        <v>-2835.28</v>
      </c>
      <c r="AD756" s="23">
        <v>-4.5499999999999999E-2</v>
      </c>
      <c r="AE756" s="23">
        <v>56705.51</v>
      </c>
      <c r="AF756" s="23">
        <v>62376.06</v>
      </c>
      <c r="AG756" s="23">
        <v>2461253.17</v>
      </c>
      <c r="AH756" s="23">
        <v>14</v>
      </c>
      <c r="AI756" s="23">
        <v>-202.52</v>
      </c>
      <c r="AJ756" s="23">
        <v>-0.18179999999999999</v>
      </c>
      <c r="AK756" s="23">
        <v>9.0899999999999995E-2</v>
      </c>
      <c r="AL756" s="23" t="s">
        <v>24</v>
      </c>
      <c r="AM756" s="23">
        <v>31.2</v>
      </c>
      <c r="AN756" s="23">
        <v>22064.35</v>
      </c>
      <c r="AO756" s="23">
        <v>30.33</v>
      </c>
      <c r="AP756" s="23">
        <v>0</v>
      </c>
      <c r="AR756" s="46"/>
      <c r="AS756" s="44"/>
      <c r="AT756" s="45"/>
      <c r="AU756" s="2">
        <v>44063</v>
      </c>
      <c r="AV756" s="52">
        <v>0.48958333333333331</v>
      </c>
      <c r="AW756" s="2" t="s">
        <v>212</v>
      </c>
      <c r="AY756" s="3"/>
      <c r="BA756" s="3"/>
      <c r="BG756" s="3"/>
      <c r="BH756" s="3"/>
    </row>
    <row r="757" spans="1:60">
      <c r="A757" s="23" t="s">
        <v>22</v>
      </c>
      <c r="B757" s="23" t="s">
        <v>23</v>
      </c>
      <c r="C757" s="27">
        <v>44063.625</v>
      </c>
      <c r="D757" s="23">
        <v>30.95</v>
      </c>
      <c r="E757" s="27">
        <v>44064.385416666664</v>
      </c>
      <c r="F757" s="23">
        <v>31.25</v>
      </c>
      <c r="G757" s="31">
        <v>9.7000000000000003E-3</v>
      </c>
      <c r="H757" s="23">
        <v>-488.23</v>
      </c>
      <c r="I757" s="31">
        <v>-9.7000000000000003E-3</v>
      </c>
      <c r="J757" s="23">
        <v>1627.4390000000001</v>
      </c>
      <c r="K757" s="23">
        <v>50369.24</v>
      </c>
      <c r="L757" s="23">
        <v>73278.22</v>
      </c>
      <c r="M757" s="23">
        <v>6</v>
      </c>
      <c r="N757" s="23">
        <v>-81.37</v>
      </c>
      <c r="O757" s="31">
        <v>-1.1299999999999999E-2</v>
      </c>
      <c r="P757" s="31">
        <v>3.2000000000000002E-3</v>
      </c>
      <c r="Q757" s="23" t="s">
        <v>24</v>
      </c>
      <c r="R757" s="23">
        <v>0</v>
      </c>
      <c r="S757" s="23">
        <v>31.39</v>
      </c>
      <c r="U757" s="47">
        <f>VLOOKUP(AU757,[1]expiry_dates!$B$2:$C$2894,2,FALSE)</f>
        <v>44070</v>
      </c>
      <c r="V757" s="23" t="s">
        <v>176</v>
      </c>
      <c r="W757" s="23" t="s">
        <v>23</v>
      </c>
      <c r="X757" s="49">
        <v>44063.625</v>
      </c>
      <c r="Y757" s="23">
        <v>1.1000000000000001</v>
      </c>
      <c r="Z757" s="23">
        <v>44064.385416666664</v>
      </c>
      <c r="AA757" s="23">
        <v>1.2</v>
      </c>
      <c r="AB757" s="23">
        <v>9.0899999999999995E-2</v>
      </c>
      <c r="AC757" s="23">
        <v>-5664.21</v>
      </c>
      <c r="AD757" s="23">
        <v>-9.0899999999999995E-2</v>
      </c>
      <c r="AE757" s="23">
        <v>56642.06</v>
      </c>
      <c r="AF757" s="23">
        <v>62306.27</v>
      </c>
      <c r="AG757" s="23">
        <v>2455588.96</v>
      </c>
      <c r="AH757" s="23">
        <v>6</v>
      </c>
      <c r="AI757" s="23">
        <v>-944.03</v>
      </c>
      <c r="AJ757" s="23">
        <v>-0.13639999999999999</v>
      </c>
      <c r="AK757" s="23">
        <v>0</v>
      </c>
      <c r="AL757" s="23" t="s">
        <v>24</v>
      </c>
      <c r="AM757" s="23">
        <v>30.95</v>
      </c>
      <c r="AN757" s="23">
        <v>21991</v>
      </c>
      <c r="AO757" s="23">
        <v>31.39</v>
      </c>
      <c r="AP757" s="23">
        <v>0</v>
      </c>
      <c r="AR757" s="46"/>
      <c r="AS757" s="44"/>
      <c r="AT757" s="45"/>
      <c r="AU757" s="2">
        <v>44063</v>
      </c>
      <c r="AV757" s="52">
        <v>0.125</v>
      </c>
      <c r="AW757" s="2" t="s">
        <v>213</v>
      </c>
      <c r="AY757" s="3"/>
      <c r="BA757" s="3"/>
      <c r="BG757" s="3"/>
      <c r="BH757" s="3"/>
    </row>
    <row r="758" spans="1:60">
      <c r="A758" s="23" t="s">
        <v>22</v>
      </c>
      <c r="B758" s="23" t="s">
        <v>25</v>
      </c>
      <c r="C758" s="27">
        <v>44064.385416666664</v>
      </c>
      <c r="D758" s="23">
        <v>31.25</v>
      </c>
      <c r="E758" s="27">
        <v>44064.510416666664</v>
      </c>
      <c r="F758" s="23">
        <v>31.15</v>
      </c>
      <c r="G758" s="31">
        <v>-3.2000000000000002E-3</v>
      </c>
      <c r="H758" s="23">
        <v>-161.16999999999999</v>
      </c>
      <c r="I758" s="31">
        <v>-3.2000000000000002E-3</v>
      </c>
      <c r="J758" s="23">
        <v>1611.712</v>
      </c>
      <c r="K758" s="23">
        <v>50365.98</v>
      </c>
      <c r="L758" s="23">
        <v>73117.05</v>
      </c>
      <c r="M758" s="23">
        <v>13</v>
      </c>
      <c r="N758" s="23">
        <v>-12.4</v>
      </c>
      <c r="O758" s="31">
        <v>-4.7999999999999996E-3</v>
      </c>
      <c r="P758" s="31">
        <v>6.4000000000000003E-3</v>
      </c>
      <c r="Q758" s="23" t="s">
        <v>24</v>
      </c>
      <c r="R758" s="23">
        <v>0</v>
      </c>
      <c r="S758" s="23">
        <v>30.87</v>
      </c>
      <c r="U758" s="47">
        <f>VLOOKUP(AU758,[1]expiry_dates!$B$2:$C$2894,2,FALSE)</f>
        <v>44070</v>
      </c>
      <c r="V758" s="23" t="s">
        <v>138</v>
      </c>
      <c r="W758" s="23" t="s">
        <v>23</v>
      </c>
      <c r="X758" s="49">
        <v>44064.385416666664</v>
      </c>
      <c r="Y758" s="23">
        <v>0.55000000000000004</v>
      </c>
      <c r="Z758" s="23">
        <v>44064.510416666664</v>
      </c>
      <c r="AA758" s="23">
        <v>0.5</v>
      </c>
      <c r="AB758" s="23">
        <v>-9.0899999999999995E-2</v>
      </c>
      <c r="AC758" s="23">
        <v>5664.21</v>
      </c>
      <c r="AD758" s="23">
        <v>9.0899999999999995E-2</v>
      </c>
      <c r="AE758" s="23">
        <v>113284.1</v>
      </c>
      <c r="AF758" s="23">
        <v>62306.27</v>
      </c>
      <c r="AG758" s="23">
        <v>2461253.17</v>
      </c>
      <c r="AH758" s="23">
        <v>13</v>
      </c>
      <c r="AI758" s="23">
        <v>435.71</v>
      </c>
      <c r="AJ758" s="23">
        <v>-9.0899999999999995E-2</v>
      </c>
      <c r="AK758" s="23">
        <v>0.2727</v>
      </c>
      <c r="AL758" s="23" t="s">
        <v>24</v>
      </c>
      <c r="AM758" s="23">
        <v>31.25</v>
      </c>
      <c r="AN758" s="23">
        <v>22279.85</v>
      </c>
      <c r="AO758" s="23">
        <v>30.87</v>
      </c>
      <c r="AP758" s="23">
        <v>0</v>
      </c>
      <c r="AR758" s="46"/>
      <c r="AS758" s="44"/>
      <c r="AT758" s="45"/>
      <c r="AU758" s="2">
        <v>44064</v>
      </c>
      <c r="AV758" s="52">
        <v>0.38541666666666669</v>
      </c>
      <c r="AW758" s="2" t="s">
        <v>212</v>
      </c>
      <c r="AY758" s="3"/>
      <c r="BA758" s="3"/>
      <c r="BG758" s="3"/>
      <c r="BH758" s="3"/>
    </row>
    <row r="759" spans="1:60">
      <c r="A759" s="23" t="s">
        <v>22</v>
      </c>
      <c r="B759" s="23" t="s">
        <v>23</v>
      </c>
      <c r="C759" s="27">
        <v>44064.510416666664</v>
      </c>
      <c r="D759" s="23">
        <v>31.15</v>
      </c>
      <c r="E759" s="27">
        <v>44064.552083333336</v>
      </c>
      <c r="F759" s="23">
        <v>31.35</v>
      </c>
      <c r="G759" s="31">
        <v>6.4000000000000003E-3</v>
      </c>
      <c r="H759" s="23">
        <v>-323.38</v>
      </c>
      <c r="I759" s="31">
        <v>-6.4000000000000003E-3</v>
      </c>
      <c r="J759" s="23">
        <v>1616.8989999999999</v>
      </c>
      <c r="K759" s="23">
        <v>50366.39</v>
      </c>
      <c r="L759" s="23">
        <v>72793.67</v>
      </c>
      <c r="M759" s="23">
        <v>5</v>
      </c>
      <c r="N759" s="23">
        <v>-64.680000000000007</v>
      </c>
      <c r="O759" s="31">
        <v>-6.4000000000000003E-3</v>
      </c>
      <c r="P759" s="31">
        <v>1.6000000000000001E-3</v>
      </c>
      <c r="Q759" s="23" t="s">
        <v>24</v>
      </c>
      <c r="R759" s="23">
        <v>0</v>
      </c>
      <c r="S759" s="23">
        <v>31.45</v>
      </c>
      <c r="U759" s="47">
        <f>VLOOKUP(AU759,[1]expiry_dates!$B$2:$C$2894,2,FALSE)</f>
        <v>44070</v>
      </c>
      <c r="V759" s="23" t="s">
        <v>176</v>
      </c>
      <c r="W759" s="23" t="s">
        <v>23</v>
      </c>
      <c r="X759" s="49">
        <v>44064.510416666664</v>
      </c>
      <c r="Y759" s="23">
        <v>1.1000000000000001</v>
      </c>
      <c r="Z759" s="23">
        <v>44064.552083333336</v>
      </c>
      <c r="AA759" s="23">
        <v>1.2</v>
      </c>
      <c r="AB759" s="23">
        <v>9.0899999999999995E-2</v>
      </c>
      <c r="AC759" s="23">
        <v>-5666.78</v>
      </c>
      <c r="AD759" s="23">
        <v>-9.0899999999999995E-2</v>
      </c>
      <c r="AE759" s="23">
        <v>56667.8</v>
      </c>
      <c r="AF759" s="23">
        <v>62334.59</v>
      </c>
      <c r="AG759" s="23">
        <v>2455586.39</v>
      </c>
      <c r="AH759" s="23">
        <v>5</v>
      </c>
      <c r="AI759" s="23">
        <v>-1133.3599999999999</v>
      </c>
      <c r="AJ759" s="23">
        <v>-9.0899999999999995E-2</v>
      </c>
      <c r="AK759" s="23">
        <v>4.5499999999999999E-2</v>
      </c>
      <c r="AL759" s="23" t="s">
        <v>24</v>
      </c>
      <c r="AM759" s="23">
        <v>31.15</v>
      </c>
      <c r="AN759" s="23">
        <v>22280.85</v>
      </c>
      <c r="AO759" s="23">
        <v>31.45</v>
      </c>
      <c r="AP759" s="23">
        <v>0</v>
      </c>
      <c r="AR759" s="46"/>
      <c r="AS759" s="44"/>
      <c r="AT759" s="45"/>
      <c r="AU759" s="2">
        <v>44064</v>
      </c>
      <c r="AV759" s="52">
        <v>0.51041666666666663</v>
      </c>
      <c r="AW759" s="2" t="s">
        <v>213</v>
      </c>
      <c r="AY759" s="3"/>
      <c r="BA759" s="3"/>
      <c r="BG759" s="3"/>
      <c r="BH759" s="3"/>
    </row>
    <row r="760" spans="1:60">
      <c r="A760" s="23" t="s">
        <v>22</v>
      </c>
      <c r="B760" s="23" t="s">
        <v>25</v>
      </c>
      <c r="C760" s="27">
        <v>44064.552083333336</v>
      </c>
      <c r="D760" s="23">
        <v>31.35</v>
      </c>
      <c r="E760" s="27">
        <v>44064.604166666664</v>
      </c>
      <c r="F760" s="23">
        <v>31.15</v>
      </c>
      <c r="G760" s="31">
        <v>-6.4000000000000003E-3</v>
      </c>
      <c r="H760" s="23">
        <v>-321.31</v>
      </c>
      <c r="I760" s="31">
        <v>-6.4000000000000003E-3</v>
      </c>
      <c r="J760" s="23">
        <v>1606.5319999999999</v>
      </c>
      <c r="K760" s="23">
        <v>50364.78</v>
      </c>
      <c r="L760" s="23">
        <v>72472.36</v>
      </c>
      <c r="M760" s="23">
        <v>6</v>
      </c>
      <c r="N760" s="23">
        <v>-53.55</v>
      </c>
      <c r="O760" s="31">
        <v>-6.4000000000000003E-3</v>
      </c>
      <c r="P760" s="31">
        <v>1.6000000000000001E-3</v>
      </c>
      <c r="Q760" s="23" t="s">
        <v>24</v>
      </c>
      <c r="R760" s="23">
        <v>0</v>
      </c>
      <c r="S760" s="23">
        <v>31.11</v>
      </c>
      <c r="U760" s="47">
        <f>VLOOKUP(AU760,[1]expiry_dates!$B$2:$C$2894,2,FALSE)</f>
        <v>44070</v>
      </c>
      <c r="V760" s="23" t="s">
        <v>138</v>
      </c>
      <c r="W760" s="23" t="s">
        <v>23</v>
      </c>
      <c r="X760" s="49">
        <v>44064.552083333336</v>
      </c>
      <c r="Y760" s="23">
        <v>0.4</v>
      </c>
      <c r="Z760" s="23">
        <v>44064.604166666664</v>
      </c>
      <c r="AA760" s="23">
        <v>0.45</v>
      </c>
      <c r="AB760" s="23">
        <v>0.125</v>
      </c>
      <c r="AC760" s="23">
        <v>-7790.05</v>
      </c>
      <c r="AD760" s="23">
        <v>-0.125</v>
      </c>
      <c r="AE760" s="23">
        <v>155801.1</v>
      </c>
      <c r="AF760" s="23">
        <v>62320.43</v>
      </c>
      <c r="AG760" s="23">
        <v>2447796.33</v>
      </c>
      <c r="AH760" s="23">
        <v>6</v>
      </c>
      <c r="AI760" s="23">
        <v>-1298.3399999999999</v>
      </c>
      <c r="AJ760" s="23">
        <v>-0.125</v>
      </c>
      <c r="AK760" s="23">
        <v>0.125</v>
      </c>
      <c r="AL760" s="23" t="s">
        <v>24</v>
      </c>
      <c r="AM760" s="23">
        <v>31.35</v>
      </c>
      <c r="AN760" s="23">
        <v>22318.15</v>
      </c>
      <c r="AO760" s="23">
        <v>31.11</v>
      </c>
      <c r="AP760" s="23">
        <v>0</v>
      </c>
      <c r="AR760" s="46"/>
      <c r="AS760" s="44"/>
      <c r="AT760" s="45"/>
      <c r="AU760" s="2">
        <v>44064</v>
      </c>
      <c r="AV760" s="52">
        <v>5.2083333333333336E-2</v>
      </c>
      <c r="AW760" s="2" t="s">
        <v>213</v>
      </c>
      <c r="AY760" s="3"/>
      <c r="BA760" s="3"/>
      <c r="BG760" s="3"/>
      <c r="BH760" s="3"/>
    </row>
    <row r="761" spans="1:60">
      <c r="A761" s="23" t="s">
        <v>22</v>
      </c>
      <c r="B761" s="23" t="s">
        <v>23</v>
      </c>
      <c r="C761" s="27">
        <v>44064.604166666664</v>
      </c>
      <c r="D761" s="23">
        <v>31.15</v>
      </c>
      <c r="E761" s="27">
        <v>44067.385416666664</v>
      </c>
      <c r="F761" s="23">
        <v>31.25</v>
      </c>
      <c r="G761" s="31">
        <v>3.2000000000000002E-3</v>
      </c>
      <c r="H761" s="23">
        <v>-161.68</v>
      </c>
      <c r="I761" s="31">
        <v>-3.2000000000000002E-3</v>
      </c>
      <c r="J761" s="23">
        <v>1616.7819999999999</v>
      </c>
      <c r="K761" s="23">
        <v>50362.76</v>
      </c>
      <c r="L761" s="23">
        <v>72310.69</v>
      </c>
      <c r="M761" s="23">
        <v>8</v>
      </c>
      <c r="N761" s="23">
        <v>-20.21</v>
      </c>
      <c r="O761" s="31">
        <v>-3.2000000000000002E-3</v>
      </c>
      <c r="P761" s="31">
        <v>1.12E-2</v>
      </c>
      <c r="Q761" s="23" t="s">
        <v>24</v>
      </c>
      <c r="R761" s="23">
        <v>0</v>
      </c>
      <c r="S761" s="23">
        <v>31.39</v>
      </c>
      <c r="U761" s="47">
        <f>VLOOKUP(AU761,[1]expiry_dates!$B$2:$C$2894,2,FALSE)</f>
        <v>44070</v>
      </c>
      <c r="V761" s="23" t="s">
        <v>176</v>
      </c>
      <c r="W761" s="23" t="s">
        <v>23</v>
      </c>
      <c r="X761" s="49">
        <v>44064.604166666664</v>
      </c>
      <c r="Y761" s="23">
        <v>1</v>
      </c>
      <c r="Z761" s="23">
        <v>44067.385416666664</v>
      </c>
      <c r="AA761" s="23">
        <v>0.9</v>
      </c>
      <c r="AB761" s="23">
        <v>-0.1</v>
      </c>
      <c r="AC761" s="23">
        <v>6227.79</v>
      </c>
      <c r="AD761" s="23">
        <v>0.1</v>
      </c>
      <c r="AE761" s="23">
        <v>62277.93</v>
      </c>
      <c r="AF761" s="23">
        <v>62277.93</v>
      </c>
      <c r="AG761" s="23">
        <v>2454024.13</v>
      </c>
      <c r="AH761" s="23">
        <v>8</v>
      </c>
      <c r="AI761" s="23">
        <v>778.47</v>
      </c>
      <c r="AJ761" s="23">
        <v>-0.1</v>
      </c>
      <c r="AK761" s="23">
        <v>0.3</v>
      </c>
      <c r="AL761" s="23" t="s">
        <v>24</v>
      </c>
      <c r="AM761" s="23">
        <v>31.15</v>
      </c>
      <c r="AN761" s="23">
        <v>22310.55</v>
      </c>
      <c r="AO761" s="23">
        <v>31.39</v>
      </c>
      <c r="AP761" s="23">
        <v>0</v>
      </c>
      <c r="AR761" s="46"/>
      <c r="AS761" s="44"/>
      <c r="AT761" s="45"/>
      <c r="AU761" s="2">
        <v>44064</v>
      </c>
      <c r="AV761" s="52">
        <v>0.10416666666666667</v>
      </c>
      <c r="AW761" s="2" t="s">
        <v>213</v>
      </c>
      <c r="AY761" s="3"/>
      <c r="BA761" s="3"/>
      <c r="BG761" s="3"/>
      <c r="BH761" s="3"/>
    </row>
    <row r="762" spans="1:60">
      <c r="A762" s="23" t="s">
        <v>22</v>
      </c>
      <c r="B762" s="23" t="s">
        <v>25</v>
      </c>
      <c r="C762" s="27">
        <v>44067.385416666664</v>
      </c>
      <c r="D762" s="23">
        <v>31.25</v>
      </c>
      <c r="E762" s="27">
        <v>44067.479166666664</v>
      </c>
      <c r="F762" s="23">
        <v>31.15</v>
      </c>
      <c r="G762" s="31">
        <v>-3.2000000000000002E-3</v>
      </c>
      <c r="H762" s="23">
        <v>-161.16</v>
      </c>
      <c r="I762" s="31">
        <v>-3.2000000000000002E-3</v>
      </c>
      <c r="J762" s="23">
        <v>1611.5830000000001</v>
      </c>
      <c r="K762" s="23">
        <v>50361.96</v>
      </c>
      <c r="L762" s="23">
        <v>72149.53</v>
      </c>
      <c r="M762" s="23">
        <v>10</v>
      </c>
      <c r="N762" s="23">
        <v>-16.12</v>
      </c>
      <c r="O762" s="31">
        <v>-8.0000000000000002E-3</v>
      </c>
      <c r="P762" s="31">
        <v>4.7999999999999996E-3</v>
      </c>
      <c r="Q762" s="23" t="s">
        <v>24</v>
      </c>
      <c r="R762" s="23">
        <v>0</v>
      </c>
      <c r="S762" s="23">
        <v>30.82</v>
      </c>
      <c r="U762" s="47">
        <f>VLOOKUP(AU762,[1]expiry_dates!$B$2:$C$2894,2,FALSE)</f>
        <v>44070</v>
      </c>
      <c r="V762" s="23" t="s">
        <v>138</v>
      </c>
      <c r="W762" s="23" t="s">
        <v>23</v>
      </c>
      <c r="X762" s="49">
        <v>44067.385416666664</v>
      </c>
      <c r="Y762" s="23">
        <v>0.25</v>
      </c>
      <c r="Z762" s="23">
        <v>44067.479166666664</v>
      </c>
      <c r="AA762" s="23">
        <v>0.25</v>
      </c>
      <c r="AB762" s="23">
        <v>0</v>
      </c>
      <c r="AC762" s="23">
        <v>0</v>
      </c>
      <c r="AD762" s="23">
        <v>0</v>
      </c>
      <c r="AE762" s="23">
        <v>249267.3</v>
      </c>
      <c r="AF762" s="23">
        <v>62316.83</v>
      </c>
      <c r="AG762" s="23">
        <v>2454024.13</v>
      </c>
      <c r="AH762" s="23">
        <v>10</v>
      </c>
      <c r="AI762" s="23">
        <v>0</v>
      </c>
      <c r="AJ762" s="23">
        <v>-0.4</v>
      </c>
      <c r="AK762" s="23">
        <v>0</v>
      </c>
      <c r="AL762" s="23" t="s">
        <v>24</v>
      </c>
      <c r="AM762" s="23">
        <v>31.25</v>
      </c>
      <c r="AN762" s="23">
        <v>22592.45</v>
      </c>
      <c r="AO762" s="23">
        <v>30.82</v>
      </c>
      <c r="AP762" s="23">
        <v>0</v>
      </c>
      <c r="AR762" s="46"/>
      <c r="AS762" s="44"/>
      <c r="AT762" s="45"/>
      <c r="AU762" s="2">
        <v>44067</v>
      </c>
      <c r="AV762" s="52">
        <v>0.38541666666666669</v>
      </c>
      <c r="AW762" s="2" t="s">
        <v>212</v>
      </c>
      <c r="AY762" s="3"/>
      <c r="BA762" s="3"/>
      <c r="BG762" s="3"/>
      <c r="BH762" s="3"/>
    </row>
    <row r="763" spans="1:60">
      <c r="A763" s="23" t="s">
        <v>22</v>
      </c>
      <c r="B763" s="23" t="s">
        <v>23</v>
      </c>
      <c r="C763" s="27">
        <v>44067.479166666664</v>
      </c>
      <c r="D763" s="23">
        <v>31.15</v>
      </c>
      <c r="E763" s="27">
        <v>44067.5</v>
      </c>
      <c r="F763" s="23">
        <v>31.3</v>
      </c>
      <c r="G763" s="31">
        <v>4.7999999999999996E-3</v>
      </c>
      <c r="H763" s="23">
        <v>-242.51</v>
      </c>
      <c r="I763" s="31">
        <v>-4.7999999999999996E-3</v>
      </c>
      <c r="J763" s="23">
        <v>1616.7170000000001</v>
      </c>
      <c r="K763" s="23">
        <v>50360.75</v>
      </c>
      <c r="L763" s="23">
        <v>71907.02</v>
      </c>
      <c r="M763" s="23">
        <v>3</v>
      </c>
      <c r="N763" s="23">
        <v>-80.84</v>
      </c>
      <c r="O763" s="31">
        <v>-4.7999999999999996E-3</v>
      </c>
      <c r="P763" s="31">
        <v>3.2000000000000002E-3</v>
      </c>
      <c r="Q763" s="23" t="s">
        <v>24</v>
      </c>
      <c r="R763" s="23">
        <v>0</v>
      </c>
      <c r="S763" s="23">
        <v>31.39</v>
      </c>
      <c r="U763" s="47">
        <f>VLOOKUP(AU763,[1]expiry_dates!$B$2:$C$2894,2,FALSE)</f>
        <v>44070</v>
      </c>
      <c r="V763" s="23" t="s">
        <v>176</v>
      </c>
      <c r="W763" s="23" t="s">
        <v>23</v>
      </c>
      <c r="X763" s="49">
        <v>44067.479166666664</v>
      </c>
      <c r="Y763" s="23">
        <v>0.75</v>
      </c>
      <c r="Z763" s="23">
        <v>44067.5</v>
      </c>
      <c r="AA763" s="23">
        <v>0.85</v>
      </c>
      <c r="AB763" s="23">
        <v>0.1333</v>
      </c>
      <c r="AC763" s="23">
        <v>-8302.68</v>
      </c>
      <c r="AD763" s="23">
        <v>-0.1333</v>
      </c>
      <c r="AE763" s="23">
        <v>83026.83</v>
      </c>
      <c r="AF763" s="23">
        <v>62270.12</v>
      </c>
      <c r="AG763" s="23">
        <v>2445721.44</v>
      </c>
      <c r="AH763" s="23">
        <v>3</v>
      </c>
      <c r="AI763" s="23">
        <v>-2767.56</v>
      </c>
      <c r="AJ763" s="23">
        <v>-0.1333</v>
      </c>
      <c r="AK763" s="23">
        <v>0</v>
      </c>
      <c r="AL763" s="23" t="s">
        <v>24</v>
      </c>
      <c r="AM763" s="23">
        <v>31.15</v>
      </c>
      <c r="AN763" s="23">
        <v>22703.200000000001</v>
      </c>
      <c r="AO763" s="23">
        <v>31.39</v>
      </c>
      <c r="AP763" s="23">
        <v>0</v>
      </c>
      <c r="AR763" s="46"/>
      <c r="AS763" s="44"/>
      <c r="AT763" s="45"/>
      <c r="AU763" s="2">
        <v>44067</v>
      </c>
      <c r="AV763" s="52">
        <v>0.47916666666666669</v>
      </c>
      <c r="AW763" s="2" t="s">
        <v>212</v>
      </c>
      <c r="AY763" s="3"/>
      <c r="BA763" s="3"/>
      <c r="BG763" s="3"/>
      <c r="BH763" s="3"/>
    </row>
    <row r="764" spans="1:60">
      <c r="A764" s="23" t="s">
        <v>22</v>
      </c>
      <c r="B764" s="23" t="s">
        <v>25</v>
      </c>
      <c r="C764" s="27">
        <v>44067.5</v>
      </c>
      <c r="D764" s="23">
        <v>31.3</v>
      </c>
      <c r="E764" s="27">
        <v>44068.4375</v>
      </c>
      <c r="F764" s="23">
        <v>31.95</v>
      </c>
      <c r="G764" s="31">
        <v>2.0799999999999999E-2</v>
      </c>
      <c r="H764" s="23">
        <v>1045.81</v>
      </c>
      <c r="I764" s="31">
        <v>2.0799999999999999E-2</v>
      </c>
      <c r="J764" s="23">
        <v>1608.944</v>
      </c>
      <c r="K764" s="23">
        <v>50359.94</v>
      </c>
      <c r="L764" s="23">
        <v>72952.83</v>
      </c>
      <c r="M764" s="23">
        <v>23</v>
      </c>
      <c r="N764" s="23">
        <v>45.47</v>
      </c>
      <c r="O764" s="31">
        <v>-3.2000000000000002E-3</v>
      </c>
      <c r="P764" s="31">
        <v>5.2699999999999997E-2</v>
      </c>
      <c r="Q764" s="23" t="s">
        <v>24</v>
      </c>
      <c r="R764" s="23">
        <v>0</v>
      </c>
      <c r="S764" s="23">
        <v>31.06</v>
      </c>
      <c r="U764" s="47">
        <f>VLOOKUP(AU764,[1]expiry_dates!$B$2:$C$2894,2,FALSE)</f>
        <v>44070</v>
      </c>
      <c r="V764" s="23" t="s">
        <v>138</v>
      </c>
      <c r="W764" s="23" t="s">
        <v>23</v>
      </c>
      <c r="X764" s="49">
        <v>44067.5</v>
      </c>
      <c r="Y764" s="23">
        <v>0.2</v>
      </c>
      <c r="Z764" s="23">
        <v>44068.4375</v>
      </c>
      <c r="AA764" s="23">
        <v>0.1</v>
      </c>
      <c r="AB764" s="23">
        <v>-0.5</v>
      </c>
      <c r="AC764" s="23">
        <v>31135.06</v>
      </c>
      <c r="AD764" s="23">
        <v>0.5</v>
      </c>
      <c r="AE764" s="23">
        <v>311350.59999999998</v>
      </c>
      <c r="AF764" s="23">
        <v>62270.12</v>
      </c>
      <c r="AG764" s="23">
        <v>2476856.5</v>
      </c>
      <c r="AH764" s="23">
        <v>23</v>
      </c>
      <c r="AI764" s="23">
        <v>1353.7</v>
      </c>
      <c r="AJ764" s="23">
        <v>-0.25</v>
      </c>
      <c r="AK764" s="23">
        <v>0.75</v>
      </c>
      <c r="AL764" s="23" t="s">
        <v>24</v>
      </c>
      <c r="AM764" s="23">
        <v>31.3</v>
      </c>
      <c r="AN764" s="23">
        <v>22767.599999999999</v>
      </c>
      <c r="AO764" s="23">
        <v>31.06</v>
      </c>
      <c r="AP764" s="23">
        <v>0</v>
      </c>
      <c r="AR764" s="46"/>
      <c r="AS764" s="44"/>
      <c r="AT764" s="45"/>
      <c r="AU764" s="2">
        <v>44067</v>
      </c>
      <c r="AV764" s="52">
        <v>0.5</v>
      </c>
      <c r="AW764" s="2" t="s">
        <v>213</v>
      </c>
      <c r="AY764" s="3"/>
      <c r="BA764" s="3"/>
      <c r="BG764" s="3"/>
      <c r="BH764" s="3"/>
    </row>
    <row r="765" spans="1:60">
      <c r="A765" s="23" t="s">
        <v>22</v>
      </c>
      <c r="B765" s="23" t="s">
        <v>23</v>
      </c>
      <c r="C765" s="27">
        <v>44068.4375</v>
      </c>
      <c r="D765" s="23">
        <v>31.95</v>
      </c>
      <c r="E765" s="27">
        <v>44068.635416666664</v>
      </c>
      <c r="F765" s="23">
        <v>32.200000000000003</v>
      </c>
      <c r="G765" s="31">
        <v>7.7999999999999996E-3</v>
      </c>
      <c r="H765" s="23">
        <v>-394.12</v>
      </c>
      <c r="I765" s="31">
        <v>-7.7999999999999996E-3</v>
      </c>
      <c r="J765" s="23">
        <v>1576.463</v>
      </c>
      <c r="K765" s="23">
        <v>50367.98</v>
      </c>
      <c r="L765" s="23">
        <v>72558.720000000001</v>
      </c>
      <c r="M765" s="23">
        <v>20</v>
      </c>
      <c r="N765" s="23">
        <v>-19.71</v>
      </c>
      <c r="O765" s="31">
        <v>-1.41E-2</v>
      </c>
      <c r="P765" s="31">
        <v>7.7999999999999996E-3</v>
      </c>
      <c r="Q765" s="23" t="s">
        <v>24</v>
      </c>
      <c r="R765" s="23">
        <v>0</v>
      </c>
      <c r="S765" s="23">
        <v>32.93</v>
      </c>
      <c r="U765" s="47">
        <f>VLOOKUP(AU765,[1]expiry_dates!$B$2:$C$2894,2,FALSE)</f>
        <v>44070</v>
      </c>
      <c r="V765" s="23" t="s">
        <v>179</v>
      </c>
      <c r="W765" s="23" t="s">
        <v>23</v>
      </c>
      <c r="X765" s="49">
        <v>44068.4375</v>
      </c>
      <c r="Y765" s="23">
        <v>0.7</v>
      </c>
      <c r="Z765" s="23">
        <v>44068.635416666664</v>
      </c>
      <c r="AA765" s="23">
        <v>0.6</v>
      </c>
      <c r="AB765" s="23">
        <v>-0.1429</v>
      </c>
      <c r="AC765" s="23">
        <v>8912.0400000000009</v>
      </c>
      <c r="AD765" s="23">
        <v>0.1429</v>
      </c>
      <c r="AE765" s="23">
        <v>89120.41</v>
      </c>
      <c r="AF765" s="23">
        <v>62384.29</v>
      </c>
      <c r="AG765" s="23">
        <v>2485768.54</v>
      </c>
      <c r="AH765" s="23">
        <v>20</v>
      </c>
      <c r="AI765" s="23">
        <v>445.6</v>
      </c>
      <c r="AJ765" s="23">
        <v>-0.21429999999999999</v>
      </c>
      <c r="AK765" s="23">
        <v>0.28570000000000001</v>
      </c>
      <c r="AL765" s="23" t="s">
        <v>24</v>
      </c>
      <c r="AM765" s="23">
        <v>31.95</v>
      </c>
      <c r="AN765" s="23">
        <v>22973.3</v>
      </c>
      <c r="AO765" s="23">
        <v>32.93</v>
      </c>
      <c r="AP765" s="23">
        <v>0</v>
      </c>
      <c r="AR765" s="46"/>
      <c r="AS765" s="44"/>
      <c r="AT765" s="45"/>
      <c r="AU765" s="2">
        <v>44068</v>
      </c>
      <c r="AV765" s="52">
        <v>0.4375</v>
      </c>
      <c r="AW765" s="2" t="s">
        <v>212</v>
      </c>
      <c r="AY765" s="3"/>
      <c r="BA765" s="3"/>
      <c r="BG765" s="3"/>
      <c r="BH765" s="3"/>
    </row>
    <row r="766" spans="1:60">
      <c r="A766" s="23" t="s">
        <v>22</v>
      </c>
      <c r="B766" s="23" t="s">
        <v>25</v>
      </c>
      <c r="C766" s="27">
        <v>44068.635416666664</v>
      </c>
      <c r="D766" s="23">
        <v>32.200000000000003</v>
      </c>
      <c r="E766" s="27">
        <v>44069.520833333336</v>
      </c>
      <c r="F766" s="23">
        <v>32.1</v>
      </c>
      <c r="G766" s="31">
        <v>-3.0999999999999999E-3</v>
      </c>
      <c r="H766" s="23">
        <v>-156.41</v>
      </c>
      <c r="I766" s="31">
        <v>-3.0999999999999999E-3</v>
      </c>
      <c r="J766" s="23">
        <v>1564.135</v>
      </c>
      <c r="K766" s="23">
        <v>50365.16</v>
      </c>
      <c r="L766" s="23">
        <v>72402.3</v>
      </c>
      <c r="M766" s="23">
        <v>19</v>
      </c>
      <c r="N766" s="23">
        <v>-8.23</v>
      </c>
      <c r="O766" s="31">
        <v>-9.2999999999999992E-3</v>
      </c>
      <c r="P766" s="31">
        <v>6.1999999999999998E-3</v>
      </c>
      <c r="Q766" s="23" t="s">
        <v>24</v>
      </c>
      <c r="R766" s="23">
        <v>0</v>
      </c>
      <c r="S766" s="23">
        <v>31.71</v>
      </c>
      <c r="U766" s="47">
        <f>VLOOKUP(AU766,[1]expiry_dates!$B$2:$C$2894,2,FALSE)</f>
        <v>44070</v>
      </c>
      <c r="V766" s="23" t="s">
        <v>177</v>
      </c>
      <c r="W766" s="23" t="s">
        <v>23</v>
      </c>
      <c r="X766" s="49">
        <v>44068.635416666664</v>
      </c>
      <c r="Y766" s="23">
        <v>0.2</v>
      </c>
      <c r="Z766" s="23">
        <v>44069.520833333336</v>
      </c>
      <c r="AA766" s="23">
        <v>0.15</v>
      </c>
      <c r="AB766" s="23">
        <v>-0.25</v>
      </c>
      <c r="AC766" s="23">
        <v>15618.35</v>
      </c>
      <c r="AD766" s="23">
        <v>0.25</v>
      </c>
      <c r="AE766" s="23">
        <v>312367</v>
      </c>
      <c r="AF766" s="23">
        <v>62473.4</v>
      </c>
      <c r="AG766" s="23">
        <v>2501386.89</v>
      </c>
      <c r="AH766" s="23">
        <v>19</v>
      </c>
      <c r="AI766" s="23">
        <v>822.02</v>
      </c>
      <c r="AJ766" s="23">
        <v>-0.25</v>
      </c>
      <c r="AK766" s="23">
        <v>0.5</v>
      </c>
      <c r="AL766" s="23" t="s">
        <v>24</v>
      </c>
      <c r="AM766" s="23">
        <v>32.200000000000003</v>
      </c>
      <c r="AN766" s="23">
        <v>23102.9</v>
      </c>
      <c r="AO766" s="23">
        <v>31.71</v>
      </c>
      <c r="AP766" s="23">
        <v>0</v>
      </c>
      <c r="AR766" s="46"/>
      <c r="AS766" s="44"/>
      <c r="AT766" s="45"/>
      <c r="AU766" s="2">
        <v>44068</v>
      </c>
      <c r="AV766" s="52">
        <v>0.13541666666666666</v>
      </c>
      <c r="AW766" s="2" t="s">
        <v>213</v>
      </c>
      <c r="AY766" s="3"/>
      <c r="BA766" s="3"/>
      <c r="BG766" s="3"/>
      <c r="BH766" s="3"/>
    </row>
    <row r="767" spans="1:60">
      <c r="A767" s="23" t="s">
        <v>22</v>
      </c>
      <c r="B767" s="23" t="s">
        <v>23</v>
      </c>
      <c r="C767" s="27">
        <v>44069.520833333336</v>
      </c>
      <c r="D767" s="23">
        <v>32.1</v>
      </c>
      <c r="E767" s="27">
        <v>44069.583333333336</v>
      </c>
      <c r="F767" s="23">
        <v>32.15</v>
      </c>
      <c r="G767" s="31">
        <v>1.6000000000000001E-3</v>
      </c>
      <c r="H767" s="23">
        <v>-78.45</v>
      </c>
      <c r="I767" s="31">
        <v>-1.6000000000000001E-3</v>
      </c>
      <c r="J767" s="23">
        <v>1568.922</v>
      </c>
      <c r="K767" s="23">
        <v>50362.400000000001</v>
      </c>
      <c r="L767" s="23">
        <v>72323.86</v>
      </c>
      <c r="M767" s="23">
        <v>7</v>
      </c>
      <c r="N767" s="23">
        <v>-11.21</v>
      </c>
      <c r="O767" s="31">
        <v>-4.7000000000000002E-3</v>
      </c>
      <c r="P767" s="31">
        <v>3.0999999999999999E-3</v>
      </c>
      <c r="Q767" s="23" t="s">
        <v>24</v>
      </c>
      <c r="R767" s="23">
        <v>0</v>
      </c>
      <c r="S767" s="23">
        <v>32.39</v>
      </c>
      <c r="U767" s="47">
        <f>VLOOKUP(AU767,[1]expiry_dates!$B$2:$C$2894,2,FALSE)</f>
        <v>44070</v>
      </c>
      <c r="V767" s="23" t="s">
        <v>179</v>
      </c>
      <c r="W767" s="23" t="s">
        <v>23</v>
      </c>
      <c r="X767" s="49">
        <v>44069.520833333336</v>
      </c>
      <c r="Y767" s="23">
        <v>0.45</v>
      </c>
      <c r="Z767" s="23">
        <v>44069.583333333336</v>
      </c>
      <c r="AA767" s="23">
        <v>0.5</v>
      </c>
      <c r="AB767" s="23">
        <v>0.1111</v>
      </c>
      <c r="AC767" s="23">
        <v>-6945.21</v>
      </c>
      <c r="AD767" s="23">
        <v>-0.1111</v>
      </c>
      <c r="AE767" s="23">
        <v>138904.29999999999</v>
      </c>
      <c r="AF767" s="23">
        <v>62506.93</v>
      </c>
      <c r="AG767" s="23">
        <v>2494441.6800000002</v>
      </c>
      <c r="AH767" s="23">
        <v>7</v>
      </c>
      <c r="AI767" s="23">
        <v>-992.17</v>
      </c>
      <c r="AJ767" s="23">
        <v>-0.22220000000000001</v>
      </c>
      <c r="AK767" s="23">
        <v>0</v>
      </c>
      <c r="AL767" s="23" t="s">
        <v>24</v>
      </c>
      <c r="AM767" s="23">
        <v>32.1</v>
      </c>
      <c r="AN767" s="23">
        <v>23216.6</v>
      </c>
      <c r="AO767" s="23">
        <v>32.39</v>
      </c>
      <c r="AP767" s="23">
        <v>0</v>
      </c>
      <c r="AR767" s="46"/>
      <c r="AS767" s="44"/>
      <c r="AT767" s="45"/>
      <c r="AU767" s="2">
        <v>44069</v>
      </c>
      <c r="AV767" s="52">
        <v>0.52083333333333337</v>
      </c>
      <c r="AW767" s="2" t="s">
        <v>213</v>
      </c>
      <c r="AY767" s="3"/>
      <c r="BA767" s="3"/>
      <c r="BG767" s="3"/>
      <c r="BH767" s="3"/>
    </row>
    <row r="768" spans="1:60">
      <c r="A768" s="23" t="s">
        <v>22</v>
      </c>
      <c r="B768" s="23" t="s">
        <v>25</v>
      </c>
      <c r="C768" s="27">
        <v>44069.583333333336</v>
      </c>
      <c r="D768" s="23">
        <v>32.15</v>
      </c>
      <c r="E768" s="27">
        <v>44070.447916666664</v>
      </c>
      <c r="F768" s="23">
        <v>32.4</v>
      </c>
      <c r="G768" s="31">
        <v>7.7999999999999996E-3</v>
      </c>
      <c r="H768" s="23">
        <v>391.61</v>
      </c>
      <c r="I768" s="31">
        <v>7.7999999999999996E-3</v>
      </c>
      <c r="J768" s="23">
        <v>1566.4580000000001</v>
      </c>
      <c r="K768" s="23">
        <v>50361.62</v>
      </c>
      <c r="L768" s="23">
        <v>72715.47</v>
      </c>
      <c r="M768" s="23">
        <v>16</v>
      </c>
      <c r="N768" s="23">
        <v>24.48</v>
      </c>
      <c r="O768" s="31">
        <v>-1.6000000000000001E-3</v>
      </c>
      <c r="P768" s="31">
        <v>2.0199999999999999E-2</v>
      </c>
      <c r="Q768" s="23" t="s">
        <v>24</v>
      </c>
      <c r="R768" s="23">
        <v>0</v>
      </c>
      <c r="S768" s="23">
        <v>32.01</v>
      </c>
      <c r="U768" s="47">
        <f>VLOOKUP(AU768,[1]expiry_dates!$B$2:$C$2894,2,FALSE)</f>
        <v>44070</v>
      </c>
      <c r="V768" s="23" t="s">
        <v>177</v>
      </c>
      <c r="W768" s="23" t="s">
        <v>23</v>
      </c>
      <c r="X768" s="49">
        <v>44069.583333333336</v>
      </c>
      <c r="Y768" s="23">
        <v>0.1</v>
      </c>
      <c r="Z768" s="23">
        <v>44070.447916666664</v>
      </c>
      <c r="AA768" s="23">
        <v>0.05</v>
      </c>
      <c r="AB768" s="23">
        <v>-0.5</v>
      </c>
      <c r="AC768" s="23">
        <v>31253.47</v>
      </c>
      <c r="AD768" s="23">
        <v>0.5</v>
      </c>
      <c r="AE768" s="23">
        <v>625069.30000000005</v>
      </c>
      <c r="AF768" s="23">
        <v>62506.93</v>
      </c>
      <c r="AG768" s="23">
        <v>2525695.14</v>
      </c>
      <c r="AH768" s="23">
        <v>16</v>
      </c>
      <c r="AI768" s="23">
        <v>1953.34</v>
      </c>
      <c r="AJ768" s="23">
        <v>0</v>
      </c>
      <c r="AK768" s="23">
        <v>0.5</v>
      </c>
      <c r="AL768" s="23" t="s">
        <v>24</v>
      </c>
      <c r="AM768" s="23">
        <v>32.15</v>
      </c>
      <c r="AN768" s="23">
        <v>23275.85</v>
      </c>
      <c r="AO768" s="23">
        <v>32.01</v>
      </c>
      <c r="AP768" s="23">
        <v>0</v>
      </c>
      <c r="AR768" s="46"/>
      <c r="AS768" s="44"/>
      <c r="AT768" s="45"/>
      <c r="AU768" s="2">
        <v>44069</v>
      </c>
      <c r="AV768" s="52">
        <v>8.3333333333333329E-2</v>
      </c>
      <c r="AW768" s="2" t="s">
        <v>213</v>
      </c>
      <c r="AY768" s="3"/>
      <c r="BA768" s="3"/>
      <c r="BG768" s="3"/>
      <c r="BH768" s="3"/>
    </row>
    <row r="769" spans="1:60">
      <c r="A769" s="23" t="s">
        <v>22</v>
      </c>
      <c r="B769" s="23" t="s">
        <v>23</v>
      </c>
      <c r="C769" s="27">
        <v>44070.447916666664</v>
      </c>
      <c r="D769" s="23">
        <v>32.4</v>
      </c>
      <c r="E769" s="27">
        <v>44070.6875</v>
      </c>
      <c r="F769" s="23">
        <v>31.9</v>
      </c>
      <c r="G769" s="31">
        <v>-1.54E-2</v>
      </c>
      <c r="H769" s="23">
        <v>777.23</v>
      </c>
      <c r="I769" s="31">
        <v>1.54E-2</v>
      </c>
      <c r="J769" s="23">
        <v>1554.4549999999999</v>
      </c>
      <c r="K769" s="23">
        <v>50364.36</v>
      </c>
      <c r="L769" s="23">
        <v>73492.7</v>
      </c>
      <c r="M769" s="23">
        <v>21</v>
      </c>
      <c r="N769" s="23">
        <v>37.01</v>
      </c>
      <c r="O769" s="31">
        <v>-4.5999999999999999E-3</v>
      </c>
      <c r="P769" s="31">
        <v>1.8499999999999999E-2</v>
      </c>
      <c r="Q769" s="23" t="s">
        <v>24</v>
      </c>
      <c r="R769" s="23">
        <v>0</v>
      </c>
      <c r="S769" s="23">
        <v>32.78</v>
      </c>
      <c r="U769" s="47">
        <f>VLOOKUP(AU769,[1]expiry_dates!$B$2:$C$2894,2,FALSE)</f>
        <v>44070</v>
      </c>
      <c r="V769" s="23" t="s">
        <v>179</v>
      </c>
      <c r="W769" s="23" t="s">
        <v>23</v>
      </c>
      <c r="X769" s="49">
        <v>44070.447916666664</v>
      </c>
      <c r="Y769" s="23">
        <v>0.55000000000000004</v>
      </c>
      <c r="Z769" s="23">
        <v>44070.6875</v>
      </c>
      <c r="AA769" s="23">
        <v>0.05</v>
      </c>
      <c r="AB769" s="23">
        <v>-0.90910000000000002</v>
      </c>
      <c r="AC769" s="23">
        <v>56934.98</v>
      </c>
      <c r="AD769" s="23">
        <v>0.90910000000000002</v>
      </c>
      <c r="AE769" s="23">
        <v>113870</v>
      </c>
      <c r="AF769" s="23">
        <v>62628.480000000003</v>
      </c>
      <c r="AG769" s="23">
        <v>2582630.12</v>
      </c>
      <c r="AH769" s="23">
        <v>21</v>
      </c>
      <c r="AI769" s="23">
        <v>2711.19</v>
      </c>
      <c r="AJ769" s="23">
        <v>-9.0899999999999995E-2</v>
      </c>
      <c r="AK769" s="23">
        <v>0.90910000000000002</v>
      </c>
      <c r="AL769" s="23" t="s">
        <v>24</v>
      </c>
      <c r="AM769" s="23">
        <v>32.4</v>
      </c>
      <c r="AN769" s="23">
        <v>23578.55</v>
      </c>
      <c r="AO769" s="23">
        <v>32.78</v>
      </c>
      <c r="AP769" s="23">
        <v>0</v>
      </c>
      <c r="AR769" s="46"/>
      <c r="AS769" s="44"/>
      <c r="AT769" s="45"/>
      <c r="AU769" s="2">
        <v>44070</v>
      </c>
      <c r="AV769" s="52">
        <v>0.44791666666666669</v>
      </c>
      <c r="AW769" s="2" t="s">
        <v>212</v>
      </c>
      <c r="AY769" s="3"/>
      <c r="BA769" s="3"/>
      <c r="BG769" s="3"/>
      <c r="BH769" s="3"/>
    </row>
    <row r="770" spans="1:60">
      <c r="A770" s="23" t="s">
        <v>22</v>
      </c>
      <c r="B770" s="23" t="s">
        <v>25</v>
      </c>
      <c r="C770" s="27">
        <v>44071.385416666664</v>
      </c>
      <c r="D770" s="23">
        <v>32.65</v>
      </c>
      <c r="E770" s="27">
        <v>44074.416666666664</v>
      </c>
      <c r="F770" s="23">
        <v>33.4</v>
      </c>
      <c r="G770" s="31">
        <v>2.3E-2</v>
      </c>
      <c r="H770" s="23">
        <v>1156.99</v>
      </c>
      <c r="I770" s="31">
        <v>2.3E-2</v>
      </c>
      <c r="J770" s="23">
        <v>1542.6479999999999</v>
      </c>
      <c r="K770" s="23">
        <v>50367.46</v>
      </c>
      <c r="L770" s="23">
        <v>74649.69</v>
      </c>
      <c r="M770" s="23">
        <v>32</v>
      </c>
      <c r="N770" s="23">
        <v>36.159999999999997</v>
      </c>
      <c r="O770" s="31">
        <v>-1.6799999999999999E-2</v>
      </c>
      <c r="P770" s="31">
        <v>5.67E-2</v>
      </c>
      <c r="Q770" s="23" t="s">
        <v>24</v>
      </c>
      <c r="R770" s="23">
        <v>0</v>
      </c>
      <c r="S770" s="23">
        <v>31.83</v>
      </c>
      <c r="U770" s="47">
        <f>VLOOKUP(AU770,[1]expiry_dates!$B$2:$C$2894,2,FALSE)</f>
        <v>44098</v>
      </c>
      <c r="V770" s="23" t="s">
        <v>180</v>
      </c>
      <c r="W770" s="23" t="s">
        <v>23</v>
      </c>
      <c r="X770" s="49">
        <v>44071.385416666664</v>
      </c>
      <c r="Y770" s="23">
        <v>1.9</v>
      </c>
      <c r="Z770" s="23">
        <v>44074.416666666664</v>
      </c>
      <c r="AA770" s="23">
        <v>1.4</v>
      </c>
      <c r="AB770" s="23">
        <v>-0.26319999999999999</v>
      </c>
      <c r="AC770" s="23">
        <v>16556.09</v>
      </c>
      <c r="AD770" s="23">
        <v>0.26319999999999999</v>
      </c>
      <c r="AE770" s="23">
        <v>33112.18</v>
      </c>
      <c r="AF770" s="23">
        <v>62913.15</v>
      </c>
      <c r="AG770" s="23">
        <v>2599186.21</v>
      </c>
      <c r="AH770" s="23">
        <v>32</v>
      </c>
      <c r="AI770" s="23">
        <v>517.38</v>
      </c>
      <c r="AJ770" s="23">
        <v>-2.63E-2</v>
      </c>
      <c r="AK770" s="23">
        <v>0.42109999999999997</v>
      </c>
      <c r="AL770" s="23" t="s">
        <v>24</v>
      </c>
      <c r="AM770" s="23">
        <v>32.65</v>
      </c>
      <c r="AN770" s="23">
        <v>23888.7</v>
      </c>
      <c r="AO770" s="23">
        <v>31.83</v>
      </c>
      <c r="AP770" s="23">
        <v>0</v>
      </c>
      <c r="AR770" s="46"/>
      <c r="AS770" s="44"/>
      <c r="AT770" s="45"/>
      <c r="AU770" s="2">
        <v>44071</v>
      </c>
      <c r="AV770" s="52">
        <v>0.38541666666666669</v>
      </c>
      <c r="AW770" s="2" t="s">
        <v>212</v>
      </c>
      <c r="AY770" s="3"/>
      <c r="BA770" s="3"/>
      <c r="BG770" s="3"/>
      <c r="BH770" s="3"/>
    </row>
    <row r="771" spans="1:60">
      <c r="A771" s="23" t="s">
        <v>22</v>
      </c>
      <c r="B771" s="23" t="s">
        <v>23</v>
      </c>
      <c r="C771" s="27">
        <v>44074.416666666664</v>
      </c>
      <c r="D771" s="23">
        <v>33.4</v>
      </c>
      <c r="E771" s="27">
        <v>44075.385416666664</v>
      </c>
      <c r="F771" s="23">
        <v>32.4</v>
      </c>
      <c r="G771" s="31">
        <v>-2.9899999999999999E-2</v>
      </c>
      <c r="H771" s="23">
        <v>1508.26</v>
      </c>
      <c r="I771" s="31">
        <v>2.9899999999999999E-2</v>
      </c>
      <c r="J771" s="23">
        <v>1508.2619999999999</v>
      </c>
      <c r="K771" s="23">
        <v>50375.95</v>
      </c>
      <c r="L771" s="23">
        <v>76157.95</v>
      </c>
      <c r="M771" s="23">
        <v>26</v>
      </c>
      <c r="N771" s="23">
        <v>58.01</v>
      </c>
      <c r="O771" s="31">
        <v>-1.0500000000000001E-2</v>
      </c>
      <c r="P771" s="31">
        <v>6.1400000000000003E-2</v>
      </c>
      <c r="Q771" s="23" t="s">
        <v>24</v>
      </c>
      <c r="R771" s="23">
        <v>0</v>
      </c>
      <c r="S771" s="23">
        <v>34.479999999999997</v>
      </c>
      <c r="U771" s="47">
        <f>VLOOKUP(AU771,[1]expiry_dates!$B$2:$C$2894,2,FALSE)</f>
        <v>44098</v>
      </c>
      <c r="V771" s="23" t="s">
        <v>181</v>
      </c>
      <c r="W771" s="23" t="s">
        <v>23</v>
      </c>
      <c r="X771" s="49">
        <v>44074.416666666664</v>
      </c>
      <c r="Y771" s="23">
        <v>2.15</v>
      </c>
      <c r="Z771" s="23">
        <v>44075.385416666664</v>
      </c>
      <c r="AA771" s="23">
        <v>2</v>
      </c>
      <c r="AB771" s="23">
        <v>-6.9800000000000001E-2</v>
      </c>
      <c r="AC771" s="23">
        <v>4396.8</v>
      </c>
      <c r="AD771" s="23">
        <v>6.9800000000000001E-2</v>
      </c>
      <c r="AE771" s="23">
        <v>29311.98</v>
      </c>
      <c r="AF771" s="23">
        <v>63020.77</v>
      </c>
      <c r="AG771" s="23">
        <v>2603583.0099999998</v>
      </c>
      <c r="AH771" s="23">
        <v>26</v>
      </c>
      <c r="AI771" s="23">
        <v>169.11</v>
      </c>
      <c r="AJ771" s="23">
        <v>-9.2999999999999999E-2</v>
      </c>
      <c r="AK771" s="23">
        <v>0.3256</v>
      </c>
      <c r="AL771" s="23" t="s">
        <v>24</v>
      </c>
      <c r="AM771" s="23">
        <v>33.4</v>
      </c>
      <c r="AN771" s="23">
        <v>24676.9</v>
      </c>
      <c r="AO771" s="23">
        <v>34.479999999999997</v>
      </c>
      <c r="AP771" s="23">
        <v>0</v>
      </c>
      <c r="AR771" s="46"/>
      <c r="AS771" s="44"/>
      <c r="AT771" s="45"/>
      <c r="AU771" s="2">
        <v>44074</v>
      </c>
      <c r="AV771" s="52">
        <v>0.41666666666666669</v>
      </c>
      <c r="AW771" s="2" t="s">
        <v>212</v>
      </c>
      <c r="AY771" s="3"/>
      <c r="BA771" s="3"/>
      <c r="BG771" s="3"/>
      <c r="BH771" s="3"/>
    </row>
    <row r="772" spans="1:60">
      <c r="A772" s="23" t="s">
        <v>22</v>
      </c>
      <c r="B772" s="23" t="s">
        <v>25</v>
      </c>
      <c r="C772" s="27">
        <v>44075.385416666664</v>
      </c>
      <c r="D772" s="23">
        <v>32.4</v>
      </c>
      <c r="E772" s="27">
        <v>44075.46875</v>
      </c>
      <c r="F772" s="23">
        <v>32.200000000000003</v>
      </c>
      <c r="G772" s="31">
        <v>-6.1999999999999998E-3</v>
      </c>
      <c r="H772" s="23">
        <v>-311</v>
      </c>
      <c r="I772" s="31">
        <v>-6.1999999999999998E-3</v>
      </c>
      <c r="J772" s="23">
        <v>1554.9970000000001</v>
      </c>
      <c r="K772" s="23">
        <v>50381.919999999998</v>
      </c>
      <c r="L772" s="23">
        <v>75846.95</v>
      </c>
      <c r="M772" s="23">
        <v>9</v>
      </c>
      <c r="N772" s="23">
        <v>-34.56</v>
      </c>
      <c r="O772" s="31">
        <v>-2.3099999999999999E-2</v>
      </c>
      <c r="P772" s="31">
        <v>1.0800000000000001E-2</v>
      </c>
      <c r="Q772" s="23" t="s">
        <v>24</v>
      </c>
      <c r="R772" s="23">
        <v>0</v>
      </c>
      <c r="S772" s="23">
        <v>31.4</v>
      </c>
      <c r="U772" s="47">
        <f>VLOOKUP(AU772,[1]expiry_dates!$B$2:$C$2894,2,FALSE)</f>
        <v>44098</v>
      </c>
      <c r="V772" s="23" t="s">
        <v>180</v>
      </c>
      <c r="W772" s="23" t="s">
        <v>23</v>
      </c>
      <c r="X772" s="49">
        <v>44075.385416666664</v>
      </c>
      <c r="Y772" s="23">
        <v>2.0499999999999998</v>
      </c>
      <c r="Z772" s="23">
        <v>44075.46875</v>
      </c>
      <c r="AA772" s="23">
        <v>2.35</v>
      </c>
      <c r="AB772" s="23">
        <v>0.14630000000000001</v>
      </c>
      <c r="AC772" s="23">
        <v>-9229.64</v>
      </c>
      <c r="AD772" s="23">
        <v>-0.14630000000000001</v>
      </c>
      <c r="AE772" s="23">
        <v>30765.47</v>
      </c>
      <c r="AF772" s="23">
        <v>63069.21</v>
      </c>
      <c r="AG772" s="23">
        <v>2594353.37</v>
      </c>
      <c r="AH772" s="23">
        <v>9</v>
      </c>
      <c r="AI772" s="23">
        <v>-1025.52</v>
      </c>
      <c r="AJ772" s="23">
        <v>-0.14630000000000001</v>
      </c>
      <c r="AK772" s="23">
        <v>7.3200000000000001E-2</v>
      </c>
      <c r="AL772" s="23" t="s">
        <v>24</v>
      </c>
      <c r="AM772" s="23">
        <v>32.4</v>
      </c>
      <c r="AN772" s="23">
        <v>24074.55</v>
      </c>
      <c r="AO772" s="23">
        <v>31.4</v>
      </c>
      <c r="AP772" s="23">
        <v>0</v>
      </c>
      <c r="AR772" s="46"/>
      <c r="AS772" s="44"/>
      <c r="AT772" s="45"/>
      <c r="AU772" s="2">
        <v>44075</v>
      </c>
      <c r="AV772" s="52">
        <v>0.38541666666666669</v>
      </c>
      <c r="AW772" s="2" t="s">
        <v>212</v>
      </c>
      <c r="AY772" s="3"/>
      <c r="BA772" s="3"/>
      <c r="BG772" s="3"/>
      <c r="BH772" s="3"/>
    </row>
    <row r="773" spans="1:60">
      <c r="A773" s="23" t="s">
        <v>22</v>
      </c>
      <c r="B773" s="23" t="s">
        <v>23</v>
      </c>
      <c r="C773" s="27">
        <v>44075.46875</v>
      </c>
      <c r="D773" s="23">
        <v>32.200000000000003</v>
      </c>
      <c r="E773" s="27">
        <v>44075.583333333336</v>
      </c>
      <c r="F773" s="23">
        <v>31.25</v>
      </c>
      <c r="G773" s="31">
        <v>-2.9499999999999998E-2</v>
      </c>
      <c r="H773" s="23">
        <v>1486.29</v>
      </c>
      <c r="I773" s="31">
        <v>2.9499999999999998E-2</v>
      </c>
      <c r="J773" s="23">
        <v>1564.5119999999999</v>
      </c>
      <c r="K773" s="23">
        <v>50377.29</v>
      </c>
      <c r="L773" s="23">
        <v>77333.23</v>
      </c>
      <c r="M773" s="23">
        <v>12</v>
      </c>
      <c r="N773" s="23">
        <v>123.86</v>
      </c>
      <c r="O773" s="31">
        <v>-4.7000000000000002E-3</v>
      </c>
      <c r="P773" s="31">
        <v>7.9200000000000007E-2</v>
      </c>
      <c r="Q773" s="23" t="s">
        <v>24</v>
      </c>
      <c r="R773" s="23">
        <v>0</v>
      </c>
      <c r="S773" s="23">
        <v>32.71</v>
      </c>
      <c r="U773" s="47">
        <f>VLOOKUP(AU773,[1]expiry_dates!$B$2:$C$2894,2,FALSE)</f>
        <v>44098</v>
      </c>
      <c r="V773" s="23" t="s">
        <v>179</v>
      </c>
      <c r="W773" s="23" t="s">
        <v>23</v>
      </c>
      <c r="X773" s="49">
        <v>44075.46875</v>
      </c>
      <c r="Y773" s="23">
        <v>2.25</v>
      </c>
      <c r="Z773" s="23">
        <v>44075.583333333336</v>
      </c>
      <c r="AA773" s="23">
        <v>1.75</v>
      </c>
      <c r="AB773" s="23">
        <v>-0.22220000000000001</v>
      </c>
      <c r="AC773" s="23">
        <v>14000.56</v>
      </c>
      <c r="AD773" s="23">
        <v>0.22220000000000001</v>
      </c>
      <c r="AE773" s="23">
        <v>28001.13</v>
      </c>
      <c r="AF773" s="23">
        <v>63002.53</v>
      </c>
      <c r="AG773" s="23">
        <v>2608353.9300000002</v>
      </c>
      <c r="AH773" s="23">
        <v>12</v>
      </c>
      <c r="AI773" s="23">
        <v>1166.71</v>
      </c>
      <c r="AJ773" s="23">
        <v>-6.6699999999999995E-2</v>
      </c>
      <c r="AK773" s="23">
        <v>0.4889</v>
      </c>
      <c r="AL773" s="23" t="s">
        <v>24</v>
      </c>
      <c r="AM773" s="23">
        <v>32.200000000000003</v>
      </c>
      <c r="AN773" s="23">
        <v>23652.25</v>
      </c>
      <c r="AO773" s="23">
        <v>32.71</v>
      </c>
      <c r="AP773" s="23">
        <v>0</v>
      </c>
      <c r="AR773" s="46"/>
      <c r="AS773" s="44"/>
      <c r="AT773" s="45"/>
      <c r="AU773" s="2">
        <v>44075</v>
      </c>
      <c r="AV773" s="52">
        <v>0.46875</v>
      </c>
      <c r="AW773" s="2" t="s">
        <v>212</v>
      </c>
      <c r="AY773" s="3"/>
      <c r="BA773" s="3"/>
      <c r="BG773" s="3"/>
      <c r="BH773" s="3"/>
    </row>
    <row r="774" spans="1:60">
      <c r="A774" s="23" t="s">
        <v>22</v>
      </c>
      <c r="B774" s="23" t="s">
        <v>25</v>
      </c>
      <c r="C774" s="27">
        <v>44075.583333333336</v>
      </c>
      <c r="D774" s="23">
        <v>31.25</v>
      </c>
      <c r="E774" s="27">
        <v>44076.510416666664</v>
      </c>
      <c r="F774" s="23">
        <v>31.2</v>
      </c>
      <c r="G774" s="31">
        <v>-1.6000000000000001E-3</v>
      </c>
      <c r="H774" s="23">
        <v>-80.62</v>
      </c>
      <c r="I774" s="31">
        <v>-1.6000000000000001E-3</v>
      </c>
      <c r="J774" s="23">
        <v>1612.373</v>
      </c>
      <c r="K774" s="23">
        <v>50386.66</v>
      </c>
      <c r="L774" s="23">
        <v>77252.62</v>
      </c>
      <c r="M774" s="23">
        <v>22</v>
      </c>
      <c r="N774" s="23">
        <v>-3.66</v>
      </c>
      <c r="O774" s="31">
        <v>-1.6E-2</v>
      </c>
      <c r="P774" s="31">
        <v>2.5600000000000001E-2</v>
      </c>
      <c r="Q774" s="23" t="s">
        <v>24</v>
      </c>
      <c r="R774" s="23">
        <v>0</v>
      </c>
      <c r="S774" s="23">
        <v>29.69</v>
      </c>
      <c r="U774" s="47">
        <f>VLOOKUP(AU774,[1]expiry_dates!$B$2:$C$2894,2,FALSE)</f>
        <v>44098</v>
      </c>
      <c r="V774" s="23" t="s">
        <v>138</v>
      </c>
      <c r="W774" s="23" t="s">
        <v>23</v>
      </c>
      <c r="X774" s="49">
        <v>44075.583333333336</v>
      </c>
      <c r="Y774" s="23">
        <v>1.45</v>
      </c>
      <c r="Z774" s="23">
        <v>44076.510416666664</v>
      </c>
      <c r="AA774" s="23">
        <v>1.6</v>
      </c>
      <c r="AB774" s="23">
        <v>0.10340000000000001</v>
      </c>
      <c r="AC774" s="23">
        <v>-6524.46</v>
      </c>
      <c r="AD774" s="23">
        <v>-0.10340000000000001</v>
      </c>
      <c r="AE774" s="23">
        <v>43496.39</v>
      </c>
      <c r="AF774" s="23">
        <v>63069.77</v>
      </c>
      <c r="AG774" s="23">
        <v>2601829.4700000002</v>
      </c>
      <c r="AH774" s="23">
        <v>22</v>
      </c>
      <c r="AI774" s="23">
        <v>-296.57</v>
      </c>
      <c r="AJ774" s="23">
        <v>-0.1724</v>
      </c>
      <c r="AK774" s="23">
        <v>0.1724</v>
      </c>
      <c r="AL774" s="23" t="s">
        <v>24</v>
      </c>
      <c r="AM774" s="23">
        <v>31.25</v>
      </c>
      <c r="AN774" s="23">
        <v>23799.3</v>
      </c>
      <c r="AO774" s="23">
        <v>29.69</v>
      </c>
      <c r="AP774" s="23">
        <v>0</v>
      </c>
      <c r="AR774" s="46"/>
      <c r="AS774" s="44"/>
      <c r="AT774" s="45"/>
      <c r="AU774" s="2">
        <v>44075</v>
      </c>
      <c r="AV774" s="52">
        <v>8.3333333333333329E-2</v>
      </c>
      <c r="AW774" s="2" t="s">
        <v>213</v>
      </c>
      <c r="AY774" s="3"/>
      <c r="BA774" s="3"/>
      <c r="BG774" s="3"/>
      <c r="BH774" s="3"/>
    </row>
    <row r="775" spans="1:60">
      <c r="A775" s="23" t="s">
        <v>22</v>
      </c>
      <c r="B775" s="23" t="s">
        <v>23</v>
      </c>
      <c r="C775" s="27">
        <v>44076.510416666664</v>
      </c>
      <c r="D775" s="23">
        <v>31.2</v>
      </c>
      <c r="E775" s="27">
        <v>44076.583333333336</v>
      </c>
      <c r="F775" s="23">
        <v>31.8</v>
      </c>
      <c r="G775" s="31">
        <v>1.9199999999999998E-2</v>
      </c>
      <c r="H775" s="23">
        <v>-969</v>
      </c>
      <c r="I775" s="31">
        <v>-1.9199999999999998E-2</v>
      </c>
      <c r="J775" s="23">
        <v>1614.9960000000001</v>
      </c>
      <c r="K775" s="23">
        <v>50387.88</v>
      </c>
      <c r="L775" s="23">
        <v>76283.62</v>
      </c>
      <c r="M775" s="23">
        <v>8</v>
      </c>
      <c r="N775" s="23">
        <v>-121.12</v>
      </c>
      <c r="O775" s="31">
        <v>-1.9199999999999998E-2</v>
      </c>
      <c r="P775" s="31">
        <v>1.6000000000000001E-3</v>
      </c>
      <c r="Q775" s="23" t="s">
        <v>24</v>
      </c>
      <c r="R775" s="23">
        <v>0</v>
      </c>
      <c r="S775" s="23">
        <v>32.03</v>
      </c>
      <c r="U775" s="47">
        <f>VLOOKUP(AU775,[1]expiry_dates!$B$2:$C$2894,2,FALSE)</f>
        <v>44098</v>
      </c>
      <c r="V775" s="23" t="s">
        <v>176</v>
      </c>
      <c r="W775" s="23" t="s">
        <v>23</v>
      </c>
      <c r="X775" s="49">
        <v>44076.510416666664</v>
      </c>
      <c r="Y775" s="23">
        <v>2.1</v>
      </c>
      <c r="Z775" s="23">
        <v>44076.583333333336</v>
      </c>
      <c r="AA775" s="23">
        <v>2.2999999999999998</v>
      </c>
      <c r="AB775" s="23">
        <v>9.5200000000000007E-2</v>
      </c>
      <c r="AC775" s="23">
        <v>-6002.94</v>
      </c>
      <c r="AD775" s="23">
        <v>-9.5200000000000007E-2</v>
      </c>
      <c r="AE775" s="23">
        <v>30014.71</v>
      </c>
      <c r="AF775" s="23">
        <v>63030.89</v>
      </c>
      <c r="AG775" s="23">
        <v>2595826.5299999998</v>
      </c>
      <c r="AH775" s="23">
        <v>8</v>
      </c>
      <c r="AI775" s="23">
        <v>-750.37</v>
      </c>
      <c r="AJ775" s="23">
        <v>-0.1429</v>
      </c>
      <c r="AK775" s="23">
        <v>0</v>
      </c>
      <c r="AL775" s="23" t="s">
        <v>24</v>
      </c>
      <c r="AM775" s="23">
        <v>31.2</v>
      </c>
      <c r="AN775" s="23">
        <v>23557.45</v>
      </c>
      <c r="AO775" s="23">
        <v>32.03</v>
      </c>
      <c r="AP775" s="23">
        <v>0</v>
      </c>
      <c r="AR775" s="46"/>
      <c r="AS775" s="44"/>
      <c r="AT775" s="45"/>
      <c r="AU775" s="2">
        <v>44076</v>
      </c>
      <c r="AV775" s="52">
        <v>0.51041666666666663</v>
      </c>
      <c r="AW775" s="2" t="s">
        <v>213</v>
      </c>
      <c r="AY775" s="3"/>
      <c r="BA775" s="3"/>
      <c r="BG775" s="3"/>
      <c r="BH775" s="3"/>
    </row>
    <row r="776" spans="1:60">
      <c r="A776" s="23" t="s">
        <v>22</v>
      </c>
      <c r="B776" s="23" t="s">
        <v>25</v>
      </c>
      <c r="C776" s="27">
        <v>44076.583333333336</v>
      </c>
      <c r="D776" s="23">
        <v>31.8</v>
      </c>
      <c r="E776" s="27">
        <v>44077.4375</v>
      </c>
      <c r="F776" s="23">
        <v>31.7</v>
      </c>
      <c r="G776" s="31">
        <v>-3.0999999999999999E-3</v>
      </c>
      <c r="H776" s="23">
        <v>-158.44</v>
      </c>
      <c r="I776" s="31">
        <v>-3.0999999999999999E-3</v>
      </c>
      <c r="J776" s="23">
        <v>1584.3979999999999</v>
      </c>
      <c r="K776" s="23">
        <v>50383.839999999997</v>
      </c>
      <c r="L776" s="23">
        <v>76125.179999999993</v>
      </c>
      <c r="M776" s="23">
        <v>15</v>
      </c>
      <c r="N776" s="23">
        <v>-10.56</v>
      </c>
      <c r="O776" s="31">
        <v>-9.4000000000000004E-3</v>
      </c>
      <c r="P776" s="31">
        <v>1.7299999999999999E-2</v>
      </c>
      <c r="Q776" s="23" t="s">
        <v>24</v>
      </c>
      <c r="R776" s="23">
        <v>0</v>
      </c>
      <c r="S776" s="23">
        <v>31.16</v>
      </c>
      <c r="U776" s="47">
        <f>VLOOKUP(AU776,[1]expiry_dates!$B$2:$C$2894,2,FALSE)</f>
        <v>44098</v>
      </c>
      <c r="V776" s="23" t="s">
        <v>173</v>
      </c>
      <c r="W776" s="23" t="s">
        <v>23</v>
      </c>
      <c r="X776" s="49">
        <v>44076.583333333336</v>
      </c>
      <c r="Y776" s="23">
        <v>0.7</v>
      </c>
      <c r="Z776" s="23">
        <v>44077.4375</v>
      </c>
      <c r="AA776" s="23">
        <v>0.65</v>
      </c>
      <c r="AB776" s="23">
        <v>-7.1400000000000005E-2</v>
      </c>
      <c r="AC776" s="23">
        <v>4497.4399999999996</v>
      </c>
      <c r="AD776" s="23">
        <v>7.1400000000000005E-2</v>
      </c>
      <c r="AE776" s="23">
        <v>89948.75</v>
      </c>
      <c r="AF776" s="23">
        <v>62964.13</v>
      </c>
      <c r="AG776" s="23">
        <v>2600323.9700000002</v>
      </c>
      <c r="AH776" s="23">
        <v>15</v>
      </c>
      <c r="AI776" s="23">
        <v>299.83</v>
      </c>
      <c r="AJ776" s="23">
        <v>0</v>
      </c>
      <c r="AK776" s="23">
        <v>0.1429</v>
      </c>
      <c r="AL776" s="23" t="s">
        <v>24</v>
      </c>
      <c r="AM776" s="23">
        <v>31.8</v>
      </c>
      <c r="AN776" s="23">
        <v>23734.05</v>
      </c>
      <c r="AO776" s="23">
        <v>31.16</v>
      </c>
      <c r="AP776" s="23">
        <v>0</v>
      </c>
      <c r="AR776" s="46"/>
      <c r="AS776" s="44"/>
      <c r="AT776" s="45"/>
      <c r="AU776" s="2">
        <v>44076</v>
      </c>
      <c r="AV776" s="52">
        <v>8.3333333333333329E-2</v>
      </c>
      <c r="AW776" s="2" t="s">
        <v>213</v>
      </c>
      <c r="AY776" s="3"/>
      <c r="BA776" s="3"/>
      <c r="BG776" s="3"/>
      <c r="BH776" s="3"/>
    </row>
    <row r="777" spans="1:60">
      <c r="A777" s="23" t="s">
        <v>22</v>
      </c>
      <c r="B777" s="23" t="s">
        <v>23</v>
      </c>
      <c r="C777" s="27">
        <v>44077.4375</v>
      </c>
      <c r="D777" s="23">
        <v>31.7</v>
      </c>
      <c r="E777" s="27">
        <v>44077.572916666664</v>
      </c>
      <c r="F777" s="23">
        <v>31.8</v>
      </c>
      <c r="G777" s="31">
        <v>3.2000000000000002E-3</v>
      </c>
      <c r="H777" s="23">
        <v>-158.93</v>
      </c>
      <c r="I777" s="31">
        <v>-3.2000000000000002E-3</v>
      </c>
      <c r="J777" s="23">
        <v>1589.319</v>
      </c>
      <c r="K777" s="23">
        <v>50381.42</v>
      </c>
      <c r="L777" s="23">
        <v>75966.25</v>
      </c>
      <c r="M777" s="23">
        <v>14</v>
      </c>
      <c r="N777" s="23">
        <v>-11.35</v>
      </c>
      <c r="O777" s="31">
        <v>-3.2000000000000002E-3</v>
      </c>
      <c r="P777" s="31">
        <v>1.26E-2</v>
      </c>
      <c r="Q777" s="23" t="s">
        <v>24</v>
      </c>
      <c r="R777" s="23">
        <v>0</v>
      </c>
      <c r="S777" s="23">
        <v>32.32</v>
      </c>
      <c r="U777" s="47">
        <f>VLOOKUP(AU777,[1]expiry_dates!$B$2:$C$2894,2,FALSE)</f>
        <v>44098</v>
      </c>
      <c r="V777" s="23" t="s">
        <v>179</v>
      </c>
      <c r="W777" s="23" t="s">
        <v>23</v>
      </c>
      <c r="X777" s="49">
        <v>44077.4375</v>
      </c>
      <c r="Y777" s="23">
        <v>1.85</v>
      </c>
      <c r="Z777" s="23">
        <v>44077.572916666664</v>
      </c>
      <c r="AA777" s="23">
        <v>1.8</v>
      </c>
      <c r="AB777" s="23">
        <v>-2.7E-2</v>
      </c>
      <c r="AC777" s="23">
        <v>1702.75</v>
      </c>
      <c r="AD777" s="23">
        <v>2.7E-2</v>
      </c>
      <c r="AE777" s="23">
        <v>34054.93</v>
      </c>
      <c r="AF777" s="23">
        <v>63001.62</v>
      </c>
      <c r="AG777" s="23">
        <v>2602026.7200000002</v>
      </c>
      <c r="AH777" s="23">
        <v>14</v>
      </c>
      <c r="AI777" s="23">
        <v>121.62</v>
      </c>
      <c r="AJ777" s="23">
        <v>0</v>
      </c>
      <c r="AK777" s="23">
        <v>8.1100000000000005E-2</v>
      </c>
      <c r="AL777" s="23" t="s">
        <v>24</v>
      </c>
      <c r="AM777" s="23">
        <v>31.7</v>
      </c>
      <c r="AN777" s="23">
        <v>23776</v>
      </c>
      <c r="AO777" s="23">
        <v>32.32</v>
      </c>
      <c r="AP777" s="23">
        <v>0</v>
      </c>
      <c r="AR777" s="46"/>
      <c r="AS777" s="44"/>
      <c r="AT777" s="45"/>
      <c r="AU777" s="2">
        <v>44077</v>
      </c>
      <c r="AV777" s="52">
        <v>0.4375</v>
      </c>
      <c r="AW777" s="2" t="s">
        <v>212</v>
      </c>
      <c r="AY777" s="3"/>
      <c r="BA777" s="3"/>
      <c r="BG777" s="3"/>
      <c r="BH777" s="3"/>
    </row>
    <row r="778" spans="1:60">
      <c r="A778" s="23" t="s">
        <v>22</v>
      </c>
      <c r="B778" s="23" t="s">
        <v>25</v>
      </c>
      <c r="C778" s="27">
        <v>44077.572916666664</v>
      </c>
      <c r="D778" s="23">
        <v>31.8</v>
      </c>
      <c r="E778" s="27">
        <v>44078.385416666664</v>
      </c>
      <c r="F778" s="23">
        <v>31.05</v>
      </c>
      <c r="G778" s="31">
        <v>-2.3599999999999999E-2</v>
      </c>
      <c r="H778" s="23">
        <v>-1188.25</v>
      </c>
      <c r="I778" s="31">
        <v>-2.3599999999999999E-2</v>
      </c>
      <c r="J778" s="23">
        <v>1584.3340000000001</v>
      </c>
      <c r="K778" s="23">
        <v>50381.82</v>
      </c>
      <c r="L778" s="23">
        <v>74778</v>
      </c>
      <c r="M778" s="23">
        <v>11</v>
      </c>
      <c r="N778" s="23">
        <v>-108.02</v>
      </c>
      <c r="O778" s="31">
        <v>-2.52E-2</v>
      </c>
      <c r="P778" s="31">
        <v>1.5699999999999999E-2</v>
      </c>
      <c r="Q778" s="23" t="s">
        <v>24</v>
      </c>
      <c r="R778" s="23">
        <v>0</v>
      </c>
      <c r="S778" s="23">
        <v>31.3</v>
      </c>
      <c r="U778" s="47">
        <f>VLOOKUP(AU778,[1]expiry_dates!$B$2:$C$2894,2,FALSE)</f>
        <v>44098</v>
      </c>
      <c r="V778" s="23" t="s">
        <v>177</v>
      </c>
      <c r="W778" s="23" t="s">
        <v>23</v>
      </c>
      <c r="X778" s="49">
        <v>44077.572916666664</v>
      </c>
      <c r="Y778" s="23">
        <v>1.8</v>
      </c>
      <c r="Z778" s="23">
        <v>44078.385416666664</v>
      </c>
      <c r="AA778" s="23">
        <v>2.15</v>
      </c>
      <c r="AB778" s="23">
        <v>0.19439999999999999</v>
      </c>
      <c r="AC778" s="23">
        <v>-12253.63</v>
      </c>
      <c r="AD778" s="23">
        <v>-0.19439999999999999</v>
      </c>
      <c r="AE778" s="23">
        <v>35010.36</v>
      </c>
      <c r="AF778" s="23">
        <v>63018.64</v>
      </c>
      <c r="AG778" s="23">
        <v>2589773.09</v>
      </c>
      <c r="AH778" s="23">
        <v>11</v>
      </c>
      <c r="AI778" s="23">
        <v>-1113.97</v>
      </c>
      <c r="AJ778" s="23">
        <v>-0.22220000000000001</v>
      </c>
      <c r="AK778" s="23">
        <v>0.16669999999999999</v>
      </c>
      <c r="AL778" s="23" t="s">
        <v>24</v>
      </c>
      <c r="AM778" s="23">
        <v>31.8</v>
      </c>
      <c r="AN778" s="23">
        <v>23698.400000000001</v>
      </c>
      <c r="AO778" s="23">
        <v>31.3</v>
      </c>
      <c r="AP778" s="23">
        <v>0</v>
      </c>
      <c r="AR778" s="46"/>
      <c r="AS778" s="44"/>
      <c r="AT778" s="45"/>
      <c r="AU778" s="2">
        <v>44077</v>
      </c>
      <c r="AV778" s="52">
        <v>7.2916666666666671E-2</v>
      </c>
      <c r="AW778" s="2" t="s">
        <v>213</v>
      </c>
      <c r="AY778" s="3"/>
      <c r="BA778" s="3"/>
      <c r="BG778" s="3"/>
      <c r="BH778" s="3"/>
    </row>
    <row r="779" spans="1:60">
      <c r="A779" s="23" t="s">
        <v>22</v>
      </c>
      <c r="B779" s="23" t="s">
        <v>23</v>
      </c>
      <c r="C779" s="27">
        <v>44078.385416666664</v>
      </c>
      <c r="D779" s="23">
        <v>31.05</v>
      </c>
      <c r="E779" s="27">
        <v>44078.447916666664</v>
      </c>
      <c r="F779" s="23">
        <v>31.8</v>
      </c>
      <c r="G779" s="31">
        <v>2.4199999999999999E-2</v>
      </c>
      <c r="H779" s="23">
        <v>-1216.8</v>
      </c>
      <c r="I779" s="31">
        <v>-2.4199999999999999E-2</v>
      </c>
      <c r="J779" s="23">
        <v>1622.3989999999999</v>
      </c>
      <c r="K779" s="23">
        <v>50375.47</v>
      </c>
      <c r="L779" s="23">
        <v>73561.2</v>
      </c>
      <c r="M779" s="23">
        <v>7</v>
      </c>
      <c r="N779" s="23">
        <v>-173.83</v>
      </c>
      <c r="O779" s="31">
        <v>-2.4199999999999999E-2</v>
      </c>
      <c r="P779" s="31">
        <v>2.4199999999999999E-2</v>
      </c>
      <c r="Q779" s="23" t="s">
        <v>24</v>
      </c>
      <c r="R779" s="23">
        <v>0</v>
      </c>
      <c r="S779" s="23">
        <v>32.200000000000003</v>
      </c>
      <c r="U779" s="47">
        <f>VLOOKUP(AU779,[1]expiry_dates!$B$2:$C$2894,2,FALSE)</f>
        <v>44098</v>
      </c>
      <c r="V779" s="23" t="s">
        <v>176</v>
      </c>
      <c r="W779" s="23" t="s">
        <v>23</v>
      </c>
      <c r="X779" s="49">
        <v>44078.385416666664</v>
      </c>
      <c r="Y779" s="23">
        <v>2.1</v>
      </c>
      <c r="Z779" s="23">
        <v>44078.447916666664</v>
      </c>
      <c r="AA779" s="23">
        <v>2.4500000000000002</v>
      </c>
      <c r="AB779" s="23">
        <v>0.16669999999999999</v>
      </c>
      <c r="AC779" s="23">
        <v>-10510.44</v>
      </c>
      <c r="AD779" s="23">
        <v>-0.16669999999999999</v>
      </c>
      <c r="AE779" s="23">
        <v>30029.83</v>
      </c>
      <c r="AF779" s="23">
        <v>63062.65</v>
      </c>
      <c r="AG779" s="23">
        <v>2579262.65</v>
      </c>
      <c r="AH779" s="23">
        <v>7</v>
      </c>
      <c r="AI779" s="23">
        <v>-1501.49</v>
      </c>
      <c r="AJ779" s="23">
        <v>-0.1905</v>
      </c>
      <c r="AK779" s="23">
        <v>0.28570000000000001</v>
      </c>
      <c r="AL779" s="23" t="s">
        <v>24</v>
      </c>
      <c r="AM779" s="23">
        <v>31.05</v>
      </c>
      <c r="AN779" s="23">
        <v>22984.5</v>
      </c>
      <c r="AO779" s="23">
        <v>32.200000000000003</v>
      </c>
      <c r="AP779" s="23">
        <v>0</v>
      </c>
      <c r="AR779" s="46"/>
      <c r="AS779" s="44"/>
      <c r="AT779" s="45"/>
      <c r="AU779" s="2">
        <v>44078</v>
      </c>
      <c r="AV779" s="52">
        <v>0.38541666666666669</v>
      </c>
      <c r="AW779" s="2" t="s">
        <v>212</v>
      </c>
      <c r="AY779" s="3"/>
      <c r="BA779" s="3"/>
      <c r="BG779" s="3"/>
      <c r="BH779" s="3"/>
    </row>
    <row r="780" spans="1:60">
      <c r="A780" s="23" t="s">
        <v>22</v>
      </c>
      <c r="B780" s="23" t="s">
        <v>25</v>
      </c>
      <c r="C780" s="27">
        <v>44078.447916666664</v>
      </c>
      <c r="D780" s="23">
        <v>31.8</v>
      </c>
      <c r="E780" s="27">
        <v>44078.604166666664</v>
      </c>
      <c r="F780" s="23">
        <v>31.75</v>
      </c>
      <c r="G780" s="31">
        <v>-1.6000000000000001E-3</v>
      </c>
      <c r="H780" s="23">
        <v>-79.2</v>
      </c>
      <c r="I780" s="31">
        <v>-1.6000000000000001E-3</v>
      </c>
      <c r="J780" s="23">
        <v>1583.9829999999999</v>
      </c>
      <c r="K780" s="23">
        <v>50370.64</v>
      </c>
      <c r="L780" s="23">
        <v>73482</v>
      </c>
      <c r="M780" s="23">
        <v>16</v>
      </c>
      <c r="N780" s="23">
        <v>-4.95</v>
      </c>
      <c r="O780" s="31">
        <v>-9.4000000000000004E-3</v>
      </c>
      <c r="P780" s="31">
        <v>2.8299999999999999E-2</v>
      </c>
      <c r="Q780" s="23" t="s">
        <v>24</v>
      </c>
      <c r="R780" s="23">
        <v>0</v>
      </c>
      <c r="S780" s="23">
        <v>30.33</v>
      </c>
      <c r="U780" s="47">
        <f>VLOOKUP(AU780,[1]expiry_dates!$B$2:$C$2894,2,FALSE)</f>
        <v>44098</v>
      </c>
      <c r="V780" s="23" t="s">
        <v>138</v>
      </c>
      <c r="W780" s="23" t="s">
        <v>23</v>
      </c>
      <c r="X780" s="49">
        <v>44078.447916666664</v>
      </c>
      <c r="Y780" s="23">
        <v>1.35</v>
      </c>
      <c r="Z780" s="23">
        <v>44078.604166666664</v>
      </c>
      <c r="AA780" s="23">
        <v>1.3</v>
      </c>
      <c r="AB780" s="23">
        <v>-3.6999999999999998E-2</v>
      </c>
      <c r="AC780" s="23">
        <v>2330.33</v>
      </c>
      <c r="AD780" s="23">
        <v>3.6999999999999998E-2</v>
      </c>
      <c r="AE780" s="23">
        <v>46606.54</v>
      </c>
      <c r="AF780" s="23">
        <v>62918.84</v>
      </c>
      <c r="AG780" s="23">
        <v>2581592.9700000002</v>
      </c>
      <c r="AH780" s="23">
        <v>16</v>
      </c>
      <c r="AI780" s="23">
        <v>145.65</v>
      </c>
      <c r="AJ780" s="23">
        <v>-3.6999999999999998E-2</v>
      </c>
      <c r="AK780" s="23">
        <v>0.29630000000000001</v>
      </c>
      <c r="AL780" s="23" t="s">
        <v>24</v>
      </c>
      <c r="AM780" s="23">
        <v>31.8</v>
      </c>
      <c r="AN780" s="23">
        <v>23091.15</v>
      </c>
      <c r="AO780" s="23">
        <v>30.33</v>
      </c>
      <c r="AP780" s="23">
        <v>0</v>
      </c>
      <c r="AR780" s="46"/>
      <c r="AS780" s="44"/>
      <c r="AT780" s="45"/>
      <c r="AU780" s="2">
        <v>44078</v>
      </c>
      <c r="AV780" s="52">
        <v>0.44791666666666669</v>
      </c>
      <c r="AW780" s="2" t="s">
        <v>212</v>
      </c>
      <c r="AY780" s="3"/>
      <c r="BA780" s="3"/>
      <c r="BG780" s="3"/>
      <c r="BH780" s="3"/>
    </row>
    <row r="781" spans="1:60">
      <c r="A781" s="23" t="s">
        <v>22</v>
      </c>
      <c r="B781" s="23" t="s">
        <v>23</v>
      </c>
      <c r="C781" s="27">
        <v>44078.604166666664</v>
      </c>
      <c r="D781" s="23">
        <v>31.75</v>
      </c>
      <c r="E781" s="27">
        <v>44081.520833333336</v>
      </c>
      <c r="F781" s="23">
        <v>31.55</v>
      </c>
      <c r="G781" s="31">
        <v>-6.3E-3</v>
      </c>
      <c r="H781" s="23">
        <v>317.29000000000002</v>
      </c>
      <c r="I781" s="31">
        <v>6.3E-3</v>
      </c>
      <c r="J781" s="23">
        <v>1586.45</v>
      </c>
      <c r="K781" s="23">
        <v>50369.79</v>
      </c>
      <c r="L781" s="23">
        <v>73799.289999999994</v>
      </c>
      <c r="M781" s="23">
        <v>21</v>
      </c>
      <c r="N781" s="23">
        <v>15.11</v>
      </c>
      <c r="O781" s="31">
        <v>-1.0999999999999999E-2</v>
      </c>
      <c r="P781" s="31">
        <v>2.52E-2</v>
      </c>
      <c r="Q781" s="23" t="s">
        <v>24</v>
      </c>
      <c r="R781" s="23">
        <v>0</v>
      </c>
      <c r="S781" s="23">
        <v>32.700000000000003</v>
      </c>
      <c r="U781" s="47">
        <f>VLOOKUP(AU781,[1]expiry_dates!$B$2:$C$2894,2,FALSE)</f>
        <v>44098</v>
      </c>
      <c r="V781" s="23" t="s">
        <v>179</v>
      </c>
      <c r="W781" s="23" t="s">
        <v>23</v>
      </c>
      <c r="X781" s="49">
        <v>44078.604166666664</v>
      </c>
      <c r="Y781" s="23">
        <v>1.9</v>
      </c>
      <c r="Z781" s="23">
        <v>44081.520833333336</v>
      </c>
      <c r="AA781" s="23">
        <v>1.85</v>
      </c>
      <c r="AB781" s="23">
        <v>-2.63E-2</v>
      </c>
      <c r="AC781" s="23">
        <v>1656.7</v>
      </c>
      <c r="AD781" s="23">
        <v>2.63E-2</v>
      </c>
      <c r="AE781" s="23">
        <v>33133.980000000003</v>
      </c>
      <c r="AF781" s="23">
        <v>62954.57</v>
      </c>
      <c r="AG781" s="23">
        <v>2583249.67</v>
      </c>
      <c r="AH781" s="23">
        <v>21</v>
      </c>
      <c r="AI781" s="23">
        <v>78.89</v>
      </c>
      <c r="AJ781" s="23">
        <v>-0.1053</v>
      </c>
      <c r="AK781" s="23">
        <v>0.1053</v>
      </c>
      <c r="AL781" s="23" t="s">
        <v>24</v>
      </c>
      <c r="AM781" s="23">
        <v>31.75</v>
      </c>
      <c r="AN781" s="23">
        <v>22996.3</v>
      </c>
      <c r="AO781" s="23">
        <v>32.700000000000003</v>
      </c>
      <c r="AP781" s="23">
        <v>0</v>
      </c>
      <c r="AR781" s="46"/>
      <c r="AS781" s="44"/>
      <c r="AT781" s="45"/>
      <c r="AU781" s="2">
        <v>44078</v>
      </c>
      <c r="AV781" s="52">
        <v>0.10416666666666667</v>
      </c>
      <c r="AW781" s="2" t="s">
        <v>213</v>
      </c>
      <c r="AY781" s="3"/>
      <c r="BA781" s="3"/>
      <c r="BG781" s="3"/>
      <c r="BH781" s="3"/>
    </row>
    <row r="782" spans="1:60">
      <c r="A782" s="23" t="s">
        <v>22</v>
      </c>
      <c r="B782" s="23" t="s">
        <v>25</v>
      </c>
      <c r="C782" s="27">
        <v>44081.520833333336</v>
      </c>
      <c r="D782" s="23">
        <v>31.55</v>
      </c>
      <c r="E782" s="27">
        <v>44081.604166666664</v>
      </c>
      <c r="F782" s="23">
        <v>31.4</v>
      </c>
      <c r="G782" s="31">
        <v>-4.7999999999999996E-3</v>
      </c>
      <c r="H782" s="23">
        <v>-239.48</v>
      </c>
      <c r="I782" s="31">
        <v>-4.7999999999999996E-3</v>
      </c>
      <c r="J782" s="23">
        <v>1596.5070000000001</v>
      </c>
      <c r="K782" s="23">
        <v>50369.79</v>
      </c>
      <c r="L782" s="23">
        <v>73559.81</v>
      </c>
      <c r="M782" s="23">
        <v>9</v>
      </c>
      <c r="N782" s="23">
        <v>-26.61</v>
      </c>
      <c r="O782" s="31">
        <v>-4.7999999999999996E-3</v>
      </c>
      <c r="P782" s="31">
        <v>9.4999999999999998E-3</v>
      </c>
      <c r="Q782" s="23" t="s">
        <v>24</v>
      </c>
      <c r="R782" s="23">
        <v>0</v>
      </c>
      <c r="S782" s="23">
        <v>30.95</v>
      </c>
      <c r="U782" s="47">
        <f>VLOOKUP(AU782,[1]expiry_dates!$B$2:$C$2894,2,FALSE)</f>
        <v>44098</v>
      </c>
      <c r="V782" s="23" t="s">
        <v>138</v>
      </c>
      <c r="W782" s="23" t="s">
        <v>23</v>
      </c>
      <c r="X782" s="49">
        <v>44081.520833333336</v>
      </c>
      <c r="Y782" s="23">
        <v>1.4</v>
      </c>
      <c r="Z782" s="23">
        <v>44081.604166666664</v>
      </c>
      <c r="AA782" s="23">
        <v>1.45</v>
      </c>
      <c r="AB782" s="23">
        <v>3.5700000000000003E-2</v>
      </c>
      <c r="AC782" s="23">
        <v>-2247.3000000000002</v>
      </c>
      <c r="AD782" s="23">
        <v>-3.5700000000000003E-2</v>
      </c>
      <c r="AE782" s="23">
        <v>44946.09</v>
      </c>
      <c r="AF782" s="23">
        <v>62924.53</v>
      </c>
      <c r="AG782" s="23">
        <v>2581002.37</v>
      </c>
      <c r="AH782" s="23">
        <v>9</v>
      </c>
      <c r="AI782" s="23">
        <v>-249.7</v>
      </c>
      <c r="AJ782" s="23">
        <v>-3.5700000000000003E-2</v>
      </c>
      <c r="AK782" s="23">
        <v>0.1071</v>
      </c>
      <c r="AL782" s="23" t="s">
        <v>24</v>
      </c>
      <c r="AM782" s="23">
        <v>31.55</v>
      </c>
      <c r="AN782" s="23">
        <v>22970.3</v>
      </c>
      <c r="AO782" s="23">
        <v>30.95</v>
      </c>
      <c r="AP782" s="23">
        <v>0</v>
      </c>
      <c r="AR782" s="46"/>
      <c r="AS782" s="44"/>
      <c r="AT782" s="45"/>
      <c r="AU782" s="2">
        <v>44081</v>
      </c>
      <c r="AV782" s="52">
        <v>0.52083333333333337</v>
      </c>
      <c r="AW782" s="2" t="s">
        <v>213</v>
      </c>
      <c r="AY782" s="3"/>
      <c r="BA782" s="3"/>
      <c r="BG782" s="3"/>
      <c r="BH782" s="3"/>
    </row>
    <row r="783" spans="1:60">
      <c r="A783" s="23" t="s">
        <v>22</v>
      </c>
      <c r="B783" s="23" t="s">
        <v>23</v>
      </c>
      <c r="C783" s="27">
        <v>44081.604166666664</v>
      </c>
      <c r="D783" s="23">
        <v>31.4</v>
      </c>
      <c r="E783" s="27">
        <v>44081.625</v>
      </c>
      <c r="F783" s="23">
        <v>31.75</v>
      </c>
      <c r="G783" s="31">
        <v>1.11E-2</v>
      </c>
      <c r="H783" s="23">
        <v>-561.44000000000005</v>
      </c>
      <c r="I783" s="31">
        <v>-1.11E-2</v>
      </c>
      <c r="J783" s="23">
        <v>1604.1079999999999</v>
      </c>
      <c r="K783" s="23">
        <v>50369</v>
      </c>
      <c r="L783" s="23">
        <v>72998.37</v>
      </c>
      <c r="M783" s="23">
        <v>3</v>
      </c>
      <c r="N783" s="23">
        <v>-187.15</v>
      </c>
      <c r="O783" s="31">
        <v>-1.11E-2</v>
      </c>
      <c r="P783" s="31">
        <v>6.4000000000000003E-3</v>
      </c>
      <c r="Q783" s="23" t="s">
        <v>24</v>
      </c>
      <c r="R783" s="23">
        <v>0</v>
      </c>
      <c r="S783" s="23">
        <v>31.84</v>
      </c>
      <c r="U783" s="47">
        <f>VLOOKUP(AU783,[1]expiry_dates!$B$2:$C$2894,2,FALSE)</f>
        <v>44098</v>
      </c>
      <c r="V783" s="23" t="s">
        <v>176</v>
      </c>
      <c r="W783" s="23" t="s">
        <v>23</v>
      </c>
      <c r="X783" s="49">
        <v>44081.604166666664</v>
      </c>
      <c r="Y783" s="23">
        <v>2.1</v>
      </c>
      <c r="Z783" s="23">
        <v>44081.625</v>
      </c>
      <c r="AA783" s="23">
        <v>2.35</v>
      </c>
      <c r="AB783" s="23">
        <v>0.11899999999999999</v>
      </c>
      <c r="AC783" s="23">
        <v>-7491.37</v>
      </c>
      <c r="AD783" s="23">
        <v>-0.11899999999999999</v>
      </c>
      <c r="AE783" s="23">
        <v>29965.47</v>
      </c>
      <c r="AF783" s="23">
        <v>62927.48</v>
      </c>
      <c r="AG783" s="23">
        <v>2573511</v>
      </c>
      <c r="AH783" s="23">
        <v>3</v>
      </c>
      <c r="AI783" s="23">
        <v>-2497.12</v>
      </c>
      <c r="AJ783" s="23">
        <v>-0.1429</v>
      </c>
      <c r="AK783" s="23">
        <v>0</v>
      </c>
      <c r="AL783" s="23" t="s">
        <v>24</v>
      </c>
      <c r="AM783" s="23">
        <v>31.4</v>
      </c>
      <c r="AN783" s="23">
        <v>22794.2</v>
      </c>
      <c r="AO783" s="23">
        <v>31.84</v>
      </c>
      <c r="AP783" s="23">
        <v>0</v>
      </c>
      <c r="AR783" s="46"/>
      <c r="AS783" s="44"/>
      <c r="AT783" s="45"/>
      <c r="AU783" s="2">
        <v>44081</v>
      </c>
      <c r="AV783" s="52">
        <v>0.10416666666666667</v>
      </c>
      <c r="AW783" s="2" t="s">
        <v>213</v>
      </c>
      <c r="AY783" s="3"/>
      <c r="BA783" s="3"/>
      <c r="BG783" s="3"/>
      <c r="BH783" s="3"/>
    </row>
    <row r="784" spans="1:60">
      <c r="A784" s="23" t="s">
        <v>22</v>
      </c>
      <c r="B784" s="23" t="s">
        <v>25</v>
      </c>
      <c r="C784" s="27">
        <v>44081.625</v>
      </c>
      <c r="D784" s="23">
        <v>31.75</v>
      </c>
      <c r="E784" s="27">
        <v>44082.458333333336</v>
      </c>
      <c r="F784" s="23">
        <v>31.5</v>
      </c>
      <c r="G784" s="31">
        <v>-7.9000000000000008E-3</v>
      </c>
      <c r="H784" s="23">
        <v>-396.6</v>
      </c>
      <c r="I784" s="31">
        <v>-7.9000000000000008E-3</v>
      </c>
      <c r="J784" s="23">
        <v>1586.3869999999999</v>
      </c>
      <c r="K784" s="23">
        <v>50367.8</v>
      </c>
      <c r="L784" s="23">
        <v>72601.78</v>
      </c>
      <c r="M784" s="23">
        <v>13</v>
      </c>
      <c r="N784" s="23">
        <v>-30.51</v>
      </c>
      <c r="O784" s="31">
        <v>-1.26E-2</v>
      </c>
      <c r="P784" s="31">
        <v>3.0999999999999999E-3</v>
      </c>
      <c r="Q784" s="23" t="s">
        <v>24</v>
      </c>
      <c r="R784" s="23">
        <v>0</v>
      </c>
      <c r="S784" s="23">
        <v>31.2</v>
      </c>
      <c r="U784" s="47">
        <f>VLOOKUP(AU784,[1]expiry_dates!$B$2:$C$2894,2,FALSE)</f>
        <v>44098</v>
      </c>
      <c r="V784" s="23" t="s">
        <v>180</v>
      </c>
      <c r="W784" s="23" t="s">
        <v>23</v>
      </c>
      <c r="X784" s="49">
        <v>44081.625</v>
      </c>
      <c r="Y784" s="23">
        <v>2.2999999999999998</v>
      </c>
      <c r="Z784" s="23">
        <v>44082.458333333336</v>
      </c>
      <c r="AA784" s="23">
        <v>2.15</v>
      </c>
      <c r="AB784" s="23">
        <v>-6.5199999999999994E-2</v>
      </c>
      <c r="AC784" s="23">
        <v>4101.04</v>
      </c>
      <c r="AD784" s="23">
        <v>6.5199999999999994E-2</v>
      </c>
      <c r="AE784" s="23">
        <v>27340.23</v>
      </c>
      <c r="AF784" s="23">
        <v>62882.54</v>
      </c>
      <c r="AG784" s="23">
        <v>2577612.04</v>
      </c>
      <c r="AH784" s="23">
        <v>13</v>
      </c>
      <c r="AI784" s="23">
        <v>315.45999999999998</v>
      </c>
      <c r="AJ784" s="23">
        <v>-4.3499999999999997E-2</v>
      </c>
      <c r="AK784" s="23">
        <v>6.5199999999999994E-2</v>
      </c>
      <c r="AL784" s="23" t="s">
        <v>24</v>
      </c>
      <c r="AM784" s="23">
        <v>31.75</v>
      </c>
      <c r="AN784" s="23">
        <v>22961.9</v>
      </c>
      <c r="AO784" s="23">
        <v>31.2</v>
      </c>
      <c r="AP784" s="23">
        <v>0</v>
      </c>
      <c r="AR784" s="46"/>
      <c r="AS784" s="44"/>
      <c r="AT784" s="45"/>
      <c r="AU784" s="2">
        <v>44081</v>
      </c>
      <c r="AV784" s="52">
        <v>0.125</v>
      </c>
      <c r="AW784" s="2" t="s">
        <v>213</v>
      </c>
      <c r="AY784" s="3"/>
      <c r="BA784" s="3"/>
      <c r="BG784" s="3"/>
      <c r="BH784" s="3"/>
    </row>
    <row r="785" spans="1:60">
      <c r="A785" s="23" t="s">
        <v>22</v>
      </c>
      <c r="B785" s="23" t="s">
        <v>23</v>
      </c>
      <c r="C785" s="27">
        <v>44082.458333333336</v>
      </c>
      <c r="D785" s="23">
        <v>31.5</v>
      </c>
      <c r="E785" s="27">
        <v>44083.572916666664</v>
      </c>
      <c r="F785" s="23">
        <v>29.55</v>
      </c>
      <c r="G785" s="31">
        <v>-6.1899999999999997E-2</v>
      </c>
      <c r="H785" s="23">
        <v>3117.76</v>
      </c>
      <c r="I785" s="31">
        <v>6.1899999999999997E-2</v>
      </c>
      <c r="J785" s="23">
        <v>1598.8510000000001</v>
      </c>
      <c r="K785" s="23">
        <v>50363.8</v>
      </c>
      <c r="L785" s="23">
        <v>75719.539999999994</v>
      </c>
      <c r="M785" s="23">
        <v>40</v>
      </c>
      <c r="N785" s="23">
        <v>77.94</v>
      </c>
      <c r="O785" s="31">
        <v>-4.7999999999999996E-3</v>
      </c>
      <c r="P785" s="31">
        <v>8.8900000000000007E-2</v>
      </c>
      <c r="Q785" s="23" t="s">
        <v>24</v>
      </c>
      <c r="R785" s="23">
        <v>0</v>
      </c>
      <c r="S785" s="23">
        <v>31.84</v>
      </c>
      <c r="U785" s="47">
        <f>VLOOKUP(AU785,[1]expiry_dates!$B$2:$C$2894,2,FALSE)</f>
        <v>44098</v>
      </c>
      <c r="V785" s="23" t="s">
        <v>179</v>
      </c>
      <c r="W785" s="23" t="s">
        <v>23</v>
      </c>
      <c r="X785" s="49">
        <v>44082.458333333336</v>
      </c>
      <c r="Y785" s="23">
        <v>1.65</v>
      </c>
      <c r="Z785" s="23">
        <v>44083.572916666664</v>
      </c>
      <c r="AA785" s="23">
        <v>0.8</v>
      </c>
      <c r="AB785" s="23">
        <v>-0.51519999999999999</v>
      </c>
      <c r="AC785" s="23">
        <v>32396.880000000001</v>
      </c>
      <c r="AD785" s="23">
        <v>0.51519999999999999</v>
      </c>
      <c r="AE785" s="23">
        <v>38113.980000000003</v>
      </c>
      <c r="AF785" s="23">
        <v>62888.06</v>
      </c>
      <c r="AG785" s="23">
        <v>2610008.92</v>
      </c>
      <c r="AH785" s="23">
        <v>40</v>
      </c>
      <c r="AI785" s="23">
        <v>809.92</v>
      </c>
      <c r="AJ785" s="23">
        <v>-3.0300000000000001E-2</v>
      </c>
      <c r="AK785" s="23">
        <v>0.60609999999999997</v>
      </c>
      <c r="AL785" s="23" t="s">
        <v>24</v>
      </c>
      <c r="AM785" s="23">
        <v>31.5</v>
      </c>
      <c r="AN785" s="23">
        <v>22975.35</v>
      </c>
      <c r="AO785" s="23">
        <v>31.84</v>
      </c>
      <c r="AP785" s="23">
        <v>0</v>
      </c>
      <c r="AR785" s="46"/>
      <c r="AS785" s="44"/>
      <c r="AT785" s="45"/>
      <c r="AU785" s="2">
        <v>44082</v>
      </c>
      <c r="AV785" s="52">
        <v>0.45833333333333331</v>
      </c>
      <c r="AW785" s="2" t="s">
        <v>212</v>
      </c>
      <c r="AY785" s="3"/>
      <c r="BA785" s="3"/>
      <c r="BG785" s="3"/>
      <c r="BH785" s="3"/>
    </row>
    <row r="786" spans="1:60">
      <c r="A786" s="23" t="s">
        <v>22</v>
      </c>
      <c r="B786" s="23" t="s">
        <v>25</v>
      </c>
      <c r="C786" s="27">
        <v>44083.572916666664</v>
      </c>
      <c r="D786" s="23">
        <v>29.55</v>
      </c>
      <c r="E786" s="27">
        <v>44084.552083333336</v>
      </c>
      <c r="F786" s="23">
        <v>29.8</v>
      </c>
      <c r="G786" s="31">
        <v>8.5000000000000006E-3</v>
      </c>
      <c r="H786" s="23">
        <v>426.23</v>
      </c>
      <c r="I786" s="31">
        <v>8.5000000000000006E-3</v>
      </c>
      <c r="J786" s="23">
        <v>1704.9</v>
      </c>
      <c r="K786" s="23">
        <v>50379.8</v>
      </c>
      <c r="L786" s="23">
        <v>76145.759999999995</v>
      </c>
      <c r="M786" s="23">
        <v>27</v>
      </c>
      <c r="N786" s="23">
        <v>15.79</v>
      </c>
      <c r="O786" s="31">
        <v>-1.35E-2</v>
      </c>
      <c r="P786" s="31">
        <v>3.5499999999999997E-2</v>
      </c>
      <c r="Q786" s="23" t="s">
        <v>24</v>
      </c>
      <c r="R786" s="23">
        <v>0</v>
      </c>
      <c r="S786" s="23">
        <v>28.72</v>
      </c>
      <c r="U786" s="47">
        <f>VLOOKUP(AU786,[1]expiry_dates!$B$2:$C$2894,2,FALSE)</f>
        <v>44098</v>
      </c>
      <c r="V786" s="23" t="s">
        <v>178</v>
      </c>
      <c r="W786" s="23" t="s">
        <v>23</v>
      </c>
      <c r="X786" s="49">
        <v>44083.572916666664</v>
      </c>
      <c r="Y786" s="23">
        <v>1.4</v>
      </c>
      <c r="Z786" s="23">
        <v>44084.552083333336</v>
      </c>
      <c r="AA786" s="23">
        <v>1.25</v>
      </c>
      <c r="AB786" s="23">
        <v>-0.1071</v>
      </c>
      <c r="AC786" s="23">
        <v>6755.36</v>
      </c>
      <c r="AD786" s="23">
        <v>0.1071</v>
      </c>
      <c r="AE786" s="23">
        <v>45035.75</v>
      </c>
      <c r="AF786" s="23">
        <v>63050.04</v>
      </c>
      <c r="AG786" s="23">
        <v>2616764.2799999998</v>
      </c>
      <c r="AH786" s="23">
        <v>27</v>
      </c>
      <c r="AI786" s="23">
        <v>250.2</v>
      </c>
      <c r="AJ786" s="23">
        <v>-0.1071</v>
      </c>
      <c r="AK786" s="23">
        <v>0.32140000000000002</v>
      </c>
      <c r="AL786" s="23" t="s">
        <v>24</v>
      </c>
      <c r="AM786" s="23">
        <v>29.55</v>
      </c>
      <c r="AN786" s="23">
        <v>22194.25</v>
      </c>
      <c r="AO786" s="23">
        <v>28.72</v>
      </c>
      <c r="AP786" s="23">
        <v>0</v>
      </c>
      <c r="AR786" s="46"/>
      <c r="AS786" s="44"/>
      <c r="AT786" s="45"/>
      <c r="AU786" s="2">
        <v>44083</v>
      </c>
      <c r="AV786" s="52">
        <v>7.2916666666666671E-2</v>
      </c>
      <c r="AW786" s="2" t="s">
        <v>213</v>
      </c>
      <c r="AY786" s="3"/>
      <c r="BA786" s="3"/>
      <c r="BG786" s="3"/>
      <c r="BH786" s="3"/>
    </row>
    <row r="787" spans="1:60">
      <c r="A787" s="23" t="s">
        <v>22</v>
      </c>
      <c r="B787" s="23" t="s">
        <v>23</v>
      </c>
      <c r="C787" s="27">
        <v>44084.552083333336</v>
      </c>
      <c r="D787" s="23">
        <v>29.8</v>
      </c>
      <c r="E787" s="27">
        <v>44084.604166666664</v>
      </c>
      <c r="F787" s="23">
        <v>30.35</v>
      </c>
      <c r="G787" s="31">
        <v>1.8499999999999999E-2</v>
      </c>
      <c r="H787" s="23">
        <v>-929.89</v>
      </c>
      <c r="I787" s="31">
        <v>-1.8499999999999999E-2</v>
      </c>
      <c r="J787" s="23">
        <v>1690.7139999999999</v>
      </c>
      <c r="K787" s="23">
        <v>50383.29</v>
      </c>
      <c r="L787" s="23">
        <v>75215.87</v>
      </c>
      <c r="M787" s="23">
        <v>6</v>
      </c>
      <c r="N787" s="23">
        <v>-154.97999999999999</v>
      </c>
      <c r="O787" s="31">
        <v>-1.8499999999999999E-2</v>
      </c>
      <c r="P787" s="31">
        <v>3.3999999999999998E-3</v>
      </c>
      <c r="Q787" s="23" t="s">
        <v>24</v>
      </c>
      <c r="R787" s="23">
        <v>0</v>
      </c>
      <c r="S787" s="23">
        <v>30.57</v>
      </c>
      <c r="U787" s="47">
        <f>VLOOKUP(AU787,[1]expiry_dates!$B$2:$C$2894,2,FALSE)</f>
        <v>44098</v>
      </c>
      <c r="V787" s="23" t="s">
        <v>182</v>
      </c>
      <c r="W787" s="23" t="s">
        <v>23</v>
      </c>
      <c r="X787" s="49">
        <v>44084.552083333336</v>
      </c>
      <c r="Y787" s="23">
        <v>1.4</v>
      </c>
      <c r="Z787" s="23">
        <v>44084.604166666664</v>
      </c>
      <c r="AA787" s="23">
        <v>1.7</v>
      </c>
      <c r="AB787" s="23">
        <v>0.21429999999999999</v>
      </c>
      <c r="AC787" s="23">
        <v>-13525.2</v>
      </c>
      <c r="AD787" s="23">
        <v>-0.21429999999999999</v>
      </c>
      <c r="AE787" s="23">
        <v>45084</v>
      </c>
      <c r="AF787" s="23">
        <v>63117.599999999999</v>
      </c>
      <c r="AG787" s="23">
        <v>2603239.08</v>
      </c>
      <c r="AH787" s="23">
        <v>6</v>
      </c>
      <c r="AI787" s="23">
        <v>-2254.1999999999998</v>
      </c>
      <c r="AJ787" s="23">
        <v>-0.21429999999999999</v>
      </c>
      <c r="AK787" s="23">
        <v>0</v>
      </c>
      <c r="AL787" s="23" t="s">
        <v>24</v>
      </c>
      <c r="AM787" s="23">
        <v>29.8</v>
      </c>
      <c r="AN787" s="23">
        <v>22305.7</v>
      </c>
      <c r="AO787" s="23">
        <v>30.57</v>
      </c>
      <c r="AP787" s="23">
        <v>0</v>
      </c>
      <c r="AR787" s="46"/>
      <c r="AS787" s="44"/>
      <c r="AT787" s="45"/>
      <c r="AU787" s="2">
        <v>44084</v>
      </c>
      <c r="AV787" s="52">
        <v>5.2083333333333336E-2</v>
      </c>
      <c r="AW787" s="2" t="s">
        <v>213</v>
      </c>
      <c r="AY787" s="3"/>
      <c r="BA787" s="3"/>
      <c r="BG787" s="3"/>
      <c r="BH787" s="3"/>
    </row>
    <row r="788" spans="1:60">
      <c r="A788" s="23" t="s">
        <v>22</v>
      </c>
      <c r="B788" s="23" t="s">
        <v>25</v>
      </c>
      <c r="C788" s="27">
        <v>44084.604166666664</v>
      </c>
      <c r="D788" s="23">
        <v>30.35</v>
      </c>
      <c r="E788" s="27">
        <v>44085.489583333336</v>
      </c>
      <c r="F788" s="23">
        <v>30.6</v>
      </c>
      <c r="G788" s="31">
        <v>8.2000000000000007E-3</v>
      </c>
      <c r="H788" s="23">
        <v>414.97</v>
      </c>
      <c r="I788" s="31">
        <v>8.2000000000000007E-3</v>
      </c>
      <c r="J788" s="23">
        <v>1659.866</v>
      </c>
      <c r="K788" s="23">
        <v>50376.93</v>
      </c>
      <c r="L788" s="23">
        <v>75630.84</v>
      </c>
      <c r="M788" s="23">
        <v>18</v>
      </c>
      <c r="N788" s="23">
        <v>23.05</v>
      </c>
      <c r="O788" s="31">
        <v>-4.8999999999999998E-3</v>
      </c>
      <c r="P788" s="31">
        <v>2.64E-2</v>
      </c>
      <c r="Q788" s="23" t="s">
        <v>24</v>
      </c>
      <c r="R788" s="23">
        <v>0</v>
      </c>
      <c r="S788" s="23">
        <v>29.7</v>
      </c>
      <c r="U788" s="47">
        <f>VLOOKUP(AU788,[1]expiry_dates!$B$2:$C$2894,2,FALSE)</f>
        <v>44098</v>
      </c>
      <c r="V788" s="23" t="s">
        <v>138</v>
      </c>
      <c r="W788" s="23" t="s">
        <v>23</v>
      </c>
      <c r="X788" s="49">
        <v>44084.604166666664</v>
      </c>
      <c r="Y788" s="23">
        <v>1.5</v>
      </c>
      <c r="Z788" s="23">
        <v>44085.489583333336</v>
      </c>
      <c r="AA788" s="23">
        <v>1.4</v>
      </c>
      <c r="AB788" s="23">
        <v>-6.6699999999999995E-2</v>
      </c>
      <c r="AC788" s="23">
        <v>4201.83</v>
      </c>
      <c r="AD788" s="23">
        <v>6.6699999999999995E-2</v>
      </c>
      <c r="AE788" s="23">
        <v>42018.31</v>
      </c>
      <c r="AF788" s="23">
        <v>63027.47</v>
      </c>
      <c r="AG788" s="23">
        <v>2607440.91</v>
      </c>
      <c r="AH788" s="23">
        <v>18</v>
      </c>
      <c r="AI788" s="23">
        <v>233.44</v>
      </c>
      <c r="AJ788" s="23">
        <v>-0.1333</v>
      </c>
      <c r="AK788" s="23">
        <v>0.2</v>
      </c>
      <c r="AL788" s="23" t="s">
        <v>24</v>
      </c>
      <c r="AM788" s="23">
        <v>30.35</v>
      </c>
      <c r="AN788" s="23">
        <v>22412.7</v>
      </c>
      <c r="AO788" s="23">
        <v>29.7</v>
      </c>
      <c r="AP788" s="23">
        <v>0</v>
      </c>
      <c r="AR788" s="46"/>
      <c r="AS788" s="44"/>
      <c r="AT788" s="45"/>
      <c r="AU788" s="2">
        <v>44084</v>
      </c>
      <c r="AV788" s="52">
        <v>0.10416666666666667</v>
      </c>
      <c r="AW788" s="2" t="s">
        <v>213</v>
      </c>
      <c r="AY788" s="3"/>
      <c r="BA788" s="3"/>
      <c r="BG788" s="3"/>
      <c r="BH788" s="3"/>
    </row>
    <row r="789" spans="1:60">
      <c r="A789" s="23" t="s">
        <v>22</v>
      </c>
      <c r="B789" s="23" t="s">
        <v>23</v>
      </c>
      <c r="C789" s="27">
        <v>44085.489583333336</v>
      </c>
      <c r="D789" s="23">
        <v>30.6</v>
      </c>
      <c r="E789" s="27">
        <v>44085.59375</v>
      </c>
      <c r="F789" s="23">
        <v>30.75</v>
      </c>
      <c r="G789" s="31">
        <v>4.8999999999999998E-3</v>
      </c>
      <c r="H789" s="23">
        <v>-246.95</v>
      </c>
      <c r="I789" s="31">
        <v>-4.8999999999999998E-3</v>
      </c>
      <c r="J789" s="23">
        <v>1646.345</v>
      </c>
      <c r="K789" s="23">
        <v>50378.15</v>
      </c>
      <c r="L789" s="23">
        <v>75383.88</v>
      </c>
      <c r="M789" s="23">
        <v>11</v>
      </c>
      <c r="N789" s="23">
        <v>-22.45</v>
      </c>
      <c r="O789" s="31">
        <v>-6.4999999999999997E-3</v>
      </c>
      <c r="P789" s="31">
        <v>3.3E-3</v>
      </c>
      <c r="Q789" s="23" t="s">
        <v>24</v>
      </c>
      <c r="R789" s="23">
        <v>0</v>
      </c>
      <c r="S789" s="23">
        <v>31.14</v>
      </c>
      <c r="U789" s="47">
        <f>VLOOKUP(AU789,[1]expiry_dates!$B$2:$C$2894,2,FALSE)</f>
        <v>44098</v>
      </c>
      <c r="V789" s="23" t="s">
        <v>176</v>
      </c>
      <c r="W789" s="23" t="s">
        <v>23</v>
      </c>
      <c r="X789" s="49">
        <v>44085.489583333336</v>
      </c>
      <c r="Y789" s="23">
        <v>1.4</v>
      </c>
      <c r="Z789" s="23">
        <v>44085.59375</v>
      </c>
      <c r="AA789" s="23">
        <v>1.4</v>
      </c>
      <c r="AB789" s="23">
        <v>0</v>
      </c>
      <c r="AC789" s="23">
        <v>0</v>
      </c>
      <c r="AD789" s="23">
        <v>0</v>
      </c>
      <c r="AE789" s="23">
        <v>45034.080000000002</v>
      </c>
      <c r="AF789" s="23">
        <v>63047.71</v>
      </c>
      <c r="AG789" s="23">
        <v>2607440.91</v>
      </c>
      <c r="AH789" s="23">
        <v>11</v>
      </c>
      <c r="AI789" s="23">
        <v>0</v>
      </c>
      <c r="AJ789" s="23">
        <v>-7.1400000000000005E-2</v>
      </c>
      <c r="AK789" s="23">
        <v>3.5700000000000003E-2</v>
      </c>
      <c r="AL789" s="23" t="s">
        <v>24</v>
      </c>
      <c r="AM789" s="23">
        <v>30.6</v>
      </c>
      <c r="AN789" s="23">
        <v>22373.25</v>
      </c>
      <c r="AO789" s="23">
        <v>31.14</v>
      </c>
      <c r="AP789" s="23">
        <v>0</v>
      </c>
      <c r="AR789" s="46"/>
      <c r="AS789" s="44"/>
      <c r="AT789" s="45"/>
      <c r="AU789" s="2">
        <v>44085</v>
      </c>
      <c r="AV789" s="52">
        <v>0.48958333333333331</v>
      </c>
      <c r="AW789" s="2" t="s">
        <v>212</v>
      </c>
      <c r="AY789" s="3"/>
      <c r="BA789" s="3"/>
      <c r="BG789" s="3"/>
      <c r="BH789" s="3"/>
    </row>
    <row r="790" spans="1:60">
      <c r="A790" s="23" t="s">
        <v>22</v>
      </c>
      <c r="B790" s="23" t="s">
        <v>25</v>
      </c>
      <c r="C790" s="27">
        <v>44085.59375</v>
      </c>
      <c r="D790" s="23">
        <v>30.75</v>
      </c>
      <c r="E790" s="27">
        <v>44088.552083333336</v>
      </c>
      <c r="F790" s="23">
        <v>31.4</v>
      </c>
      <c r="G790" s="31">
        <v>2.1100000000000001E-2</v>
      </c>
      <c r="H790" s="23">
        <v>1064.8800000000001</v>
      </c>
      <c r="I790" s="31">
        <v>2.1100000000000001E-2</v>
      </c>
      <c r="J790" s="23">
        <v>1638.2739999999999</v>
      </c>
      <c r="K790" s="23">
        <v>50376.92</v>
      </c>
      <c r="L790" s="23">
        <v>76448.759999999995</v>
      </c>
      <c r="M790" s="23">
        <v>25</v>
      </c>
      <c r="N790" s="23">
        <v>42.6</v>
      </c>
      <c r="O790" s="31">
        <v>-3.3E-3</v>
      </c>
      <c r="P790" s="31">
        <v>3.09E-2</v>
      </c>
      <c r="Q790" s="23" t="s">
        <v>24</v>
      </c>
      <c r="R790" s="23">
        <v>0</v>
      </c>
      <c r="S790" s="23">
        <v>30.52</v>
      </c>
      <c r="U790" s="47">
        <f>VLOOKUP(AU790,[1]expiry_dates!$B$2:$C$2894,2,FALSE)</f>
        <v>44098</v>
      </c>
      <c r="V790" s="23" t="s">
        <v>178</v>
      </c>
      <c r="W790" s="23" t="s">
        <v>23</v>
      </c>
      <c r="X790" s="49">
        <v>44085.59375</v>
      </c>
      <c r="Y790" s="23">
        <v>0.95</v>
      </c>
      <c r="Z790" s="23">
        <v>44088.552083333336</v>
      </c>
      <c r="AA790" s="23">
        <v>0.55000000000000004</v>
      </c>
      <c r="AB790" s="23">
        <v>-0.42109999999999997</v>
      </c>
      <c r="AC790" s="23">
        <v>26541.98</v>
      </c>
      <c r="AD790" s="23">
        <v>0.42109999999999997</v>
      </c>
      <c r="AE790" s="23">
        <v>66354.95</v>
      </c>
      <c r="AF790" s="23">
        <v>63037.2</v>
      </c>
      <c r="AG790" s="23">
        <v>2633982.89</v>
      </c>
      <c r="AH790" s="23">
        <v>25</v>
      </c>
      <c r="AI790" s="23">
        <v>1061.68</v>
      </c>
      <c r="AJ790" s="23">
        <v>0</v>
      </c>
      <c r="AK790" s="23">
        <v>0.47370000000000001</v>
      </c>
      <c r="AL790" s="23" t="s">
        <v>24</v>
      </c>
      <c r="AM790" s="23">
        <v>30.75</v>
      </c>
      <c r="AN790" s="23">
        <v>22292.65</v>
      </c>
      <c r="AO790" s="23">
        <v>30.52</v>
      </c>
      <c r="AP790" s="23">
        <v>0</v>
      </c>
      <c r="AR790" s="46"/>
      <c r="AS790" s="44"/>
      <c r="AT790" s="45"/>
      <c r="AU790" s="2">
        <v>44085</v>
      </c>
      <c r="AV790" s="52">
        <v>9.375E-2</v>
      </c>
      <c r="AW790" s="2" t="s">
        <v>213</v>
      </c>
      <c r="AY790" s="3"/>
      <c r="BA790" s="3"/>
      <c r="BG790" s="3"/>
      <c r="BH790" s="3"/>
    </row>
    <row r="791" spans="1:60">
      <c r="A791" s="23" t="s">
        <v>22</v>
      </c>
      <c r="B791" s="23" t="s">
        <v>23</v>
      </c>
      <c r="C791" s="27">
        <v>44088.552083333336</v>
      </c>
      <c r="D791" s="23">
        <v>31.4</v>
      </c>
      <c r="E791" s="27">
        <v>44089.385416666664</v>
      </c>
      <c r="F791" s="23">
        <v>31.2</v>
      </c>
      <c r="G791" s="31">
        <v>-6.4000000000000003E-3</v>
      </c>
      <c r="H791" s="23">
        <v>320.91000000000003</v>
      </c>
      <c r="I791" s="31">
        <v>6.4000000000000003E-3</v>
      </c>
      <c r="J791" s="23">
        <v>1604.556</v>
      </c>
      <c r="K791" s="23">
        <v>50383.06</v>
      </c>
      <c r="L791" s="23">
        <v>76769.67</v>
      </c>
      <c r="M791" s="23">
        <v>13</v>
      </c>
      <c r="N791" s="23">
        <v>24.69</v>
      </c>
      <c r="O791" s="31">
        <v>-3.2000000000000002E-3</v>
      </c>
      <c r="P791" s="31">
        <v>2.3900000000000001E-2</v>
      </c>
      <c r="Q791" s="23" t="s">
        <v>24</v>
      </c>
      <c r="R791" s="23">
        <v>0</v>
      </c>
      <c r="S791" s="23">
        <v>31.69</v>
      </c>
      <c r="U791" s="47">
        <f>VLOOKUP(AU791,[1]expiry_dates!$B$2:$C$2894,2,FALSE)</f>
        <v>44098</v>
      </c>
      <c r="V791" s="23" t="s">
        <v>176</v>
      </c>
      <c r="W791" s="23" t="s">
        <v>23</v>
      </c>
      <c r="X791" s="49">
        <v>44088.552083333336</v>
      </c>
      <c r="Y791" s="23">
        <v>1.65</v>
      </c>
      <c r="Z791" s="23">
        <v>44089.385416666664</v>
      </c>
      <c r="AA791" s="23">
        <v>1.35</v>
      </c>
      <c r="AB791" s="23">
        <v>-0.18179999999999999</v>
      </c>
      <c r="AC791" s="23">
        <v>11488.46</v>
      </c>
      <c r="AD791" s="23">
        <v>0.18179999999999999</v>
      </c>
      <c r="AE791" s="23">
        <v>38294.85</v>
      </c>
      <c r="AF791" s="23">
        <v>63186.5</v>
      </c>
      <c r="AG791" s="23">
        <v>2645471.35</v>
      </c>
      <c r="AH791" s="23">
        <v>13</v>
      </c>
      <c r="AI791" s="23">
        <v>883.73</v>
      </c>
      <c r="AJ791" s="23">
        <v>-3.0300000000000001E-2</v>
      </c>
      <c r="AK791" s="23">
        <v>0.2424</v>
      </c>
      <c r="AL791" s="23" t="s">
        <v>24</v>
      </c>
      <c r="AM791" s="23">
        <v>31.4</v>
      </c>
      <c r="AN791" s="23">
        <v>22369.35</v>
      </c>
      <c r="AO791" s="23">
        <v>31.69</v>
      </c>
      <c r="AP791" s="23">
        <v>0</v>
      </c>
      <c r="AR791" s="46"/>
      <c r="AS791" s="44"/>
      <c r="AT791" s="45"/>
      <c r="AU791" s="2">
        <v>44088</v>
      </c>
      <c r="AV791" s="52">
        <v>5.2083333333333336E-2</v>
      </c>
      <c r="AW791" s="2" t="s">
        <v>213</v>
      </c>
      <c r="AY791" s="3"/>
      <c r="BA791" s="3"/>
      <c r="BG791" s="3"/>
      <c r="BH791" s="3"/>
    </row>
    <row r="792" spans="1:60">
      <c r="A792" s="23" t="s">
        <v>22</v>
      </c>
      <c r="B792" s="23" t="s">
        <v>25</v>
      </c>
      <c r="C792" s="27">
        <v>44089.385416666664</v>
      </c>
      <c r="D792" s="23">
        <v>31.2</v>
      </c>
      <c r="E792" s="27">
        <v>44089.4375</v>
      </c>
      <c r="F792" s="23">
        <v>30.85</v>
      </c>
      <c r="G792" s="31">
        <v>-1.12E-2</v>
      </c>
      <c r="H792" s="23">
        <v>-565.19000000000005</v>
      </c>
      <c r="I792" s="31">
        <v>-1.12E-2</v>
      </c>
      <c r="J792" s="23">
        <v>1614.8409999999999</v>
      </c>
      <c r="K792" s="23">
        <v>50383.05</v>
      </c>
      <c r="L792" s="23">
        <v>76204.479999999996</v>
      </c>
      <c r="M792" s="23">
        <v>6</v>
      </c>
      <c r="N792" s="23">
        <v>-94.2</v>
      </c>
      <c r="O792" s="31">
        <v>-1.12E-2</v>
      </c>
      <c r="P792" s="31">
        <v>6.4000000000000003E-3</v>
      </c>
      <c r="Q792" s="23" t="s">
        <v>24</v>
      </c>
      <c r="R792" s="23">
        <v>0</v>
      </c>
      <c r="S792" s="23">
        <v>30.66</v>
      </c>
      <c r="U792" s="47">
        <f>VLOOKUP(AU792,[1]expiry_dates!$B$2:$C$2894,2,FALSE)</f>
        <v>44098</v>
      </c>
      <c r="V792" s="23" t="s">
        <v>178</v>
      </c>
      <c r="W792" s="23" t="s">
        <v>23</v>
      </c>
      <c r="X792" s="49">
        <v>44089.385416666664</v>
      </c>
      <c r="Y792" s="23">
        <v>0.65</v>
      </c>
      <c r="Z792" s="23">
        <v>44089.4375</v>
      </c>
      <c r="AA792" s="23">
        <v>0.6</v>
      </c>
      <c r="AB792" s="23">
        <v>-7.6899999999999996E-2</v>
      </c>
      <c r="AC792" s="23">
        <v>4862.91</v>
      </c>
      <c r="AD792" s="23">
        <v>7.6899999999999996E-2</v>
      </c>
      <c r="AE792" s="23">
        <v>97258.13</v>
      </c>
      <c r="AF792" s="23">
        <v>63217.79</v>
      </c>
      <c r="AG792" s="23">
        <v>2650334.25</v>
      </c>
      <c r="AH792" s="23">
        <v>6</v>
      </c>
      <c r="AI792" s="23">
        <v>810.48</v>
      </c>
      <c r="AJ792" s="23">
        <v>0</v>
      </c>
      <c r="AK792" s="23">
        <v>0.23080000000000001</v>
      </c>
      <c r="AL792" s="23" t="s">
        <v>24</v>
      </c>
      <c r="AM792" s="23">
        <v>31.2</v>
      </c>
      <c r="AN792" s="23">
        <v>22175.3</v>
      </c>
      <c r="AO792" s="23">
        <v>30.66</v>
      </c>
      <c r="AP792" s="23">
        <v>0</v>
      </c>
      <c r="AR792" s="46"/>
      <c r="AS792" s="44"/>
      <c r="AT792" s="45"/>
      <c r="AU792" s="2">
        <v>44089</v>
      </c>
      <c r="AV792" s="52">
        <v>0.38541666666666669</v>
      </c>
      <c r="AW792" s="2" t="s">
        <v>212</v>
      </c>
      <c r="AY792" s="3"/>
      <c r="BA792" s="3"/>
      <c r="BG792" s="3"/>
      <c r="BH792" s="3"/>
    </row>
    <row r="793" spans="1:60">
      <c r="A793" s="23" t="s">
        <v>22</v>
      </c>
      <c r="B793" s="23" t="s">
        <v>23</v>
      </c>
      <c r="C793" s="27">
        <v>44089.4375</v>
      </c>
      <c r="D793" s="23">
        <v>30.85</v>
      </c>
      <c r="E793" s="27">
        <v>44089.5</v>
      </c>
      <c r="F793" s="23">
        <v>31.15</v>
      </c>
      <c r="G793" s="31">
        <v>9.7000000000000003E-3</v>
      </c>
      <c r="H793" s="23">
        <v>-489.94</v>
      </c>
      <c r="I793" s="31">
        <v>-9.7000000000000003E-3</v>
      </c>
      <c r="J793" s="23">
        <v>1633.123</v>
      </c>
      <c r="K793" s="23">
        <v>50381.83</v>
      </c>
      <c r="L793" s="23">
        <v>75714.539999999994</v>
      </c>
      <c r="M793" s="23">
        <v>7</v>
      </c>
      <c r="N793" s="23">
        <v>-69.989999999999995</v>
      </c>
      <c r="O793" s="31">
        <v>-1.1299999999999999E-2</v>
      </c>
      <c r="P793" s="31">
        <v>6.4999999999999997E-3</v>
      </c>
      <c r="Q793" s="23" t="s">
        <v>24</v>
      </c>
      <c r="R793" s="23">
        <v>0</v>
      </c>
      <c r="S793" s="23">
        <v>31.4</v>
      </c>
      <c r="U793" s="47">
        <f>VLOOKUP(AU793,[1]expiry_dates!$B$2:$C$2894,2,FALSE)</f>
        <v>44098</v>
      </c>
      <c r="V793" s="23" t="s">
        <v>176</v>
      </c>
      <c r="W793" s="23" t="s">
        <v>23</v>
      </c>
      <c r="X793" s="49">
        <v>44089.4375</v>
      </c>
      <c r="Y793" s="23">
        <v>1.3</v>
      </c>
      <c r="Z793" s="23">
        <v>44089.5</v>
      </c>
      <c r="AA793" s="23">
        <v>1.4</v>
      </c>
      <c r="AB793" s="23">
        <v>7.6899999999999996E-2</v>
      </c>
      <c r="AC793" s="23">
        <v>-4865.51</v>
      </c>
      <c r="AD793" s="23">
        <v>-7.6899999999999996E-2</v>
      </c>
      <c r="AE793" s="23">
        <v>48655.13</v>
      </c>
      <c r="AF793" s="23">
        <v>63251.67</v>
      </c>
      <c r="AG793" s="23">
        <v>2645468.7400000002</v>
      </c>
      <c r="AH793" s="23">
        <v>7</v>
      </c>
      <c r="AI793" s="23">
        <v>-695.07</v>
      </c>
      <c r="AJ793" s="23">
        <v>-7.6899999999999996E-2</v>
      </c>
      <c r="AK793" s="23">
        <v>7.6899999999999996E-2</v>
      </c>
      <c r="AL793" s="23" t="s">
        <v>24</v>
      </c>
      <c r="AM793" s="23">
        <v>30.85</v>
      </c>
      <c r="AN793" s="23">
        <v>22143.65</v>
      </c>
      <c r="AO793" s="23">
        <v>31.4</v>
      </c>
      <c r="AP793" s="23">
        <v>0</v>
      </c>
      <c r="AR793" s="46"/>
      <c r="AS793" s="44"/>
      <c r="AT793" s="45"/>
      <c r="AU793" s="2">
        <v>44089</v>
      </c>
      <c r="AV793" s="52">
        <v>0.4375</v>
      </c>
      <c r="AW793" s="2" t="s">
        <v>212</v>
      </c>
      <c r="AY793" s="3"/>
      <c r="BA793" s="3"/>
      <c r="BG793" s="3"/>
      <c r="BH793" s="3"/>
    </row>
    <row r="794" spans="1:60">
      <c r="A794" s="23" t="s">
        <v>22</v>
      </c>
      <c r="B794" s="23" t="s">
        <v>25</v>
      </c>
      <c r="C794" s="27">
        <v>44089.5</v>
      </c>
      <c r="D794" s="23">
        <v>31.15</v>
      </c>
      <c r="E794" s="27">
        <v>44090.46875</v>
      </c>
      <c r="F794" s="23">
        <v>31.75</v>
      </c>
      <c r="G794" s="31">
        <v>1.9300000000000001E-2</v>
      </c>
      <c r="H794" s="23">
        <v>970.39</v>
      </c>
      <c r="I794" s="31">
        <v>1.9300000000000001E-2</v>
      </c>
      <c r="J794" s="23">
        <v>1617.316</v>
      </c>
      <c r="K794" s="23">
        <v>50379.39</v>
      </c>
      <c r="L794" s="23">
        <v>76684.929999999993</v>
      </c>
      <c r="M794" s="23">
        <v>26</v>
      </c>
      <c r="N794" s="23">
        <v>37.32</v>
      </c>
      <c r="O794" s="31">
        <v>-4.7999999999999996E-3</v>
      </c>
      <c r="P794" s="31">
        <v>4.0099999999999997E-2</v>
      </c>
      <c r="Q794" s="23" t="s">
        <v>24</v>
      </c>
      <c r="R794" s="23">
        <v>0</v>
      </c>
      <c r="S794" s="23">
        <v>30.67</v>
      </c>
      <c r="U794" s="47">
        <f>VLOOKUP(AU794,[1]expiry_dates!$B$2:$C$2894,2,FALSE)</f>
        <v>44098</v>
      </c>
      <c r="V794" s="23" t="s">
        <v>138</v>
      </c>
      <c r="W794" s="23" t="s">
        <v>23</v>
      </c>
      <c r="X794" s="49">
        <v>44089.5</v>
      </c>
      <c r="Y794" s="23">
        <v>0.85</v>
      </c>
      <c r="Z794" s="23">
        <v>44090.46875</v>
      </c>
      <c r="AA794" s="23">
        <v>0.6</v>
      </c>
      <c r="AB794" s="23">
        <v>-0.29409999999999997</v>
      </c>
      <c r="AC794" s="23">
        <v>18596.28</v>
      </c>
      <c r="AD794" s="23">
        <v>0.29409999999999997</v>
      </c>
      <c r="AE794" s="23">
        <v>74385.11</v>
      </c>
      <c r="AF794" s="23">
        <v>63227.34</v>
      </c>
      <c r="AG794" s="23">
        <v>2664065.02</v>
      </c>
      <c r="AH794" s="23">
        <v>26</v>
      </c>
      <c r="AI794" s="23">
        <v>715.24</v>
      </c>
      <c r="AJ794" s="23">
        <v>0</v>
      </c>
      <c r="AK794" s="23">
        <v>0.4118</v>
      </c>
      <c r="AL794" s="23" t="s">
        <v>24</v>
      </c>
      <c r="AM794" s="23">
        <v>31.15</v>
      </c>
      <c r="AN794" s="23">
        <v>22184.55</v>
      </c>
      <c r="AO794" s="23">
        <v>30.67</v>
      </c>
      <c r="AP794" s="23">
        <v>0</v>
      </c>
      <c r="AR794" s="46"/>
      <c r="AS794" s="44"/>
      <c r="AT794" s="45"/>
      <c r="AU794" s="2">
        <v>44089</v>
      </c>
      <c r="AV794" s="52">
        <v>0.5</v>
      </c>
      <c r="AW794" s="2" t="s">
        <v>213</v>
      </c>
      <c r="AY794" s="3"/>
      <c r="BA794" s="3"/>
      <c r="BG794" s="3"/>
      <c r="BH794" s="3"/>
    </row>
    <row r="795" spans="1:60">
      <c r="A795" s="23" t="s">
        <v>22</v>
      </c>
      <c r="B795" s="23" t="s">
        <v>23</v>
      </c>
      <c r="C795" s="27">
        <v>44090.46875</v>
      </c>
      <c r="D795" s="23">
        <v>31.75</v>
      </c>
      <c r="E795" s="27">
        <v>44090.583333333336</v>
      </c>
      <c r="F795" s="23">
        <v>32.1</v>
      </c>
      <c r="G795" s="31">
        <v>1.0999999999999999E-2</v>
      </c>
      <c r="H795" s="23">
        <v>-555.41999999999996</v>
      </c>
      <c r="I795" s="31">
        <v>-1.0999999999999999E-2</v>
      </c>
      <c r="J795" s="23">
        <v>1586.9179999999999</v>
      </c>
      <c r="K795" s="23">
        <v>50384.639999999999</v>
      </c>
      <c r="L795" s="23">
        <v>76129.509999999995</v>
      </c>
      <c r="M795" s="23">
        <v>12</v>
      </c>
      <c r="N795" s="23">
        <v>-46.29</v>
      </c>
      <c r="O795" s="31">
        <v>-1.0999999999999999E-2</v>
      </c>
      <c r="P795" s="31">
        <v>6.3E-3</v>
      </c>
      <c r="Q795" s="23" t="s">
        <v>24</v>
      </c>
      <c r="R795" s="23">
        <v>0</v>
      </c>
      <c r="S795" s="23">
        <v>32.39</v>
      </c>
      <c r="U795" s="47">
        <f>VLOOKUP(AU795,[1]expiry_dates!$B$2:$C$2894,2,FALSE)</f>
        <v>44098</v>
      </c>
      <c r="V795" s="23" t="s">
        <v>179</v>
      </c>
      <c r="W795" s="23" t="s">
        <v>23</v>
      </c>
      <c r="X795" s="49">
        <v>44090.46875</v>
      </c>
      <c r="Y795" s="23">
        <v>1.25</v>
      </c>
      <c r="Z795" s="23">
        <v>44090.583333333336</v>
      </c>
      <c r="AA795" s="23">
        <v>1.4</v>
      </c>
      <c r="AB795" s="23">
        <v>0.12</v>
      </c>
      <c r="AC795" s="23">
        <v>-7598.44</v>
      </c>
      <c r="AD795" s="23">
        <v>-0.12</v>
      </c>
      <c r="AE795" s="23">
        <v>50656.26</v>
      </c>
      <c r="AF795" s="23">
        <v>63320.33</v>
      </c>
      <c r="AG795" s="23">
        <v>2656466.58</v>
      </c>
      <c r="AH795" s="23">
        <v>12</v>
      </c>
      <c r="AI795" s="23">
        <v>-633.20000000000005</v>
      </c>
      <c r="AJ795" s="23">
        <v>-0.12</v>
      </c>
      <c r="AK795" s="23">
        <v>0.12</v>
      </c>
      <c r="AL795" s="23" t="s">
        <v>24</v>
      </c>
      <c r="AM795" s="23">
        <v>31.75</v>
      </c>
      <c r="AN795" s="23">
        <v>22346.400000000001</v>
      </c>
      <c r="AO795" s="23">
        <v>32.39</v>
      </c>
      <c r="AP795" s="23">
        <v>0</v>
      </c>
      <c r="AR795" s="46"/>
      <c r="AS795" s="44"/>
      <c r="AT795" s="45"/>
      <c r="AU795" s="2">
        <v>44090</v>
      </c>
      <c r="AV795" s="52">
        <v>0.46875</v>
      </c>
      <c r="AW795" s="2" t="s">
        <v>212</v>
      </c>
      <c r="AY795" s="3"/>
      <c r="BA795" s="3"/>
      <c r="BG795" s="3"/>
      <c r="BH795" s="3"/>
    </row>
    <row r="796" spans="1:60">
      <c r="A796" s="23" t="s">
        <v>22</v>
      </c>
      <c r="B796" s="23" t="s">
        <v>25</v>
      </c>
      <c r="C796" s="27">
        <v>44090.583333333336</v>
      </c>
      <c r="D796" s="23">
        <v>32.1</v>
      </c>
      <c r="E796" s="27">
        <v>44091.385416666664</v>
      </c>
      <c r="F796" s="23">
        <v>31.85</v>
      </c>
      <c r="G796" s="31">
        <v>-7.7999999999999996E-3</v>
      </c>
      <c r="H796" s="23">
        <v>-392.39</v>
      </c>
      <c r="I796" s="31">
        <v>-7.7999999999999996E-3</v>
      </c>
      <c r="J796" s="23">
        <v>1569.54</v>
      </c>
      <c r="K796" s="23">
        <v>50382.23</v>
      </c>
      <c r="L796" s="23">
        <v>75737.119999999995</v>
      </c>
      <c r="M796" s="23">
        <v>10</v>
      </c>
      <c r="N796" s="23">
        <v>-39.24</v>
      </c>
      <c r="O796" s="31">
        <v>-1.8700000000000001E-2</v>
      </c>
      <c r="P796" s="31">
        <v>6.1999999999999998E-3</v>
      </c>
      <c r="Q796" s="23" t="s">
        <v>24</v>
      </c>
      <c r="R796" s="23">
        <v>0</v>
      </c>
      <c r="S796" s="23">
        <v>31.55</v>
      </c>
      <c r="U796" s="47">
        <f>VLOOKUP(AU796,[1]expiry_dates!$B$2:$C$2894,2,FALSE)</f>
        <v>44098</v>
      </c>
      <c r="V796" s="23" t="s">
        <v>180</v>
      </c>
      <c r="W796" s="23" t="s">
        <v>23</v>
      </c>
      <c r="X796" s="49">
        <v>44090.583333333336</v>
      </c>
      <c r="Y796" s="23">
        <v>1.35</v>
      </c>
      <c r="Z796" s="23">
        <v>44091.385416666664</v>
      </c>
      <c r="AA796" s="23">
        <v>1.35</v>
      </c>
      <c r="AB796" s="23">
        <v>0</v>
      </c>
      <c r="AC796" s="23">
        <v>0</v>
      </c>
      <c r="AD796" s="23">
        <v>0</v>
      </c>
      <c r="AE796" s="23">
        <v>46885.18</v>
      </c>
      <c r="AF796" s="23">
        <v>63295</v>
      </c>
      <c r="AG796" s="23">
        <v>2656466.58</v>
      </c>
      <c r="AH796" s="23">
        <v>10</v>
      </c>
      <c r="AI796" s="23">
        <v>0</v>
      </c>
      <c r="AJ796" s="23">
        <v>-0.25929999999999997</v>
      </c>
      <c r="AK796" s="23">
        <v>7.4099999999999999E-2</v>
      </c>
      <c r="AL796" s="23" t="s">
        <v>24</v>
      </c>
      <c r="AM796" s="23">
        <v>32.1</v>
      </c>
      <c r="AN796" s="23">
        <v>22539.8</v>
      </c>
      <c r="AO796" s="23">
        <v>31.55</v>
      </c>
      <c r="AP796" s="23">
        <v>0</v>
      </c>
      <c r="AR796" s="46"/>
      <c r="AS796" s="44"/>
      <c r="AT796" s="45"/>
      <c r="AU796" s="2">
        <v>44090</v>
      </c>
      <c r="AV796" s="52">
        <v>8.3333333333333329E-2</v>
      </c>
      <c r="AW796" s="2" t="s">
        <v>213</v>
      </c>
      <c r="AY796" s="3"/>
      <c r="BA796" s="3"/>
      <c r="BG796" s="3"/>
      <c r="BH796" s="3"/>
    </row>
    <row r="797" spans="1:60">
      <c r="A797" s="23" t="s">
        <v>22</v>
      </c>
      <c r="B797" s="23" t="s">
        <v>23</v>
      </c>
      <c r="C797" s="27">
        <v>44091.385416666664</v>
      </c>
      <c r="D797" s="23">
        <v>31.85</v>
      </c>
      <c r="E797" s="27">
        <v>44091.40625</v>
      </c>
      <c r="F797" s="23">
        <v>32.35</v>
      </c>
      <c r="G797" s="31">
        <v>1.5699999999999999E-2</v>
      </c>
      <c r="H797" s="23">
        <v>-790.84</v>
      </c>
      <c r="I797" s="31">
        <v>-1.5699999999999999E-2</v>
      </c>
      <c r="J797" s="23">
        <v>1581.6869999999999</v>
      </c>
      <c r="K797" s="23">
        <v>50376.72</v>
      </c>
      <c r="L797" s="23">
        <v>74946.28</v>
      </c>
      <c r="M797" s="23">
        <v>3</v>
      </c>
      <c r="N797" s="23">
        <v>-263.61</v>
      </c>
      <c r="O797" s="31">
        <v>-1.5699999999999999E-2</v>
      </c>
      <c r="P797" s="31">
        <v>1.0999999999999999E-2</v>
      </c>
      <c r="Q797" s="23" t="s">
        <v>24</v>
      </c>
      <c r="R797" s="23">
        <v>0</v>
      </c>
      <c r="S797" s="23">
        <v>32.25</v>
      </c>
      <c r="U797" s="47">
        <f>VLOOKUP(AU797,[1]expiry_dates!$B$2:$C$2894,2,FALSE)</f>
        <v>44098</v>
      </c>
      <c r="V797" s="23" t="s">
        <v>179</v>
      </c>
      <c r="W797" s="23" t="s">
        <v>23</v>
      </c>
      <c r="X797" s="49">
        <v>44091.385416666664</v>
      </c>
      <c r="Y797" s="23">
        <v>1.25</v>
      </c>
      <c r="Z797" s="23">
        <v>44091.40625</v>
      </c>
      <c r="AA797" s="23">
        <v>1.4</v>
      </c>
      <c r="AB797" s="23">
        <v>0.12</v>
      </c>
      <c r="AC797" s="23">
        <v>-7593.88</v>
      </c>
      <c r="AD797" s="23">
        <v>-0.12</v>
      </c>
      <c r="AE797" s="23">
        <v>50625.87</v>
      </c>
      <c r="AF797" s="23">
        <v>63282.34</v>
      </c>
      <c r="AG797" s="23">
        <v>2648872.7000000002</v>
      </c>
      <c r="AH797" s="23">
        <v>3</v>
      </c>
      <c r="AI797" s="23">
        <v>-2531.29</v>
      </c>
      <c r="AJ797" s="23">
        <v>-0.12</v>
      </c>
      <c r="AK797" s="23">
        <v>0.12</v>
      </c>
      <c r="AL797" s="23" t="s">
        <v>24</v>
      </c>
      <c r="AM797" s="23">
        <v>31.85</v>
      </c>
      <c r="AN797" s="23">
        <v>22340.15</v>
      </c>
      <c r="AO797" s="23">
        <v>32.25</v>
      </c>
      <c r="AP797" s="23">
        <v>0</v>
      </c>
      <c r="AR797" s="46"/>
      <c r="AS797" s="44"/>
      <c r="AT797" s="45"/>
      <c r="AU797" s="2">
        <v>44091</v>
      </c>
      <c r="AV797" s="52">
        <v>0.38541666666666669</v>
      </c>
      <c r="AW797" s="2" t="s">
        <v>212</v>
      </c>
      <c r="AY797" s="3"/>
      <c r="BA797" s="3"/>
      <c r="BG797" s="3"/>
      <c r="BH797" s="3"/>
    </row>
    <row r="798" spans="1:60">
      <c r="A798" s="23" t="s">
        <v>22</v>
      </c>
      <c r="B798" s="23" t="s">
        <v>25</v>
      </c>
      <c r="C798" s="27">
        <v>44091.40625</v>
      </c>
      <c r="D798" s="23">
        <v>32.35</v>
      </c>
      <c r="E798" s="27">
        <v>44091.479166666664</v>
      </c>
      <c r="F798" s="23">
        <v>31.85</v>
      </c>
      <c r="G798" s="31">
        <v>-1.55E-2</v>
      </c>
      <c r="H798" s="23">
        <v>-778.63</v>
      </c>
      <c r="I798" s="31">
        <v>-1.55E-2</v>
      </c>
      <c r="J798" s="23">
        <v>1557.2639999999999</v>
      </c>
      <c r="K798" s="23">
        <v>50377.5</v>
      </c>
      <c r="L798" s="23">
        <v>74167.649999999994</v>
      </c>
      <c r="M798" s="23">
        <v>8</v>
      </c>
      <c r="N798" s="23">
        <v>-97.33</v>
      </c>
      <c r="O798" s="31">
        <v>-1.55E-2</v>
      </c>
      <c r="P798" s="31">
        <v>1.5E-3</v>
      </c>
      <c r="Q798" s="23" t="s">
        <v>24</v>
      </c>
      <c r="R798" s="23">
        <v>0</v>
      </c>
      <c r="S798" s="23">
        <v>31.53</v>
      </c>
      <c r="U798" s="47">
        <f>VLOOKUP(AU798,[1]expiry_dates!$B$2:$C$2894,2,FALSE)</f>
        <v>44098</v>
      </c>
      <c r="V798" s="23" t="s">
        <v>180</v>
      </c>
      <c r="W798" s="23" t="s">
        <v>23</v>
      </c>
      <c r="X798" s="49">
        <v>44091.40625</v>
      </c>
      <c r="Y798" s="23">
        <v>1.05</v>
      </c>
      <c r="Z798" s="23">
        <v>44091.479166666664</v>
      </c>
      <c r="AA798" s="23">
        <v>1.25</v>
      </c>
      <c r="AB798" s="23">
        <v>0.1905</v>
      </c>
      <c r="AC798" s="23">
        <v>-12053.78</v>
      </c>
      <c r="AD798" s="23">
        <v>-0.1905</v>
      </c>
      <c r="AE798" s="23">
        <v>60268.89</v>
      </c>
      <c r="AF798" s="23">
        <v>63282.33</v>
      </c>
      <c r="AG798" s="23">
        <v>2636818.92</v>
      </c>
      <c r="AH798" s="23">
        <v>8</v>
      </c>
      <c r="AI798" s="23">
        <v>-1506.72</v>
      </c>
      <c r="AJ798" s="23">
        <v>-0.1905</v>
      </c>
      <c r="AK798" s="23">
        <v>0</v>
      </c>
      <c r="AL798" s="23" t="s">
        <v>24</v>
      </c>
      <c r="AM798" s="23">
        <v>32.35</v>
      </c>
      <c r="AN798" s="23">
        <v>22377.35</v>
      </c>
      <c r="AO798" s="23">
        <v>31.53</v>
      </c>
      <c r="AP798" s="23">
        <v>0</v>
      </c>
      <c r="AR798" s="46"/>
      <c r="AS798" s="44"/>
      <c r="AT798" s="45"/>
      <c r="AU798" s="2">
        <v>44091</v>
      </c>
      <c r="AV798" s="52">
        <v>0.40625</v>
      </c>
      <c r="AW798" s="2" t="s">
        <v>212</v>
      </c>
      <c r="AY798" s="3"/>
      <c r="BA798" s="3"/>
      <c r="BG798" s="3"/>
      <c r="BH798" s="3"/>
    </row>
    <row r="799" spans="1:60">
      <c r="A799" s="23" t="s">
        <v>22</v>
      </c>
      <c r="B799" s="23" t="s">
        <v>23</v>
      </c>
      <c r="C799" s="27">
        <v>44091.479166666664</v>
      </c>
      <c r="D799" s="23">
        <v>31.85</v>
      </c>
      <c r="E799" s="27">
        <v>44091.541666666664</v>
      </c>
      <c r="F799" s="23">
        <v>32.049999999999997</v>
      </c>
      <c r="G799" s="31">
        <v>6.3E-3</v>
      </c>
      <c r="H799" s="23">
        <v>-316.31</v>
      </c>
      <c r="I799" s="31">
        <v>-6.3E-3</v>
      </c>
      <c r="J799" s="23">
        <v>1581.5260000000001</v>
      </c>
      <c r="K799" s="23">
        <v>50371.62</v>
      </c>
      <c r="L799" s="23">
        <v>73851.34</v>
      </c>
      <c r="M799" s="23">
        <v>7</v>
      </c>
      <c r="N799" s="23">
        <v>-45.19</v>
      </c>
      <c r="O799" s="31">
        <v>-1.0999999999999999E-2</v>
      </c>
      <c r="P799" s="31">
        <v>4.7000000000000002E-3</v>
      </c>
      <c r="Q799" s="23" t="s">
        <v>24</v>
      </c>
      <c r="R799" s="23">
        <v>0</v>
      </c>
      <c r="S799" s="23">
        <v>32.4</v>
      </c>
      <c r="U799" s="47">
        <f>VLOOKUP(AU799,[1]expiry_dates!$B$2:$C$2894,2,FALSE)</f>
        <v>44098</v>
      </c>
      <c r="V799" s="23" t="s">
        <v>179</v>
      </c>
      <c r="W799" s="23" t="s">
        <v>23</v>
      </c>
      <c r="X799" s="49">
        <v>44091.479166666664</v>
      </c>
      <c r="Y799" s="23">
        <v>1.2</v>
      </c>
      <c r="Z799" s="23">
        <v>44091.541666666664</v>
      </c>
      <c r="AA799" s="23">
        <v>1.3</v>
      </c>
      <c r="AB799" s="23">
        <v>8.3299999999999999E-2</v>
      </c>
      <c r="AC799" s="23">
        <v>-5265.34</v>
      </c>
      <c r="AD799" s="23">
        <v>-8.3299999999999999E-2</v>
      </c>
      <c r="AE799" s="23">
        <v>52653.41</v>
      </c>
      <c r="AF799" s="23">
        <v>63184.09</v>
      </c>
      <c r="AG799" s="23">
        <v>2631553.58</v>
      </c>
      <c r="AH799" s="23">
        <v>7</v>
      </c>
      <c r="AI799" s="23">
        <v>-752.19</v>
      </c>
      <c r="AJ799" s="23">
        <v>-8.3299999999999999E-2</v>
      </c>
      <c r="AK799" s="23">
        <v>4.1700000000000001E-2</v>
      </c>
      <c r="AL799" s="23" t="s">
        <v>24</v>
      </c>
      <c r="AM799" s="23">
        <v>31.85</v>
      </c>
      <c r="AN799" s="23">
        <v>22352.15</v>
      </c>
      <c r="AO799" s="23">
        <v>32.4</v>
      </c>
      <c r="AP799" s="23">
        <v>0</v>
      </c>
      <c r="AR799" s="46"/>
      <c r="AS799" s="44"/>
      <c r="AT799" s="45"/>
      <c r="AU799" s="2">
        <v>44091</v>
      </c>
      <c r="AV799" s="52">
        <v>0.47916666666666669</v>
      </c>
      <c r="AW799" s="2" t="s">
        <v>212</v>
      </c>
      <c r="AY799" s="3"/>
      <c r="BA799" s="3"/>
      <c r="BG799" s="3"/>
      <c r="BH799" s="3"/>
    </row>
    <row r="800" spans="1:60">
      <c r="A800" s="23" t="s">
        <v>22</v>
      </c>
      <c r="B800" s="23" t="s">
        <v>25</v>
      </c>
      <c r="C800" s="27">
        <v>44091.541666666664</v>
      </c>
      <c r="D800" s="23">
        <v>32.049999999999997</v>
      </c>
      <c r="E800" s="27">
        <v>44091.625</v>
      </c>
      <c r="F800" s="23">
        <v>31.9</v>
      </c>
      <c r="G800" s="31">
        <v>-4.7000000000000002E-3</v>
      </c>
      <c r="H800" s="23">
        <v>-235.73</v>
      </c>
      <c r="I800" s="31">
        <v>-4.7000000000000002E-3</v>
      </c>
      <c r="J800" s="23">
        <v>1571.559</v>
      </c>
      <c r="K800" s="23">
        <v>50368.47</v>
      </c>
      <c r="L800" s="23">
        <v>73615.61</v>
      </c>
      <c r="M800" s="23">
        <v>9</v>
      </c>
      <c r="N800" s="23">
        <v>-26.19</v>
      </c>
      <c r="O800" s="31">
        <v>-4.7000000000000002E-3</v>
      </c>
      <c r="P800" s="31">
        <v>9.4000000000000004E-3</v>
      </c>
      <c r="Q800" s="23" t="s">
        <v>24</v>
      </c>
      <c r="R800" s="23">
        <v>0</v>
      </c>
      <c r="S800" s="23">
        <v>31.72</v>
      </c>
      <c r="U800" s="47">
        <f>VLOOKUP(AU800,[1]expiry_dates!$B$2:$C$2894,2,FALSE)</f>
        <v>44098</v>
      </c>
      <c r="V800" s="23" t="s">
        <v>138</v>
      </c>
      <c r="W800" s="23" t="s">
        <v>23</v>
      </c>
      <c r="X800" s="49">
        <v>44091.541666666664</v>
      </c>
      <c r="Y800" s="23">
        <v>0.4</v>
      </c>
      <c r="Z800" s="23">
        <v>44091.625</v>
      </c>
      <c r="AA800" s="23">
        <v>0.4</v>
      </c>
      <c r="AB800" s="23">
        <v>0</v>
      </c>
      <c r="AC800" s="23">
        <v>0</v>
      </c>
      <c r="AD800" s="23">
        <v>0</v>
      </c>
      <c r="AE800" s="23">
        <v>157894.39999999999</v>
      </c>
      <c r="AF800" s="23">
        <v>63157.77</v>
      </c>
      <c r="AG800" s="23">
        <v>2631553.58</v>
      </c>
      <c r="AH800" s="23">
        <v>9</v>
      </c>
      <c r="AI800" s="23">
        <v>0</v>
      </c>
      <c r="AJ800" s="23">
        <v>0</v>
      </c>
      <c r="AK800" s="23">
        <v>0.125</v>
      </c>
      <c r="AL800" s="23" t="s">
        <v>24</v>
      </c>
      <c r="AM800" s="23">
        <v>32.049999999999997</v>
      </c>
      <c r="AN800" s="23">
        <v>22339.25</v>
      </c>
      <c r="AO800" s="23">
        <v>31.72</v>
      </c>
      <c r="AP800" s="23">
        <v>0</v>
      </c>
      <c r="AR800" s="46"/>
      <c r="AS800" s="44"/>
      <c r="AT800" s="45"/>
      <c r="AU800" s="2">
        <v>44091</v>
      </c>
      <c r="AV800" s="52">
        <v>4.1666666666666664E-2</v>
      </c>
      <c r="AW800" s="2" t="s">
        <v>213</v>
      </c>
      <c r="AY800" s="3"/>
      <c r="BA800" s="3"/>
      <c r="BG800" s="3"/>
      <c r="BH800" s="3"/>
    </row>
    <row r="801" spans="1:60">
      <c r="A801" s="23" t="s">
        <v>22</v>
      </c>
      <c r="B801" s="23" t="s">
        <v>23</v>
      </c>
      <c r="C801" s="27">
        <v>44091.625</v>
      </c>
      <c r="D801" s="23">
        <v>31.9</v>
      </c>
      <c r="E801" s="27">
        <v>44092.385416666664</v>
      </c>
      <c r="F801" s="23">
        <v>32.15</v>
      </c>
      <c r="G801" s="31">
        <v>7.7999999999999996E-3</v>
      </c>
      <c r="H801" s="23">
        <v>-394.74</v>
      </c>
      <c r="I801" s="31">
        <v>-7.7999999999999996E-3</v>
      </c>
      <c r="J801" s="23">
        <v>1578.961</v>
      </c>
      <c r="K801" s="23">
        <v>50368.86</v>
      </c>
      <c r="L801" s="23">
        <v>73220.87</v>
      </c>
      <c r="M801" s="23">
        <v>6</v>
      </c>
      <c r="N801" s="23">
        <v>-65.790000000000006</v>
      </c>
      <c r="O801" s="31">
        <v>-7.7999999999999996E-3</v>
      </c>
      <c r="P801" s="31">
        <v>3.0999999999999999E-3</v>
      </c>
      <c r="Q801" s="23" t="s">
        <v>24</v>
      </c>
      <c r="R801" s="23">
        <v>0</v>
      </c>
      <c r="S801" s="23">
        <v>32.33</v>
      </c>
      <c r="U801" s="47">
        <f>VLOOKUP(AU801,[1]expiry_dates!$B$2:$C$2894,2,FALSE)</f>
        <v>44098</v>
      </c>
      <c r="V801" s="23" t="s">
        <v>179</v>
      </c>
      <c r="W801" s="23" t="s">
        <v>23</v>
      </c>
      <c r="X801" s="49">
        <v>44091.625</v>
      </c>
      <c r="Y801" s="23">
        <v>1.2</v>
      </c>
      <c r="Z801" s="23">
        <v>44092.385416666664</v>
      </c>
      <c r="AA801" s="23">
        <v>1.2</v>
      </c>
      <c r="AB801" s="23">
        <v>0</v>
      </c>
      <c r="AC801" s="23">
        <v>0</v>
      </c>
      <c r="AD801" s="23">
        <v>0</v>
      </c>
      <c r="AE801" s="23">
        <v>52664.37</v>
      </c>
      <c r="AF801" s="23">
        <v>63197.24</v>
      </c>
      <c r="AG801" s="23">
        <v>2631553.58</v>
      </c>
      <c r="AH801" s="23">
        <v>6</v>
      </c>
      <c r="AI801" s="23">
        <v>0</v>
      </c>
      <c r="AJ801" s="23">
        <v>-4.1700000000000001E-2</v>
      </c>
      <c r="AK801" s="23">
        <v>4.1700000000000001E-2</v>
      </c>
      <c r="AL801" s="23" t="s">
        <v>24</v>
      </c>
      <c r="AM801" s="23">
        <v>31.9</v>
      </c>
      <c r="AN801" s="23">
        <v>22328.65</v>
      </c>
      <c r="AO801" s="23">
        <v>32.33</v>
      </c>
      <c r="AP801" s="23">
        <v>0</v>
      </c>
      <c r="AR801" s="46"/>
      <c r="AS801" s="44"/>
      <c r="AT801" s="45"/>
      <c r="AU801" s="2">
        <v>44091</v>
      </c>
      <c r="AV801" s="52">
        <v>0.125</v>
      </c>
      <c r="AW801" s="2" t="s">
        <v>213</v>
      </c>
      <c r="AY801" s="3"/>
      <c r="BA801" s="3"/>
      <c r="BG801" s="3"/>
      <c r="BH801" s="3"/>
    </row>
    <row r="802" spans="1:60">
      <c r="A802" s="23" t="s">
        <v>22</v>
      </c>
      <c r="B802" s="23" t="s">
        <v>25</v>
      </c>
      <c r="C802" s="27">
        <v>44092.385416666664</v>
      </c>
      <c r="D802" s="23">
        <v>32.15</v>
      </c>
      <c r="E802" s="27">
        <v>44092.458333333336</v>
      </c>
      <c r="F802" s="23">
        <v>32</v>
      </c>
      <c r="G802" s="31">
        <v>-4.7000000000000002E-3</v>
      </c>
      <c r="H802" s="23">
        <v>-234.99</v>
      </c>
      <c r="I802" s="31">
        <v>-4.7000000000000002E-3</v>
      </c>
      <c r="J802" s="23">
        <v>1566.6220000000001</v>
      </c>
      <c r="K802" s="23">
        <v>50366.89</v>
      </c>
      <c r="L802" s="23">
        <v>72985.88</v>
      </c>
      <c r="M802" s="23">
        <v>8</v>
      </c>
      <c r="N802" s="23">
        <v>-29.37</v>
      </c>
      <c r="O802" s="31">
        <v>-9.2999999999999992E-3</v>
      </c>
      <c r="P802" s="31">
        <v>4.7000000000000002E-3</v>
      </c>
      <c r="Q802" s="23" t="s">
        <v>24</v>
      </c>
      <c r="R802" s="23">
        <v>0</v>
      </c>
      <c r="S802" s="23">
        <v>31.82</v>
      </c>
      <c r="U802" s="47">
        <f>VLOOKUP(AU802,[1]expiry_dates!$B$2:$C$2894,2,FALSE)</f>
        <v>44098</v>
      </c>
      <c r="V802" s="23" t="s">
        <v>180</v>
      </c>
      <c r="W802" s="23" t="s">
        <v>23</v>
      </c>
      <c r="X802" s="49">
        <v>44092.385416666664</v>
      </c>
      <c r="Y802" s="23">
        <v>1.05</v>
      </c>
      <c r="Z802" s="23">
        <v>44092.458333333336</v>
      </c>
      <c r="AA802" s="23">
        <v>1.05</v>
      </c>
      <c r="AB802" s="23">
        <v>0</v>
      </c>
      <c r="AC802" s="23">
        <v>0</v>
      </c>
      <c r="AD802" s="23">
        <v>0</v>
      </c>
      <c r="AE802" s="23">
        <v>60162.8</v>
      </c>
      <c r="AF802" s="23">
        <v>63170.93</v>
      </c>
      <c r="AG802" s="23">
        <v>2631553.58</v>
      </c>
      <c r="AH802" s="23">
        <v>8</v>
      </c>
      <c r="AI802" s="23">
        <v>0</v>
      </c>
      <c r="AJ802" s="23">
        <v>-9.5200000000000007E-2</v>
      </c>
      <c r="AK802" s="23">
        <v>4.7600000000000003E-2</v>
      </c>
      <c r="AL802" s="23" t="s">
        <v>24</v>
      </c>
      <c r="AM802" s="23">
        <v>32.15</v>
      </c>
      <c r="AN802" s="23">
        <v>22384.7</v>
      </c>
      <c r="AO802" s="23">
        <v>31.82</v>
      </c>
      <c r="AP802" s="23">
        <v>0</v>
      </c>
      <c r="AR802" s="46"/>
      <c r="AS802" s="44"/>
      <c r="AT802" s="45"/>
      <c r="AU802" s="2">
        <v>44092</v>
      </c>
      <c r="AV802" s="52">
        <v>0.38541666666666669</v>
      </c>
      <c r="AW802" s="2" t="s">
        <v>212</v>
      </c>
      <c r="AY802" s="3"/>
      <c r="BA802" s="3"/>
      <c r="BG802" s="3"/>
      <c r="BH802" s="3"/>
    </row>
    <row r="803" spans="1:60">
      <c r="A803" s="23" t="s">
        <v>22</v>
      </c>
      <c r="B803" s="23" t="s">
        <v>23</v>
      </c>
      <c r="C803" s="27">
        <v>44092.458333333336</v>
      </c>
      <c r="D803" s="23">
        <v>32</v>
      </c>
      <c r="E803" s="27">
        <v>44096.5</v>
      </c>
      <c r="F803" s="23">
        <v>29.3</v>
      </c>
      <c r="G803" s="31">
        <v>-8.4400000000000003E-2</v>
      </c>
      <c r="H803" s="23">
        <v>4249.6099999999997</v>
      </c>
      <c r="I803" s="31">
        <v>8.4400000000000003E-2</v>
      </c>
      <c r="J803" s="23">
        <v>1573.9280000000001</v>
      </c>
      <c r="K803" s="23">
        <v>50365.71</v>
      </c>
      <c r="L803" s="23">
        <v>77235.48</v>
      </c>
      <c r="M803" s="23">
        <v>61</v>
      </c>
      <c r="N803" s="23">
        <v>69.67</v>
      </c>
      <c r="O803" s="31">
        <v>-4.7000000000000002E-3</v>
      </c>
      <c r="P803" s="31">
        <v>0.1172</v>
      </c>
      <c r="Q803" s="23" t="s">
        <v>24</v>
      </c>
      <c r="R803" s="23">
        <v>0</v>
      </c>
      <c r="S803" s="23">
        <v>32.299999999999997</v>
      </c>
      <c r="U803" s="47">
        <f>VLOOKUP(AU803,[1]expiry_dates!$B$2:$C$2894,2,FALSE)</f>
        <v>44098</v>
      </c>
      <c r="V803" s="23" t="s">
        <v>179</v>
      </c>
      <c r="W803" s="23" t="s">
        <v>23</v>
      </c>
      <c r="X803" s="49">
        <v>44092.458333333336</v>
      </c>
      <c r="Y803" s="23">
        <v>1.05</v>
      </c>
      <c r="Z803" s="23">
        <v>44096.5</v>
      </c>
      <c r="AA803" s="23">
        <v>0.15</v>
      </c>
      <c r="AB803" s="23">
        <v>-0.85709999999999997</v>
      </c>
      <c r="AC803" s="23">
        <v>54135.23</v>
      </c>
      <c r="AD803" s="23">
        <v>0.85709999999999997</v>
      </c>
      <c r="AE803" s="23">
        <v>60150.26</v>
      </c>
      <c r="AF803" s="23">
        <v>63157.77</v>
      </c>
      <c r="AG803" s="23">
        <v>2685688.81</v>
      </c>
      <c r="AH803" s="23">
        <v>61</v>
      </c>
      <c r="AI803" s="23">
        <v>887.46</v>
      </c>
      <c r="AJ803" s="23">
        <v>-4.7600000000000003E-2</v>
      </c>
      <c r="AK803" s="23">
        <v>0.95240000000000002</v>
      </c>
      <c r="AL803" s="23" t="s">
        <v>24</v>
      </c>
      <c r="AM803" s="23">
        <v>32</v>
      </c>
      <c r="AN803" s="23">
        <v>22288.3</v>
      </c>
      <c r="AO803" s="23">
        <v>32.299999999999997</v>
      </c>
      <c r="AP803" s="23">
        <v>0</v>
      </c>
      <c r="AR803" s="46"/>
      <c r="AS803" s="44"/>
      <c r="AT803" s="45"/>
      <c r="AU803" s="2">
        <v>44092</v>
      </c>
      <c r="AV803" s="52">
        <v>0.45833333333333331</v>
      </c>
      <c r="AW803" s="2" t="s">
        <v>212</v>
      </c>
      <c r="AY803" s="3"/>
      <c r="BA803" s="3"/>
      <c r="BG803" s="3"/>
      <c r="BH803" s="3"/>
    </row>
    <row r="804" spans="1:60">
      <c r="A804" s="23" t="s">
        <v>22</v>
      </c>
      <c r="B804" s="23" t="s">
        <v>25</v>
      </c>
      <c r="C804" s="27">
        <v>44096.5</v>
      </c>
      <c r="D804" s="23">
        <v>29.3</v>
      </c>
      <c r="E804" s="27">
        <v>44096.583333333336</v>
      </c>
      <c r="F804" s="23">
        <v>28.8</v>
      </c>
      <c r="G804" s="31">
        <v>-1.7100000000000001E-2</v>
      </c>
      <c r="H804" s="23">
        <v>-859.84</v>
      </c>
      <c r="I804" s="31">
        <v>-1.7100000000000001E-2</v>
      </c>
      <c r="J804" s="23">
        <v>1719.6780000000001</v>
      </c>
      <c r="K804" s="23">
        <v>50386.57</v>
      </c>
      <c r="L804" s="23">
        <v>76375.64</v>
      </c>
      <c r="M804" s="23">
        <v>9</v>
      </c>
      <c r="N804" s="23">
        <v>-95.54</v>
      </c>
      <c r="O804" s="31">
        <v>-1.7100000000000001E-2</v>
      </c>
      <c r="P804" s="31">
        <v>1.1900000000000001E-2</v>
      </c>
      <c r="Q804" s="23" t="s">
        <v>24</v>
      </c>
      <c r="R804" s="23">
        <v>0</v>
      </c>
      <c r="S804" s="23">
        <v>28.29</v>
      </c>
      <c r="U804" s="47">
        <f>VLOOKUP(AU804,[1]expiry_dates!$B$2:$C$2894,2,FALSE)</f>
        <v>44098</v>
      </c>
      <c r="V804" s="23" t="s">
        <v>178</v>
      </c>
      <c r="W804" s="23" t="s">
        <v>23</v>
      </c>
      <c r="X804" s="49">
        <v>44096.5</v>
      </c>
      <c r="Y804" s="23">
        <v>0.55000000000000004</v>
      </c>
      <c r="Z804" s="23">
        <v>44096.583333333336</v>
      </c>
      <c r="AA804" s="23">
        <v>0.7</v>
      </c>
      <c r="AB804" s="23">
        <v>0.2727</v>
      </c>
      <c r="AC804" s="23">
        <v>-17302.77</v>
      </c>
      <c r="AD804" s="23">
        <v>-0.2727</v>
      </c>
      <c r="AE804" s="23">
        <v>115351.8</v>
      </c>
      <c r="AF804" s="23">
        <v>63443.48</v>
      </c>
      <c r="AG804" s="23">
        <v>2668386.04</v>
      </c>
      <c r="AH804" s="23">
        <v>9</v>
      </c>
      <c r="AI804" s="23">
        <v>-1922.53</v>
      </c>
      <c r="AJ804" s="23">
        <v>-0.2727</v>
      </c>
      <c r="AK804" s="23">
        <v>0.2727</v>
      </c>
      <c r="AL804" s="23" t="s">
        <v>24</v>
      </c>
      <c r="AM804" s="23">
        <v>29.3</v>
      </c>
      <c r="AN804" s="23">
        <v>21263.95</v>
      </c>
      <c r="AO804" s="23">
        <v>28.29</v>
      </c>
      <c r="AP804" s="23">
        <v>0</v>
      </c>
      <c r="AR804" s="46"/>
      <c r="AS804" s="44"/>
      <c r="AT804" s="45"/>
      <c r="AU804" s="2">
        <v>44096</v>
      </c>
      <c r="AV804" s="52">
        <v>0.5</v>
      </c>
      <c r="AW804" s="2" t="s">
        <v>213</v>
      </c>
      <c r="AY804" s="3"/>
      <c r="BA804" s="3"/>
      <c r="BG804" s="3"/>
      <c r="BH804" s="3"/>
    </row>
    <row r="805" spans="1:60">
      <c r="A805" s="23" t="s">
        <v>22</v>
      </c>
      <c r="B805" s="23" t="s">
        <v>23</v>
      </c>
      <c r="C805" s="27">
        <v>44096.583333333336</v>
      </c>
      <c r="D805" s="23">
        <v>28.8</v>
      </c>
      <c r="E805" s="27">
        <v>44097.447916666664</v>
      </c>
      <c r="F805" s="23">
        <v>29</v>
      </c>
      <c r="G805" s="31">
        <v>6.8999999999999999E-3</v>
      </c>
      <c r="H805" s="23">
        <v>-349.89</v>
      </c>
      <c r="I805" s="31">
        <v>-6.8999999999999999E-3</v>
      </c>
      <c r="J805" s="23">
        <v>1749.431</v>
      </c>
      <c r="K805" s="23">
        <v>50383.6</v>
      </c>
      <c r="L805" s="23">
        <v>76025.759999999995</v>
      </c>
      <c r="M805" s="23">
        <v>16</v>
      </c>
      <c r="N805" s="23">
        <v>-21.87</v>
      </c>
      <c r="O805" s="31">
        <v>-1.3899999999999999E-2</v>
      </c>
      <c r="P805" s="31">
        <v>8.6999999999999994E-3</v>
      </c>
      <c r="Q805" s="23" t="s">
        <v>24</v>
      </c>
      <c r="R805" s="23">
        <v>0</v>
      </c>
      <c r="S805" s="23">
        <v>29.65</v>
      </c>
      <c r="U805" s="47">
        <f>VLOOKUP(AU805,[1]expiry_dates!$B$2:$C$2894,2,FALSE)</f>
        <v>44098</v>
      </c>
      <c r="V805" s="23" t="s">
        <v>175</v>
      </c>
      <c r="W805" s="23" t="s">
        <v>23</v>
      </c>
      <c r="X805" s="49">
        <v>44096.583333333336</v>
      </c>
      <c r="Y805" s="23">
        <v>0.55000000000000004</v>
      </c>
      <c r="Z805" s="23">
        <v>44097.447916666664</v>
      </c>
      <c r="AA805" s="23">
        <v>0.45</v>
      </c>
      <c r="AB805" s="23">
        <v>-0.18179999999999999</v>
      </c>
      <c r="AC805" s="23">
        <v>11516.71</v>
      </c>
      <c r="AD805" s="23">
        <v>0.18179999999999999</v>
      </c>
      <c r="AE805" s="23">
        <v>115167.1</v>
      </c>
      <c r="AF805" s="23">
        <v>63341.93</v>
      </c>
      <c r="AG805" s="23">
        <v>2679902.7599999998</v>
      </c>
      <c r="AH805" s="23">
        <v>16</v>
      </c>
      <c r="AI805" s="23">
        <v>719.79</v>
      </c>
      <c r="AJ805" s="23">
        <v>-9.0899999999999995E-2</v>
      </c>
      <c r="AK805" s="23">
        <v>0.2727</v>
      </c>
      <c r="AL805" s="23" t="s">
        <v>24</v>
      </c>
      <c r="AM805" s="23">
        <v>28.8</v>
      </c>
      <c r="AN805" s="23">
        <v>21088.55</v>
      </c>
      <c r="AO805" s="23">
        <v>29.65</v>
      </c>
      <c r="AP805" s="23">
        <v>0</v>
      </c>
      <c r="AR805" s="46"/>
      <c r="AS805" s="44"/>
      <c r="AT805" s="45"/>
      <c r="AU805" s="2">
        <v>44096</v>
      </c>
      <c r="AV805" s="52">
        <v>8.3333333333333329E-2</v>
      </c>
      <c r="AW805" s="2" t="s">
        <v>213</v>
      </c>
      <c r="AY805" s="3"/>
      <c r="BA805" s="3"/>
      <c r="BG805" s="3"/>
      <c r="BH805" s="3"/>
    </row>
    <row r="806" spans="1:60">
      <c r="A806" s="23" t="s">
        <v>22</v>
      </c>
      <c r="B806" s="23" t="s">
        <v>25</v>
      </c>
      <c r="C806" s="27">
        <v>44097.447916666664</v>
      </c>
      <c r="D806" s="23">
        <v>29</v>
      </c>
      <c r="E806" s="27">
        <v>44097.5</v>
      </c>
      <c r="F806" s="23">
        <v>28.65</v>
      </c>
      <c r="G806" s="31">
        <v>-1.21E-2</v>
      </c>
      <c r="H806" s="23">
        <v>-608.04</v>
      </c>
      <c r="I806" s="31">
        <v>-1.21E-2</v>
      </c>
      <c r="J806" s="23">
        <v>1737.2460000000001</v>
      </c>
      <c r="K806" s="23">
        <v>50380.13</v>
      </c>
      <c r="L806" s="23">
        <v>75417.72</v>
      </c>
      <c r="M806" s="23">
        <v>6</v>
      </c>
      <c r="N806" s="23">
        <v>-101.34</v>
      </c>
      <c r="O806" s="31">
        <v>-1.21E-2</v>
      </c>
      <c r="P806" s="31">
        <v>6.8999999999999999E-3</v>
      </c>
      <c r="Q806" s="23" t="s">
        <v>24</v>
      </c>
      <c r="R806" s="23">
        <v>0</v>
      </c>
      <c r="S806" s="23">
        <v>28.56</v>
      </c>
      <c r="U806" s="47">
        <f>VLOOKUP(AU806,[1]expiry_dates!$B$2:$C$2894,2,FALSE)</f>
        <v>44098</v>
      </c>
      <c r="V806" s="23" t="s">
        <v>178</v>
      </c>
      <c r="W806" s="23" t="s">
        <v>23</v>
      </c>
      <c r="X806" s="49">
        <v>44097.447916666664</v>
      </c>
      <c r="Y806" s="23">
        <v>0.45</v>
      </c>
      <c r="Z806" s="23">
        <v>44097.5</v>
      </c>
      <c r="AA806" s="23">
        <v>0.7</v>
      </c>
      <c r="AB806" s="23">
        <v>0.55559999999999998</v>
      </c>
      <c r="AC806" s="23">
        <v>-35221.949999999997</v>
      </c>
      <c r="AD806" s="23">
        <v>-0.55559999999999998</v>
      </c>
      <c r="AE806" s="23">
        <v>140887.79999999999</v>
      </c>
      <c r="AF806" s="23">
        <v>63399.519999999997</v>
      </c>
      <c r="AG806" s="23">
        <v>2644680.7999999998</v>
      </c>
      <c r="AH806" s="23">
        <v>6</v>
      </c>
      <c r="AI806" s="23">
        <v>-5870.33</v>
      </c>
      <c r="AJ806" s="23">
        <v>-0.55559999999999998</v>
      </c>
      <c r="AK806" s="23">
        <v>0.1111</v>
      </c>
      <c r="AL806" s="23" t="s">
        <v>24</v>
      </c>
      <c r="AM806" s="23">
        <v>29</v>
      </c>
      <c r="AN806" s="23">
        <v>21248.400000000001</v>
      </c>
      <c r="AO806" s="23">
        <v>28.56</v>
      </c>
      <c r="AP806" s="23">
        <v>0</v>
      </c>
      <c r="AR806" s="46"/>
      <c r="AS806" s="44"/>
      <c r="AT806" s="45"/>
      <c r="AU806" s="2">
        <v>44097</v>
      </c>
      <c r="AV806" s="52">
        <v>0.44791666666666669</v>
      </c>
      <c r="AW806" s="2" t="s">
        <v>212</v>
      </c>
      <c r="AY806" s="3"/>
      <c r="BA806" s="3"/>
      <c r="BG806" s="3"/>
      <c r="BH806" s="3"/>
    </row>
    <row r="807" spans="1:60">
      <c r="A807" s="23" t="s">
        <v>22</v>
      </c>
      <c r="B807" s="23" t="s">
        <v>23</v>
      </c>
      <c r="C807" s="27">
        <v>44097.5</v>
      </c>
      <c r="D807" s="23">
        <v>28.65</v>
      </c>
      <c r="E807" s="27">
        <v>44097.625</v>
      </c>
      <c r="F807" s="23">
        <v>28.5</v>
      </c>
      <c r="G807" s="31">
        <v>-5.1999999999999998E-3</v>
      </c>
      <c r="H807" s="23">
        <v>263.76</v>
      </c>
      <c r="I807" s="31">
        <v>5.1999999999999998E-3</v>
      </c>
      <c r="J807" s="23">
        <v>1758.423</v>
      </c>
      <c r="K807" s="23">
        <v>50378.82</v>
      </c>
      <c r="L807" s="23">
        <v>75681.490000000005</v>
      </c>
      <c r="M807" s="23">
        <v>13</v>
      </c>
      <c r="N807" s="23">
        <v>20.29</v>
      </c>
      <c r="O807" s="31">
        <v>-7.0000000000000001E-3</v>
      </c>
      <c r="P807" s="31">
        <v>2.9700000000000001E-2</v>
      </c>
      <c r="Q807" s="23" t="s">
        <v>24</v>
      </c>
      <c r="R807" s="23">
        <v>0</v>
      </c>
      <c r="S807" s="23">
        <v>29.18</v>
      </c>
      <c r="U807" s="47">
        <f>VLOOKUP(AU807,[1]expiry_dates!$B$2:$C$2894,2,FALSE)</f>
        <v>44098</v>
      </c>
      <c r="V807" s="23" t="s">
        <v>175</v>
      </c>
      <c r="W807" s="23" t="s">
        <v>23</v>
      </c>
      <c r="X807" s="49">
        <v>44097.5</v>
      </c>
      <c r="Y807" s="23">
        <v>0.3</v>
      </c>
      <c r="Z807" s="23">
        <v>44097.625</v>
      </c>
      <c r="AA807" s="23">
        <v>0.25</v>
      </c>
      <c r="AB807" s="23">
        <v>-0.16669999999999999</v>
      </c>
      <c r="AC807" s="23">
        <v>10560.71</v>
      </c>
      <c r="AD807" s="23">
        <v>0.16669999999999999</v>
      </c>
      <c r="AE807" s="23">
        <v>211214.3</v>
      </c>
      <c r="AF807" s="23">
        <v>63364.29</v>
      </c>
      <c r="AG807" s="23">
        <v>2655241.52</v>
      </c>
      <c r="AH807" s="23">
        <v>13</v>
      </c>
      <c r="AI807" s="23">
        <v>812.36</v>
      </c>
      <c r="AJ807" s="23">
        <v>-0.83330000000000004</v>
      </c>
      <c r="AK807" s="23">
        <v>0.66669999999999996</v>
      </c>
      <c r="AL807" s="23" t="s">
        <v>24</v>
      </c>
      <c r="AM807" s="23">
        <v>28.65</v>
      </c>
      <c r="AN807" s="23">
        <v>21127.3</v>
      </c>
      <c r="AO807" s="23">
        <v>29.18</v>
      </c>
      <c r="AP807" s="23">
        <v>0</v>
      </c>
      <c r="AR807" s="46"/>
      <c r="AS807" s="44"/>
      <c r="AT807" s="45"/>
      <c r="AU807" s="2">
        <v>44097</v>
      </c>
      <c r="AV807" s="52">
        <v>0.5</v>
      </c>
      <c r="AW807" s="2" t="s">
        <v>213</v>
      </c>
      <c r="AY807" s="3"/>
      <c r="BA807" s="3"/>
      <c r="BG807" s="3"/>
      <c r="BH807" s="3"/>
    </row>
    <row r="808" spans="1:60">
      <c r="A808" s="23" t="s">
        <v>22</v>
      </c>
      <c r="B808" s="23" t="s">
        <v>25</v>
      </c>
      <c r="C808" s="27">
        <v>44097.625</v>
      </c>
      <c r="D808" s="23">
        <v>28.5</v>
      </c>
      <c r="E808" s="27">
        <v>44098.385416666664</v>
      </c>
      <c r="F808" s="23">
        <v>27.9</v>
      </c>
      <c r="G808" s="31">
        <v>-2.1100000000000001E-2</v>
      </c>
      <c r="H808" s="23">
        <v>-1060.6199999999999</v>
      </c>
      <c r="I808" s="31">
        <v>-2.1100000000000001E-2</v>
      </c>
      <c r="J808" s="23">
        <v>1767.694</v>
      </c>
      <c r="K808" s="23">
        <v>50379.29</v>
      </c>
      <c r="L808" s="23">
        <v>74620.87</v>
      </c>
      <c r="M808" s="23">
        <v>6</v>
      </c>
      <c r="N808" s="23">
        <v>-176.77</v>
      </c>
      <c r="O808" s="31">
        <v>-2.1100000000000001E-2</v>
      </c>
      <c r="P808" s="31">
        <v>5.3E-3</v>
      </c>
      <c r="Q808" s="23" t="s">
        <v>24</v>
      </c>
      <c r="R808" s="23">
        <v>0</v>
      </c>
      <c r="S808" s="23">
        <v>27.82</v>
      </c>
      <c r="U808" s="47">
        <f>VLOOKUP(AU808,[1]expiry_dates!$B$2:$C$2894,2,FALSE)</f>
        <v>44098</v>
      </c>
      <c r="V808" s="23" t="s">
        <v>178</v>
      </c>
      <c r="W808" s="23" t="s">
        <v>23</v>
      </c>
      <c r="X808" s="49">
        <v>44097.625</v>
      </c>
      <c r="Y808" s="23">
        <v>0.7</v>
      </c>
      <c r="Z808" s="23">
        <v>44098.385416666664</v>
      </c>
      <c r="AA808" s="23">
        <v>0.8</v>
      </c>
      <c r="AB808" s="23">
        <v>0.1429</v>
      </c>
      <c r="AC808" s="23">
        <v>-9039.4599999999991</v>
      </c>
      <c r="AD808" s="23">
        <v>-0.1429</v>
      </c>
      <c r="AE808" s="23">
        <v>90394.59</v>
      </c>
      <c r="AF808" s="23">
        <v>63276.21</v>
      </c>
      <c r="AG808" s="23">
        <v>2646202.06</v>
      </c>
      <c r="AH808" s="23">
        <v>6</v>
      </c>
      <c r="AI808" s="23">
        <v>-1506.58</v>
      </c>
      <c r="AJ808" s="23">
        <v>-0.21429999999999999</v>
      </c>
      <c r="AK808" s="23">
        <v>0</v>
      </c>
      <c r="AL808" s="23" t="s">
        <v>24</v>
      </c>
      <c r="AM808" s="23">
        <v>28.5</v>
      </c>
      <c r="AN808" s="23">
        <v>21191.75</v>
      </c>
      <c r="AO808" s="23">
        <v>27.82</v>
      </c>
      <c r="AP808" s="23">
        <v>0</v>
      </c>
      <c r="AR808" s="46"/>
      <c r="AS808" s="44"/>
      <c r="AT808" s="45"/>
      <c r="AU808" s="2">
        <v>44097</v>
      </c>
      <c r="AV808" s="52">
        <v>0.125</v>
      </c>
      <c r="AW808" s="2" t="s">
        <v>213</v>
      </c>
      <c r="AY808" s="3"/>
      <c r="BA808" s="3"/>
      <c r="BG808" s="3"/>
      <c r="BH808" s="3"/>
    </row>
    <row r="809" spans="1:60">
      <c r="A809" s="23" t="s">
        <v>22</v>
      </c>
      <c r="B809" s="23" t="s">
        <v>23</v>
      </c>
      <c r="C809" s="27">
        <v>44098.385416666664</v>
      </c>
      <c r="D809" s="23">
        <v>27.9</v>
      </c>
      <c r="E809" s="27">
        <v>44098.6875</v>
      </c>
      <c r="F809" s="23">
        <v>27</v>
      </c>
      <c r="G809" s="31">
        <v>-3.2300000000000002E-2</v>
      </c>
      <c r="H809" s="23">
        <v>1624.95</v>
      </c>
      <c r="I809" s="31">
        <v>3.2300000000000002E-2</v>
      </c>
      <c r="J809" s="23">
        <v>1805.5029999999999</v>
      </c>
      <c r="K809" s="23">
        <v>50373.54</v>
      </c>
      <c r="L809" s="23">
        <v>76245.820000000007</v>
      </c>
      <c r="M809" s="23">
        <v>27</v>
      </c>
      <c r="N809" s="23">
        <v>60.18</v>
      </c>
      <c r="O809" s="31">
        <v>-7.1999999999999998E-3</v>
      </c>
      <c r="P809" s="31">
        <v>3.7600000000000001E-2</v>
      </c>
      <c r="Q809" s="23" t="s">
        <v>24</v>
      </c>
      <c r="R809" s="23">
        <v>0</v>
      </c>
      <c r="S809" s="23">
        <v>28.61</v>
      </c>
      <c r="U809" s="47">
        <f>VLOOKUP(AU809,[1]expiry_dates!$B$2:$C$2894,2,FALSE)</f>
        <v>44098</v>
      </c>
      <c r="V809" s="23" t="s">
        <v>152</v>
      </c>
      <c r="W809" s="23" t="s">
        <v>23</v>
      </c>
      <c r="X809" s="49">
        <v>44098.385416666664</v>
      </c>
      <c r="Y809" s="23">
        <v>0.25</v>
      </c>
      <c r="Z809" s="23">
        <v>44098.6875</v>
      </c>
      <c r="AA809" s="23">
        <v>0.05</v>
      </c>
      <c r="AB809" s="23">
        <v>-0.8</v>
      </c>
      <c r="AC809" s="23">
        <v>50584.81</v>
      </c>
      <c r="AD809" s="23">
        <v>0.8</v>
      </c>
      <c r="AE809" s="23">
        <v>252924</v>
      </c>
      <c r="AF809" s="23">
        <v>63231.01</v>
      </c>
      <c r="AG809" s="23">
        <v>2696786.87</v>
      </c>
      <c r="AH809" s="23">
        <v>27</v>
      </c>
      <c r="AI809" s="23">
        <v>1873.51</v>
      </c>
      <c r="AJ809" s="23">
        <v>-0.4</v>
      </c>
      <c r="AK809" s="23">
        <v>0.8</v>
      </c>
      <c r="AL809" s="23" t="s">
        <v>24</v>
      </c>
      <c r="AM809" s="23">
        <v>27.9</v>
      </c>
      <c r="AN809" s="23">
        <v>20859.95</v>
      </c>
      <c r="AO809" s="23">
        <v>28.61</v>
      </c>
      <c r="AP809" s="23">
        <v>0</v>
      </c>
      <c r="AR809" s="46"/>
      <c r="AS809" s="44"/>
      <c r="AT809" s="45"/>
      <c r="AU809" s="2">
        <v>44098</v>
      </c>
      <c r="AV809" s="52">
        <v>0.38541666666666669</v>
      </c>
      <c r="AW809" s="2" t="s">
        <v>212</v>
      </c>
      <c r="AY809" s="3"/>
      <c r="BA809" s="3"/>
      <c r="BG809" s="3"/>
      <c r="BH809" s="3"/>
    </row>
    <row r="810" spans="1:60">
      <c r="A810" s="23" t="s">
        <v>22</v>
      </c>
      <c r="B810" s="23" t="s">
        <v>25</v>
      </c>
      <c r="C810" s="27">
        <v>44099.385416666664</v>
      </c>
      <c r="D810" s="23">
        <v>27.3</v>
      </c>
      <c r="E810" s="27">
        <v>44103.395833333336</v>
      </c>
      <c r="F810" s="23">
        <v>30.2</v>
      </c>
      <c r="G810" s="31">
        <v>0.1062</v>
      </c>
      <c r="H810" s="23">
        <v>5351.85</v>
      </c>
      <c r="I810" s="31">
        <v>0.1062</v>
      </c>
      <c r="J810" s="23">
        <v>1845.4659999999999</v>
      </c>
      <c r="K810" s="23">
        <v>50381.23</v>
      </c>
      <c r="L810" s="23">
        <v>81597.67</v>
      </c>
      <c r="M810" s="23">
        <v>58</v>
      </c>
      <c r="N810" s="23">
        <v>92.27</v>
      </c>
      <c r="O810" s="31">
        <v>-5.4999999999999997E-3</v>
      </c>
      <c r="P810" s="31">
        <v>0.12640000000000001</v>
      </c>
      <c r="Q810" s="23" t="s">
        <v>24</v>
      </c>
      <c r="R810" s="23">
        <v>0</v>
      </c>
      <c r="S810" s="23">
        <v>26.88</v>
      </c>
      <c r="U810" s="47">
        <f>VLOOKUP(AU810,[1]expiry_dates!$B$2:$C$2894,2,FALSE)</f>
        <v>44133</v>
      </c>
      <c r="V810" s="23" t="s">
        <v>153</v>
      </c>
      <c r="W810" s="23" t="s">
        <v>23</v>
      </c>
      <c r="X810" s="49">
        <v>44099.385416666664</v>
      </c>
      <c r="Y810" s="23">
        <v>1.7</v>
      </c>
      <c r="Z810" s="23">
        <v>44103.395833333336</v>
      </c>
      <c r="AA810" s="23">
        <v>0.55000000000000004</v>
      </c>
      <c r="AB810" s="23">
        <v>-0.67649999999999999</v>
      </c>
      <c r="AC810" s="23">
        <v>42945.01</v>
      </c>
      <c r="AD810" s="23">
        <v>0.67649999999999999</v>
      </c>
      <c r="AE810" s="23">
        <v>37343.49</v>
      </c>
      <c r="AF810" s="23">
        <v>63483.93</v>
      </c>
      <c r="AG810" s="23">
        <v>2739731.88</v>
      </c>
      <c r="AH810" s="23">
        <v>58</v>
      </c>
      <c r="AI810" s="23">
        <v>740.43</v>
      </c>
      <c r="AJ810" s="23">
        <v>-5.8799999999999998E-2</v>
      </c>
      <c r="AK810" s="23">
        <v>0.70589999999999997</v>
      </c>
      <c r="AL810" s="23" t="s">
        <v>24</v>
      </c>
      <c r="AM810" s="23">
        <v>27.3</v>
      </c>
      <c r="AN810" s="23">
        <v>20555.2</v>
      </c>
      <c r="AO810" s="23">
        <v>26.88</v>
      </c>
      <c r="AP810" s="23">
        <v>0</v>
      </c>
      <c r="AR810" s="46"/>
      <c r="AS810" s="44"/>
      <c r="AT810" s="45"/>
      <c r="AU810" s="2">
        <v>44099</v>
      </c>
      <c r="AV810" s="52">
        <v>0.38541666666666669</v>
      </c>
      <c r="AW810" s="2" t="s">
        <v>212</v>
      </c>
      <c r="AY810" s="3"/>
      <c r="BA810" s="3"/>
      <c r="BG810" s="3"/>
      <c r="BH810" s="3"/>
    </row>
    <row r="811" spans="1:60">
      <c r="A811" s="23" t="s">
        <v>22</v>
      </c>
      <c r="B811" s="23" t="s">
        <v>23</v>
      </c>
      <c r="C811" s="27">
        <v>44103.395833333336</v>
      </c>
      <c r="D811" s="23">
        <v>30.2</v>
      </c>
      <c r="E811" s="27">
        <v>44103.572916666664</v>
      </c>
      <c r="F811" s="23">
        <v>30.05</v>
      </c>
      <c r="G811" s="31">
        <v>-5.0000000000000001E-3</v>
      </c>
      <c r="H811" s="23">
        <v>250.38</v>
      </c>
      <c r="I811" s="31">
        <v>5.0000000000000001E-3</v>
      </c>
      <c r="J811" s="23">
        <v>1669.1690000000001</v>
      </c>
      <c r="K811" s="23">
        <v>50408.91</v>
      </c>
      <c r="L811" s="23">
        <v>81848.05</v>
      </c>
      <c r="M811" s="23">
        <v>18</v>
      </c>
      <c r="N811" s="23">
        <v>13.91</v>
      </c>
      <c r="O811" s="31">
        <v>-3.3E-3</v>
      </c>
      <c r="P811" s="31">
        <v>1.9900000000000001E-2</v>
      </c>
      <c r="Q811" s="23" t="s">
        <v>24</v>
      </c>
      <c r="R811" s="23">
        <v>0</v>
      </c>
      <c r="S811" s="23">
        <v>30.72</v>
      </c>
      <c r="U811" s="47">
        <f>VLOOKUP(AU811,[1]expiry_dates!$B$2:$C$2894,2,FALSE)</f>
        <v>44133</v>
      </c>
      <c r="V811" s="23" t="s">
        <v>182</v>
      </c>
      <c r="W811" s="23" t="s">
        <v>23</v>
      </c>
      <c r="X811" s="49">
        <v>44103.395833333336</v>
      </c>
      <c r="Y811" s="23">
        <v>1.65</v>
      </c>
      <c r="Z811" s="23">
        <v>44103.572916666664</v>
      </c>
      <c r="AA811" s="23">
        <v>1.55</v>
      </c>
      <c r="AB811" s="23">
        <v>-6.0600000000000001E-2</v>
      </c>
      <c r="AC811" s="23">
        <v>3861.09</v>
      </c>
      <c r="AD811" s="23">
        <v>6.0600000000000001E-2</v>
      </c>
      <c r="AE811" s="23">
        <v>38610.910000000003</v>
      </c>
      <c r="AF811" s="23">
        <v>63708</v>
      </c>
      <c r="AG811" s="23">
        <v>2743592.97</v>
      </c>
      <c r="AH811" s="23">
        <v>18</v>
      </c>
      <c r="AI811" s="23">
        <v>214.51</v>
      </c>
      <c r="AJ811" s="23">
        <v>-3.0300000000000001E-2</v>
      </c>
      <c r="AK811" s="23">
        <v>0.1515</v>
      </c>
      <c r="AL811" s="23" t="s">
        <v>24</v>
      </c>
      <c r="AM811" s="23">
        <v>30.2</v>
      </c>
      <c r="AN811" s="23">
        <v>21565.3</v>
      </c>
      <c r="AO811" s="23">
        <v>30.72</v>
      </c>
      <c r="AP811" s="23">
        <v>0</v>
      </c>
      <c r="AR811" s="46"/>
      <c r="AS811" s="44"/>
      <c r="AT811" s="45"/>
      <c r="AU811" s="2">
        <v>44103</v>
      </c>
      <c r="AV811" s="52">
        <v>0.39583333333333331</v>
      </c>
      <c r="AW811" s="2" t="s">
        <v>212</v>
      </c>
      <c r="AY811" s="3"/>
      <c r="BA811" s="3"/>
      <c r="BG811" s="3"/>
      <c r="BH811" s="3"/>
    </row>
    <row r="812" spans="1:60">
      <c r="A812" s="23" t="s">
        <v>22</v>
      </c>
      <c r="B812" s="23" t="s">
        <v>25</v>
      </c>
      <c r="C812" s="27">
        <v>44103.572916666664</v>
      </c>
      <c r="D812" s="23">
        <v>30.05</v>
      </c>
      <c r="E812" s="27">
        <v>44104.385416666664</v>
      </c>
      <c r="F812" s="23">
        <v>29.75</v>
      </c>
      <c r="G812" s="31">
        <v>-0.01</v>
      </c>
      <c r="H812" s="23">
        <v>-503.26</v>
      </c>
      <c r="I812" s="31">
        <v>-0.01</v>
      </c>
      <c r="J812" s="23">
        <v>1677.54</v>
      </c>
      <c r="K812" s="23">
        <v>50410.07</v>
      </c>
      <c r="L812" s="23">
        <v>81344.789999999994</v>
      </c>
      <c r="M812" s="23">
        <v>11</v>
      </c>
      <c r="N812" s="23">
        <v>-45.75</v>
      </c>
      <c r="O812" s="31">
        <v>-0.01</v>
      </c>
      <c r="P812" s="31">
        <v>8.3000000000000001E-3</v>
      </c>
      <c r="Q812" s="23" t="s">
        <v>24</v>
      </c>
      <c r="R812" s="23">
        <v>0</v>
      </c>
      <c r="S812" s="23">
        <v>29.62</v>
      </c>
      <c r="U812" s="47">
        <f>VLOOKUP(AU812,[1]expiry_dates!$B$2:$C$2894,2,FALSE)</f>
        <v>44133</v>
      </c>
      <c r="V812" s="23" t="s">
        <v>153</v>
      </c>
      <c r="W812" s="23" t="s">
        <v>23</v>
      </c>
      <c r="X812" s="49">
        <v>44103.572916666664</v>
      </c>
      <c r="Y812" s="23">
        <v>0.5</v>
      </c>
      <c r="Z812" s="23">
        <v>44104.385416666664</v>
      </c>
      <c r="AA812" s="23">
        <v>0.5</v>
      </c>
      <c r="AB812" s="23">
        <v>0</v>
      </c>
      <c r="AC812" s="23">
        <v>0</v>
      </c>
      <c r="AD812" s="23">
        <v>0</v>
      </c>
      <c r="AE812" s="23">
        <v>127474.5</v>
      </c>
      <c r="AF812" s="23">
        <v>63737.27</v>
      </c>
      <c r="AG812" s="23">
        <v>2743592.97</v>
      </c>
      <c r="AH812" s="23">
        <v>11</v>
      </c>
      <c r="AI812" s="23">
        <v>0</v>
      </c>
      <c r="AJ812" s="23">
        <v>0</v>
      </c>
      <c r="AK812" s="23">
        <v>0</v>
      </c>
      <c r="AL812" s="23" t="s">
        <v>24</v>
      </c>
      <c r="AM812" s="23">
        <v>30.05</v>
      </c>
      <c r="AN812" s="23">
        <v>21419.85</v>
      </c>
      <c r="AO812" s="23">
        <v>29.62</v>
      </c>
      <c r="AP812" s="23">
        <v>0</v>
      </c>
      <c r="AR812" s="46"/>
      <c r="AS812" s="44"/>
      <c r="AT812" s="45"/>
      <c r="AU812" s="2">
        <v>44103</v>
      </c>
      <c r="AV812" s="52">
        <v>7.2916666666666671E-2</v>
      </c>
      <c r="AW812" s="2" t="s">
        <v>213</v>
      </c>
      <c r="AY812" s="3"/>
      <c r="BA812" s="3"/>
      <c r="BG812" s="3"/>
      <c r="BH812" s="3"/>
    </row>
    <row r="813" spans="1:60">
      <c r="A813" s="23" t="s">
        <v>22</v>
      </c>
      <c r="B813" s="23" t="s">
        <v>23</v>
      </c>
      <c r="C813" s="27">
        <v>44104.385416666664</v>
      </c>
      <c r="D813" s="23">
        <v>29.75</v>
      </c>
      <c r="E813" s="27">
        <v>44104.427083333336</v>
      </c>
      <c r="F813" s="23">
        <v>30.1</v>
      </c>
      <c r="G813" s="31">
        <v>1.18E-2</v>
      </c>
      <c r="H813" s="23">
        <v>-593.05999999999995</v>
      </c>
      <c r="I813" s="31">
        <v>-1.18E-2</v>
      </c>
      <c r="J813" s="23">
        <v>1694.4559999999999</v>
      </c>
      <c r="K813" s="23">
        <v>50410.080000000002</v>
      </c>
      <c r="L813" s="23">
        <v>80751.73</v>
      </c>
      <c r="M813" s="23">
        <v>5</v>
      </c>
      <c r="N813" s="23">
        <v>-118.61</v>
      </c>
      <c r="O813" s="31">
        <v>-1.5100000000000001E-2</v>
      </c>
      <c r="P813" s="31">
        <v>1.6999999999999999E-3</v>
      </c>
      <c r="Q813" s="23" t="s">
        <v>24</v>
      </c>
      <c r="R813" s="23">
        <v>0</v>
      </c>
      <c r="S813" s="23">
        <v>30.28</v>
      </c>
      <c r="U813" s="47">
        <f>VLOOKUP(AU813,[1]expiry_dates!$B$2:$C$2894,2,FALSE)</f>
        <v>44133</v>
      </c>
      <c r="V813" s="23" t="s">
        <v>182</v>
      </c>
      <c r="W813" s="23" t="s">
        <v>23</v>
      </c>
      <c r="X813" s="49">
        <v>44104.385416666664</v>
      </c>
      <c r="Y813" s="23">
        <v>1.4</v>
      </c>
      <c r="Z813" s="23">
        <v>44104.427083333336</v>
      </c>
      <c r="AA813" s="23">
        <v>1.6</v>
      </c>
      <c r="AB813" s="23">
        <v>0.1429</v>
      </c>
      <c r="AC813" s="23">
        <v>-9102.57</v>
      </c>
      <c r="AD813" s="23">
        <v>-0.1429</v>
      </c>
      <c r="AE813" s="23">
        <v>45512.83</v>
      </c>
      <c r="AF813" s="23">
        <v>63717.96</v>
      </c>
      <c r="AG813" s="23">
        <v>2734490.41</v>
      </c>
      <c r="AH813" s="23">
        <v>5</v>
      </c>
      <c r="AI813" s="23">
        <v>-1820.51</v>
      </c>
      <c r="AJ813" s="23">
        <v>-0.1429</v>
      </c>
      <c r="AK813" s="23">
        <v>0</v>
      </c>
      <c r="AL813" s="23" t="s">
        <v>24</v>
      </c>
      <c r="AM813" s="23">
        <v>29.75</v>
      </c>
      <c r="AN813" s="23">
        <v>21190.15</v>
      </c>
      <c r="AO813" s="23">
        <v>30.28</v>
      </c>
      <c r="AP813" s="23">
        <v>0</v>
      </c>
      <c r="AR813" s="46"/>
      <c r="AS813" s="44"/>
      <c r="AT813" s="45"/>
      <c r="AU813" s="2">
        <v>44104</v>
      </c>
      <c r="AV813" s="52">
        <v>0.38541666666666669</v>
      </c>
      <c r="AW813" s="2" t="s">
        <v>212</v>
      </c>
      <c r="AY813" s="3"/>
      <c r="BA813" s="3"/>
      <c r="BG813" s="3"/>
      <c r="BH813" s="3"/>
    </row>
    <row r="814" spans="1:60">
      <c r="A814" s="23" t="s">
        <v>22</v>
      </c>
      <c r="B814" s="23" t="s">
        <v>25</v>
      </c>
      <c r="C814" s="27">
        <v>44104.427083333336</v>
      </c>
      <c r="D814" s="23">
        <v>30.1</v>
      </c>
      <c r="E814" s="27">
        <v>44104.46875</v>
      </c>
      <c r="F814" s="23">
        <v>29.8</v>
      </c>
      <c r="G814" s="31">
        <v>-0.01</v>
      </c>
      <c r="H814" s="23">
        <v>-502.38</v>
      </c>
      <c r="I814" s="31">
        <v>-0.01</v>
      </c>
      <c r="J814" s="23">
        <v>1674.614</v>
      </c>
      <c r="K814" s="23">
        <v>50405.88</v>
      </c>
      <c r="L814" s="23">
        <v>80249.34</v>
      </c>
      <c r="M814" s="23">
        <v>5</v>
      </c>
      <c r="N814" s="23">
        <v>-100.48</v>
      </c>
      <c r="O814" s="31">
        <v>-0.01</v>
      </c>
      <c r="P814" s="31">
        <v>8.3000000000000001E-3</v>
      </c>
      <c r="Q814" s="23" t="s">
        <v>24</v>
      </c>
      <c r="R814" s="23">
        <v>0</v>
      </c>
      <c r="S814" s="23">
        <v>29.7</v>
      </c>
      <c r="U814" s="47">
        <f>VLOOKUP(AU814,[1]expiry_dates!$B$2:$C$2894,2,FALSE)</f>
        <v>44133</v>
      </c>
      <c r="V814" s="23" t="s">
        <v>171</v>
      </c>
      <c r="W814" s="23" t="s">
        <v>23</v>
      </c>
      <c r="X814" s="49">
        <v>44104.427083333336</v>
      </c>
      <c r="Y814" s="23">
        <v>0.15</v>
      </c>
      <c r="Z814" s="23">
        <v>44104.46875</v>
      </c>
      <c r="AA814" s="23">
        <v>0.15</v>
      </c>
      <c r="AB814" s="23">
        <v>0</v>
      </c>
      <c r="AC814" s="23">
        <v>0</v>
      </c>
      <c r="AD814" s="23">
        <v>0</v>
      </c>
      <c r="AE814" s="23">
        <v>424786.4</v>
      </c>
      <c r="AF814" s="23">
        <v>63717.96</v>
      </c>
      <c r="AG814" s="23">
        <v>2734490.41</v>
      </c>
      <c r="AH814" s="23">
        <v>5</v>
      </c>
      <c r="AI814" s="23">
        <v>0</v>
      </c>
      <c r="AJ814" s="23">
        <v>0</v>
      </c>
      <c r="AK814" s="23">
        <v>0</v>
      </c>
      <c r="AL814" s="23" t="s">
        <v>24</v>
      </c>
      <c r="AM814" s="23">
        <v>30.1</v>
      </c>
      <c r="AN814" s="23">
        <v>21333.65</v>
      </c>
      <c r="AO814" s="23">
        <v>29.7</v>
      </c>
      <c r="AP814" s="23">
        <v>0</v>
      </c>
      <c r="AR814" s="46"/>
      <c r="AS814" s="44"/>
      <c r="AT814" s="45"/>
      <c r="AU814" s="2">
        <v>44104</v>
      </c>
      <c r="AV814" s="52">
        <v>0.42708333333333331</v>
      </c>
      <c r="AW814" s="2" t="s">
        <v>212</v>
      </c>
      <c r="AY814" s="3"/>
      <c r="BA814" s="3"/>
      <c r="BG814" s="3"/>
      <c r="BH814" s="3"/>
    </row>
    <row r="815" spans="1:60">
      <c r="A815" s="23" t="s">
        <v>22</v>
      </c>
      <c r="B815" s="23" t="s">
        <v>23</v>
      </c>
      <c r="C815" s="27">
        <v>44104.46875</v>
      </c>
      <c r="D815" s="23">
        <v>29.8</v>
      </c>
      <c r="E815" s="27">
        <v>44104.59375</v>
      </c>
      <c r="F815" s="23">
        <v>29.9</v>
      </c>
      <c r="G815" s="31">
        <v>3.3999999999999998E-3</v>
      </c>
      <c r="H815" s="23">
        <v>-169.14</v>
      </c>
      <c r="I815" s="31">
        <v>-3.3999999999999998E-3</v>
      </c>
      <c r="J815" s="23">
        <v>1691.3869999999999</v>
      </c>
      <c r="K815" s="23">
        <v>50403.34</v>
      </c>
      <c r="L815" s="23">
        <v>80080.210000000006</v>
      </c>
      <c r="M815" s="23">
        <v>13</v>
      </c>
      <c r="N815" s="23">
        <v>-13.01</v>
      </c>
      <c r="O815" s="31">
        <v>-8.3999999999999995E-3</v>
      </c>
      <c r="P815" s="31">
        <v>5.0000000000000001E-3</v>
      </c>
      <c r="Q815" s="23" t="s">
        <v>24</v>
      </c>
      <c r="R815" s="23">
        <v>0</v>
      </c>
      <c r="S815" s="23">
        <v>30.34</v>
      </c>
      <c r="U815" s="47">
        <f>VLOOKUP(AU815,[1]expiry_dates!$B$2:$C$2894,2,FALSE)</f>
        <v>44133</v>
      </c>
      <c r="V815" s="23" t="s">
        <v>182</v>
      </c>
      <c r="W815" s="23" t="s">
        <v>23</v>
      </c>
      <c r="X815" s="49">
        <v>44104.46875</v>
      </c>
      <c r="Y815" s="23">
        <v>1.4</v>
      </c>
      <c r="Z815" s="23">
        <v>44104.59375</v>
      </c>
      <c r="AA815" s="23">
        <v>1.5</v>
      </c>
      <c r="AB815" s="23">
        <v>7.1400000000000005E-2</v>
      </c>
      <c r="AC815" s="23">
        <v>-4548.03</v>
      </c>
      <c r="AD815" s="23">
        <v>-7.1400000000000005E-2</v>
      </c>
      <c r="AE815" s="23">
        <v>45480.32</v>
      </c>
      <c r="AF815" s="23">
        <v>63672.45</v>
      </c>
      <c r="AG815" s="23">
        <v>2729942.37</v>
      </c>
      <c r="AH815" s="23">
        <v>13</v>
      </c>
      <c r="AI815" s="23">
        <v>-349.85</v>
      </c>
      <c r="AJ815" s="23">
        <v>-0.1429</v>
      </c>
      <c r="AK815" s="23">
        <v>0</v>
      </c>
      <c r="AL815" s="23" t="s">
        <v>24</v>
      </c>
      <c r="AM815" s="23">
        <v>29.8</v>
      </c>
      <c r="AN815" s="23">
        <v>21255.1</v>
      </c>
      <c r="AO815" s="23">
        <v>30.34</v>
      </c>
      <c r="AP815" s="23">
        <v>0</v>
      </c>
      <c r="AR815" s="46"/>
      <c r="AS815" s="44"/>
      <c r="AT815" s="45"/>
      <c r="AU815" s="2">
        <v>44104</v>
      </c>
      <c r="AV815" s="52">
        <v>0.46875</v>
      </c>
      <c r="AW815" s="2" t="s">
        <v>212</v>
      </c>
      <c r="AY815" s="3"/>
      <c r="BA815" s="3"/>
      <c r="BG815" s="3"/>
      <c r="BH815" s="3"/>
    </row>
    <row r="816" spans="1:60">
      <c r="A816" s="23" t="s">
        <v>22</v>
      </c>
      <c r="B816" s="23" t="s">
        <v>25</v>
      </c>
      <c r="C816" s="27">
        <v>44104.59375</v>
      </c>
      <c r="D816" s="23">
        <v>29.9</v>
      </c>
      <c r="E816" s="27">
        <v>44104.645833333336</v>
      </c>
      <c r="F816" s="23">
        <v>29.95</v>
      </c>
      <c r="G816" s="31">
        <v>1.6999999999999999E-3</v>
      </c>
      <c r="H816" s="23">
        <v>84.28</v>
      </c>
      <c r="I816" s="31">
        <v>1.6999999999999999E-3</v>
      </c>
      <c r="J816" s="23">
        <v>1685.604</v>
      </c>
      <c r="K816" s="23">
        <v>50399.55</v>
      </c>
      <c r="L816" s="23">
        <v>80164.490000000005</v>
      </c>
      <c r="M816" s="23">
        <v>6</v>
      </c>
      <c r="N816" s="23">
        <v>14.05</v>
      </c>
      <c r="O816" s="31">
        <v>-5.0000000000000001E-3</v>
      </c>
      <c r="P816" s="31">
        <v>5.0000000000000001E-3</v>
      </c>
      <c r="Q816" s="23" t="s">
        <v>24</v>
      </c>
      <c r="R816" s="23">
        <v>0</v>
      </c>
      <c r="S816" s="23">
        <v>29.67</v>
      </c>
      <c r="U816" s="47">
        <f>VLOOKUP(AU816,[1]expiry_dates!$B$2:$C$2894,2,FALSE)</f>
        <v>44133</v>
      </c>
      <c r="V816" s="23" t="s">
        <v>178</v>
      </c>
      <c r="W816" s="23" t="s">
        <v>23</v>
      </c>
      <c r="X816" s="49">
        <v>44104.59375</v>
      </c>
      <c r="Y816" s="23">
        <v>1.1499999999999999</v>
      </c>
      <c r="Z816" s="23">
        <v>44104.645833333336</v>
      </c>
      <c r="AA816" s="23">
        <v>1.1499999999999999</v>
      </c>
      <c r="AB816" s="23">
        <v>0</v>
      </c>
      <c r="AC816" s="23">
        <v>0</v>
      </c>
      <c r="AD816" s="23">
        <v>0</v>
      </c>
      <c r="AE816" s="23">
        <v>55337.69</v>
      </c>
      <c r="AF816" s="23">
        <v>63638.34</v>
      </c>
      <c r="AG816" s="23">
        <v>2729942.37</v>
      </c>
      <c r="AH816" s="23">
        <v>6</v>
      </c>
      <c r="AI816" s="23">
        <v>0</v>
      </c>
      <c r="AJ816" s="23">
        <v>-8.6999999999999994E-2</v>
      </c>
      <c r="AK816" s="23">
        <v>4.3499999999999997E-2</v>
      </c>
      <c r="AL816" s="23" t="s">
        <v>24</v>
      </c>
      <c r="AM816" s="23">
        <v>29.9</v>
      </c>
      <c r="AN816" s="23">
        <v>21460.2</v>
      </c>
      <c r="AO816" s="23">
        <v>29.67</v>
      </c>
      <c r="AP816" s="23">
        <v>0</v>
      </c>
      <c r="AR816" s="46"/>
      <c r="AS816" s="44"/>
      <c r="AT816" s="45"/>
      <c r="AU816" s="2">
        <v>44104</v>
      </c>
      <c r="AV816" s="52">
        <v>9.375E-2</v>
      </c>
      <c r="AW816" s="2" t="s">
        <v>213</v>
      </c>
      <c r="AY816" s="3"/>
      <c r="BA816" s="3"/>
      <c r="BG816" s="3"/>
      <c r="BH816" s="3"/>
    </row>
    <row r="817" spans="1:60" s="17" customFormat="1">
      <c r="A817" s="24" t="s">
        <v>22</v>
      </c>
      <c r="B817" s="24" t="s">
        <v>23</v>
      </c>
      <c r="C817" s="28">
        <v>44104.645833333336</v>
      </c>
      <c r="D817" s="24">
        <v>29.95</v>
      </c>
      <c r="E817" s="28">
        <v>44105.385416666664</v>
      </c>
      <c r="F817" s="24">
        <v>30.4</v>
      </c>
      <c r="G817" s="32">
        <v>1.4999999999999999E-2</v>
      </c>
      <c r="H817" s="24">
        <v>-757.25</v>
      </c>
      <c r="I817" s="32">
        <v>-1.4999999999999999E-2</v>
      </c>
      <c r="J817" s="24">
        <v>1682.7760000000001</v>
      </c>
      <c r="K817" s="24">
        <v>50399.14</v>
      </c>
      <c r="L817" s="24">
        <v>79407.240000000005</v>
      </c>
      <c r="M817" s="24">
        <v>4</v>
      </c>
      <c r="N817" s="24">
        <v>-189.31</v>
      </c>
      <c r="O817" s="32">
        <v>-1.4999999999999999E-2</v>
      </c>
      <c r="P817" s="32">
        <v>6.7000000000000002E-3</v>
      </c>
      <c r="Q817" s="24" t="s">
        <v>24</v>
      </c>
      <c r="R817" s="24">
        <v>0</v>
      </c>
      <c r="S817" s="24">
        <v>30.04</v>
      </c>
      <c r="U817" s="47" t="e">
        <f>VLOOKUP(AU817,[1]expiry_dates!$B$2:$C$2894,2,FALSE)</f>
        <v>#N/A</v>
      </c>
      <c r="V817" s="24"/>
      <c r="W817" s="24"/>
      <c r="X817" s="50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24"/>
      <c r="AO817" s="24"/>
      <c r="AP817" s="24"/>
      <c r="AR817" s="46"/>
      <c r="AS817" s="44"/>
      <c r="AT817" s="45"/>
      <c r="AU817" s="18"/>
      <c r="AW817" s="18"/>
      <c r="AY817" s="19"/>
      <c r="BA817" s="19"/>
      <c r="BG817" s="19"/>
      <c r="BH817" s="19"/>
    </row>
    <row r="818" spans="1:60">
      <c r="A818" s="23" t="s">
        <v>22</v>
      </c>
      <c r="B818" s="23" t="s">
        <v>25</v>
      </c>
      <c r="C818" s="27">
        <v>44105.385416666664</v>
      </c>
      <c r="D818" s="23">
        <v>30.4</v>
      </c>
      <c r="E818" s="27">
        <v>44105.541666666664</v>
      </c>
      <c r="F818" s="23">
        <v>30.3</v>
      </c>
      <c r="G818" s="31">
        <v>-3.3E-3</v>
      </c>
      <c r="H818" s="23">
        <v>-165.79</v>
      </c>
      <c r="I818" s="31">
        <v>-3.3E-3</v>
      </c>
      <c r="J818" s="23">
        <v>1657.894</v>
      </c>
      <c r="K818" s="23">
        <v>50399.98</v>
      </c>
      <c r="L818" s="23">
        <v>79241.45</v>
      </c>
      <c r="M818" s="23">
        <v>16</v>
      </c>
      <c r="N818" s="23">
        <v>-10.36</v>
      </c>
      <c r="O818" s="31">
        <v>-1.32E-2</v>
      </c>
      <c r="P818" s="31">
        <v>9.9000000000000008E-3</v>
      </c>
      <c r="Q818" s="23" t="s">
        <v>24</v>
      </c>
      <c r="R818" s="23">
        <v>0</v>
      </c>
      <c r="S818" s="23">
        <v>29.78</v>
      </c>
      <c r="U818" s="47">
        <f>VLOOKUP(AU818,[1]expiry_dates!$B$2:$C$2894,2,FALSE)</f>
        <v>44133</v>
      </c>
      <c r="V818" s="23" t="s">
        <v>138</v>
      </c>
      <c r="W818" s="23" t="s">
        <v>23</v>
      </c>
      <c r="X818" s="49">
        <v>44105.385416666664</v>
      </c>
      <c r="Y818" s="23">
        <v>1.3</v>
      </c>
      <c r="Z818" s="23">
        <v>44105.541666666664</v>
      </c>
      <c r="AA818" s="23">
        <v>1.35</v>
      </c>
      <c r="AB818" s="23">
        <v>3.85E-2</v>
      </c>
      <c r="AC818" s="23">
        <v>-2448.0700000000002</v>
      </c>
      <c r="AD818" s="23">
        <v>-3.85E-2</v>
      </c>
      <c r="AE818" s="23">
        <v>48961.32</v>
      </c>
      <c r="AF818" s="23">
        <v>63649.71</v>
      </c>
      <c r="AG818" s="23">
        <v>2727494.31</v>
      </c>
      <c r="AH818" s="23">
        <v>16</v>
      </c>
      <c r="AI818" s="23">
        <v>-153</v>
      </c>
      <c r="AJ818" s="23">
        <v>-0.15379999999999999</v>
      </c>
      <c r="AK818" s="23">
        <v>7.6899999999999996E-2</v>
      </c>
      <c r="AL818" s="23" t="s">
        <v>24</v>
      </c>
      <c r="AM818" s="23">
        <v>30.4</v>
      </c>
      <c r="AN818" s="23">
        <v>21909.65</v>
      </c>
      <c r="AO818" s="23">
        <v>29.78</v>
      </c>
      <c r="AP818" s="23">
        <v>0</v>
      </c>
      <c r="AR818" s="46"/>
      <c r="AS818" s="44"/>
      <c r="AT818" s="45"/>
      <c r="AU818" s="2">
        <v>44105</v>
      </c>
      <c r="AV818" s="52">
        <v>0.38541666666666669</v>
      </c>
      <c r="AW818" s="2" t="s">
        <v>212</v>
      </c>
      <c r="AY818" s="3"/>
      <c r="BA818" s="3"/>
      <c r="BG818" s="3"/>
      <c r="BH818" s="3"/>
    </row>
    <row r="819" spans="1:60">
      <c r="A819" s="23" t="s">
        <v>22</v>
      </c>
      <c r="B819" s="23" t="s">
        <v>23</v>
      </c>
      <c r="C819" s="27">
        <v>44105.541666666664</v>
      </c>
      <c r="D819" s="23">
        <v>30.3</v>
      </c>
      <c r="E819" s="27">
        <v>44105.59375</v>
      </c>
      <c r="F819" s="23">
        <v>30.5</v>
      </c>
      <c r="G819" s="31">
        <v>6.6E-3</v>
      </c>
      <c r="H819" s="23">
        <v>-332.65</v>
      </c>
      <c r="I819" s="31">
        <v>-6.6E-3</v>
      </c>
      <c r="J819" s="23">
        <v>1663.269</v>
      </c>
      <c r="K819" s="23">
        <v>50397.04</v>
      </c>
      <c r="L819" s="23">
        <v>78908.789999999994</v>
      </c>
      <c r="M819" s="23">
        <v>6</v>
      </c>
      <c r="N819" s="23">
        <v>-55.44</v>
      </c>
      <c r="O819" s="31">
        <v>-6.6E-3</v>
      </c>
      <c r="P819" s="31">
        <v>1.6999999999999999E-3</v>
      </c>
      <c r="Q819" s="23" t="s">
        <v>24</v>
      </c>
      <c r="R819" s="23">
        <v>0</v>
      </c>
      <c r="S819" s="23">
        <v>30.69</v>
      </c>
      <c r="U819" s="47">
        <f>VLOOKUP(AU819,[1]expiry_dates!$B$2:$C$2894,2,FALSE)</f>
        <v>44133</v>
      </c>
      <c r="V819" s="23" t="s">
        <v>182</v>
      </c>
      <c r="W819" s="23" t="s">
        <v>23</v>
      </c>
      <c r="X819" s="49">
        <v>44105.541666666664</v>
      </c>
      <c r="Y819" s="23">
        <v>1.65</v>
      </c>
      <c r="Z819" s="23">
        <v>44105.59375</v>
      </c>
      <c r="AA819" s="23">
        <v>1.8</v>
      </c>
      <c r="AB819" s="23">
        <v>9.0899999999999995E-2</v>
      </c>
      <c r="AC819" s="23">
        <v>-5786.34</v>
      </c>
      <c r="AD819" s="23">
        <v>-9.0899999999999995E-2</v>
      </c>
      <c r="AE819" s="23">
        <v>38575.58</v>
      </c>
      <c r="AF819" s="23">
        <v>63649.71</v>
      </c>
      <c r="AG819" s="23">
        <v>2721707.97</v>
      </c>
      <c r="AH819" s="23">
        <v>6</v>
      </c>
      <c r="AI819" s="23">
        <v>-964.39</v>
      </c>
      <c r="AJ819" s="23">
        <v>-9.0899999999999995E-2</v>
      </c>
      <c r="AK819" s="23">
        <v>3.0300000000000001E-2</v>
      </c>
      <c r="AL819" s="23" t="s">
        <v>24</v>
      </c>
      <c r="AM819" s="23">
        <v>30.3</v>
      </c>
      <c r="AN819" s="23">
        <v>22057.05</v>
      </c>
      <c r="AO819" s="23">
        <v>30.69</v>
      </c>
      <c r="AP819" s="23">
        <v>0</v>
      </c>
      <c r="AR819" s="46"/>
      <c r="AS819" s="44"/>
      <c r="AT819" s="45"/>
      <c r="AU819" s="2">
        <v>44105</v>
      </c>
      <c r="AV819" s="52">
        <v>4.1666666666666664E-2</v>
      </c>
      <c r="AW819" s="2" t="s">
        <v>213</v>
      </c>
      <c r="AY819" s="3"/>
      <c r="BA819" s="3"/>
      <c r="BG819" s="3"/>
      <c r="BH819" s="3"/>
    </row>
    <row r="820" spans="1:60">
      <c r="A820" s="23" t="s">
        <v>22</v>
      </c>
      <c r="B820" s="23" t="s">
        <v>25</v>
      </c>
      <c r="C820" s="27">
        <v>44105.59375</v>
      </c>
      <c r="D820" s="23">
        <v>30.5</v>
      </c>
      <c r="E820" s="27">
        <v>44105.635416666664</v>
      </c>
      <c r="F820" s="23">
        <v>30.3</v>
      </c>
      <c r="G820" s="31">
        <v>-6.6E-3</v>
      </c>
      <c r="H820" s="23">
        <v>-330.46</v>
      </c>
      <c r="I820" s="31">
        <v>-6.6E-3</v>
      </c>
      <c r="J820" s="23">
        <v>1652.28</v>
      </c>
      <c r="K820" s="23">
        <v>50394.54</v>
      </c>
      <c r="L820" s="23">
        <v>78578.34</v>
      </c>
      <c r="M820" s="23">
        <v>5</v>
      </c>
      <c r="N820" s="23">
        <v>-66.09</v>
      </c>
      <c r="O820" s="31">
        <v>-6.6E-3</v>
      </c>
      <c r="P820" s="31">
        <v>3.3E-3</v>
      </c>
      <c r="Q820" s="23" t="s">
        <v>24</v>
      </c>
      <c r="R820" s="23">
        <v>0</v>
      </c>
      <c r="S820" s="23">
        <v>30.26</v>
      </c>
      <c r="U820" s="47">
        <f>VLOOKUP(AU820,[1]expiry_dates!$B$2:$C$2894,2,FALSE)</f>
        <v>44133</v>
      </c>
      <c r="V820" s="23" t="s">
        <v>173</v>
      </c>
      <c r="W820" s="23" t="s">
        <v>23</v>
      </c>
      <c r="X820" s="49">
        <v>44105.59375</v>
      </c>
      <c r="Y820" s="23">
        <v>0.55000000000000004</v>
      </c>
      <c r="Z820" s="23">
        <v>44105.635416666664</v>
      </c>
      <c r="AA820" s="23">
        <v>0.6</v>
      </c>
      <c r="AB820" s="23">
        <v>9.0899999999999995E-2</v>
      </c>
      <c r="AC820" s="23">
        <v>-5784.35</v>
      </c>
      <c r="AD820" s="23">
        <v>-9.0899999999999995E-2</v>
      </c>
      <c r="AE820" s="23">
        <v>115687</v>
      </c>
      <c r="AF820" s="23">
        <v>63627.82</v>
      </c>
      <c r="AG820" s="23">
        <v>2715923.62</v>
      </c>
      <c r="AH820" s="23">
        <v>5</v>
      </c>
      <c r="AI820" s="23">
        <v>-1156.8699999999999</v>
      </c>
      <c r="AJ820" s="23">
        <v>-9.0899999999999995E-2</v>
      </c>
      <c r="AK820" s="23">
        <v>9.0899999999999995E-2</v>
      </c>
      <c r="AL820" s="23" t="s">
        <v>24</v>
      </c>
      <c r="AM820" s="23">
        <v>30.5</v>
      </c>
      <c r="AN820" s="23">
        <v>22225.8</v>
      </c>
      <c r="AO820" s="23">
        <v>30.26</v>
      </c>
      <c r="AP820" s="23">
        <v>0</v>
      </c>
      <c r="AR820" s="46"/>
      <c r="AS820" s="44"/>
      <c r="AT820" s="45"/>
      <c r="AU820" s="2">
        <v>44105</v>
      </c>
      <c r="AV820" s="52">
        <v>9.375E-2</v>
      </c>
      <c r="AW820" s="2" t="s">
        <v>213</v>
      </c>
      <c r="AY820" s="3"/>
      <c r="BA820" s="3"/>
      <c r="BG820" s="3"/>
      <c r="BH820" s="3"/>
    </row>
    <row r="821" spans="1:60">
      <c r="A821" s="23" t="s">
        <v>22</v>
      </c>
      <c r="B821" s="23" t="s">
        <v>23</v>
      </c>
      <c r="C821" s="27">
        <v>44105.635416666664</v>
      </c>
      <c r="D821" s="23">
        <v>30.3</v>
      </c>
      <c r="E821" s="27">
        <v>44109.385416666664</v>
      </c>
      <c r="F821" s="23">
        <v>30.9</v>
      </c>
      <c r="G821" s="31">
        <v>1.9800000000000002E-2</v>
      </c>
      <c r="H821" s="23">
        <v>-997.9</v>
      </c>
      <c r="I821" s="31">
        <v>-1.9800000000000002E-2</v>
      </c>
      <c r="J821" s="23">
        <v>1663.173</v>
      </c>
      <c r="K821" s="23">
        <v>50394.13</v>
      </c>
      <c r="L821" s="23">
        <v>77580.429999999993</v>
      </c>
      <c r="M821" s="23">
        <v>5</v>
      </c>
      <c r="N821" s="23">
        <v>-199.58</v>
      </c>
      <c r="O821" s="31">
        <v>-1.9800000000000002E-2</v>
      </c>
      <c r="P821" s="31">
        <v>1.6999999999999999E-3</v>
      </c>
      <c r="Q821" s="23" t="s">
        <v>24</v>
      </c>
      <c r="R821" s="23">
        <v>0</v>
      </c>
      <c r="S821" s="23">
        <v>30.59</v>
      </c>
      <c r="U821" s="47">
        <f>VLOOKUP(AU821,[1]expiry_dates!$B$2:$C$2894,2,FALSE)</f>
        <v>44133</v>
      </c>
      <c r="V821" s="23" t="s">
        <v>182</v>
      </c>
      <c r="W821" s="23" t="s">
        <v>23</v>
      </c>
      <c r="X821" s="49">
        <v>44105.635416666664</v>
      </c>
      <c r="Y821" s="23">
        <v>1.6</v>
      </c>
      <c r="Z821" s="23">
        <v>44109.385416666664</v>
      </c>
      <c r="AA821" s="23">
        <v>1.9</v>
      </c>
      <c r="AB821" s="23">
        <v>0.1875</v>
      </c>
      <c r="AC821" s="23">
        <v>-11926.6</v>
      </c>
      <c r="AD821" s="23">
        <v>-0.1875</v>
      </c>
      <c r="AE821" s="23">
        <v>39755.339999999997</v>
      </c>
      <c r="AF821" s="23">
        <v>63608.54</v>
      </c>
      <c r="AG821" s="23">
        <v>2703997.02</v>
      </c>
      <c r="AH821" s="23">
        <v>5</v>
      </c>
      <c r="AI821" s="23">
        <v>-2385.3200000000002</v>
      </c>
      <c r="AJ821" s="23">
        <v>-0.1875</v>
      </c>
      <c r="AK821" s="23">
        <v>0</v>
      </c>
      <c r="AL821" s="23" t="s">
        <v>24</v>
      </c>
      <c r="AM821" s="23">
        <v>30.3</v>
      </c>
      <c r="AN821" s="23">
        <v>22234.55</v>
      </c>
      <c r="AO821" s="23">
        <v>30.59</v>
      </c>
      <c r="AP821" s="23">
        <v>0</v>
      </c>
      <c r="AR821" s="46"/>
      <c r="AS821" s="44"/>
      <c r="AT821" s="45"/>
      <c r="AU821" s="2">
        <v>44105</v>
      </c>
      <c r="AV821" s="52">
        <v>0.13541666666666666</v>
      </c>
      <c r="AW821" s="2" t="s">
        <v>213</v>
      </c>
      <c r="AY821" s="3"/>
      <c r="BA821" s="3"/>
      <c r="BG821" s="3"/>
      <c r="BH821" s="3"/>
    </row>
    <row r="822" spans="1:60">
      <c r="A822" s="23" t="s">
        <v>22</v>
      </c>
      <c r="B822" s="23" t="s">
        <v>25</v>
      </c>
      <c r="C822" s="27">
        <v>44109.385416666664</v>
      </c>
      <c r="D822" s="23">
        <v>30.9</v>
      </c>
      <c r="E822" s="27">
        <v>44109.458333333336</v>
      </c>
      <c r="F822" s="23">
        <v>30.7</v>
      </c>
      <c r="G822" s="31">
        <v>-6.4999999999999997E-3</v>
      </c>
      <c r="H822" s="23">
        <v>-326.14999999999998</v>
      </c>
      <c r="I822" s="31">
        <v>-6.4999999999999997E-3</v>
      </c>
      <c r="J822" s="23">
        <v>1630.73</v>
      </c>
      <c r="K822" s="23">
        <v>50389.57</v>
      </c>
      <c r="L822" s="23">
        <v>77254.289999999994</v>
      </c>
      <c r="M822" s="23">
        <v>8</v>
      </c>
      <c r="N822" s="23">
        <v>-40.770000000000003</v>
      </c>
      <c r="O822" s="31">
        <v>-9.7000000000000003E-3</v>
      </c>
      <c r="P822" s="31">
        <v>8.0999999999999996E-3</v>
      </c>
      <c r="Q822" s="23" t="s">
        <v>24</v>
      </c>
      <c r="R822" s="23">
        <v>0</v>
      </c>
      <c r="S822" s="23">
        <v>30.29</v>
      </c>
      <c r="U822" s="47">
        <f>VLOOKUP(AU822,[1]expiry_dates!$B$2:$C$2894,2,FALSE)</f>
        <v>44133</v>
      </c>
      <c r="V822" s="23" t="s">
        <v>177</v>
      </c>
      <c r="W822" s="23" t="s">
        <v>23</v>
      </c>
      <c r="X822" s="49">
        <v>44109.385416666664</v>
      </c>
      <c r="Y822" s="23">
        <v>1.5</v>
      </c>
      <c r="Z822" s="23">
        <v>44109.458333333336</v>
      </c>
      <c r="AA822" s="23">
        <v>1.8</v>
      </c>
      <c r="AB822" s="23">
        <v>0.2</v>
      </c>
      <c r="AC822" s="23">
        <v>-12715.92</v>
      </c>
      <c r="AD822" s="23">
        <v>-0.2</v>
      </c>
      <c r="AE822" s="23">
        <v>42386.41</v>
      </c>
      <c r="AF822" s="23">
        <v>63579.62</v>
      </c>
      <c r="AG822" s="23">
        <v>2691281.1</v>
      </c>
      <c r="AH822" s="23">
        <v>8</v>
      </c>
      <c r="AI822" s="23">
        <v>-1589.49</v>
      </c>
      <c r="AJ822" s="23">
        <v>-0.2</v>
      </c>
      <c r="AK822" s="23">
        <v>0</v>
      </c>
      <c r="AL822" s="23" t="s">
        <v>24</v>
      </c>
      <c r="AM822" s="23">
        <v>30.9</v>
      </c>
      <c r="AN822" s="23">
        <v>22633.200000000001</v>
      </c>
      <c r="AO822" s="23">
        <v>30.29</v>
      </c>
      <c r="AP822" s="23">
        <v>0</v>
      </c>
      <c r="AR822" s="46"/>
      <c r="AS822" s="44"/>
      <c r="AT822" s="45"/>
      <c r="AU822" s="2">
        <v>44109</v>
      </c>
      <c r="AV822" s="52">
        <v>0.38541666666666669</v>
      </c>
      <c r="AW822" s="2" t="s">
        <v>212</v>
      </c>
      <c r="AY822" s="3"/>
      <c r="BA822" s="3"/>
      <c r="BG822" s="3"/>
      <c r="BH822" s="3"/>
    </row>
    <row r="823" spans="1:60">
      <c r="A823" s="23" t="s">
        <v>22</v>
      </c>
      <c r="B823" s="23" t="s">
        <v>23</v>
      </c>
      <c r="C823" s="27">
        <v>44109.458333333336</v>
      </c>
      <c r="D823" s="23">
        <v>30.7</v>
      </c>
      <c r="E823" s="27">
        <v>44110.385416666664</v>
      </c>
      <c r="F823" s="23">
        <v>30.55</v>
      </c>
      <c r="G823" s="31">
        <v>-4.8999999999999998E-3</v>
      </c>
      <c r="H823" s="23">
        <v>246.19</v>
      </c>
      <c r="I823" s="31">
        <v>4.8999999999999998E-3</v>
      </c>
      <c r="J823" s="23">
        <v>1641.2470000000001</v>
      </c>
      <c r="K823" s="23">
        <v>50386.27</v>
      </c>
      <c r="L823" s="23">
        <v>77500.47</v>
      </c>
      <c r="M823" s="23">
        <v>22</v>
      </c>
      <c r="N823" s="23">
        <v>11.19</v>
      </c>
      <c r="O823" s="31">
        <v>-3.3E-3</v>
      </c>
      <c r="P823" s="31">
        <v>2.2800000000000001E-2</v>
      </c>
      <c r="Q823" s="23" t="s">
        <v>24</v>
      </c>
      <c r="R823" s="23">
        <v>0</v>
      </c>
      <c r="S823" s="23">
        <v>31.13</v>
      </c>
      <c r="U823" s="47">
        <f>VLOOKUP(AU823,[1]expiry_dates!$B$2:$C$2894,2,FALSE)</f>
        <v>44133</v>
      </c>
      <c r="V823" s="23" t="s">
        <v>176</v>
      </c>
      <c r="W823" s="23" t="s">
        <v>23</v>
      </c>
      <c r="X823" s="49">
        <v>44109.458333333336</v>
      </c>
      <c r="Y823" s="23">
        <v>1.35</v>
      </c>
      <c r="Z823" s="23">
        <v>44110.385416666664</v>
      </c>
      <c r="AA823" s="23">
        <v>1.3</v>
      </c>
      <c r="AB823" s="23">
        <v>-3.6999999999999998E-2</v>
      </c>
      <c r="AC823" s="23">
        <v>2350.2399999999998</v>
      </c>
      <c r="AD823" s="23">
        <v>3.6999999999999998E-2</v>
      </c>
      <c r="AE823" s="23">
        <v>47004.74</v>
      </c>
      <c r="AF823" s="23">
        <v>63456.4</v>
      </c>
      <c r="AG823" s="23">
        <v>2693631.34</v>
      </c>
      <c r="AH823" s="23">
        <v>22</v>
      </c>
      <c r="AI823" s="23">
        <v>106.83</v>
      </c>
      <c r="AJ823" s="23">
        <v>-3.6999999999999998E-2</v>
      </c>
      <c r="AK823" s="23">
        <v>0.1852</v>
      </c>
      <c r="AL823" s="23" t="s">
        <v>24</v>
      </c>
      <c r="AM823" s="23">
        <v>30.7</v>
      </c>
      <c r="AN823" s="23">
        <v>22710.5</v>
      </c>
      <c r="AO823" s="23">
        <v>31.13</v>
      </c>
      <c r="AP823" s="23">
        <v>0</v>
      </c>
      <c r="AR823" s="46"/>
      <c r="AS823" s="44"/>
      <c r="AT823" s="45"/>
      <c r="AU823" s="2">
        <v>44109</v>
      </c>
      <c r="AV823" s="52">
        <v>0.45833333333333331</v>
      </c>
      <c r="AW823" s="2" t="s">
        <v>212</v>
      </c>
      <c r="AY823" s="3"/>
      <c r="BA823" s="3"/>
      <c r="BG823" s="3"/>
      <c r="BH823" s="3"/>
    </row>
    <row r="824" spans="1:60">
      <c r="A824" s="23" t="s">
        <v>22</v>
      </c>
      <c r="B824" s="23" t="s">
        <v>25</v>
      </c>
      <c r="C824" s="27">
        <v>44110.385416666664</v>
      </c>
      <c r="D824" s="23">
        <v>30.55</v>
      </c>
      <c r="E824" s="27">
        <v>44110.583333333336</v>
      </c>
      <c r="F824" s="23">
        <v>30.9</v>
      </c>
      <c r="G824" s="31">
        <v>1.15E-2</v>
      </c>
      <c r="H824" s="23">
        <v>577.28</v>
      </c>
      <c r="I824" s="31">
        <v>1.15E-2</v>
      </c>
      <c r="J824" s="23">
        <v>1649.3589999999999</v>
      </c>
      <c r="K824" s="23">
        <v>50387.91</v>
      </c>
      <c r="L824" s="23">
        <v>78077.75</v>
      </c>
      <c r="M824" s="23">
        <v>20</v>
      </c>
      <c r="N824" s="23">
        <v>28.86</v>
      </c>
      <c r="O824" s="31">
        <v>-4.8999999999999998E-3</v>
      </c>
      <c r="P824" s="31">
        <v>2.9499999999999998E-2</v>
      </c>
      <c r="Q824" s="23" t="s">
        <v>24</v>
      </c>
      <c r="R824" s="23">
        <v>0</v>
      </c>
      <c r="S824" s="23">
        <v>30.04</v>
      </c>
      <c r="U824" s="47">
        <f>VLOOKUP(AU824,[1]expiry_dates!$B$2:$C$2894,2,FALSE)</f>
        <v>44133</v>
      </c>
      <c r="V824" s="23" t="s">
        <v>172</v>
      </c>
      <c r="W824" s="23" t="s">
        <v>23</v>
      </c>
      <c r="X824" s="49">
        <v>44110.385416666664</v>
      </c>
      <c r="Y824" s="23">
        <v>0.15</v>
      </c>
      <c r="Z824" s="23">
        <v>44110.583333333336</v>
      </c>
      <c r="AA824" s="23">
        <v>0.1</v>
      </c>
      <c r="AB824" s="23">
        <v>-0.33329999999999999</v>
      </c>
      <c r="AC824" s="23">
        <v>21163.89</v>
      </c>
      <c r="AD824" s="23">
        <v>0.33329999999999999</v>
      </c>
      <c r="AE824" s="23">
        <v>423277.7</v>
      </c>
      <c r="AF824" s="23">
        <v>63491.66</v>
      </c>
      <c r="AG824" s="23">
        <v>2714795.22</v>
      </c>
      <c r="AH824" s="23">
        <v>20</v>
      </c>
      <c r="AI824" s="23">
        <v>1058.19</v>
      </c>
      <c r="AJ824" s="23">
        <v>0</v>
      </c>
      <c r="AK824" s="23">
        <v>0.33329999999999999</v>
      </c>
      <c r="AL824" s="23" t="s">
        <v>24</v>
      </c>
      <c r="AM824" s="23">
        <v>30.55</v>
      </c>
      <c r="AN824" s="23">
        <v>22621.85</v>
      </c>
      <c r="AO824" s="23">
        <v>30.04</v>
      </c>
      <c r="AP824" s="23">
        <v>0</v>
      </c>
      <c r="AR824" s="46"/>
      <c r="AS824" s="44"/>
      <c r="AT824" s="45"/>
      <c r="AU824" s="2">
        <v>44110</v>
      </c>
      <c r="AV824" s="52">
        <v>0.38541666666666669</v>
      </c>
      <c r="AW824" s="2" t="s">
        <v>212</v>
      </c>
      <c r="AY824" s="3"/>
      <c r="BA824" s="3"/>
      <c r="BG824" s="3"/>
      <c r="BH824" s="3"/>
    </row>
    <row r="825" spans="1:60">
      <c r="A825" s="23" t="s">
        <v>22</v>
      </c>
      <c r="B825" s="23" t="s">
        <v>23</v>
      </c>
      <c r="C825" s="27">
        <v>44110.583333333336</v>
      </c>
      <c r="D825" s="23">
        <v>30.9</v>
      </c>
      <c r="E825" s="27">
        <v>44111.40625</v>
      </c>
      <c r="F825" s="23">
        <v>31.25</v>
      </c>
      <c r="G825" s="31">
        <v>1.1299999999999999E-2</v>
      </c>
      <c r="H825" s="23">
        <v>-570.76</v>
      </c>
      <c r="I825" s="31">
        <v>-1.1299999999999999E-2</v>
      </c>
      <c r="J825" s="23">
        <v>1630.7570000000001</v>
      </c>
      <c r="K825" s="23">
        <v>50390.39</v>
      </c>
      <c r="L825" s="23">
        <v>77506.990000000005</v>
      </c>
      <c r="M825" s="23">
        <v>12</v>
      </c>
      <c r="N825" s="23">
        <v>-47.56</v>
      </c>
      <c r="O825" s="31">
        <v>-1.29E-2</v>
      </c>
      <c r="P825" s="31">
        <v>8.0999999999999996E-3</v>
      </c>
      <c r="Q825" s="23" t="s">
        <v>24</v>
      </c>
      <c r="R825" s="23">
        <v>0</v>
      </c>
      <c r="S825" s="23">
        <v>31.44</v>
      </c>
      <c r="U825" s="47">
        <f>VLOOKUP(AU825,[1]expiry_dates!$B$2:$C$2894,2,FALSE)</f>
        <v>44133</v>
      </c>
      <c r="V825" s="23" t="s">
        <v>176</v>
      </c>
      <c r="W825" s="23" t="s">
        <v>23</v>
      </c>
      <c r="X825" s="49">
        <v>44110.583333333336</v>
      </c>
      <c r="Y825" s="23">
        <v>1.5</v>
      </c>
      <c r="Z825" s="23">
        <v>44111.40625</v>
      </c>
      <c r="AA825" s="23">
        <v>1.6</v>
      </c>
      <c r="AB825" s="23">
        <v>6.6699999999999995E-2</v>
      </c>
      <c r="AC825" s="23">
        <v>-4238.2700000000004</v>
      </c>
      <c r="AD825" s="23">
        <v>-6.6699999999999995E-2</v>
      </c>
      <c r="AE825" s="23">
        <v>42382.65</v>
      </c>
      <c r="AF825" s="23">
        <v>63573.98</v>
      </c>
      <c r="AG825" s="23">
        <v>2710556.96</v>
      </c>
      <c r="AH825" s="23">
        <v>12</v>
      </c>
      <c r="AI825" s="23">
        <v>-353.19</v>
      </c>
      <c r="AJ825" s="23">
        <v>-0.1</v>
      </c>
      <c r="AK825" s="23">
        <v>0.1</v>
      </c>
      <c r="AL825" s="23" t="s">
        <v>24</v>
      </c>
      <c r="AM825" s="23">
        <v>30.9</v>
      </c>
      <c r="AN825" s="23">
        <v>22628.95</v>
      </c>
      <c r="AO825" s="23">
        <v>31.44</v>
      </c>
      <c r="AP825" s="23">
        <v>0</v>
      </c>
      <c r="AR825" s="46"/>
      <c r="AS825" s="44"/>
      <c r="AT825" s="45"/>
      <c r="AU825" s="2">
        <v>44110</v>
      </c>
      <c r="AV825" s="52">
        <v>8.3333333333333329E-2</v>
      </c>
      <c r="AW825" s="2" t="s">
        <v>213</v>
      </c>
      <c r="AY825" s="3"/>
      <c r="BA825" s="3"/>
      <c r="BG825" s="3"/>
      <c r="BH825" s="3"/>
    </row>
    <row r="826" spans="1:60">
      <c r="A826" s="23" t="s">
        <v>22</v>
      </c>
      <c r="B826" s="23" t="s">
        <v>25</v>
      </c>
      <c r="C826" s="27">
        <v>44111.40625</v>
      </c>
      <c r="D826" s="23">
        <v>31.25</v>
      </c>
      <c r="E826" s="27">
        <v>44111.458333333336</v>
      </c>
      <c r="F826" s="23">
        <v>30.95</v>
      </c>
      <c r="G826" s="31">
        <v>-9.5999999999999992E-3</v>
      </c>
      <c r="H826" s="23">
        <v>-483.74</v>
      </c>
      <c r="I826" s="31">
        <v>-9.5999999999999992E-3</v>
      </c>
      <c r="J826" s="23">
        <v>1612.453</v>
      </c>
      <c r="K826" s="23">
        <v>50389.16</v>
      </c>
      <c r="L826" s="23">
        <v>77023.25</v>
      </c>
      <c r="M826" s="23">
        <v>6</v>
      </c>
      <c r="N826" s="23">
        <v>-80.62</v>
      </c>
      <c r="O826" s="31">
        <v>-9.5999999999999992E-3</v>
      </c>
      <c r="P826" s="31">
        <v>3.2000000000000002E-3</v>
      </c>
      <c r="Q826" s="23" t="s">
        <v>24</v>
      </c>
      <c r="R826" s="23">
        <v>0</v>
      </c>
      <c r="S826" s="23">
        <v>30.67</v>
      </c>
      <c r="U826" s="47">
        <f>VLOOKUP(AU826,[1]expiry_dates!$B$2:$C$2894,2,FALSE)</f>
        <v>44133</v>
      </c>
      <c r="V826" s="23" t="s">
        <v>177</v>
      </c>
      <c r="W826" s="23" t="s">
        <v>23</v>
      </c>
      <c r="X826" s="49">
        <v>44111.40625</v>
      </c>
      <c r="Y826" s="23">
        <v>1.35</v>
      </c>
      <c r="Z826" s="23">
        <v>44111.458333333336</v>
      </c>
      <c r="AA826" s="23">
        <v>1.6</v>
      </c>
      <c r="AB826" s="23">
        <v>0.1852</v>
      </c>
      <c r="AC826" s="23">
        <v>-11772.96</v>
      </c>
      <c r="AD826" s="23">
        <v>-0.1852</v>
      </c>
      <c r="AE826" s="23">
        <v>47091.83</v>
      </c>
      <c r="AF826" s="23">
        <v>63573.97</v>
      </c>
      <c r="AG826" s="23">
        <v>2698784</v>
      </c>
      <c r="AH826" s="23">
        <v>6</v>
      </c>
      <c r="AI826" s="23">
        <v>-1962.16</v>
      </c>
      <c r="AJ826" s="23">
        <v>-0.1852</v>
      </c>
      <c r="AK826" s="23">
        <v>0</v>
      </c>
      <c r="AL826" s="23" t="s">
        <v>24</v>
      </c>
      <c r="AM826" s="23">
        <v>31.25</v>
      </c>
      <c r="AN826" s="23">
        <v>22945.35</v>
      </c>
      <c r="AO826" s="23">
        <v>30.67</v>
      </c>
      <c r="AP826" s="23">
        <v>0</v>
      </c>
      <c r="AR826" s="46"/>
      <c r="AS826" s="44"/>
      <c r="AT826" s="45"/>
      <c r="AU826" s="2">
        <v>44111</v>
      </c>
      <c r="AV826" s="52">
        <v>0.40625</v>
      </c>
      <c r="AW826" s="2" t="s">
        <v>212</v>
      </c>
      <c r="AY826" s="3"/>
      <c r="BA826" s="3"/>
      <c r="BG826" s="3"/>
      <c r="BH826" s="3"/>
    </row>
    <row r="827" spans="1:60">
      <c r="A827" s="23" t="s">
        <v>22</v>
      </c>
      <c r="B827" s="23" t="s">
        <v>23</v>
      </c>
      <c r="C827" s="27">
        <v>44111.458333333336</v>
      </c>
      <c r="D827" s="23">
        <v>30.95</v>
      </c>
      <c r="E827" s="27">
        <v>44111.510416666664</v>
      </c>
      <c r="F827" s="23">
        <v>31.15</v>
      </c>
      <c r="G827" s="31">
        <v>6.4999999999999997E-3</v>
      </c>
      <c r="H827" s="23">
        <v>-325.58999999999997</v>
      </c>
      <c r="I827" s="31">
        <v>-6.4999999999999997E-3</v>
      </c>
      <c r="J827" s="23">
        <v>1627.952</v>
      </c>
      <c r="K827" s="23">
        <v>50385.120000000003</v>
      </c>
      <c r="L827" s="23">
        <v>76697.66</v>
      </c>
      <c r="M827" s="23">
        <v>6</v>
      </c>
      <c r="N827" s="23">
        <v>-54.27</v>
      </c>
      <c r="O827" s="31">
        <v>-6.4999999999999997E-3</v>
      </c>
      <c r="P827" s="31">
        <v>4.7999999999999996E-3</v>
      </c>
      <c r="Q827" s="23" t="s">
        <v>24</v>
      </c>
      <c r="R827" s="23">
        <v>0</v>
      </c>
      <c r="S827" s="23">
        <v>31.33</v>
      </c>
      <c r="U827" s="47">
        <f>VLOOKUP(AU827,[1]expiry_dates!$B$2:$C$2894,2,FALSE)</f>
        <v>44133</v>
      </c>
      <c r="V827" s="23" t="s">
        <v>182</v>
      </c>
      <c r="W827" s="23" t="s">
        <v>23</v>
      </c>
      <c r="X827" s="49">
        <v>44111.458333333336</v>
      </c>
      <c r="Y827" s="23">
        <v>1.95</v>
      </c>
      <c r="Z827" s="23">
        <v>44111.510416666664</v>
      </c>
      <c r="AA827" s="23">
        <v>2</v>
      </c>
      <c r="AB827" s="23">
        <v>2.5600000000000001E-2</v>
      </c>
      <c r="AC827" s="23">
        <v>-1628.95</v>
      </c>
      <c r="AD827" s="23">
        <v>-2.5600000000000001E-2</v>
      </c>
      <c r="AE827" s="23">
        <v>32579.1</v>
      </c>
      <c r="AF827" s="23">
        <v>63529.24</v>
      </c>
      <c r="AG827" s="23">
        <v>2697155.04</v>
      </c>
      <c r="AH827" s="23">
        <v>6</v>
      </c>
      <c r="AI827" s="23">
        <v>-271.49</v>
      </c>
      <c r="AJ827" s="23">
        <v>-0.1026</v>
      </c>
      <c r="AK827" s="23">
        <v>2.5600000000000001E-2</v>
      </c>
      <c r="AL827" s="23" t="s">
        <v>24</v>
      </c>
      <c r="AM827" s="23">
        <v>30.95</v>
      </c>
      <c r="AN827" s="23">
        <v>22827.85</v>
      </c>
      <c r="AO827" s="23">
        <v>31.33</v>
      </c>
      <c r="AP827" s="23">
        <v>0</v>
      </c>
      <c r="AR827" s="46"/>
      <c r="AS827" s="44"/>
      <c r="AT827" s="45"/>
      <c r="AU827" s="2">
        <v>44111</v>
      </c>
      <c r="AV827" s="52">
        <v>0.45833333333333331</v>
      </c>
      <c r="AW827" s="2" t="s">
        <v>212</v>
      </c>
      <c r="AY827" s="3"/>
      <c r="BA827" s="3"/>
      <c r="BG827" s="3"/>
      <c r="BH827" s="3"/>
    </row>
    <row r="828" spans="1:60">
      <c r="A828" s="23" t="s">
        <v>22</v>
      </c>
      <c r="B828" s="23" t="s">
        <v>25</v>
      </c>
      <c r="C828" s="27">
        <v>44111.510416666664</v>
      </c>
      <c r="D828" s="23">
        <v>31.15</v>
      </c>
      <c r="E828" s="27">
        <v>44112.5</v>
      </c>
      <c r="F828" s="23">
        <v>31.55</v>
      </c>
      <c r="G828" s="31">
        <v>1.2800000000000001E-2</v>
      </c>
      <c r="H828" s="23">
        <v>646.98</v>
      </c>
      <c r="I828" s="31">
        <v>1.2800000000000001E-2</v>
      </c>
      <c r="J828" s="23">
        <v>1617.461</v>
      </c>
      <c r="K828" s="23">
        <v>50383.89</v>
      </c>
      <c r="L828" s="23">
        <v>77344.639999999999</v>
      </c>
      <c r="M828" s="23">
        <v>28</v>
      </c>
      <c r="N828" s="23">
        <v>23.11</v>
      </c>
      <c r="O828" s="31">
        <v>-3.2000000000000002E-3</v>
      </c>
      <c r="P828" s="31">
        <v>2.5700000000000001E-2</v>
      </c>
      <c r="Q828" s="23" t="s">
        <v>24</v>
      </c>
      <c r="R828" s="23">
        <v>0</v>
      </c>
      <c r="S828" s="23">
        <v>30.81</v>
      </c>
      <c r="U828" s="47">
        <f>VLOOKUP(AU828,[1]expiry_dates!$B$2:$C$2894,2,FALSE)</f>
        <v>44133</v>
      </c>
      <c r="V828" s="23" t="s">
        <v>178</v>
      </c>
      <c r="W828" s="23" t="s">
        <v>23</v>
      </c>
      <c r="X828" s="49">
        <v>44111.510416666664</v>
      </c>
      <c r="Y828" s="23">
        <v>0.7</v>
      </c>
      <c r="Z828" s="23">
        <v>44112.5</v>
      </c>
      <c r="AA828" s="23">
        <v>0.5</v>
      </c>
      <c r="AB828" s="23">
        <v>-0.28570000000000001</v>
      </c>
      <c r="AC828" s="23">
        <v>18138.79</v>
      </c>
      <c r="AD828" s="23">
        <v>0.28570000000000001</v>
      </c>
      <c r="AE828" s="23">
        <v>90693.97</v>
      </c>
      <c r="AF828" s="23">
        <v>63485.78</v>
      </c>
      <c r="AG828" s="23">
        <v>2715293.84</v>
      </c>
      <c r="AH828" s="23">
        <v>28</v>
      </c>
      <c r="AI828" s="23">
        <v>647.80999999999995</v>
      </c>
      <c r="AJ828" s="23">
        <v>0</v>
      </c>
      <c r="AK828" s="23">
        <v>0.35709999999999997</v>
      </c>
      <c r="AL828" s="23" t="s">
        <v>24</v>
      </c>
      <c r="AM828" s="23">
        <v>31.15</v>
      </c>
      <c r="AN828" s="23">
        <v>22908.35</v>
      </c>
      <c r="AO828" s="23">
        <v>30.81</v>
      </c>
      <c r="AP828" s="23">
        <v>0</v>
      </c>
      <c r="AR828" s="46"/>
      <c r="AS828" s="44"/>
      <c r="AT828" s="45"/>
      <c r="AU828" s="2">
        <v>44111</v>
      </c>
      <c r="AV828" s="52">
        <v>0.51041666666666663</v>
      </c>
      <c r="AW828" s="2" t="s">
        <v>213</v>
      </c>
      <c r="AY828" s="3"/>
      <c r="BA828" s="3"/>
      <c r="BG828" s="3"/>
      <c r="BH828" s="3"/>
    </row>
    <row r="829" spans="1:60">
      <c r="A829" s="23" t="s">
        <v>22</v>
      </c>
      <c r="B829" s="23" t="s">
        <v>23</v>
      </c>
      <c r="C829" s="27">
        <v>44112.5</v>
      </c>
      <c r="D829" s="23">
        <v>31.55</v>
      </c>
      <c r="E829" s="27">
        <v>44112.635416666664</v>
      </c>
      <c r="F829" s="23">
        <v>31.45</v>
      </c>
      <c r="G829" s="31">
        <v>-3.2000000000000002E-3</v>
      </c>
      <c r="H829" s="23">
        <v>159.71</v>
      </c>
      <c r="I829" s="31">
        <v>3.2000000000000002E-3</v>
      </c>
      <c r="J829" s="23">
        <v>1597.056</v>
      </c>
      <c r="K829" s="23">
        <v>50387.13</v>
      </c>
      <c r="L829" s="23">
        <v>77504.350000000006</v>
      </c>
      <c r="M829" s="23">
        <v>14</v>
      </c>
      <c r="N829" s="23">
        <v>11.41</v>
      </c>
      <c r="O829" s="31">
        <v>-6.3E-3</v>
      </c>
      <c r="P829" s="31">
        <v>1.11E-2</v>
      </c>
      <c r="Q829" s="23" t="s">
        <v>24</v>
      </c>
      <c r="R829" s="23">
        <v>0</v>
      </c>
      <c r="S829" s="23">
        <v>31.93</v>
      </c>
      <c r="U829" s="47">
        <f>VLOOKUP(AU829,[1]expiry_dates!$B$2:$C$2894,2,FALSE)</f>
        <v>44133</v>
      </c>
      <c r="V829" s="23" t="s">
        <v>176</v>
      </c>
      <c r="W829" s="23" t="s">
        <v>23</v>
      </c>
      <c r="X829" s="49">
        <v>44112.5</v>
      </c>
      <c r="Y829" s="23">
        <v>1.7</v>
      </c>
      <c r="Z829" s="23">
        <v>44112.635416666664</v>
      </c>
      <c r="AA829" s="23">
        <v>1.6</v>
      </c>
      <c r="AB829" s="23">
        <v>-5.8799999999999998E-2</v>
      </c>
      <c r="AC829" s="23">
        <v>3739.79</v>
      </c>
      <c r="AD829" s="23">
        <v>5.8799999999999998E-2</v>
      </c>
      <c r="AE829" s="23">
        <v>37397.919999999998</v>
      </c>
      <c r="AF829" s="23">
        <v>63576.47</v>
      </c>
      <c r="AG829" s="23">
        <v>2719033.63</v>
      </c>
      <c r="AH829" s="23">
        <v>14</v>
      </c>
      <c r="AI829" s="23">
        <v>267.13</v>
      </c>
      <c r="AJ829" s="23">
        <v>-5.8799999999999998E-2</v>
      </c>
      <c r="AK829" s="23">
        <v>8.8200000000000001E-2</v>
      </c>
      <c r="AL829" s="23" t="s">
        <v>24</v>
      </c>
      <c r="AM829" s="23">
        <v>31.55</v>
      </c>
      <c r="AN829" s="23">
        <v>23348.95</v>
      </c>
      <c r="AO829" s="23">
        <v>31.93</v>
      </c>
      <c r="AP829" s="23">
        <v>0</v>
      </c>
      <c r="AR829" s="46"/>
      <c r="AS829" s="44"/>
      <c r="AT829" s="45"/>
      <c r="AU829" s="2">
        <v>44112</v>
      </c>
      <c r="AV829" s="52">
        <v>0.5</v>
      </c>
      <c r="AW829" s="2" t="s">
        <v>213</v>
      </c>
      <c r="AY829" s="3"/>
      <c r="BA829" s="3"/>
      <c r="BG829" s="3"/>
      <c r="BH829" s="3"/>
    </row>
    <row r="830" spans="1:60">
      <c r="A830" s="23" t="s">
        <v>22</v>
      </c>
      <c r="B830" s="23" t="s">
        <v>25</v>
      </c>
      <c r="C830" s="27">
        <v>44112.635416666664</v>
      </c>
      <c r="D830" s="23">
        <v>31.45</v>
      </c>
      <c r="E830" s="27">
        <v>44113.385416666664</v>
      </c>
      <c r="F830" s="23">
        <v>31.25</v>
      </c>
      <c r="G830" s="31">
        <v>-6.4000000000000003E-3</v>
      </c>
      <c r="H830" s="23">
        <v>-320.43</v>
      </c>
      <c r="I830" s="31">
        <v>-6.4000000000000003E-3</v>
      </c>
      <c r="J830" s="23">
        <v>1602.134</v>
      </c>
      <c r="K830" s="23">
        <v>50387.13</v>
      </c>
      <c r="L830" s="23">
        <v>77183.92</v>
      </c>
      <c r="M830" s="23">
        <v>5</v>
      </c>
      <c r="N830" s="23">
        <v>-64.09</v>
      </c>
      <c r="O830" s="31">
        <v>-6.4000000000000003E-3</v>
      </c>
      <c r="P830" s="31">
        <v>6.4000000000000003E-3</v>
      </c>
      <c r="Q830" s="23" t="s">
        <v>24</v>
      </c>
      <c r="R830" s="23">
        <v>0</v>
      </c>
      <c r="S830" s="23">
        <v>31.22</v>
      </c>
      <c r="U830" s="47">
        <f>VLOOKUP(AU830,[1]expiry_dates!$B$2:$C$2894,2,FALSE)</f>
        <v>44133</v>
      </c>
      <c r="V830" s="23" t="s">
        <v>180</v>
      </c>
      <c r="W830" s="23" t="s">
        <v>23</v>
      </c>
      <c r="X830" s="49">
        <v>44112.635416666664</v>
      </c>
      <c r="Y830" s="23">
        <v>1.8</v>
      </c>
      <c r="Z830" s="23">
        <v>44113.385416666664</v>
      </c>
      <c r="AA830" s="23">
        <v>1.85</v>
      </c>
      <c r="AB830" s="23">
        <v>2.7799999999999998E-2</v>
      </c>
      <c r="AC830" s="23">
        <v>-1766.27</v>
      </c>
      <c r="AD830" s="23">
        <v>-2.7799999999999998E-2</v>
      </c>
      <c r="AE830" s="23">
        <v>35325.46</v>
      </c>
      <c r="AF830" s="23">
        <v>63585.82</v>
      </c>
      <c r="AG830" s="23">
        <v>2717267.36</v>
      </c>
      <c r="AH830" s="23">
        <v>5</v>
      </c>
      <c r="AI830" s="23">
        <v>-353.25</v>
      </c>
      <c r="AJ830" s="23">
        <v>-2.7799999999999998E-2</v>
      </c>
      <c r="AK830" s="23">
        <v>0</v>
      </c>
      <c r="AL830" s="23" t="s">
        <v>24</v>
      </c>
      <c r="AM830" s="23">
        <v>31.45</v>
      </c>
      <c r="AN830" s="23">
        <v>23171.95</v>
      </c>
      <c r="AO830" s="23">
        <v>31.22</v>
      </c>
      <c r="AP830" s="23">
        <v>0</v>
      </c>
      <c r="AR830" s="46"/>
      <c r="AS830" s="44"/>
      <c r="AT830" s="45"/>
      <c r="AU830" s="2">
        <v>44112</v>
      </c>
      <c r="AV830" s="52">
        <v>0.13541666666666666</v>
      </c>
      <c r="AW830" s="2" t="s">
        <v>213</v>
      </c>
      <c r="AY830" s="3"/>
      <c r="BA830" s="3"/>
      <c r="BG830" s="3"/>
      <c r="BH830" s="3"/>
    </row>
    <row r="831" spans="1:60">
      <c r="A831" s="23" t="s">
        <v>22</v>
      </c>
      <c r="B831" s="23" t="s">
        <v>23</v>
      </c>
      <c r="C831" s="27">
        <v>44113.385416666664</v>
      </c>
      <c r="D831" s="23">
        <v>31.25</v>
      </c>
      <c r="E831" s="27">
        <v>44113.4375</v>
      </c>
      <c r="F831" s="23">
        <v>31.65</v>
      </c>
      <c r="G831" s="31">
        <v>1.2800000000000001E-2</v>
      </c>
      <c r="H831" s="23">
        <v>-644.96</v>
      </c>
      <c r="I831" s="31">
        <v>-1.2800000000000001E-2</v>
      </c>
      <c r="J831" s="23">
        <v>1612.4010000000001</v>
      </c>
      <c r="K831" s="23">
        <v>50387.519999999997</v>
      </c>
      <c r="L831" s="23">
        <v>76538.960000000006</v>
      </c>
      <c r="M831" s="23">
        <v>6</v>
      </c>
      <c r="N831" s="23">
        <v>-107.49</v>
      </c>
      <c r="O831" s="31">
        <v>-1.2800000000000001E-2</v>
      </c>
      <c r="P831" s="31">
        <v>8.0000000000000002E-3</v>
      </c>
      <c r="Q831" s="23" t="s">
        <v>24</v>
      </c>
      <c r="R831" s="23">
        <v>0</v>
      </c>
      <c r="S831" s="23">
        <v>31.64</v>
      </c>
      <c r="U831" s="47">
        <f>VLOOKUP(AU831,[1]expiry_dates!$B$2:$C$2894,2,FALSE)</f>
        <v>44133</v>
      </c>
      <c r="V831" s="23" t="s">
        <v>176</v>
      </c>
      <c r="W831" s="23" t="s">
        <v>23</v>
      </c>
      <c r="X831" s="49">
        <v>44113.385416666664</v>
      </c>
      <c r="Y831" s="23">
        <v>1.5</v>
      </c>
      <c r="Z831" s="23">
        <v>44113.4375</v>
      </c>
      <c r="AA831" s="23">
        <v>1.7</v>
      </c>
      <c r="AB831" s="23">
        <v>0.1333</v>
      </c>
      <c r="AC831" s="23">
        <v>-8479.36</v>
      </c>
      <c r="AD831" s="23">
        <v>-0.1333</v>
      </c>
      <c r="AE831" s="23">
        <v>42396.78</v>
      </c>
      <c r="AF831" s="23">
        <v>63595.16</v>
      </c>
      <c r="AG831" s="23">
        <v>2708788</v>
      </c>
      <c r="AH831" s="23">
        <v>6</v>
      </c>
      <c r="AI831" s="23">
        <v>-1413.23</v>
      </c>
      <c r="AJ831" s="23">
        <v>-0.1333</v>
      </c>
      <c r="AK831" s="23">
        <v>6.6699999999999995E-2</v>
      </c>
      <c r="AL831" s="23" t="s">
        <v>24</v>
      </c>
      <c r="AM831" s="23">
        <v>31.25</v>
      </c>
      <c r="AN831" s="23">
        <v>23287.85</v>
      </c>
      <c r="AO831" s="23">
        <v>31.64</v>
      </c>
      <c r="AP831" s="23">
        <v>0</v>
      </c>
      <c r="AR831" s="46"/>
      <c r="AS831" s="44"/>
      <c r="AT831" s="45"/>
      <c r="AU831" s="2">
        <v>44113</v>
      </c>
      <c r="AV831" s="52">
        <v>0.38541666666666669</v>
      </c>
      <c r="AW831" s="2" t="s">
        <v>212</v>
      </c>
      <c r="AY831" s="3"/>
      <c r="BA831" s="3"/>
      <c r="BG831" s="3"/>
      <c r="BH831" s="3"/>
    </row>
    <row r="832" spans="1:60">
      <c r="A832" s="23" t="s">
        <v>22</v>
      </c>
      <c r="B832" s="23" t="s">
        <v>25</v>
      </c>
      <c r="C832" s="27">
        <v>44113.4375</v>
      </c>
      <c r="D832" s="23">
        <v>31.65</v>
      </c>
      <c r="E832" s="27">
        <v>44116.416666666664</v>
      </c>
      <c r="F832" s="23">
        <v>31.7</v>
      </c>
      <c r="G832" s="31">
        <v>1.6000000000000001E-3</v>
      </c>
      <c r="H832" s="23">
        <v>79.599999999999994</v>
      </c>
      <c r="I832" s="31">
        <v>1.6000000000000001E-3</v>
      </c>
      <c r="J832" s="23">
        <v>1591.9469999999999</v>
      </c>
      <c r="K832" s="23">
        <v>50385.11</v>
      </c>
      <c r="L832" s="23">
        <v>76618.559999999998</v>
      </c>
      <c r="M832" s="23">
        <v>27</v>
      </c>
      <c r="N832" s="23">
        <v>2.95</v>
      </c>
      <c r="O832" s="31">
        <v>-1.26E-2</v>
      </c>
      <c r="P832" s="31">
        <v>1.9E-2</v>
      </c>
      <c r="Q832" s="23" t="s">
        <v>24</v>
      </c>
      <c r="R832" s="23">
        <v>0</v>
      </c>
      <c r="S832" s="23">
        <v>31.01</v>
      </c>
      <c r="U832" s="47">
        <f>VLOOKUP(AU832,[1]expiry_dates!$B$2:$C$2894,2,FALSE)</f>
        <v>44133</v>
      </c>
      <c r="V832" s="23" t="s">
        <v>151</v>
      </c>
      <c r="W832" s="23" t="s">
        <v>23</v>
      </c>
      <c r="X832" s="49">
        <v>44113.4375</v>
      </c>
      <c r="Y832" s="23">
        <v>0.15</v>
      </c>
      <c r="Z832" s="23">
        <v>44116.416666666664</v>
      </c>
      <c r="AA832" s="23">
        <v>0.15</v>
      </c>
      <c r="AB832" s="23">
        <v>0</v>
      </c>
      <c r="AC832" s="23">
        <v>0</v>
      </c>
      <c r="AD832" s="23">
        <v>0</v>
      </c>
      <c r="AE832" s="23">
        <v>423767.6</v>
      </c>
      <c r="AF832" s="23">
        <v>63565.14</v>
      </c>
      <c r="AG832" s="23">
        <v>2708788</v>
      </c>
      <c r="AH832" s="23">
        <v>27</v>
      </c>
      <c r="AI832" s="23">
        <v>0</v>
      </c>
      <c r="AJ832" s="23">
        <v>0</v>
      </c>
      <c r="AK832" s="23">
        <v>0</v>
      </c>
      <c r="AL832" s="23" t="s">
        <v>24</v>
      </c>
      <c r="AM832" s="23">
        <v>31.65</v>
      </c>
      <c r="AN832" s="23">
        <v>23518.45</v>
      </c>
      <c r="AO832" s="23">
        <v>31.01</v>
      </c>
      <c r="AP832" s="23">
        <v>0</v>
      </c>
      <c r="AR832" s="46"/>
      <c r="AS832" s="44"/>
      <c r="AT832" s="45"/>
      <c r="AU832" s="2">
        <v>44113</v>
      </c>
      <c r="AV832" s="52">
        <v>0.4375</v>
      </c>
      <c r="AW832" s="2" t="s">
        <v>212</v>
      </c>
      <c r="AY832" s="3"/>
      <c r="BA832" s="3"/>
      <c r="BG832" s="3"/>
      <c r="BH832" s="3"/>
    </row>
    <row r="833" spans="1:60">
      <c r="A833" s="23" t="s">
        <v>22</v>
      </c>
      <c r="B833" s="23" t="s">
        <v>23</v>
      </c>
      <c r="C833" s="27">
        <v>44116.416666666664</v>
      </c>
      <c r="D833" s="23">
        <v>31.7</v>
      </c>
      <c r="E833" s="27">
        <v>44117.4375</v>
      </c>
      <c r="F833" s="23">
        <v>31.2</v>
      </c>
      <c r="G833" s="31">
        <v>-1.5800000000000002E-2</v>
      </c>
      <c r="H833" s="23">
        <v>794.7</v>
      </c>
      <c r="I833" s="31">
        <v>1.5800000000000002E-2</v>
      </c>
      <c r="J833" s="23">
        <v>1589.41</v>
      </c>
      <c r="K833" s="23">
        <v>50384.29</v>
      </c>
      <c r="L833" s="23">
        <v>77413.259999999995</v>
      </c>
      <c r="M833" s="23">
        <v>30</v>
      </c>
      <c r="N833" s="23">
        <v>26.49</v>
      </c>
      <c r="O833" s="31">
        <v>-4.7000000000000002E-3</v>
      </c>
      <c r="P833" s="31">
        <v>3.4700000000000002E-2</v>
      </c>
      <c r="Q833" s="23" t="s">
        <v>24</v>
      </c>
      <c r="R833" s="23">
        <v>0</v>
      </c>
      <c r="S833" s="23">
        <v>32.22</v>
      </c>
      <c r="U833" s="47">
        <f>VLOOKUP(AU833,[1]expiry_dates!$B$2:$C$2894,2,FALSE)</f>
        <v>44133</v>
      </c>
      <c r="V833" s="23" t="s">
        <v>179</v>
      </c>
      <c r="W833" s="23" t="s">
        <v>23</v>
      </c>
      <c r="X833" s="49">
        <v>44116.416666666664</v>
      </c>
      <c r="Y833" s="23">
        <v>1.3</v>
      </c>
      <c r="Z833" s="23">
        <v>44117.4375</v>
      </c>
      <c r="AA833" s="23">
        <v>1.1000000000000001</v>
      </c>
      <c r="AB833" s="23">
        <v>-0.15379999999999999</v>
      </c>
      <c r="AC833" s="23">
        <v>9775.99</v>
      </c>
      <c r="AD833" s="23">
        <v>0.15379999999999999</v>
      </c>
      <c r="AE833" s="23">
        <v>48879.96</v>
      </c>
      <c r="AF833" s="23">
        <v>63543.94</v>
      </c>
      <c r="AG833" s="23">
        <v>2718563.99</v>
      </c>
      <c r="AH833" s="23">
        <v>30</v>
      </c>
      <c r="AI833" s="23">
        <v>325.87</v>
      </c>
      <c r="AJ833" s="23">
        <v>-7.6899999999999996E-2</v>
      </c>
      <c r="AK833" s="23">
        <v>0.26919999999999999</v>
      </c>
      <c r="AL833" s="23" t="s">
        <v>24</v>
      </c>
      <c r="AM833" s="23">
        <v>31.7</v>
      </c>
      <c r="AN833" s="23">
        <v>24011.15</v>
      </c>
      <c r="AO833" s="23">
        <v>32.22</v>
      </c>
      <c r="AP833" s="23">
        <v>0</v>
      </c>
      <c r="AR833" s="46"/>
      <c r="AS833" s="44"/>
      <c r="AT833" s="45"/>
      <c r="AU833" s="2">
        <v>44116</v>
      </c>
      <c r="AV833" s="52">
        <v>0.41666666666666669</v>
      </c>
      <c r="AW833" s="2" t="s">
        <v>212</v>
      </c>
      <c r="AY833" s="3"/>
      <c r="BA833" s="3"/>
      <c r="BG833" s="3"/>
      <c r="BH833" s="3"/>
    </row>
    <row r="834" spans="1:60">
      <c r="A834" s="23" t="s">
        <v>22</v>
      </c>
      <c r="B834" s="23" t="s">
        <v>25</v>
      </c>
      <c r="C834" s="27">
        <v>44117.4375</v>
      </c>
      <c r="D834" s="23">
        <v>31.2</v>
      </c>
      <c r="E834" s="27">
        <v>44118.385416666664</v>
      </c>
      <c r="F834" s="23">
        <v>30.95</v>
      </c>
      <c r="G834" s="31">
        <v>-8.0000000000000002E-3</v>
      </c>
      <c r="H834" s="23">
        <v>-403.76</v>
      </c>
      <c r="I834" s="31">
        <v>-8.0000000000000002E-3</v>
      </c>
      <c r="J834" s="23">
        <v>1615.021</v>
      </c>
      <c r="K834" s="23">
        <v>50388.66</v>
      </c>
      <c r="L834" s="23">
        <v>77009.509999999995</v>
      </c>
      <c r="M834" s="23">
        <v>24</v>
      </c>
      <c r="N834" s="23">
        <v>-16.82</v>
      </c>
      <c r="O834" s="31">
        <v>-8.0000000000000002E-3</v>
      </c>
      <c r="P834" s="31">
        <v>9.5999999999999992E-3</v>
      </c>
      <c r="Q834" s="23" t="s">
        <v>24</v>
      </c>
      <c r="R834" s="23">
        <v>0</v>
      </c>
      <c r="S834" s="23">
        <v>30.6</v>
      </c>
      <c r="U834" s="47">
        <f>VLOOKUP(AU834,[1]expiry_dates!$B$2:$C$2894,2,FALSE)</f>
        <v>44133</v>
      </c>
      <c r="V834" s="23" t="s">
        <v>138</v>
      </c>
      <c r="W834" s="23" t="s">
        <v>23</v>
      </c>
      <c r="X834" s="49">
        <v>44117.4375</v>
      </c>
      <c r="Y834" s="23">
        <v>0.9</v>
      </c>
      <c r="Z834" s="23">
        <v>44118.385416666664</v>
      </c>
      <c r="AA834" s="23">
        <v>1</v>
      </c>
      <c r="AB834" s="23">
        <v>0.1111</v>
      </c>
      <c r="AC834" s="23">
        <v>-7067.23</v>
      </c>
      <c r="AD834" s="23">
        <v>-0.1111</v>
      </c>
      <c r="AE834" s="23">
        <v>70672.27</v>
      </c>
      <c r="AF834" s="23">
        <v>63605.04</v>
      </c>
      <c r="AG834" s="23">
        <v>2711496.77</v>
      </c>
      <c r="AH834" s="23">
        <v>24</v>
      </c>
      <c r="AI834" s="23">
        <v>-294.47000000000003</v>
      </c>
      <c r="AJ834" s="23">
        <v>-0.1111</v>
      </c>
      <c r="AK834" s="23">
        <v>0.1111</v>
      </c>
      <c r="AL834" s="23" t="s">
        <v>24</v>
      </c>
      <c r="AM834" s="23">
        <v>31.2</v>
      </c>
      <c r="AN834" s="23">
        <v>23695.3</v>
      </c>
      <c r="AO834" s="23">
        <v>30.6</v>
      </c>
      <c r="AP834" s="23">
        <v>0</v>
      </c>
      <c r="AR834" s="46"/>
      <c r="AS834" s="44"/>
      <c r="AT834" s="45"/>
      <c r="AU834" s="2">
        <v>44117</v>
      </c>
      <c r="AV834" s="52">
        <v>0.4375</v>
      </c>
      <c r="AW834" s="2" t="s">
        <v>212</v>
      </c>
      <c r="AY834" s="3"/>
      <c r="BA834" s="3"/>
      <c r="BG834" s="3"/>
      <c r="BH834" s="3"/>
    </row>
    <row r="835" spans="1:60">
      <c r="A835" s="23" t="s">
        <v>22</v>
      </c>
      <c r="B835" s="23" t="s">
        <v>23</v>
      </c>
      <c r="C835" s="27">
        <v>44118.385416666664</v>
      </c>
      <c r="D835" s="23">
        <v>30.95</v>
      </c>
      <c r="E835" s="27">
        <v>44118.583333333336</v>
      </c>
      <c r="F835" s="23">
        <v>30.75</v>
      </c>
      <c r="G835" s="31">
        <v>-6.4999999999999997E-3</v>
      </c>
      <c r="H835" s="23">
        <v>325.61</v>
      </c>
      <c r="I835" s="31">
        <v>6.4999999999999997E-3</v>
      </c>
      <c r="J835" s="23">
        <v>1628.028</v>
      </c>
      <c r="K835" s="23">
        <v>50387.47</v>
      </c>
      <c r="L835" s="23">
        <v>77335.11</v>
      </c>
      <c r="M835" s="23">
        <v>20</v>
      </c>
      <c r="N835" s="23">
        <v>16.28</v>
      </c>
      <c r="O835" s="31">
        <v>-8.0999999999999996E-3</v>
      </c>
      <c r="P835" s="31">
        <v>1.78E-2</v>
      </c>
      <c r="Q835" s="23" t="s">
        <v>24</v>
      </c>
      <c r="R835" s="23">
        <v>0</v>
      </c>
      <c r="S835" s="23">
        <v>31.48</v>
      </c>
      <c r="U835" s="47">
        <f>VLOOKUP(AU835,[1]expiry_dates!$B$2:$C$2894,2,FALSE)</f>
        <v>44133</v>
      </c>
      <c r="V835" s="23" t="s">
        <v>182</v>
      </c>
      <c r="W835" s="23" t="s">
        <v>23</v>
      </c>
      <c r="X835" s="49">
        <v>44118.385416666664</v>
      </c>
      <c r="Y835" s="23">
        <v>1.85</v>
      </c>
      <c r="Z835" s="23">
        <v>44118.583333333336</v>
      </c>
      <c r="AA835" s="23">
        <v>1.6</v>
      </c>
      <c r="AB835" s="23">
        <v>-0.1351</v>
      </c>
      <c r="AC835" s="23">
        <v>8596.01</v>
      </c>
      <c r="AD835" s="23">
        <v>0.1351</v>
      </c>
      <c r="AE835" s="23">
        <v>34384.050000000003</v>
      </c>
      <c r="AF835" s="23">
        <v>63610.49</v>
      </c>
      <c r="AG835" s="23">
        <v>2720092.78</v>
      </c>
      <c r="AH835" s="23">
        <v>20</v>
      </c>
      <c r="AI835" s="23">
        <v>429.8</v>
      </c>
      <c r="AJ835" s="23">
        <v>-2.7E-2</v>
      </c>
      <c r="AK835" s="23">
        <v>0.16220000000000001</v>
      </c>
      <c r="AL835" s="23" t="s">
        <v>24</v>
      </c>
      <c r="AM835" s="23">
        <v>30.95</v>
      </c>
      <c r="AN835" s="23">
        <v>23277.200000000001</v>
      </c>
      <c r="AO835" s="23">
        <v>31.48</v>
      </c>
      <c r="AP835" s="23">
        <v>0</v>
      </c>
      <c r="AR835" s="46"/>
      <c r="AS835" s="44"/>
      <c r="AT835" s="45"/>
      <c r="AU835" s="2">
        <v>44118</v>
      </c>
      <c r="AV835" s="52">
        <v>0.38541666666666669</v>
      </c>
      <c r="AW835" s="2" t="s">
        <v>212</v>
      </c>
      <c r="AY835" s="3"/>
      <c r="BA835" s="3"/>
      <c r="BG835" s="3"/>
      <c r="BH835" s="3"/>
    </row>
    <row r="836" spans="1:60">
      <c r="A836" s="23" t="s">
        <v>22</v>
      </c>
      <c r="B836" s="23" t="s">
        <v>25</v>
      </c>
      <c r="C836" s="27">
        <v>44118.583333333336</v>
      </c>
      <c r="D836" s="23">
        <v>30.75</v>
      </c>
      <c r="E836" s="27">
        <v>44119.46875</v>
      </c>
      <c r="F836" s="23">
        <v>31</v>
      </c>
      <c r="G836" s="31">
        <v>8.0999999999999996E-3</v>
      </c>
      <c r="H836" s="23">
        <v>409.65</v>
      </c>
      <c r="I836" s="31">
        <v>8.0999999999999996E-3</v>
      </c>
      <c r="J836" s="23">
        <v>1638.5909999999999</v>
      </c>
      <c r="K836" s="23">
        <v>50386.68</v>
      </c>
      <c r="L836" s="23">
        <v>77744.759999999995</v>
      </c>
      <c r="M836" s="23">
        <v>18</v>
      </c>
      <c r="N836" s="23">
        <v>22.76</v>
      </c>
      <c r="O836" s="31">
        <v>-1.6000000000000001E-3</v>
      </c>
      <c r="P836" s="31">
        <v>2.76E-2</v>
      </c>
      <c r="Q836" s="23" t="s">
        <v>24</v>
      </c>
      <c r="R836" s="23">
        <v>0</v>
      </c>
      <c r="S836" s="23">
        <v>30.42</v>
      </c>
      <c r="U836" s="47">
        <f>VLOOKUP(AU836,[1]expiry_dates!$B$2:$C$2894,2,FALSE)</f>
        <v>44133</v>
      </c>
      <c r="V836" s="23" t="s">
        <v>173</v>
      </c>
      <c r="W836" s="23" t="s">
        <v>23</v>
      </c>
      <c r="X836" s="49">
        <v>44118.583333333336</v>
      </c>
      <c r="Y836" s="23">
        <v>0.4</v>
      </c>
      <c r="Z836" s="23">
        <v>44119.46875</v>
      </c>
      <c r="AA836" s="23">
        <v>0.35</v>
      </c>
      <c r="AB836" s="23">
        <v>-0.125</v>
      </c>
      <c r="AC836" s="23">
        <v>7950.06</v>
      </c>
      <c r="AD836" s="23">
        <v>0.125</v>
      </c>
      <c r="AE836" s="23">
        <v>159001.20000000001</v>
      </c>
      <c r="AF836" s="23">
        <v>63600.46</v>
      </c>
      <c r="AG836" s="23">
        <v>2728042.84</v>
      </c>
      <c r="AH836" s="23">
        <v>18</v>
      </c>
      <c r="AI836" s="23">
        <v>441.67</v>
      </c>
      <c r="AJ836" s="23">
        <v>-0.125</v>
      </c>
      <c r="AK836" s="23">
        <v>0.25</v>
      </c>
      <c r="AL836" s="23" t="s">
        <v>24</v>
      </c>
      <c r="AM836" s="23">
        <v>30.75</v>
      </c>
      <c r="AN836" s="23">
        <v>23324.35</v>
      </c>
      <c r="AO836" s="23">
        <v>30.42</v>
      </c>
      <c r="AP836" s="23">
        <v>0</v>
      </c>
      <c r="AR836" s="46"/>
      <c r="AS836" s="44"/>
      <c r="AT836" s="45"/>
      <c r="AU836" s="2">
        <v>44118</v>
      </c>
      <c r="AV836" s="52">
        <v>8.3333333333333329E-2</v>
      </c>
      <c r="AW836" s="2" t="s">
        <v>213</v>
      </c>
      <c r="AY836" s="3"/>
      <c r="BA836" s="3"/>
      <c r="BG836" s="3"/>
      <c r="BH836" s="3"/>
    </row>
    <row r="837" spans="1:60">
      <c r="A837" s="23" t="s">
        <v>22</v>
      </c>
      <c r="B837" s="23" t="s">
        <v>23</v>
      </c>
      <c r="C837" s="27">
        <v>44119.46875</v>
      </c>
      <c r="D837" s="23">
        <v>31</v>
      </c>
      <c r="E837" s="27">
        <v>44120.5</v>
      </c>
      <c r="F837" s="23">
        <v>30.25</v>
      </c>
      <c r="G837" s="31">
        <v>-2.4199999999999999E-2</v>
      </c>
      <c r="H837" s="23">
        <v>1219.0999999999999</v>
      </c>
      <c r="I837" s="31">
        <v>2.4199999999999999E-2</v>
      </c>
      <c r="J837" s="23">
        <v>1625.4690000000001</v>
      </c>
      <c r="K837" s="23">
        <v>50389.54</v>
      </c>
      <c r="L837" s="23">
        <v>78963.86</v>
      </c>
      <c r="M837" s="23">
        <v>32</v>
      </c>
      <c r="N837" s="23">
        <v>38.1</v>
      </c>
      <c r="O837" s="31">
        <v>-3.2000000000000002E-3</v>
      </c>
      <c r="P837" s="31">
        <v>4.0300000000000002E-2</v>
      </c>
      <c r="Q837" s="23" t="s">
        <v>24</v>
      </c>
      <c r="R837" s="23">
        <v>0</v>
      </c>
      <c r="S837" s="23">
        <v>31.59</v>
      </c>
      <c r="U837" s="47">
        <f>VLOOKUP(AU837,[1]expiry_dates!$B$2:$C$2894,2,FALSE)</f>
        <v>44133</v>
      </c>
      <c r="V837" s="23" t="s">
        <v>182</v>
      </c>
      <c r="W837" s="23" t="s">
        <v>23</v>
      </c>
      <c r="X837" s="49">
        <v>44119.46875</v>
      </c>
      <c r="Y837" s="23">
        <v>1.8</v>
      </c>
      <c r="Z837" s="23">
        <v>44120.5</v>
      </c>
      <c r="AA837" s="23">
        <v>1.4</v>
      </c>
      <c r="AB837" s="23">
        <v>-0.22220000000000001</v>
      </c>
      <c r="AC837" s="23">
        <v>14142.27</v>
      </c>
      <c r="AD837" s="23">
        <v>0.22220000000000001</v>
      </c>
      <c r="AE837" s="23">
        <v>35355.68</v>
      </c>
      <c r="AF837" s="23">
        <v>63640.21</v>
      </c>
      <c r="AG837" s="23">
        <v>2742185.11</v>
      </c>
      <c r="AH837" s="23">
        <v>32</v>
      </c>
      <c r="AI837" s="23">
        <v>441.95</v>
      </c>
      <c r="AJ837" s="23">
        <v>-5.5599999999999997E-2</v>
      </c>
      <c r="AK837" s="23">
        <v>0.33329999999999999</v>
      </c>
      <c r="AL837" s="23" t="s">
        <v>24</v>
      </c>
      <c r="AM837" s="23">
        <v>31</v>
      </c>
      <c r="AN837" s="23">
        <v>23884.7</v>
      </c>
      <c r="AO837" s="23">
        <v>31.59</v>
      </c>
      <c r="AP837" s="23">
        <v>0</v>
      </c>
      <c r="AR837" s="46"/>
      <c r="AS837" s="44"/>
      <c r="AT837" s="45"/>
      <c r="AU837" s="2">
        <v>44119</v>
      </c>
      <c r="AV837" s="52">
        <v>0.46875</v>
      </c>
      <c r="AW837" s="2" t="s">
        <v>212</v>
      </c>
      <c r="AY837" s="3"/>
      <c r="BA837" s="3"/>
      <c r="BG837" s="3"/>
      <c r="BH837" s="3"/>
    </row>
    <row r="838" spans="1:60">
      <c r="A838" s="23" t="s">
        <v>22</v>
      </c>
      <c r="B838" s="23" t="s">
        <v>25</v>
      </c>
      <c r="C838" s="27">
        <v>44120.5</v>
      </c>
      <c r="D838" s="23">
        <v>30.25</v>
      </c>
      <c r="E838" s="27">
        <v>44124.385416666664</v>
      </c>
      <c r="F838" s="23">
        <v>31.35</v>
      </c>
      <c r="G838" s="31">
        <v>3.6400000000000002E-2</v>
      </c>
      <c r="H838" s="23">
        <v>1832.6</v>
      </c>
      <c r="I838" s="31">
        <v>3.6400000000000002E-2</v>
      </c>
      <c r="J838" s="23">
        <v>1665.998</v>
      </c>
      <c r="K838" s="23">
        <v>50396.45</v>
      </c>
      <c r="L838" s="23">
        <v>80796.460000000006</v>
      </c>
      <c r="M838" s="23">
        <v>46</v>
      </c>
      <c r="N838" s="23">
        <v>39.840000000000003</v>
      </c>
      <c r="O838" s="31">
        <v>-6.6E-3</v>
      </c>
      <c r="P838" s="31">
        <v>5.2900000000000003E-2</v>
      </c>
      <c r="Q838" s="23" t="s">
        <v>24</v>
      </c>
      <c r="R838" s="23">
        <v>0</v>
      </c>
      <c r="S838" s="23">
        <v>29.77</v>
      </c>
      <c r="U838" s="47">
        <f>VLOOKUP(AU838,[1]expiry_dates!$B$2:$C$2894,2,FALSE)</f>
        <v>44133</v>
      </c>
      <c r="V838" s="23" t="s">
        <v>178</v>
      </c>
      <c r="W838" s="23" t="s">
        <v>23</v>
      </c>
      <c r="X838" s="49">
        <v>44120.5</v>
      </c>
      <c r="Y838" s="23">
        <v>0.7</v>
      </c>
      <c r="Z838" s="23">
        <v>44124.385416666664</v>
      </c>
      <c r="AA838" s="23">
        <v>0.2</v>
      </c>
      <c r="AB838" s="23">
        <v>-0.71430000000000005</v>
      </c>
      <c r="AC838" s="23">
        <v>45526.75</v>
      </c>
      <c r="AD838" s="23">
        <v>0.71430000000000005</v>
      </c>
      <c r="AE838" s="23">
        <v>91053.49</v>
      </c>
      <c r="AF838" s="23">
        <v>63737.45</v>
      </c>
      <c r="AG838" s="23">
        <v>2787711.85</v>
      </c>
      <c r="AH838" s="23">
        <v>46</v>
      </c>
      <c r="AI838" s="23">
        <v>989.71</v>
      </c>
      <c r="AJ838" s="23">
        <v>-0.21429999999999999</v>
      </c>
      <c r="AK838" s="23">
        <v>0.71430000000000005</v>
      </c>
      <c r="AL838" s="23" t="s">
        <v>24</v>
      </c>
      <c r="AM838" s="23">
        <v>30.25</v>
      </c>
      <c r="AN838" s="23">
        <v>23441.200000000001</v>
      </c>
      <c r="AO838" s="23">
        <v>29.77</v>
      </c>
      <c r="AP838" s="23">
        <v>0</v>
      </c>
      <c r="AR838" s="46"/>
      <c r="AS838" s="44"/>
      <c r="AT838" s="45"/>
      <c r="AU838" s="2">
        <v>44120</v>
      </c>
      <c r="AV838" s="52">
        <v>0.5</v>
      </c>
      <c r="AW838" s="2" t="s">
        <v>213</v>
      </c>
      <c r="AY838" s="3"/>
      <c r="BA838" s="3"/>
      <c r="BG838" s="3"/>
      <c r="BH838" s="3"/>
    </row>
    <row r="839" spans="1:60">
      <c r="A839" s="23" t="s">
        <v>22</v>
      </c>
      <c r="B839" s="23" t="s">
        <v>23</v>
      </c>
      <c r="C839" s="27">
        <v>44124.385416666664</v>
      </c>
      <c r="D839" s="23">
        <v>31.35</v>
      </c>
      <c r="E839" s="27">
        <v>44124.447916666664</v>
      </c>
      <c r="F839" s="23">
        <v>31.55</v>
      </c>
      <c r="G839" s="31">
        <v>6.4000000000000003E-3</v>
      </c>
      <c r="H839" s="23">
        <v>-321.55</v>
      </c>
      <c r="I839" s="31">
        <v>-6.4000000000000003E-3</v>
      </c>
      <c r="J839" s="23">
        <v>1607.769</v>
      </c>
      <c r="K839" s="23">
        <v>50403.56</v>
      </c>
      <c r="L839" s="23">
        <v>80474.91</v>
      </c>
      <c r="M839" s="23">
        <v>7</v>
      </c>
      <c r="N839" s="23">
        <v>-45.94</v>
      </c>
      <c r="O839" s="31">
        <v>-1.2800000000000001E-2</v>
      </c>
      <c r="P839" s="31">
        <v>4.7999999999999996E-3</v>
      </c>
      <c r="Q839" s="23" t="s">
        <v>24</v>
      </c>
      <c r="R839" s="23">
        <v>0</v>
      </c>
      <c r="S839" s="23">
        <v>31.82</v>
      </c>
      <c r="U839" s="47">
        <f>VLOOKUP(AU839,[1]expiry_dates!$B$2:$C$2894,2,FALSE)</f>
        <v>44133</v>
      </c>
      <c r="V839" s="23" t="s">
        <v>176</v>
      </c>
      <c r="W839" s="23" t="s">
        <v>23</v>
      </c>
      <c r="X839" s="49">
        <v>44124.385416666664</v>
      </c>
      <c r="Y839" s="23">
        <v>1.2</v>
      </c>
      <c r="Z839" s="23">
        <v>44124.447916666664</v>
      </c>
      <c r="AA839" s="23">
        <v>1.35</v>
      </c>
      <c r="AB839" s="23">
        <v>0.125</v>
      </c>
      <c r="AC839" s="23">
        <v>-7992.32</v>
      </c>
      <c r="AD839" s="23">
        <v>-0.125</v>
      </c>
      <c r="AE839" s="23">
        <v>53282.13</v>
      </c>
      <c r="AF839" s="23">
        <v>63938.559999999998</v>
      </c>
      <c r="AG839" s="23">
        <v>2779719.53</v>
      </c>
      <c r="AH839" s="23">
        <v>7</v>
      </c>
      <c r="AI839" s="23">
        <v>-1141.76</v>
      </c>
      <c r="AJ839" s="23">
        <v>-0.16669999999999999</v>
      </c>
      <c r="AK839" s="23">
        <v>0</v>
      </c>
      <c r="AL839" s="23" t="s">
        <v>24</v>
      </c>
      <c r="AM839" s="23">
        <v>31.35</v>
      </c>
      <c r="AN839" s="23">
        <v>24169.05</v>
      </c>
      <c r="AO839" s="23">
        <v>31.82</v>
      </c>
      <c r="AP839" s="23">
        <v>0</v>
      </c>
      <c r="AR839" s="46"/>
      <c r="AS839" s="44"/>
      <c r="AT839" s="45"/>
      <c r="AU839" s="2">
        <v>44124</v>
      </c>
      <c r="AV839" s="52">
        <v>0.38541666666666669</v>
      </c>
      <c r="AW839" s="2" t="s">
        <v>212</v>
      </c>
      <c r="AY839" s="3"/>
      <c r="BA839" s="3"/>
      <c r="BG839" s="3"/>
      <c r="BH839" s="3"/>
    </row>
    <row r="840" spans="1:60">
      <c r="A840" s="23" t="s">
        <v>22</v>
      </c>
      <c r="B840" s="23" t="s">
        <v>25</v>
      </c>
      <c r="C840" s="27">
        <v>44124.447916666664</v>
      </c>
      <c r="D840" s="23">
        <v>31.55</v>
      </c>
      <c r="E840" s="27">
        <v>44124.510416666664</v>
      </c>
      <c r="F840" s="23">
        <v>31.35</v>
      </c>
      <c r="G840" s="31">
        <v>-6.3E-3</v>
      </c>
      <c r="H840" s="23">
        <v>-319.51</v>
      </c>
      <c r="I840" s="31">
        <v>-6.3E-3</v>
      </c>
      <c r="J840" s="23">
        <v>1597.527</v>
      </c>
      <c r="K840" s="23">
        <v>50401.97</v>
      </c>
      <c r="L840" s="23">
        <v>80155.399999999994</v>
      </c>
      <c r="M840" s="23">
        <v>7</v>
      </c>
      <c r="N840" s="23">
        <v>-45.64</v>
      </c>
      <c r="O840" s="31">
        <v>-6.3E-3</v>
      </c>
      <c r="P840" s="31">
        <v>3.2000000000000002E-3</v>
      </c>
      <c r="Q840" s="23" t="s">
        <v>24</v>
      </c>
      <c r="R840" s="23">
        <v>0</v>
      </c>
      <c r="S840" s="23">
        <v>31.21</v>
      </c>
      <c r="U840" s="47">
        <f>VLOOKUP(AU840,[1]expiry_dates!$B$2:$C$2894,2,FALSE)</f>
        <v>44133</v>
      </c>
      <c r="V840" s="23" t="s">
        <v>177</v>
      </c>
      <c r="W840" s="23" t="s">
        <v>23</v>
      </c>
      <c r="X840" s="49">
        <v>44124.447916666664</v>
      </c>
      <c r="Y840" s="23">
        <v>0.8</v>
      </c>
      <c r="Z840" s="23">
        <v>44124.510416666664</v>
      </c>
      <c r="AA840" s="23">
        <v>0.85000010000000004</v>
      </c>
      <c r="AB840" s="23">
        <v>6.25E-2</v>
      </c>
      <c r="AC840" s="23">
        <v>-3992.83</v>
      </c>
      <c r="AD840" s="23">
        <v>-6.25E-2</v>
      </c>
      <c r="AE840" s="23">
        <v>79856.59</v>
      </c>
      <c r="AF840" s="23">
        <v>63885.279999999999</v>
      </c>
      <c r="AG840" s="23">
        <v>2775726.7</v>
      </c>
      <c r="AH840" s="23">
        <v>7</v>
      </c>
      <c r="AI840" s="23">
        <v>-570.4</v>
      </c>
      <c r="AJ840" s="23">
        <v>-6.25E-2</v>
      </c>
      <c r="AK840" s="23">
        <v>6.25E-2</v>
      </c>
      <c r="AL840" s="23" t="s">
        <v>24</v>
      </c>
      <c r="AM840" s="23">
        <v>31.55</v>
      </c>
      <c r="AN840" s="23">
        <v>24268.55</v>
      </c>
      <c r="AO840" s="23">
        <v>31.21</v>
      </c>
      <c r="AP840" s="23">
        <v>0</v>
      </c>
      <c r="AR840" s="46"/>
      <c r="AS840" s="44"/>
      <c r="AT840" s="45"/>
      <c r="AU840" s="2">
        <v>44124</v>
      </c>
      <c r="AV840" s="52">
        <v>0.44791666666666669</v>
      </c>
      <c r="AW840" s="2" t="s">
        <v>212</v>
      </c>
      <c r="AY840" s="3"/>
      <c r="BA840" s="3"/>
      <c r="BG840" s="3"/>
      <c r="BH840" s="3"/>
    </row>
    <row r="841" spans="1:60">
      <c r="A841" s="23" t="s">
        <v>22</v>
      </c>
      <c r="B841" s="23" t="s">
        <v>23</v>
      </c>
      <c r="C841" s="27">
        <v>44124.510416666664</v>
      </c>
      <c r="D841" s="23">
        <v>31.35</v>
      </c>
      <c r="E841" s="27">
        <v>44124.572916666664</v>
      </c>
      <c r="F841" s="23">
        <v>31.55</v>
      </c>
      <c r="G841" s="31">
        <v>6.4000000000000003E-3</v>
      </c>
      <c r="H841" s="23">
        <v>-321.54000000000002</v>
      </c>
      <c r="I841" s="31">
        <v>-6.4000000000000003E-3</v>
      </c>
      <c r="J841" s="23">
        <v>1607.693</v>
      </c>
      <c r="K841" s="23">
        <v>50401.18</v>
      </c>
      <c r="L841" s="23">
        <v>79833.86</v>
      </c>
      <c r="M841" s="23">
        <v>7</v>
      </c>
      <c r="N841" s="23">
        <v>-45.93</v>
      </c>
      <c r="O841" s="31">
        <v>-6.4000000000000003E-3</v>
      </c>
      <c r="P841" s="31">
        <v>4.7999999999999996E-3</v>
      </c>
      <c r="Q841" s="23" t="s">
        <v>24</v>
      </c>
      <c r="R841" s="23">
        <v>0</v>
      </c>
      <c r="S841" s="23">
        <v>31.64</v>
      </c>
      <c r="U841" s="47">
        <f>VLOOKUP(AU841,[1]expiry_dates!$B$2:$C$2894,2,FALSE)</f>
        <v>44133</v>
      </c>
      <c r="V841" s="23" t="s">
        <v>176</v>
      </c>
      <c r="W841" s="23" t="s">
        <v>23</v>
      </c>
      <c r="X841" s="49">
        <v>44124.510416666664</v>
      </c>
      <c r="Y841" s="23">
        <v>1.25</v>
      </c>
      <c r="Z841" s="23">
        <v>44124.572916666664</v>
      </c>
      <c r="AA841" s="23">
        <v>1.35</v>
      </c>
      <c r="AB841" s="23">
        <v>0.08</v>
      </c>
      <c r="AC841" s="23">
        <v>-5111.8900000000003</v>
      </c>
      <c r="AD841" s="23">
        <v>-0.08</v>
      </c>
      <c r="AE841" s="23">
        <v>51118.879999999997</v>
      </c>
      <c r="AF841" s="23">
        <v>63898.6</v>
      </c>
      <c r="AG841" s="23">
        <v>2770614.82</v>
      </c>
      <c r="AH841" s="23">
        <v>7</v>
      </c>
      <c r="AI841" s="23">
        <v>-730.27</v>
      </c>
      <c r="AJ841" s="23">
        <v>-0.08</v>
      </c>
      <c r="AK841" s="23">
        <v>0.04</v>
      </c>
      <c r="AL841" s="23" t="s">
        <v>24</v>
      </c>
      <c r="AM841" s="23">
        <v>31.35</v>
      </c>
      <c r="AN841" s="23">
        <v>24327.65</v>
      </c>
      <c r="AO841" s="23">
        <v>31.64</v>
      </c>
      <c r="AP841" s="23">
        <v>0</v>
      </c>
      <c r="AR841" s="46"/>
      <c r="AS841" s="44"/>
      <c r="AT841" s="45"/>
      <c r="AU841" s="2">
        <v>44124</v>
      </c>
      <c r="AV841" s="52">
        <v>0.51041666666666663</v>
      </c>
      <c r="AW841" s="2" t="s">
        <v>213</v>
      </c>
      <c r="AY841" s="3"/>
      <c r="BA841" s="3"/>
      <c r="BG841" s="3"/>
      <c r="BH841" s="3"/>
    </row>
    <row r="842" spans="1:60">
      <c r="A842" s="23" t="s">
        <v>22</v>
      </c>
      <c r="B842" s="23" t="s">
        <v>25</v>
      </c>
      <c r="C842" s="27">
        <v>44124.572916666664</v>
      </c>
      <c r="D842" s="23">
        <v>31.55</v>
      </c>
      <c r="E842" s="27">
        <v>44125.520833333336</v>
      </c>
      <c r="F842" s="23">
        <v>31.8</v>
      </c>
      <c r="G842" s="31">
        <v>7.9000000000000008E-3</v>
      </c>
      <c r="H842" s="23">
        <v>399.37</v>
      </c>
      <c r="I842" s="31">
        <v>7.9000000000000008E-3</v>
      </c>
      <c r="J842" s="23">
        <v>1597.4760000000001</v>
      </c>
      <c r="K842" s="23">
        <v>50400.38</v>
      </c>
      <c r="L842" s="23">
        <v>80233.23</v>
      </c>
      <c r="M842" s="23">
        <v>24</v>
      </c>
      <c r="N842" s="23">
        <v>16.64</v>
      </c>
      <c r="O842" s="31">
        <v>-6.3E-3</v>
      </c>
      <c r="P842" s="31">
        <v>1.7399999999999999E-2</v>
      </c>
      <c r="Q842" s="23" t="s">
        <v>24</v>
      </c>
      <c r="R842" s="23">
        <v>0</v>
      </c>
      <c r="S842" s="23">
        <v>31.2</v>
      </c>
      <c r="U842" s="47">
        <f>VLOOKUP(AU842,[1]expiry_dates!$B$2:$C$2894,2,FALSE)</f>
        <v>44133</v>
      </c>
      <c r="V842" s="23" t="s">
        <v>177</v>
      </c>
      <c r="W842" s="23" t="s">
        <v>23</v>
      </c>
      <c r="X842" s="49">
        <v>44124.572916666664</v>
      </c>
      <c r="Y842" s="23">
        <v>0.8</v>
      </c>
      <c r="Z842" s="23">
        <v>44125.520833333336</v>
      </c>
      <c r="AA842" s="23">
        <v>0.55000000000000004</v>
      </c>
      <c r="AB842" s="23">
        <v>-0.3125</v>
      </c>
      <c r="AC842" s="23">
        <v>19962.07</v>
      </c>
      <c r="AD842" s="23">
        <v>0.3125</v>
      </c>
      <c r="AE842" s="23">
        <v>79848.289999999994</v>
      </c>
      <c r="AF842" s="23">
        <v>63878.63</v>
      </c>
      <c r="AG842" s="23">
        <v>2790576.89</v>
      </c>
      <c r="AH842" s="23">
        <v>24</v>
      </c>
      <c r="AI842" s="23">
        <v>831.75</v>
      </c>
      <c r="AJ842" s="23">
        <v>0</v>
      </c>
      <c r="AK842" s="23">
        <v>0.375</v>
      </c>
      <c r="AL842" s="23" t="s">
        <v>24</v>
      </c>
      <c r="AM842" s="23">
        <v>31.55</v>
      </c>
      <c r="AN842" s="23">
        <v>24304.5</v>
      </c>
      <c r="AO842" s="23">
        <v>31.2</v>
      </c>
      <c r="AP842" s="23">
        <v>0</v>
      </c>
      <c r="AR842" s="46"/>
      <c r="AS842" s="44"/>
      <c r="AT842" s="45"/>
      <c r="AU842" s="2">
        <v>44124</v>
      </c>
      <c r="AV842" s="52">
        <v>7.2916666666666671E-2</v>
      </c>
      <c r="AW842" s="2" t="s">
        <v>213</v>
      </c>
      <c r="AY842" s="3"/>
      <c r="BA842" s="3"/>
      <c r="BG842" s="3"/>
      <c r="BH842" s="3"/>
    </row>
    <row r="843" spans="1:60">
      <c r="A843" s="23" t="s">
        <v>22</v>
      </c>
      <c r="B843" s="23" t="s">
        <v>23</v>
      </c>
      <c r="C843" s="27">
        <v>44125.520833333336</v>
      </c>
      <c r="D843" s="23">
        <v>31.8</v>
      </c>
      <c r="E843" s="27">
        <v>44126.40625</v>
      </c>
      <c r="F843" s="23">
        <v>31.5</v>
      </c>
      <c r="G843" s="31">
        <v>-9.4000000000000004E-3</v>
      </c>
      <c r="H843" s="23">
        <v>475.49</v>
      </c>
      <c r="I843" s="31">
        <v>9.4000000000000004E-3</v>
      </c>
      <c r="J843" s="23">
        <v>1584.9680000000001</v>
      </c>
      <c r="K843" s="23">
        <v>50401.96</v>
      </c>
      <c r="L843" s="23">
        <v>80708.72</v>
      </c>
      <c r="M843" s="23">
        <v>18</v>
      </c>
      <c r="N843" s="23">
        <v>26.42</v>
      </c>
      <c r="O843" s="31">
        <v>-4.7000000000000002E-3</v>
      </c>
      <c r="P843" s="31">
        <v>3.4599999999999999E-2</v>
      </c>
      <c r="Q843" s="23" t="s">
        <v>24</v>
      </c>
      <c r="R843" s="23">
        <v>0</v>
      </c>
      <c r="S843" s="23">
        <v>32.1</v>
      </c>
      <c r="U843" s="47">
        <f>VLOOKUP(AU843,[1]expiry_dates!$B$2:$C$2894,2,FALSE)</f>
        <v>44133</v>
      </c>
      <c r="V843" s="23" t="s">
        <v>179</v>
      </c>
      <c r="W843" s="23" t="s">
        <v>23</v>
      </c>
      <c r="X843" s="49">
        <v>44125.520833333336</v>
      </c>
      <c r="Y843" s="23">
        <v>0.95</v>
      </c>
      <c r="Z843" s="23">
        <v>44126.40625</v>
      </c>
      <c r="AA843" s="23">
        <v>0.7</v>
      </c>
      <c r="AB843" s="23">
        <v>-0.26319999999999999</v>
      </c>
      <c r="AC843" s="23">
        <v>16834.96</v>
      </c>
      <c r="AD843" s="23">
        <v>0.26319999999999999</v>
      </c>
      <c r="AE843" s="23">
        <v>67339.839999999997</v>
      </c>
      <c r="AF843" s="23">
        <v>63972.84</v>
      </c>
      <c r="AG843" s="23">
        <v>2807411.85</v>
      </c>
      <c r="AH843" s="23">
        <v>18</v>
      </c>
      <c r="AI843" s="23">
        <v>935.28</v>
      </c>
      <c r="AJ843" s="23">
        <v>-5.2600000000000001E-2</v>
      </c>
      <c r="AK843" s="23">
        <v>0.47370000000000001</v>
      </c>
      <c r="AL843" s="23" t="s">
        <v>24</v>
      </c>
      <c r="AM843" s="23">
        <v>31.8</v>
      </c>
      <c r="AN843" s="23">
        <v>24762.2</v>
      </c>
      <c r="AO843" s="23">
        <v>32.1</v>
      </c>
      <c r="AP843" s="23">
        <v>0</v>
      </c>
      <c r="AR843" s="46"/>
      <c r="AS843" s="44"/>
      <c r="AT843" s="45"/>
      <c r="AU843" s="2">
        <v>44125</v>
      </c>
      <c r="AV843" s="52">
        <v>0.52083333333333337</v>
      </c>
      <c r="AW843" s="2" t="s">
        <v>213</v>
      </c>
      <c r="AY843" s="3"/>
      <c r="BA843" s="3"/>
      <c r="BG843" s="3"/>
      <c r="BH843" s="3"/>
    </row>
    <row r="844" spans="1:60">
      <c r="A844" s="23" t="s">
        <v>22</v>
      </c>
      <c r="B844" s="23" t="s">
        <v>25</v>
      </c>
      <c r="C844" s="27">
        <v>44126.40625</v>
      </c>
      <c r="D844" s="23">
        <v>31.5</v>
      </c>
      <c r="E844" s="27">
        <v>44126.604166666664</v>
      </c>
      <c r="F844" s="23">
        <v>31.5</v>
      </c>
      <c r="G844" s="31">
        <v>0</v>
      </c>
      <c r="H844" s="23">
        <v>0</v>
      </c>
      <c r="I844" s="31">
        <v>0</v>
      </c>
      <c r="J844" s="23">
        <v>1600.175</v>
      </c>
      <c r="K844" s="23">
        <v>50405.53</v>
      </c>
      <c r="L844" s="23">
        <v>80708.72</v>
      </c>
      <c r="M844" s="23">
        <v>20</v>
      </c>
      <c r="N844" s="23">
        <v>0</v>
      </c>
      <c r="O844" s="31">
        <v>-7.9000000000000008E-3</v>
      </c>
      <c r="P844" s="31">
        <v>1.5900000000000001E-2</v>
      </c>
      <c r="Q844" s="23" t="s">
        <v>24</v>
      </c>
      <c r="R844" s="23">
        <v>0</v>
      </c>
      <c r="S844" s="23">
        <v>30.73</v>
      </c>
      <c r="U844" s="47">
        <f>VLOOKUP(AU844,[1]expiry_dates!$B$2:$C$2894,2,FALSE)</f>
        <v>44133</v>
      </c>
      <c r="V844" s="23" t="s">
        <v>180</v>
      </c>
      <c r="W844" s="23" t="s">
        <v>23</v>
      </c>
      <c r="X844" s="49">
        <v>44126.40625</v>
      </c>
      <c r="Y844" s="23">
        <v>1.25</v>
      </c>
      <c r="Z844" s="23">
        <v>44126.604166666664</v>
      </c>
      <c r="AA844" s="23">
        <v>1.1000000000000001</v>
      </c>
      <c r="AB844" s="23">
        <v>-0.12</v>
      </c>
      <c r="AC844" s="23">
        <v>7686.47</v>
      </c>
      <c r="AD844" s="23">
        <v>0.12</v>
      </c>
      <c r="AE844" s="23">
        <v>51243.12</v>
      </c>
      <c r="AF844" s="23">
        <v>64053.9</v>
      </c>
      <c r="AG844" s="23">
        <v>2815098.31</v>
      </c>
      <c r="AH844" s="23">
        <v>20</v>
      </c>
      <c r="AI844" s="23">
        <v>384.32</v>
      </c>
      <c r="AJ844" s="23">
        <v>-0.08</v>
      </c>
      <c r="AK844" s="23">
        <v>0.32</v>
      </c>
      <c r="AL844" s="23" t="s">
        <v>24</v>
      </c>
      <c r="AM844" s="23">
        <v>31.5</v>
      </c>
      <c r="AN844" s="23">
        <v>24550.5</v>
      </c>
      <c r="AO844" s="23">
        <v>30.73</v>
      </c>
      <c r="AP844" s="23">
        <v>0</v>
      </c>
      <c r="AR844" s="46"/>
      <c r="AS844" s="44"/>
      <c r="AT844" s="45"/>
      <c r="AU844" s="2">
        <v>44126</v>
      </c>
      <c r="AV844" s="52">
        <v>0.40625</v>
      </c>
      <c r="AW844" s="2" t="s">
        <v>212</v>
      </c>
      <c r="AY844" s="3"/>
      <c r="BA844" s="3"/>
      <c r="BG844" s="3"/>
      <c r="BH844" s="3"/>
    </row>
    <row r="845" spans="1:60">
      <c r="A845" s="23" t="s">
        <v>22</v>
      </c>
      <c r="B845" s="23" t="s">
        <v>23</v>
      </c>
      <c r="C845" s="27">
        <v>44126.604166666664</v>
      </c>
      <c r="D845" s="23">
        <v>31.5</v>
      </c>
      <c r="E845" s="27">
        <v>44127.385416666664</v>
      </c>
      <c r="F845" s="23">
        <v>31.65</v>
      </c>
      <c r="G845" s="31">
        <v>4.7999999999999996E-3</v>
      </c>
      <c r="H845" s="23">
        <v>-240.03</v>
      </c>
      <c r="I845" s="31">
        <v>-4.7999999999999996E-3</v>
      </c>
      <c r="J845" s="23">
        <v>1600.201</v>
      </c>
      <c r="K845" s="23">
        <v>50406.34</v>
      </c>
      <c r="L845" s="23">
        <v>80468.69</v>
      </c>
      <c r="M845" s="23">
        <v>8</v>
      </c>
      <c r="N845" s="23">
        <v>-30</v>
      </c>
      <c r="O845" s="31">
        <v>-1.2699999999999999E-2</v>
      </c>
      <c r="P845" s="31">
        <v>3.2000000000000002E-3</v>
      </c>
      <c r="Q845" s="23" t="s">
        <v>24</v>
      </c>
      <c r="R845" s="23">
        <v>0</v>
      </c>
      <c r="S845" s="23">
        <v>31.99</v>
      </c>
      <c r="U845" s="47">
        <f>VLOOKUP(AU845,[1]expiry_dates!$B$2:$C$2894,2,FALSE)</f>
        <v>44133</v>
      </c>
      <c r="V845" s="23" t="s">
        <v>179</v>
      </c>
      <c r="W845" s="23" t="s">
        <v>23</v>
      </c>
      <c r="X845" s="49">
        <v>44126.604166666664</v>
      </c>
      <c r="Y845" s="23">
        <v>0.75</v>
      </c>
      <c r="Z845" s="23">
        <v>44127.385416666664</v>
      </c>
      <c r="AA845" s="23">
        <v>0.8</v>
      </c>
      <c r="AB845" s="23">
        <v>6.6699999999999995E-2</v>
      </c>
      <c r="AC845" s="23">
        <v>-4275.12</v>
      </c>
      <c r="AD845" s="23">
        <v>-6.6699999999999995E-2</v>
      </c>
      <c r="AE845" s="23">
        <v>85502.31</v>
      </c>
      <c r="AF845" s="23">
        <v>64126.73</v>
      </c>
      <c r="AG845" s="23">
        <v>2810823.2</v>
      </c>
      <c r="AH845" s="23">
        <v>8</v>
      </c>
      <c r="AI845" s="23">
        <v>-534.39</v>
      </c>
      <c r="AJ845" s="23">
        <v>-0.2</v>
      </c>
      <c r="AK845" s="23">
        <v>0.1333</v>
      </c>
      <c r="AL845" s="23" t="s">
        <v>24</v>
      </c>
      <c r="AM845" s="23">
        <v>31.5</v>
      </c>
      <c r="AN845" s="23">
        <v>24309.35</v>
      </c>
      <c r="AO845" s="23">
        <v>31.99</v>
      </c>
      <c r="AP845" s="23">
        <v>0</v>
      </c>
      <c r="AR845" s="46"/>
      <c r="AS845" s="44"/>
      <c r="AT845" s="45"/>
      <c r="AU845" s="2">
        <v>44126</v>
      </c>
      <c r="AV845" s="52">
        <v>0.10416666666666667</v>
      </c>
      <c r="AW845" s="2" t="s">
        <v>213</v>
      </c>
      <c r="AY845" s="3"/>
      <c r="BA845" s="3"/>
      <c r="BG845" s="3"/>
      <c r="BH845" s="3"/>
    </row>
    <row r="846" spans="1:60">
      <c r="A846" s="23" t="s">
        <v>22</v>
      </c>
      <c r="B846" s="23" t="s">
        <v>25</v>
      </c>
      <c r="C846" s="27">
        <v>44127.385416666664</v>
      </c>
      <c r="D846" s="23">
        <v>31.65</v>
      </c>
      <c r="E846" s="27">
        <v>44127.416666666664</v>
      </c>
      <c r="F846" s="23">
        <v>31.5</v>
      </c>
      <c r="G846" s="31">
        <v>-4.7000000000000002E-3</v>
      </c>
      <c r="H846" s="23">
        <v>-238.87</v>
      </c>
      <c r="I846" s="31">
        <v>-4.7000000000000002E-3</v>
      </c>
      <c r="J846" s="23">
        <v>1592.4659999999999</v>
      </c>
      <c r="K846" s="23">
        <v>50401.54</v>
      </c>
      <c r="L846" s="23">
        <v>80229.820000000007</v>
      </c>
      <c r="M846" s="23">
        <v>4</v>
      </c>
      <c r="N846" s="23">
        <v>-59.72</v>
      </c>
      <c r="O846" s="31">
        <v>-4.7000000000000002E-3</v>
      </c>
      <c r="P846" s="31">
        <v>9.4999999999999998E-3</v>
      </c>
      <c r="Q846" s="23" t="s">
        <v>24</v>
      </c>
      <c r="R846" s="23">
        <v>0</v>
      </c>
      <c r="S846" s="23">
        <v>31.42</v>
      </c>
      <c r="U846" s="47">
        <f>VLOOKUP(AU846,[1]expiry_dates!$B$2:$C$2894,2,FALSE)</f>
        <v>44133</v>
      </c>
      <c r="V846" s="23" t="s">
        <v>173</v>
      </c>
      <c r="W846" s="23" t="s">
        <v>23</v>
      </c>
      <c r="X846" s="49">
        <v>44127.385416666664</v>
      </c>
      <c r="Y846" s="23">
        <v>0.05</v>
      </c>
      <c r="Z846" s="23">
        <v>44127.416666666664</v>
      </c>
      <c r="AA846" s="23">
        <v>0.1</v>
      </c>
      <c r="AB846" s="23">
        <v>1</v>
      </c>
      <c r="AC846" s="23">
        <v>-64032.74</v>
      </c>
      <c r="AD846" s="23">
        <v>-1</v>
      </c>
      <c r="AE846" s="23">
        <v>1280655</v>
      </c>
      <c r="AF846" s="23">
        <v>64032.74</v>
      </c>
      <c r="AG846" s="23">
        <v>2746790.46</v>
      </c>
      <c r="AH846" s="23">
        <v>4</v>
      </c>
      <c r="AI846" s="23">
        <v>-16008.18</v>
      </c>
      <c r="AJ846" s="23">
        <v>-1</v>
      </c>
      <c r="AK846" s="23">
        <v>0</v>
      </c>
      <c r="AL846" s="23" t="s">
        <v>24</v>
      </c>
      <c r="AM846" s="23">
        <v>31.65</v>
      </c>
      <c r="AN846" s="23">
        <v>24664.15</v>
      </c>
      <c r="AO846" s="23">
        <v>31.42</v>
      </c>
      <c r="AP846" s="23">
        <v>0</v>
      </c>
      <c r="AR846" s="46"/>
      <c r="AS846" s="44"/>
      <c r="AT846" s="45"/>
      <c r="AU846" s="2">
        <v>44127</v>
      </c>
      <c r="AV846" s="52">
        <v>0.38541666666666669</v>
      </c>
      <c r="AW846" s="2" t="s">
        <v>212</v>
      </c>
      <c r="AY846" s="3"/>
      <c r="BA846" s="3"/>
      <c r="BG846" s="3"/>
      <c r="BH846" s="3"/>
    </row>
    <row r="847" spans="1:60">
      <c r="A847" s="23" t="s">
        <v>22</v>
      </c>
      <c r="B847" s="23" t="s">
        <v>23</v>
      </c>
      <c r="C847" s="27">
        <v>44127.416666666664</v>
      </c>
      <c r="D847" s="23">
        <v>31.5</v>
      </c>
      <c r="E847" s="27">
        <v>44127.541666666664</v>
      </c>
      <c r="F847" s="23">
        <v>31.6</v>
      </c>
      <c r="G847" s="31">
        <v>3.2000000000000002E-3</v>
      </c>
      <c r="H847" s="23">
        <v>-160.01</v>
      </c>
      <c r="I847" s="31">
        <v>-3.2000000000000002E-3</v>
      </c>
      <c r="J847" s="23">
        <v>1600.0619999999999</v>
      </c>
      <c r="K847" s="23">
        <v>50401.95</v>
      </c>
      <c r="L847" s="23">
        <v>80069.820000000007</v>
      </c>
      <c r="M847" s="23">
        <v>13</v>
      </c>
      <c r="N847" s="23">
        <v>-12.31</v>
      </c>
      <c r="O847" s="31">
        <v>-4.7999999999999996E-3</v>
      </c>
      <c r="P847" s="31">
        <v>6.3E-3</v>
      </c>
      <c r="Q847" s="23" t="s">
        <v>24</v>
      </c>
      <c r="R847" s="23">
        <v>0</v>
      </c>
      <c r="S847" s="23">
        <v>31.95</v>
      </c>
      <c r="U847" s="47">
        <f>VLOOKUP(AU847,[1]expiry_dates!$B$2:$C$2894,2,FALSE)</f>
        <v>44133</v>
      </c>
      <c r="V847" s="23" t="s">
        <v>179</v>
      </c>
      <c r="W847" s="23" t="s">
        <v>23</v>
      </c>
      <c r="X847" s="49">
        <v>44127.416666666664</v>
      </c>
      <c r="Y847" s="23">
        <v>0.7</v>
      </c>
      <c r="Z847" s="23">
        <v>44127.541666666664</v>
      </c>
      <c r="AA847" s="23">
        <v>0.65</v>
      </c>
      <c r="AB847" s="23">
        <v>-7.1400000000000005E-2</v>
      </c>
      <c r="AC847" s="23">
        <v>4552.43</v>
      </c>
      <c r="AD847" s="23">
        <v>7.1400000000000005E-2</v>
      </c>
      <c r="AE847" s="23">
        <v>91048.51</v>
      </c>
      <c r="AF847" s="23">
        <v>63733.95</v>
      </c>
      <c r="AG847" s="23">
        <v>2751342.89</v>
      </c>
      <c r="AH847" s="23">
        <v>13</v>
      </c>
      <c r="AI847" s="23">
        <v>350.19</v>
      </c>
      <c r="AJ847" s="23">
        <v>0</v>
      </c>
      <c r="AK847" s="23">
        <v>0.1429</v>
      </c>
      <c r="AL847" s="23" t="s">
        <v>24</v>
      </c>
      <c r="AM847" s="23">
        <v>31.5</v>
      </c>
      <c r="AN847" s="23">
        <v>24559.7</v>
      </c>
      <c r="AO847" s="23">
        <v>31.95</v>
      </c>
      <c r="AP847" s="23">
        <v>0</v>
      </c>
      <c r="AR847" s="46"/>
      <c r="AS847" s="44"/>
      <c r="AT847" s="45"/>
      <c r="AU847" s="2">
        <v>44127</v>
      </c>
      <c r="AV847" s="52">
        <v>0.41666666666666669</v>
      </c>
      <c r="AW847" s="2" t="s">
        <v>212</v>
      </c>
      <c r="AY847" s="3"/>
      <c r="BA847" s="3"/>
      <c r="BG847" s="3"/>
      <c r="BH847" s="3"/>
    </row>
    <row r="848" spans="1:60">
      <c r="A848" s="23" t="s">
        <v>22</v>
      </c>
      <c r="B848" s="23" t="s">
        <v>25</v>
      </c>
      <c r="C848" s="27">
        <v>44127.541666666664</v>
      </c>
      <c r="D848" s="23">
        <v>31.6</v>
      </c>
      <c r="E848" s="27">
        <v>44127.614583333336</v>
      </c>
      <c r="F848" s="23">
        <v>31.5</v>
      </c>
      <c r="G848" s="31">
        <v>-3.2000000000000002E-3</v>
      </c>
      <c r="H848" s="23">
        <v>-159.5</v>
      </c>
      <c r="I848" s="31">
        <v>-3.2000000000000002E-3</v>
      </c>
      <c r="J848" s="23">
        <v>1594.973</v>
      </c>
      <c r="K848" s="23">
        <v>50401.15</v>
      </c>
      <c r="L848" s="23">
        <v>79910.320000000007</v>
      </c>
      <c r="M848" s="23">
        <v>8</v>
      </c>
      <c r="N848" s="23">
        <v>-19.940000000000001</v>
      </c>
      <c r="O848" s="31">
        <v>-3.2000000000000002E-3</v>
      </c>
      <c r="P848" s="31">
        <v>6.3E-3</v>
      </c>
      <c r="Q848" s="23" t="s">
        <v>24</v>
      </c>
      <c r="R848" s="23">
        <v>0</v>
      </c>
      <c r="S848" s="23">
        <v>31.31</v>
      </c>
      <c r="U848" s="47">
        <f>VLOOKUP(AU848,[1]expiry_dates!$B$2:$C$2894,2,FALSE)</f>
        <v>44133</v>
      </c>
      <c r="V848" s="23" t="s">
        <v>153</v>
      </c>
      <c r="W848" s="23" t="s">
        <v>23</v>
      </c>
      <c r="X848" s="49">
        <v>44127.541666666664</v>
      </c>
      <c r="Y848" s="23">
        <v>0.05</v>
      </c>
      <c r="Z848" s="23">
        <v>44127.614583333336</v>
      </c>
      <c r="AA848" s="23">
        <v>0.05</v>
      </c>
      <c r="AB848" s="23">
        <v>0</v>
      </c>
      <c r="AC848" s="23">
        <v>0</v>
      </c>
      <c r="AD848" s="23">
        <v>0</v>
      </c>
      <c r="AE848" s="23">
        <v>1275134</v>
      </c>
      <c r="AF848" s="23">
        <v>63756.71</v>
      </c>
      <c r="AG848" s="23">
        <v>2751342.89</v>
      </c>
      <c r="AH848" s="23">
        <v>8</v>
      </c>
      <c r="AI848" s="23">
        <v>0</v>
      </c>
      <c r="AJ848" s="23">
        <v>0</v>
      </c>
      <c r="AK848" s="23">
        <v>0</v>
      </c>
      <c r="AL848" s="23" t="s">
        <v>24</v>
      </c>
      <c r="AM848" s="23">
        <v>31.6</v>
      </c>
      <c r="AN848" s="23">
        <v>24521.75</v>
      </c>
      <c r="AO848" s="23">
        <v>31.31</v>
      </c>
      <c r="AP848" s="23">
        <v>0</v>
      </c>
      <c r="AR848" s="46"/>
      <c r="AS848" s="44"/>
      <c r="AT848" s="45"/>
      <c r="AU848" s="2">
        <v>44127</v>
      </c>
      <c r="AV848" s="52">
        <v>4.1666666666666664E-2</v>
      </c>
      <c r="AW848" s="2" t="s">
        <v>213</v>
      </c>
      <c r="AY848" s="3"/>
      <c r="BA848" s="3"/>
      <c r="BG848" s="3"/>
      <c r="BH848" s="3"/>
    </row>
    <row r="849" spans="1:60">
      <c r="A849" s="23" t="s">
        <v>22</v>
      </c>
      <c r="B849" s="23" t="s">
        <v>23</v>
      </c>
      <c r="C849" s="27">
        <v>44127.614583333336</v>
      </c>
      <c r="D849" s="23">
        <v>31.5</v>
      </c>
      <c r="E849" s="27">
        <v>44131.4375</v>
      </c>
      <c r="F849" s="23">
        <v>30.5</v>
      </c>
      <c r="G849" s="31">
        <v>-3.1699999999999999E-2</v>
      </c>
      <c r="H849" s="23">
        <v>1600.05</v>
      </c>
      <c r="I849" s="31">
        <v>3.1699999999999999E-2</v>
      </c>
      <c r="J849" s="23">
        <v>1600.049</v>
      </c>
      <c r="K849" s="23">
        <v>50401.55</v>
      </c>
      <c r="L849" s="23">
        <v>81510.37</v>
      </c>
      <c r="M849" s="23">
        <v>40</v>
      </c>
      <c r="N849" s="23">
        <v>40</v>
      </c>
      <c r="O849" s="31">
        <v>-9.4999999999999998E-3</v>
      </c>
      <c r="P849" s="31">
        <v>5.3999999999999999E-2</v>
      </c>
      <c r="Q849" s="23" t="s">
        <v>24</v>
      </c>
      <c r="R849" s="23">
        <v>0</v>
      </c>
      <c r="S849" s="23">
        <v>31.8</v>
      </c>
      <c r="U849" s="47">
        <f>VLOOKUP(AU849,[1]expiry_dates!$B$2:$C$2894,2,FALSE)</f>
        <v>44133</v>
      </c>
      <c r="V849" s="23" t="s">
        <v>179</v>
      </c>
      <c r="W849" s="23" t="s">
        <v>23</v>
      </c>
      <c r="X849" s="49">
        <v>44127.614583333336</v>
      </c>
      <c r="Y849" s="23">
        <v>0.55000000000000004</v>
      </c>
      <c r="Z849" s="23">
        <v>44131.4375</v>
      </c>
      <c r="AA849" s="23">
        <v>0.1</v>
      </c>
      <c r="AB849" s="23">
        <v>-0.81820000000000004</v>
      </c>
      <c r="AC849" s="23">
        <v>52164.58</v>
      </c>
      <c r="AD849" s="23">
        <v>0.81820000000000004</v>
      </c>
      <c r="AE849" s="23">
        <v>115921.3</v>
      </c>
      <c r="AF849" s="23">
        <v>63756.71</v>
      </c>
      <c r="AG849" s="23">
        <v>2803507.47</v>
      </c>
      <c r="AH849" s="23">
        <v>40</v>
      </c>
      <c r="AI849" s="23">
        <v>1304.1099999999999</v>
      </c>
      <c r="AJ849" s="23">
        <v>-0.2727</v>
      </c>
      <c r="AK849" s="23">
        <v>0.81820000000000004</v>
      </c>
      <c r="AL849" s="23" t="s">
        <v>24</v>
      </c>
      <c r="AM849" s="23">
        <v>31.5</v>
      </c>
      <c r="AN849" s="23">
        <v>24498.55</v>
      </c>
      <c r="AO849" s="23">
        <v>31.8</v>
      </c>
      <c r="AP849" s="23">
        <v>0</v>
      </c>
      <c r="AR849" s="46"/>
      <c r="AS849" s="44"/>
      <c r="AT849" s="45"/>
      <c r="AU849" s="2">
        <v>44127</v>
      </c>
      <c r="AV849" s="52">
        <v>0.11458333333333333</v>
      </c>
      <c r="AW849" s="2" t="s">
        <v>213</v>
      </c>
      <c r="AY849" s="3"/>
      <c r="BA849" s="3"/>
      <c r="BG849" s="3"/>
      <c r="BH849" s="3"/>
    </row>
    <row r="850" spans="1:60">
      <c r="A850" s="23" t="s">
        <v>22</v>
      </c>
      <c r="B850" s="23" t="s">
        <v>25</v>
      </c>
      <c r="C850" s="27">
        <v>44131.4375</v>
      </c>
      <c r="D850" s="23">
        <v>30.5</v>
      </c>
      <c r="E850" s="27">
        <v>44132.479166666664</v>
      </c>
      <c r="F850" s="23">
        <v>31.05</v>
      </c>
      <c r="G850" s="31">
        <v>1.7999999999999999E-2</v>
      </c>
      <c r="H850" s="23">
        <v>909</v>
      </c>
      <c r="I850" s="31">
        <v>1.7999999999999999E-2</v>
      </c>
      <c r="J850" s="23">
        <v>1652.72</v>
      </c>
      <c r="K850" s="23">
        <v>50407.95</v>
      </c>
      <c r="L850" s="23">
        <v>82419.360000000001</v>
      </c>
      <c r="M850" s="23">
        <v>33</v>
      </c>
      <c r="N850" s="23">
        <v>27.55</v>
      </c>
      <c r="O850" s="31">
        <v>-4.8999999999999998E-3</v>
      </c>
      <c r="P850" s="31">
        <v>3.9300000000000002E-2</v>
      </c>
      <c r="Q850" s="23" t="s">
        <v>24</v>
      </c>
      <c r="R850" s="23">
        <v>0</v>
      </c>
      <c r="S850" s="23">
        <v>29.83</v>
      </c>
      <c r="U850" s="47">
        <f>VLOOKUP(AU850,[1]expiry_dates!$B$2:$C$2894,2,FALSE)</f>
        <v>44133</v>
      </c>
      <c r="V850" s="23" t="s">
        <v>138</v>
      </c>
      <c r="W850" s="23" t="s">
        <v>23</v>
      </c>
      <c r="X850" s="49">
        <v>44131.4375</v>
      </c>
      <c r="Y850" s="23">
        <v>0.25</v>
      </c>
      <c r="Z850" s="23">
        <v>44132.479166666664</v>
      </c>
      <c r="AA850" s="23">
        <v>0.1</v>
      </c>
      <c r="AB850" s="23">
        <v>-0.6</v>
      </c>
      <c r="AC850" s="23">
        <v>38410.519999999997</v>
      </c>
      <c r="AD850" s="23">
        <v>0.6</v>
      </c>
      <c r="AE850" s="23">
        <v>256070.2</v>
      </c>
      <c r="AF850" s="23">
        <v>64017.54</v>
      </c>
      <c r="AG850" s="23">
        <v>2841917.99</v>
      </c>
      <c r="AH850" s="23">
        <v>33</v>
      </c>
      <c r="AI850" s="23">
        <v>1163.96</v>
      </c>
      <c r="AJ850" s="23">
        <v>-0.2</v>
      </c>
      <c r="AK850" s="23">
        <v>0.8</v>
      </c>
      <c r="AL850" s="23" t="s">
        <v>24</v>
      </c>
      <c r="AM850" s="23">
        <v>30.5</v>
      </c>
      <c r="AN850" s="23">
        <v>24329.45</v>
      </c>
      <c r="AO850" s="23">
        <v>29.83</v>
      </c>
      <c r="AP850" s="23">
        <v>0</v>
      </c>
      <c r="AR850" s="46"/>
      <c r="AS850" s="44"/>
      <c r="AT850" s="45"/>
      <c r="AU850" s="2">
        <v>44131</v>
      </c>
      <c r="AV850" s="52">
        <v>0.4375</v>
      </c>
      <c r="AW850" s="2" t="s">
        <v>212</v>
      </c>
      <c r="AY850" s="3"/>
      <c r="BA850" s="3"/>
      <c r="BG850" s="3"/>
      <c r="BH850" s="3"/>
    </row>
    <row r="851" spans="1:60">
      <c r="A851" s="23" t="s">
        <v>22</v>
      </c>
      <c r="B851" s="23" t="s">
        <v>23</v>
      </c>
      <c r="C851" s="27">
        <v>44132.479166666664</v>
      </c>
      <c r="D851" s="23">
        <v>31.05</v>
      </c>
      <c r="E851" s="27">
        <v>44133.5</v>
      </c>
      <c r="F851" s="23">
        <v>30.5</v>
      </c>
      <c r="G851" s="31">
        <v>-1.77E-2</v>
      </c>
      <c r="H851" s="23">
        <v>892.98</v>
      </c>
      <c r="I851" s="31">
        <v>1.77E-2</v>
      </c>
      <c r="J851" s="23">
        <v>1623.605</v>
      </c>
      <c r="K851" s="23">
        <v>50412.92</v>
      </c>
      <c r="L851" s="23">
        <v>83312.350000000006</v>
      </c>
      <c r="M851" s="23">
        <v>31</v>
      </c>
      <c r="N851" s="23">
        <v>28.81</v>
      </c>
      <c r="O851" s="31">
        <v>-4.7999999999999996E-3</v>
      </c>
      <c r="P851" s="31">
        <v>3.0599999999999999E-2</v>
      </c>
      <c r="Q851" s="23" t="s">
        <v>24</v>
      </c>
      <c r="R851" s="23">
        <v>0</v>
      </c>
      <c r="S851" s="23">
        <v>31.7</v>
      </c>
      <c r="U851" s="47">
        <f>VLOOKUP(AU851,[1]expiry_dates!$B$2:$C$2894,2,FALSE)</f>
        <v>44133</v>
      </c>
      <c r="V851" s="23" t="s">
        <v>176</v>
      </c>
      <c r="W851" s="23" t="s">
        <v>23</v>
      </c>
      <c r="X851" s="49">
        <v>44132.479166666664</v>
      </c>
      <c r="Y851" s="23">
        <v>0.45</v>
      </c>
      <c r="Z851" s="23">
        <v>44133.5</v>
      </c>
      <c r="AA851" s="23">
        <v>0.05</v>
      </c>
      <c r="AB851" s="23">
        <v>-0.88890000000000002</v>
      </c>
      <c r="AC851" s="23">
        <v>57075.19</v>
      </c>
      <c r="AD851" s="23">
        <v>0.88890000000000002</v>
      </c>
      <c r="AE851" s="23">
        <v>142688</v>
      </c>
      <c r="AF851" s="23">
        <v>64209.59</v>
      </c>
      <c r="AG851" s="23">
        <v>2898993.19</v>
      </c>
      <c r="AH851" s="23">
        <v>31</v>
      </c>
      <c r="AI851" s="23">
        <v>1841.14</v>
      </c>
      <c r="AJ851" s="23">
        <v>-0.22220000000000001</v>
      </c>
      <c r="AK851" s="23">
        <v>0.88890000000000002</v>
      </c>
      <c r="AL851" s="23" t="s">
        <v>24</v>
      </c>
      <c r="AM851" s="23">
        <v>31.05</v>
      </c>
      <c r="AN851" s="23">
        <v>24507.1</v>
      </c>
      <c r="AO851" s="23">
        <v>31.7</v>
      </c>
      <c r="AP851" s="23">
        <v>0</v>
      </c>
      <c r="AR851" s="46"/>
      <c r="AS851" s="44"/>
      <c r="AT851" s="45"/>
      <c r="AU851" s="2">
        <v>44132</v>
      </c>
      <c r="AV851" s="52">
        <v>0.47916666666666669</v>
      </c>
      <c r="AW851" s="2" t="s">
        <v>212</v>
      </c>
      <c r="AY851" s="3"/>
      <c r="BA851" s="3"/>
      <c r="BG851" s="3"/>
      <c r="BH851" s="3"/>
    </row>
    <row r="852" spans="1:60">
      <c r="A852" s="23" t="s">
        <v>22</v>
      </c>
      <c r="B852" s="23" t="s">
        <v>25</v>
      </c>
      <c r="C852" s="27">
        <v>44133.5</v>
      </c>
      <c r="D852" s="23">
        <v>30.5</v>
      </c>
      <c r="E852" s="27">
        <v>44133.541666666664</v>
      </c>
      <c r="F852" s="23">
        <v>30.05</v>
      </c>
      <c r="G852" s="31">
        <v>-1.4800000000000001E-2</v>
      </c>
      <c r="H852" s="23">
        <v>-743.86</v>
      </c>
      <c r="I852" s="31">
        <v>-1.4800000000000001E-2</v>
      </c>
      <c r="J852" s="23">
        <v>1653.0150000000001</v>
      </c>
      <c r="K852" s="23">
        <v>50416.97</v>
      </c>
      <c r="L852" s="23">
        <v>82568.490000000005</v>
      </c>
      <c r="M852" s="23">
        <v>5</v>
      </c>
      <c r="N852" s="23">
        <v>-148.77000000000001</v>
      </c>
      <c r="O852" s="31">
        <v>-1.4800000000000001E-2</v>
      </c>
      <c r="P852" s="31">
        <v>3.3E-3</v>
      </c>
      <c r="Q852" s="23" t="s">
        <v>24</v>
      </c>
      <c r="R852" s="23">
        <v>0</v>
      </c>
      <c r="S852" s="23">
        <v>30.1</v>
      </c>
      <c r="U852" s="47">
        <f>VLOOKUP(AU852,[1]expiry_dates!$B$2:$C$2894,2,FALSE)</f>
        <v>44133</v>
      </c>
      <c r="V852" s="23" t="s">
        <v>138</v>
      </c>
      <c r="W852" s="23" t="s">
        <v>23</v>
      </c>
      <c r="X852" s="49">
        <v>44133.5</v>
      </c>
      <c r="Y852" s="23">
        <v>0.1</v>
      </c>
      <c r="Z852" s="23">
        <v>44133.541666666664</v>
      </c>
      <c r="AA852" s="23">
        <v>0.2</v>
      </c>
      <c r="AB852" s="23">
        <v>1</v>
      </c>
      <c r="AC852" s="23">
        <v>-64459.29</v>
      </c>
      <c r="AD852" s="23">
        <v>-1</v>
      </c>
      <c r="AE852" s="23">
        <v>644592.9</v>
      </c>
      <c r="AF852" s="23">
        <v>64459.29</v>
      </c>
      <c r="AG852" s="23">
        <v>2834533.89</v>
      </c>
      <c r="AH852" s="23">
        <v>5</v>
      </c>
      <c r="AI852" s="23">
        <v>-12891.86</v>
      </c>
      <c r="AJ852" s="23">
        <v>-1</v>
      </c>
      <c r="AK852" s="23">
        <v>0</v>
      </c>
      <c r="AL852" s="23" t="s">
        <v>24</v>
      </c>
      <c r="AM852" s="23">
        <v>30.5</v>
      </c>
      <c r="AN852" s="23">
        <v>24262.2</v>
      </c>
      <c r="AO852" s="23">
        <v>30.1</v>
      </c>
      <c r="AP852" s="23">
        <v>0</v>
      </c>
      <c r="AR852" s="46"/>
      <c r="AS852" s="44"/>
      <c r="AT852" s="45"/>
      <c r="AU852" s="2">
        <v>44133</v>
      </c>
      <c r="AV852" s="52">
        <v>0.5</v>
      </c>
      <c r="AW852" s="2" t="s">
        <v>213</v>
      </c>
      <c r="AY852" s="3"/>
      <c r="BA852" s="3"/>
      <c r="BG852" s="3"/>
      <c r="BH852" s="3"/>
    </row>
    <row r="853" spans="1:60">
      <c r="A853" s="23" t="s">
        <v>22</v>
      </c>
      <c r="B853" s="23" t="s">
        <v>23</v>
      </c>
      <c r="C853" s="27">
        <v>44133.541666666664</v>
      </c>
      <c r="D853" s="23">
        <v>30.05</v>
      </c>
      <c r="E853" s="27">
        <v>44133.625</v>
      </c>
      <c r="F853" s="23">
        <v>30.6</v>
      </c>
      <c r="G853" s="31">
        <v>1.83E-2</v>
      </c>
      <c r="H853" s="23">
        <v>-922.73</v>
      </c>
      <c r="I853" s="31">
        <v>-1.83E-2</v>
      </c>
      <c r="J853" s="23">
        <v>1677.6869999999999</v>
      </c>
      <c r="K853" s="23">
        <v>50414.5</v>
      </c>
      <c r="L853" s="23">
        <v>81645.759999999995</v>
      </c>
      <c r="M853" s="23">
        <v>9</v>
      </c>
      <c r="N853" s="23">
        <v>-102.53</v>
      </c>
      <c r="O853" s="31">
        <v>-1.83E-2</v>
      </c>
      <c r="P853" s="31">
        <v>1.6999999999999999E-3</v>
      </c>
      <c r="Q853" s="23" t="s">
        <v>24</v>
      </c>
      <c r="R853" s="23">
        <v>0</v>
      </c>
      <c r="S853" s="23">
        <v>30.58</v>
      </c>
      <c r="U853" s="47">
        <f>VLOOKUP(AU853,[1]expiry_dates!$B$2:$C$2894,2,FALSE)</f>
        <v>44133</v>
      </c>
      <c r="V853" s="23" t="s">
        <v>179</v>
      </c>
      <c r="W853" s="23" t="s">
        <v>23</v>
      </c>
      <c r="X853" s="49">
        <v>44133.541666666664</v>
      </c>
      <c r="Y853" s="23">
        <v>0.05</v>
      </c>
      <c r="Z853" s="23">
        <v>44133.625</v>
      </c>
      <c r="AA853" s="23">
        <v>0.05</v>
      </c>
      <c r="AB853" s="23">
        <v>0</v>
      </c>
      <c r="AC853" s="23">
        <v>0</v>
      </c>
      <c r="AD853" s="23">
        <v>0</v>
      </c>
      <c r="AE853" s="23">
        <v>1286676</v>
      </c>
      <c r="AF853" s="23">
        <v>64333.82</v>
      </c>
      <c r="AG853" s="23">
        <v>2834533.89</v>
      </c>
      <c r="AH853" s="23">
        <v>9</v>
      </c>
      <c r="AI853" s="23">
        <v>0</v>
      </c>
      <c r="AJ853" s="23">
        <v>0</v>
      </c>
      <c r="AK853" s="23">
        <v>0</v>
      </c>
      <c r="AL853" s="23" t="s">
        <v>24</v>
      </c>
      <c r="AM853" s="23">
        <v>30.05</v>
      </c>
      <c r="AN853" s="23">
        <v>23907.8</v>
      </c>
      <c r="AO853" s="23">
        <v>30.58</v>
      </c>
      <c r="AP853" s="23">
        <v>0</v>
      </c>
      <c r="AR853" s="46"/>
      <c r="AS853" s="44"/>
      <c r="AT853" s="45"/>
      <c r="AU853" s="2">
        <v>44133</v>
      </c>
      <c r="AV853" s="52">
        <v>4.1666666666666664E-2</v>
      </c>
      <c r="AW853" s="2" t="s">
        <v>213</v>
      </c>
      <c r="AY853" s="3"/>
      <c r="BA853" s="3"/>
      <c r="BG853" s="3"/>
      <c r="BH853" s="3"/>
    </row>
    <row r="854" spans="1:60">
      <c r="A854" s="23" t="s">
        <v>22</v>
      </c>
      <c r="B854" s="23" t="s">
        <v>25</v>
      </c>
      <c r="C854" s="27">
        <v>44133.625</v>
      </c>
      <c r="D854" s="23">
        <v>30.6</v>
      </c>
      <c r="E854" s="27">
        <v>44133.697916666664</v>
      </c>
      <c r="F854" s="23">
        <v>30.55</v>
      </c>
      <c r="G854" s="31">
        <v>-1.6000000000000001E-3</v>
      </c>
      <c r="H854" s="23">
        <v>-82.37</v>
      </c>
      <c r="I854" s="31">
        <v>-1.6000000000000001E-3</v>
      </c>
      <c r="J854" s="23">
        <v>1647.41</v>
      </c>
      <c r="K854" s="23">
        <v>50410.74</v>
      </c>
      <c r="L854" s="23">
        <v>81563.39</v>
      </c>
      <c r="M854" s="23">
        <v>4</v>
      </c>
      <c r="N854" s="23">
        <v>-20.59</v>
      </c>
      <c r="O854" s="31">
        <v>-9.7999999999999997E-3</v>
      </c>
      <c r="P854" s="31">
        <v>4.8999999999999998E-3</v>
      </c>
      <c r="Q854" s="23" t="s">
        <v>24</v>
      </c>
      <c r="R854" s="23">
        <v>0</v>
      </c>
      <c r="S854" s="23">
        <v>30.02</v>
      </c>
      <c r="U854" s="47">
        <f>VLOOKUP(AU854,[1]expiry_dates!$B$2:$C$2894,2,FALSE)</f>
        <v>44133</v>
      </c>
      <c r="V854" s="23" t="s">
        <v>178</v>
      </c>
      <c r="W854" s="23" t="s">
        <v>23</v>
      </c>
      <c r="X854" s="49">
        <v>44133.625</v>
      </c>
      <c r="Y854" s="23">
        <v>0.05</v>
      </c>
      <c r="Z854" s="23">
        <v>44133.697916666664</v>
      </c>
      <c r="AA854" s="23">
        <v>0.05</v>
      </c>
      <c r="AB854" s="23">
        <v>0</v>
      </c>
      <c r="AC854" s="23">
        <v>0</v>
      </c>
      <c r="AD854" s="23">
        <v>0</v>
      </c>
      <c r="AE854" s="23">
        <v>1283453</v>
      </c>
      <c r="AF854" s="23">
        <v>64172.67</v>
      </c>
      <c r="AG854" s="23">
        <v>2834533.89</v>
      </c>
      <c r="AH854" s="23">
        <v>4</v>
      </c>
      <c r="AI854" s="23">
        <v>0</v>
      </c>
      <c r="AJ854" s="23">
        <v>0</v>
      </c>
      <c r="AK854" s="23">
        <v>0</v>
      </c>
      <c r="AL854" s="23" t="s">
        <v>24</v>
      </c>
      <c r="AM854" s="23">
        <v>30.6</v>
      </c>
      <c r="AN854" s="23">
        <v>24121.1</v>
      </c>
      <c r="AO854" s="23">
        <v>30.02</v>
      </c>
      <c r="AP854" s="23">
        <v>0</v>
      </c>
      <c r="AR854" s="46"/>
      <c r="AS854" s="44"/>
      <c r="AT854" s="45"/>
      <c r="AU854" s="2">
        <v>44133</v>
      </c>
      <c r="AV854" s="52">
        <v>0.125</v>
      </c>
      <c r="AW854" s="2" t="s">
        <v>213</v>
      </c>
      <c r="AY854" s="3"/>
      <c r="BA854" s="3"/>
      <c r="BG854" s="3"/>
      <c r="BH854" s="3"/>
    </row>
    <row r="855" spans="1:60">
      <c r="A855" s="23" t="s">
        <v>22</v>
      </c>
      <c r="B855" s="23" t="s">
        <v>25</v>
      </c>
      <c r="C855" s="27">
        <v>44134.385416666664</v>
      </c>
      <c r="D855" s="23">
        <v>30.9</v>
      </c>
      <c r="E855" s="27">
        <v>44134.479166666664</v>
      </c>
      <c r="F855" s="23">
        <v>30.45</v>
      </c>
      <c r="G855" s="31">
        <v>-1.46E-2</v>
      </c>
      <c r="H855" s="23">
        <v>-734.09</v>
      </c>
      <c r="I855" s="31">
        <v>-1.46E-2</v>
      </c>
      <c r="J855" s="23">
        <v>1631.3209999999999</v>
      </c>
      <c r="K855" s="23">
        <v>50407.82</v>
      </c>
      <c r="L855" s="23">
        <v>80829.3</v>
      </c>
      <c r="M855" s="23">
        <v>10</v>
      </c>
      <c r="N855" s="23">
        <v>-73.41</v>
      </c>
      <c r="O855" s="31">
        <v>-1.46E-2</v>
      </c>
      <c r="P855" s="31">
        <v>1.29E-2</v>
      </c>
      <c r="Q855" s="23" t="s">
        <v>24</v>
      </c>
      <c r="R855" s="23">
        <v>0</v>
      </c>
      <c r="S855" s="23">
        <v>30.16</v>
      </c>
      <c r="U855" s="47">
        <f>VLOOKUP(AU855,[1]expiry_dates!$B$2:$C$2894,2,FALSE)</f>
        <v>44161</v>
      </c>
      <c r="V855" s="23" t="s">
        <v>153</v>
      </c>
      <c r="W855" s="23" t="s">
        <v>23</v>
      </c>
      <c r="X855" s="49">
        <v>44134.385416666664</v>
      </c>
      <c r="Y855" s="23">
        <v>0.5</v>
      </c>
      <c r="Z855" s="23">
        <v>44134.479166666664</v>
      </c>
      <c r="AA855" s="23">
        <v>0.5</v>
      </c>
      <c r="AB855" s="23">
        <v>0</v>
      </c>
      <c r="AC855" s="23">
        <v>0</v>
      </c>
      <c r="AD855" s="23">
        <v>0</v>
      </c>
      <c r="AE855" s="23">
        <v>128345.3</v>
      </c>
      <c r="AF855" s="23">
        <v>64172.67</v>
      </c>
      <c r="AG855" s="23">
        <v>2834533.89</v>
      </c>
      <c r="AH855" s="23">
        <v>10</v>
      </c>
      <c r="AI855" s="23">
        <v>0</v>
      </c>
      <c r="AJ855" s="23">
        <v>-0.3</v>
      </c>
      <c r="AK855" s="23">
        <v>0.2</v>
      </c>
      <c r="AL855" s="23" t="s">
        <v>24</v>
      </c>
      <c r="AM855" s="23">
        <v>30.9</v>
      </c>
      <c r="AN855" s="23">
        <v>24142.9</v>
      </c>
      <c r="AO855" s="23">
        <v>30.16</v>
      </c>
      <c r="AP855" s="23">
        <v>0</v>
      </c>
      <c r="AR855" s="46"/>
      <c r="AS855" s="44"/>
      <c r="AT855" s="45"/>
      <c r="AU855" s="2">
        <v>44134</v>
      </c>
      <c r="AV855" s="52">
        <v>0.38541666666666669</v>
      </c>
      <c r="AW855" s="2" t="s">
        <v>212</v>
      </c>
      <c r="AY855" s="3"/>
      <c r="BA855" s="3"/>
      <c r="BG855" s="3"/>
      <c r="BH855" s="3"/>
    </row>
    <row r="856" spans="1:60">
      <c r="A856" s="23" t="s">
        <v>22</v>
      </c>
      <c r="B856" s="23" t="s">
        <v>23</v>
      </c>
      <c r="C856" s="27">
        <v>44134.479166666664</v>
      </c>
      <c r="D856" s="23">
        <v>30.45</v>
      </c>
      <c r="E856" s="27">
        <v>44134.635416666664</v>
      </c>
      <c r="F856" s="23">
        <v>30.8</v>
      </c>
      <c r="G856" s="31">
        <v>1.15E-2</v>
      </c>
      <c r="H856" s="23">
        <v>-579.38</v>
      </c>
      <c r="I856" s="31">
        <v>-1.15E-2</v>
      </c>
      <c r="J856" s="23">
        <v>1655.3620000000001</v>
      </c>
      <c r="K856" s="23">
        <v>50405.78</v>
      </c>
      <c r="L856" s="23">
        <v>80249.919999999998</v>
      </c>
      <c r="M856" s="23">
        <v>16</v>
      </c>
      <c r="N856" s="23">
        <v>-36.21</v>
      </c>
      <c r="O856" s="31">
        <v>-1.15E-2</v>
      </c>
      <c r="P856" s="31">
        <v>6.6E-3</v>
      </c>
      <c r="Q856" s="23" t="s">
        <v>24</v>
      </c>
      <c r="R856" s="23">
        <v>0</v>
      </c>
      <c r="S856" s="23">
        <v>31.27</v>
      </c>
      <c r="U856" s="47">
        <f>VLOOKUP(AU856,[1]expiry_dates!$B$2:$C$2894,2,FALSE)</f>
        <v>44161</v>
      </c>
      <c r="V856" s="23" t="s">
        <v>182</v>
      </c>
      <c r="W856" s="23" t="s">
        <v>23</v>
      </c>
      <c r="X856" s="49">
        <v>44134.479166666664</v>
      </c>
      <c r="Y856" s="23">
        <v>1.9</v>
      </c>
      <c r="Z856" s="23">
        <v>44134.635416666664</v>
      </c>
      <c r="AA856" s="23">
        <v>2.1</v>
      </c>
      <c r="AB856" s="23">
        <v>0.1053</v>
      </c>
      <c r="AC856" s="23">
        <v>-6758.4</v>
      </c>
      <c r="AD856" s="23">
        <v>-0.1053</v>
      </c>
      <c r="AE856" s="23">
        <v>33791.980000000003</v>
      </c>
      <c r="AF856" s="23">
        <v>64204.75</v>
      </c>
      <c r="AG856" s="23">
        <v>2827775.5</v>
      </c>
      <c r="AH856" s="23">
        <v>16</v>
      </c>
      <c r="AI856" s="23">
        <v>-422.4</v>
      </c>
      <c r="AJ856" s="23">
        <v>-0.1053</v>
      </c>
      <c r="AK856" s="23">
        <v>5.2600000000000001E-2</v>
      </c>
      <c r="AL856" s="23" t="s">
        <v>24</v>
      </c>
      <c r="AM856" s="23">
        <v>30.45</v>
      </c>
      <c r="AN856" s="23">
        <v>23771.4</v>
      </c>
      <c r="AO856" s="23">
        <v>31.27</v>
      </c>
      <c r="AP856" s="23">
        <v>0</v>
      </c>
      <c r="AR856" s="46"/>
      <c r="AS856" s="44"/>
      <c r="AT856" s="45"/>
      <c r="AU856" s="2">
        <v>44134</v>
      </c>
      <c r="AV856" s="52">
        <v>0.47916666666666669</v>
      </c>
      <c r="AW856" s="2" t="s">
        <v>212</v>
      </c>
      <c r="AY856" s="3"/>
      <c r="BA856" s="3"/>
      <c r="BG856" s="3"/>
      <c r="BH856" s="3"/>
    </row>
    <row r="857" spans="1:60">
      <c r="A857" s="23" t="s">
        <v>22</v>
      </c>
      <c r="B857" s="23" t="s">
        <v>25</v>
      </c>
      <c r="C857" s="27">
        <v>44134.635416666664</v>
      </c>
      <c r="D857" s="23">
        <v>30.8</v>
      </c>
      <c r="E857" s="27">
        <v>44137.385416666664</v>
      </c>
      <c r="F857" s="23">
        <v>30.2</v>
      </c>
      <c r="G857" s="31">
        <v>-1.95E-2</v>
      </c>
      <c r="H857" s="23">
        <v>-981.87</v>
      </c>
      <c r="I857" s="31">
        <v>-1.95E-2</v>
      </c>
      <c r="J857" s="23">
        <v>1636.4580000000001</v>
      </c>
      <c r="K857" s="23">
        <v>50402.91</v>
      </c>
      <c r="L857" s="23">
        <v>79268.05</v>
      </c>
      <c r="M857" s="23">
        <v>5</v>
      </c>
      <c r="N857" s="23">
        <v>-196.37</v>
      </c>
      <c r="O857" s="31">
        <v>-1.95E-2</v>
      </c>
      <c r="P857" s="31">
        <v>9.7000000000000003E-3</v>
      </c>
      <c r="Q857" s="23" t="s">
        <v>24</v>
      </c>
      <c r="R857" s="23">
        <v>0</v>
      </c>
      <c r="S857" s="23">
        <v>30.27</v>
      </c>
      <c r="U857" s="47">
        <f>VLOOKUP(AU857,[1]expiry_dates!$B$2:$C$2894,2,FALSE)</f>
        <v>44161</v>
      </c>
      <c r="V857" s="23" t="s">
        <v>177</v>
      </c>
      <c r="W857" s="23" t="s">
        <v>23</v>
      </c>
      <c r="X857" s="49">
        <v>44134.635416666664</v>
      </c>
      <c r="Y857" s="23">
        <v>1.9</v>
      </c>
      <c r="Z857" s="23">
        <v>44137.385416666664</v>
      </c>
      <c r="AA857" s="23">
        <v>2.2000000000000002</v>
      </c>
      <c r="AB857" s="23">
        <v>0.15790000000000001</v>
      </c>
      <c r="AC857" s="23">
        <v>-10131.19</v>
      </c>
      <c r="AD857" s="23">
        <v>-0.15790000000000001</v>
      </c>
      <c r="AE857" s="23">
        <v>33770.639999999999</v>
      </c>
      <c r="AF857" s="23">
        <v>64164.22</v>
      </c>
      <c r="AG857" s="23">
        <v>2817644.3</v>
      </c>
      <c r="AH857" s="23">
        <v>5</v>
      </c>
      <c r="AI857" s="23">
        <v>-2026.24</v>
      </c>
      <c r="AJ857" s="23">
        <v>-0.15790000000000001</v>
      </c>
      <c r="AK857" s="23">
        <v>0</v>
      </c>
      <c r="AL857" s="23" t="s">
        <v>24</v>
      </c>
      <c r="AM857" s="23">
        <v>30.8</v>
      </c>
      <c r="AN857" s="23">
        <v>23898.85</v>
      </c>
      <c r="AO857" s="23">
        <v>30.27</v>
      </c>
      <c r="AP857" s="23">
        <v>0</v>
      </c>
      <c r="AR857" s="46"/>
      <c r="AS857" s="44"/>
      <c r="AT857" s="45"/>
      <c r="AU857" s="2">
        <v>44134</v>
      </c>
      <c r="AV857" s="52">
        <v>0.13541666666666666</v>
      </c>
      <c r="AW857" s="2" t="s">
        <v>213</v>
      </c>
      <c r="AY857" s="3"/>
      <c r="BA857" s="3"/>
      <c r="BG857" s="3"/>
      <c r="BH857" s="3"/>
    </row>
    <row r="858" spans="1:60">
      <c r="A858" s="23" t="s">
        <v>22</v>
      </c>
      <c r="B858" s="23" t="s">
        <v>23</v>
      </c>
      <c r="C858" s="27">
        <v>44137.385416666664</v>
      </c>
      <c r="D858" s="23">
        <v>30.2</v>
      </c>
      <c r="E858" s="27">
        <v>44137.59375</v>
      </c>
      <c r="F858" s="23">
        <v>30.2</v>
      </c>
      <c r="G858" s="31">
        <v>0</v>
      </c>
      <c r="H858" s="23">
        <v>0</v>
      </c>
      <c r="I858" s="31">
        <v>0</v>
      </c>
      <c r="J858" s="23">
        <v>1668.9970000000001</v>
      </c>
      <c r="K858" s="23">
        <v>50403.71</v>
      </c>
      <c r="L858" s="23">
        <v>79268.05</v>
      </c>
      <c r="M858" s="23">
        <v>21</v>
      </c>
      <c r="N858" s="23">
        <v>0</v>
      </c>
      <c r="O858" s="31">
        <v>-2.98E-2</v>
      </c>
      <c r="P858" s="31">
        <v>9.9000000000000008E-3</v>
      </c>
      <c r="Q858" s="23" t="s">
        <v>24</v>
      </c>
      <c r="R858" s="23">
        <v>0</v>
      </c>
      <c r="S858" s="23">
        <v>31.1</v>
      </c>
      <c r="U858" s="47">
        <f>VLOOKUP(AU858,[1]expiry_dates!$B$2:$C$2894,2,FALSE)</f>
        <v>44161</v>
      </c>
      <c r="V858" s="23" t="s">
        <v>182</v>
      </c>
      <c r="W858" s="23" t="s">
        <v>23</v>
      </c>
      <c r="X858" s="49">
        <v>44137.385416666664</v>
      </c>
      <c r="Y858" s="23">
        <v>1.6</v>
      </c>
      <c r="Z858" s="23">
        <v>44137.59375</v>
      </c>
      <c r="AA858" s="23">
        <v>1.6</v>
      </c>
      <c r="AB858" s="23">
        <v>0</v>
      </c>
      <c r="AC858" s="23">
        <v>0</v>
      </c>
      <c r="AD858" s="23">
        <v>0</v>
      </c>
      <c r="AE858" s="23">
        <v>40086.800000000003</v>
      </c>
      <c r="AF858" s="23">
        <v>64138.879999999997</v>
      </c>
      <c r="AG858" s="23">
        <v>2817644.3</v>
      </c>
      <c r="AH858" s="23">
        <v>21</v>
      </c>
      <c r="AI858" s="23">
        <v>0</v>
      </c>
      <c r="AJ858" s="23">
        <v>-0.375</v>
      </c>
      <c r="AK858" s="23">
        <v>9.3700000000000006E-2</v>
      </c>
      <c r="AL858" s="23" t="s">
        <v>24</v>
      </c>
      <c r="AM858" s="23">
        <v>30.2</v>
      </c>
      <c r="AN858" s="23">
        <v>24243.85</v>
      </c>
      <c r="AO858" s="23">
        <v>31.1</v>
      </c>
      <c r="AP858" s="23">
        <v>0</v>
      </c>
      <c r="AR858" s="46"/>
      <c r="AS858" s="44"/>
      <c r="AT858" s="45"/>
      <c r="AU858" s="2">
        <v>44137</v>
      </c>
      <c r="AV858" s="52">
        <v>0.38541666666666669</v>
      </c>
      <c r="AW858" s="2" t="s">
        <v>212</v>
      </c>
      <c r="AY858" s="3"/>
      <c r="BA858" s="3"/>
      <c r="BG858" s="3"/>
      <c r="BH858" s="3"/>
    </row>
    <row r="859" spans="1:60">
      <c r="A859" s="23" t="s">
        <v>22</v>
      </c>
      <c r="B859" s="23" t="s">
        <v>25</v>
      </c>
      <c r="C859" s="27">
        <v>44137.59375</v>
      </c>
      <c r="D859" s="23">
        <v>30.2</v>
      </c>
      <c r="E859" s="27">
        <v>44138.416666666664</v>
      </c>
      <c r="F859" s="23">
        <v>30.25</v>
      </c>
      <c r="G859" s="31">
        <v>1.6999999999999999E-3</v>
      </c>
      <c r="H859" s="23">
        <v>83.44</v>
      </c>
      <c r="I859" s="31">
        <v>1.6999999999999999E-3</v>
      </c>
      <c r="J859" s="23">
        <v>1668.7670000000001</v>
      </c>
      <c r="K859" s="23">
        <v>50396.76</v>
      </c>
      <c r="L859" s="23">
        <v>79351.48</v>
      </c>
      <c r="M859" s="23">
        <v>12</v>
      </c>
      <c r="N859" s="23">
        <v>6.95</v>
      </c>
      <c r="O859" s="31">
        <v>-3.3E-3</v>
      </c>
      <c r="P859" s="31">
        <v>1.66E-2</v>
      </c>
      <c r="Q859" s="23" t="s">
        <v>24</v>
      </c>
      <c r="R859" s="23">
        <v>0</v>
      </c>
      <c r="S859" s="23">
        <v>29.92</v>
      </c>
      <c r="U859" s="47">
        <f>VLOOKUP(AU859,[1]expiry_dates!$B$2:$C$2894,2,FALSE)</f>
        <v>44161</v>
      </c>
      <c r="V859" s="23" t="s">
        <v>151</v>
      </c>
      <c r="W859" s="23" t="s">
        <v>23</v>
      </c>
      <c r="X859" s="49">
        <v>44137.59375</v>
      </c>
      <c r="Y859" s="23">
        <v>0.3</v>
      </c>
      <c r="Z859" s="23">
        <v>44138.416666666664</v>
      </c>
      <c r="AA859" s="23">
        <v>0.3</v>
      </c>
      <c r="AB859" s="23">
        <v>0</v>
      </c>
      <c r="AC859" s="23">
        <v>0</v>
      </c>
      <c r="AD859" s="23">
        <v>0</v>
      </c>
      <c r="AE859" s="23">
        <v>213627.4</v>
      </c>
      <c r="AF859" s="23">
        <v>64088.22</v>
      </c>
      <c r="AG859" s="23">
        <v>2817644.3</v>
      </c>
      <c r="AH859" s="23">
        <v>12</v>
      </c>
      <c r="AI859" s="23">
        <v>0</v>
      </c>
      <c r="AJ859" s="23">
        <v>0</v>
      </c>
      <c r="AK859" s="23">
        <v>0.33329999999999999</v>
      </c>
      <c r="AL859" s="23" t="s">
        <v>24</v>
      </c>
      <c r="AM859" s="23">
        <v>30.2</v>
      </c>
      <c r="AN859" s="23">
        <v>24982.2</v>
      </c>
      <c r="AO859" s="23">
        <v>29.92</v>
      </c>
      <c r="AP859" s="23">
        <v>0</v>
      </c>
      <c r="AR859" s="46"/>
      <c r="AS859" s="44"/>
      <c r="AT859" s="45"/>
      <c r="AU859" s="2">
        <v>44137</v>
      </c>
      <c r="AV859" s="52">
        <v>9.375E-2</v>
      </c>
      <c r="AW859" s="2" t="s">
        <v>213</v>
      </c>
      <c r="AY859" s="3"/>
      <c r="BA859" s="3"/>
      <c r="BG859" s="3"/>
      <c r="BH859" s="3"/>
    </row>
    <row r="860" spans="1:60">
      <c r="A860" s="23" t="s">
        <v>22</v>
      </c>
      <c r="B860" s="23" t="s">
        <v>23</v>
      </c>
      <c r="C860" s="27">
        <v>44138.416666666664</v>
      </c>
      <c r="D860" s="23">
        <v>30.25</v>
      </c>
      <c r="E860" s="27">
        <v>44138.489583333336</v>
      </c>
      <c r="F860" s="23">
        <v>30.35</v>
      </c>
      <c r="G860" s="31">
        <v>3.3E-3</v>
      </c>
      <c r="H860" s="23">
        <v>-166.6</v>
      </c>
      <c r="I860" s="31">
        <v>-3.3E-3</v>
      </c>
      <c r="J860" s="23">
        <v>1666.0360000000001</v>
      </c>
      <c r="K860" s="23">
        <v>50397.59</v>
      </c>
      <c r="L860" s="23">
        <v>79184.88</v>
      </c>
      <c r="M860" s="23">
        <v>8</v>
      </c>
      <c r="N860" s="23">
        <v>-20.83</v>
      </c>
      <c r="O860" s="31">
        <v>-8.3000000000000001E-3</v>
      </c>
      <c r="P860" s="31">
        <v>5.0000000000000001E-3</v>
      </c>
      <c r="Q860" s="23" t="s">
        <v>24</v>
      </c>
      <c r="R860" s="23">
        <v>0</v>
      </c>
      <c r="S860" s="23">
        <v>30.68</v>
      </c>
      <c r="U860" s="47">
        <f>VLOOKUP(AU860,[1]expiry_dates!$B$2:$C$2894,2,FALSE)</f>
        <v>44161</v>
      </c>
      <c r="V860" s="23" t="s">
        <v>182</v>
      </c>
      <c r="W860" s="23" t="s">
        <v>23</v>
      </c>
      <c r="X860" s="49">
        <v>44138.416666666664</v>
      </c>
      <c r="Y860" s="23">
        <v>1.55</v>
      </c>
      <c r="Z860" s="23">
        <v>44138.489583333336</v>
      </c>
      <c r="AA860" s="23">
        <v>1.75</v>
      </c>
      <c r="AB860" s="23">
        <v>0.129</v>
      </c>
      <c r="AC860" s="23">
        <v>-8269.4500000000007</v>
      </c>
      <c r="AD860" s="23">
        <v>-0.129</v>
      </c>
      <c r="AE860" s="23">
        <v>41347.24</v>
      </c>
      <c r="AF860" s="23">
        <v>64088.22</v>
      </c>
      <c r="AG860" s="23">
        <v>2809374.86</v>
      </c>
      <c r="AH860" s="23">
        <v>8</v>
      </c>
      <c r="AI860" s="23">
        <v>-1033.68</v>
      </c>
      <c r="AJ860" s="23">
        <v>-0.1613</v>
      </c>
      <c r="AK860" s="23">
        <v>0</v>
      </c>
      <c r="AL860" s="23" t="s">
        <v>24</v>
      </c>
      <c r="AM860" s="23">
        <v>30.25</v>
      </c>
      <c r="AN860" s="23">
        <v>25376.75</v>
      </c>
      <c r="AO860" s="23">
        <v>30.68</v>
      </c>
      <c r="AP860" s="23">
        <v>0</v>
      </c>
      <c r="AR860" s="46"/>
      <c r="AS860" s="44"/>
      <c r="AT860" s="45"/>
      <c r="AU860" s="2">
        <v>44138</v>
      </c>
      <c r="AV860" s="52">
        <v>0.41666666666666669</v>
      </c>
      <c r="AW860" s="2" t="s">
        <v>212</v>
      </c>
      <c r="AY860" s="3"/>
      <c r="BA860" s="3"/>
      <c r="BG860" s="3"/>
      <c r="BH860" s="3"/>
    </row>
    <row r="861" spans="1:60">
      <c r="A861" s="23" t="s">
        <v>22</v>
      </c>
      <c r="B861" s="23" t="s">
        <v>25</v>
      </c>
      <c r="C861" s="27">
        <v>44138.489583333336</v>
      </c>
      <c r="D861" s="23">
        <v>30.35</v>
      </c>
      <c r="E861" s="27">
        <v>44138.510416666664</v>
      </c>
      <c r="F861" s="23">
        <v>30.25</v>
      </c>
      <c r="G861" s="31">
        <v>-3.3E-3</v>
      </c>
      <c r="H861" s="23">
        <v>-166.05</v>
      </c>
      <c r="I861" s="31">
        <v>-3.3E-3</v>
      </c>
      <c r="J861" s="23">
        <v>1660.451</v>
      </c>
      <c r="K861" s="23">
        <v>50394.68</v>
      </c>
      <c r="L861" s="23">
        <v>79018.84</v>
      </c>
      <c r="M861" s="23">
        <v>3</v>
      </c>
      <c r="N861" s="23">
        <v>-55.35</v>
      </c>
      <c r="O861" s="31">
        <v>-3.3E-3</v>
      </c>
      <c r="P861" s="31">
        <v>8.2000000000000007E-3</v>
      </c>
      <c r="Q861" s="23" t="s">
        <v>24</v>
      </c>
      <c r="R861" s="23">
        <v>0</v>
      </c>
      <c r="S861" s="23">
        <v>30.12</v>
      </c>
      <c r="U861" s="47">
        <f>VLOOKUP(AU861,[1]expiry_dates!$B$2:$C$2894,2,FALSE)</f>
        <v>44161</v>
      </c>
      <c r="V861" s="23" t="s">
        <v>173</v>
      </c>
      <c r="W861" s="23" t="s">
        <v>23</v>
      </c>
      <c r="X861" s="49">
        <v>44138.489583333336</v>
      </c>
      <c r="Y861" s="23">
        <v>0.65</v>
      </c>
      <c r="Z861" s="23">
        <v>44138.510416666664</v>
      </c>
      <c r="AA861" s="23">
        <v>0.69999990000000001</v>
      </c>
      <c r="AB861" s="23">
        <v>7.6899999999999996E-2</v>
      </c>
      <c r="AC861" s="23">
        <v>-4926.68</v>
      </c>
      <c r="AD861" s="23">
        <v>-7.6899999999999996E-2</v>
      </c>
      <c r="AE861" s="23">
        <v>98533.66</v>
      </c>
      <c r="AF861" s="23">
        <v>64046.879999999997</v>
      </c>
      <c r="AG861" s="23">
        <v>2804448.17</v>
      </c>
      <c r="AH861" s="23">
        <v>3</v>
      </c>
      <c r="AI861" s="23">
        <v>-1642.23</v>
      </c>
      <c r="AJ861" s="23">
        <v>-7.6899999999999996E-2</v>
      </c>
      <c r="AK861" s="23">
        <v>0</v>
      </c>
      <c r="AL861" s="23" t="s">
        <v>24</v>
      </c>
      <c r="AM861" s="23">
        <v>30.35</v>
      </c>
      <c r="AN861" s="23">
        <v>25448.95</v>
      </c>
      <c r="AO861" s="23">
        <v>30.12</v>
      </c>
      <c r="AP861" s="23">
        <v>0</v>
      </c>
      <c r="AR861" s="46"/>
      <c r="AS861" s="44"/>
      <c r="AT861" s="45"/>
      <c r="AU861" s="2">
        <v>44138</v>
      </c>
      <c r="AV861" s="52">
        <v>0.48958333333333331</v>
      </c>
      <c r="AW861" s="2" t="s">
        <v>212</v>
      </c>
      <c r="AY861" s="3"/>
      <c r="BA861" s="3"/>
      <c r="BG861" s="3"/>
      <c r="BH861" s="3"/>
    </row>
    <row r="862" spans="1:60">
      <c r="A862" s="23" t="s">
        <v>22</v>
      </c>
      <c r="B862" s="23" t="s">
        <v>23</v>
      </c>
      <c r="C862" s="27">
        <v>44138.510416666664</v>
      </c>
      <c r="D862" s="23">
        <v>30.25</v>
      </c>
      <c r="E862" s="27">
        <v>44138.541666666664</v>
      </c>
      <c r="F862" s="23">
        <v>30.55</v>
      </c>
      <c r="G862" s="31">
        <v>9.9000000000000008E-3</v>
      </c>
      <c r="H862" s="23">
        <v>-499.79</v>
      </c>
      <c r="I862" s="31">
        <v>-9.9000000000000008E-3</v>
      </c>
      <c r="J862" s="23">
        <v>1665.9670000000001</v>
      </c>
      <c r="K862" s="23">
        <v>50395.51</v>
      </c>
      <c r="L862" s="23">
        <v>78519.05</v>
      </c>
      <c r="M862" s="23">
        <v>4</v>
      </c>
      <c r="N862" s="23">
        <v>-124.95</v>
      </c>
      <c r="O862" s="31">
        <v>-9.9000000000000008E-3</v>
      </c>
      <c r="P862" s="31">
        <v>3.3E-3</v>
      </c>
      <c r="Q862" s="23" t="s">
        <v>24</v>
      </c>
      <c r="R862" s="23">
        <v>0</v>
      </c>
      <c r="S862" s="23">
        <v>30.6</v>
      </c>
      <c r="U862" s="47">
        <f>VLOOKUP(AU862,[1]expiry_dates!$B$2:$C$2894,2,FALSE)</f>
        <v>44161</v>
      </c>
      <c r="V862" s="23" t="s">
        <v>182</v>
      </c>
      <c r="W862" s="23" t="s">
        <v>23</v>
      </c>
      <c r="X862" s="49">
        <v>44138.510416666664</v>
      </c>
      <c r="Y862" s="23">
        <v>1.55</v>
      </c>
      <c r="Z862" s="23">
        <v>44138.541666666664</v>
      </c>
      <c r="AA862" s="23">
        <v>1.7</v>
      </c>
      <c r="AB862" s="23">
        <v>9.6799999999999997E-2</v>
      </c>
      <c r="AC862" s="23">
        <v>-6198.08</v>
      </c>
      <c r="AD862" s="23">
        <v>-9.6799999999999997E-2</v>
      </c>
      <c r="AE862" s="23">
        <v>41320.57</v>
      </c>
      <c r="AF862" s="23">
        <v>64046.879999999997</v>
      </c>
      <c r="AG862" s="23">
        <v>2798250.09</v>
      </c>
      <c r="AH862" s="23">
        <v>4</v>
      </c>
      <c r="AI862" s="23">
        <v>-1549.52</v>
      </c>
      <c r="AJ862" s="23">
        <v>-0.129</v>
      </c>
      <c r="AK862" s="23">
        <v>0</v>
      </c>
      <c r="AL862" s="23" t="s">
        <v>24</v>
      </c>
      <c r="AM862" s="23">
        <v>30.25</v>
      </c>
      <c r="AN862" s="23">
        <v>25486.95</v>
      </c>
      <c r="AO862" s="23">
        <v>30.6</v>
      </c>
      <c r="AP862" s="23">
        <v>0</v>
      </c>
      <c r="AR862" s="46"/>
      <c r="AS862" s="44"/>
      <c r="AT862" s="45"/>
      <c r="AU862" s="2">
        <v>44138</v>
      </c>
      <c r="AV862" s="52">
        <v>0.51041666666666663</v>
      </c>
      <c r="AW862" s="2" t="s">
        <v>213</v>
      </c>
      <c r="AY862" s="3"/>
      <c r="BA862" s="3"/>
      <c r="BG862" s="3"/>
      <c r="BH862" s="3"/>
    </row>
    <row r="863" spans="1:60">
      <c r="A863" s="23" t="s">
        <v>22</v>
      </c>
      <c r="B863" s="23" t="s">
        <v>25</v>
      </c>
      <c r="C863" s="27">
        <v>44138.541666666664</v>
      </c>
      <c r="D863" s="23">
        <v>30.55</v>
      </c>
      <c r="E863" s="27">
        <v>44138.635416666664</v>
      </c>
      <c r="F863" s="23">
        <v>30.45</v>
      </c>
      <c r="G863" s="31">
        <v>-3.3E-3</v>
      </c>
      <c r="H863" s="23">
        <v>-164.96</v>
      </c>
      <c r="I863" s="31">
        <v>-3.3E-3</v>
      </c>
      <c r="J863" s="23">
        <v>1649.5530000000001</v>
      </c>
      <c r="K863" s="23">
        <v>50393.85</v>
      </c>
      <c r="L863" s="23">
        <v>78354.09</v>
      </c>
      <c r="M863" s="23">
        <v>10</v>
      </c>
      <c r="N863" s="23">
        <v>-16.5</v>
      </c>
      <c r="O863" s="31">
        <v>-6.4999999999999997E-3</v>
      </c>
      <c r="P863" s="31">
        <v>4.8999999999999998E-3</v>
      </c>
      <c r="Q863" s="23" t="s">
        <v>24</v>
      </c>
      <c r="R863" s="23">
        <v>0</v>
      </c>
      <c r="S863" s="23">
        <v>30.15</v>
      </c>
      <c r="U863" s="47">
        <f>VLOOKUP(AU863,[1]expiry_dates!$B$2:$C$2894,2,FALSE)</f>
        <v>44161</v>
      </c>
      <c r="V863" s="23" t="s">
        <v>153</v>
      </c>
      <c r="W863" s="23" t="s">
        <v>23</v>
      </c>
      <c r="X863" s="49">
        <v>44138.541666666664</v>
      </c>
      <c r="Y863" s="23">
        <v>0.4</v>
      </c>
      <c r="Z863" s="23">
        <v>44138.635416666664</v>
      </c>
      <c r="AA863" s="23">
        <v>0.4</v>
      </c>
      <c r="AB863" s="23">
        <v>0</v>
      </c>
      <c r="AC863" s="23">
        <v>0</v>
      </c>
      <c r="AD863" s="23">
        <v>0</v>
      </c>
      <c r="AE863" s="23">
        <v>160004</v>
      </c>
      <c r="AF863" s="23">
        <v>64001.58</v>
      </c>
      <c r="AG863" s="23">
        <v>2798250.09</v>
      </c>
      <c r="AH863" s="23">
        <v>10</v>
      </c>
      <c r="AI863" s="23">
        <v>0</v>
      </c>
      <c r="AJ863" s="23">
        <v>0</v>
      </c>
      <c r="AK863" s="23">
        <v>0.125</v>
      </c>
      <c r="AL863" s="23" t="s">
        <v>24</v>
      </c>
      <c r="AM863" s="23">
        <v>30.55</v>
      </c>
      <c r="AN863" s="23">
        <v>25611.1</v>
      </c>
      <c r="AO863" s="23">
        <v>30.15</v>
      </c>
      <c r="AP863" s="23">
        <v>0</v>
      </c>
      <c r="AR863" s="46"/>
      <c r="AS863" s="44"/>
      <c r="AT863" s="45"/>
      <c r="AU863" s="2">
        <v>44138</v>
      </c>
      <c r="AV863" s="52">
        <v>4.1666666666666664E-2</v>
      </c>
      <c r="AW863" s="2" t="s">
        <v>213</v>
      </c>
      <c r="AY863" s="3"/>
      <c r="BA863" s="3"/>
      <c r="BG863" s="3"/>
      <c r="BH863" s="3"/>
    </row>
    <row r="864" spans="1:60">
      <c r="A864" s="23" t="s">
        <v>22</v>
      </c>
      <c r="B864" s="23" t="s">
        <v>23</v>
      </c>
      <c r="C864" s="27">
        <v>44138.635416666664</v>
      </c>
      <c r="D864" s="23">
        <v>30.45</v>
      </c>
      <c r="E864" s="27">
        <v>44139.53125</v>
      </c>
      <c r="F864" s="23">
        <v>30.35</v>
      </c>
      <c r="G864" s="31">
        <v>-3.3E-3</v>
      </c>
      <c r="H864" s="23">
        <v>165.49</v>
      </c>
      <c r="I864" s="31">
        <v>3.3E-3</v>
      </c>
      <c r="J864" s="23">
        <v>1654.9159999999999</v>
      </c>
      <c r="K864" s="23">
        <v>50392.18</v>
      </c>
      <c r="L864" s="23">
        <v>78519.58</v>
      </c>
      <c r="M864" s="23">
        <v>19</v>
      </c>
      <c r="N864" s="23">
        <v>8.7100000000000009</v>
      </c>
      <c r="O864" s="31">
        <v>-4.8999999999999998E-3</v>
      </c>
      <c r="P864" s="31">
        <v>1.4800000000000001E-2</v>
      </c>
      <c r="Q864" s="23" t="s">
        <v>24</v>
      </c>
      <c r="R864" s="23">
        <v>0</v>
      </c>
      <c r="S864" s="23">
        <v>30.7</v>
      </c>
      <c r="U864" s="47">
        <f>VLOOKUP(AU864,[1]expiry_dates!$B$2:$C$2894,2,FALSE)</f>
        <v>44161</v>
      </c>
      <c r="V864" s="23" t="s">
        <v>182</v>
      </c>
      <c r="W864" s="23" t="s">
        <v>23</v>
      </c>
      <c r="X864" s="49">
        <v>44138.635416666664</v>
      </c>
      <c r="Y864" s="23">
        <v>1.75</v>
      </c>
      <c r="Z864" s="23">
        <v>44139.53125</v>
      </c>
      <c r="AA864" s="23">
        <v>1.65</v>
      </c>
      <c r="AB864" s="23">
        <v>-5.7099999999999998E-2</v>
      </c>
      <c r="AC864" s="23">
        <v>3656.64</v>
      </c>
      <c r="AD864" s="23">
        <v>5.7099999999999998E-2</v>
      </c>
      <c r="AE864" s="23">
        <v>36566.43</v>
      </c>
      <c r="AF864" s="23">
        <v>63991.25</v>
      </c>
      <c r="AG864" s="23">
        <v>2801906.73</v>
      </c>
      <c r="AH864" s="23">
        <v>19</v>
      </c>
      <c r="AI864" s="23">
        <v>192.45</v>
      </c>
      <c r="AJ864" s="23">
        <v>-5.7099999999999998E-2</v>
      </c>
      <c r="AK864" s="23">
        <v>0.1143</v>
      </c>
      <c r="AL864" s="23" t="s">
        <v>24</v>
      </c>
      <c r="AM864" s="23">
        <v>30.45</v>
      </c>
      <c r="AN864" s="23">
        <v>25674.35</v>
      </c>
      <c r="AO864" s="23">
        <v>30.7</v>
      </c>
      <c r="AP864" s="23">
        <v>0</v>
      </c>
      <c r="AR864" s="46"/>
      <c r="AS864" s="44"/>
      <c r="AT864" s="45"/>
      <c r="AU864" s="2">
        <v>44138</v>
      </c>
      <c r="AV864" s="52">
        <v>0.13541666666666666</v>
      </c>
      <c r="AW864" s="2" t="s">
        <v>213</v>
      </c>
      <c r="AY864" s="3"/>
      <c r="BA864" s="3"/>
      <c r="BG864" s="3"/>
      <c r="BH864" s="3"/>
    </row>
    <row r="865" spans="1:60">
      <c r="A865" s="23" t="s">
        <v>22</v>
      </c>
      <c r="B865" s="23" t="s">
        <v>25</v>
      </c>
      <c r="C865" s="27">
        <v>44139.53125</v>
      </c>
      <c r="D865" s="23">
        <v>30.35</v>
      </c>
      <c r="E865" s="27">
        <v>44139.552083333336</v>
      </c>
      <c r="F865" s="23">
        <v>30.15</v>
      </c>
      <c r="G865" s="31">
        <v>-6.6E-3</v>
      </c>
      <c r="H865" s="23">
        <v>-332.08</v>
      </c>
      <c r="I865" s="31">
        <v>-6.6E-3</v>
      </c>
      <c r="J865" s="23">
        <v>1660.396</v>
      </c>
      <c r="K865" s="23">
        <v>50393.01</v>
      </c>
      <c r="L865" s="23">
        <v>78187.5</v>
      </c>
      <c r="M865" s="23">
        <v>3</v>
      </c>
      <c r="N865" s="23">
        <v>-110.69</v>
      </c>
      <c r="O865" s="31">
        <v>-9.9000000000000008E-3</v>
      </c>
      <c r="P865" s="31">
        <v>0</v>
      </c>
      <c r="Q865" s="23" t="s">
        <v>24</v>
      </c>
      <c r="R865" s="23">
        <v>0</v>
      </c>
      <c r="S865" s="23">
        <v>30</v>
      </c>
      <c r="U865" s="47">
        <f>VLOOKUP(AU865,[1]expiry_dates!$B$2:$C$2894,2,FALSE)</f>
        <v>44161</v>
      </c>
      <c r="V865" s="23" t="s">
        <v>138</v>
      </c>
      <c r="W865" s="23" t="s">
        <v>23</v>
      </c>
      <c r="X865" s="49">
        <v>44139.53125</v>
      </c>
      <c r="Y865" s="23">
        <v>1.4</v>
      </c>
      <c r="Z865" s="23">
        <v>44139.552083333336</v>
      </c>
      <c r="AA865" s="23">
        <v>1.7</v>
      </c>
      <c r="AB865" s="23">
        <v>0.21429999999999999</v>
      </c>
      <c r="AC865" s="23">
        <v>-13716.33</v>
      </c>
      <c r="AD865" s="23">
        <v>-0.21429999999999999</v>
      </c>
      <c r="AE865" s="23">
        <v>45721.1</v>
      </c>
      <c r="AF865" s="23">
        <v>64009.54</v>
      </c>
      <c r="AG865" s="23">
        <v>2788190.4</v>
      </c>
      <c r="AH865" s="23">
        <v>3</v>
      </c>
      <c r="AI865" s="23">
        <v>-4572.1099999999997</v>
      </c>
      <c r="AJ865" s="23">
        <v>-0.21429999999999999</v>
      </c>
      <c r="AK865" s="23">
        <v>3.5700000000000003E-2</v>
      </c>
      <c r="AL865" s="23" t="s">
        <v>24</v>
      </c>
      <c r="AM865" s="23">
        <v>30.35</v>
      </c>
      <c r="AN865" s="23">
        <v>25474.6</v>
      </c>
      <c r="AO865" s="23">
        <v>30</v>
      </c>
      <c r="AP865" s="23">
        <v>0</v>
      </c>
      <c r="AR865" s="46"/>
      <c r="AS865" s="44"/>
      <c r="AT865" s="45"/>
      <c r="AU865" s="2">
        <v>44139</v>
      </c>
      <c r="AV865" s="52">
        <v>0.53125</v>
      </c>
      <c r="AW865" s="2" t="s">
        <v>213</v>
      </c>
      <c r="AY865" s="3"/>
      <c r="BA865" s="3"/>
      <c r="BG865" s="3"/>
      <c r="BH865" s="3"/>
    </row>
    <row r="866" spans="1:60">
      <c r="A866" s="23" t="s">
        <v>22</v>
      </c>
      <c r="B866" s="23" t="s">
        <v>23</v>
      </c>
      <c r="C866" s="27">
        <v>44139.552083333336</v>
      </c>
      <c r="D866" s="23">
        <v>30.15</v>
      </c>
      <c r="E866" s="27">
        <v>44139.572916666664</v>
      </c>
      <c r="F866" s="23">
        <v>30.35</v>
      </c>
      <c r="G866" s="31">
        <v>6.6E-3</v>
      </c>
      <c r="H866" s="23">
        <v>-334.26</v>
      </c>
      <c r="I866" s="31">
        <v>-6.6E-3</v>
      </c>
      <c r="J866" s="23">
        <v>1671.3140000000001</v>
      </c>
      <c r="K866" s="23">
        <v>50390.11</v>
      </c>
      <c r="L866" s="23">
        <v>77853.240000000005</v>
      </c>
      <c r="M866" s="23">
        <v>3</v>
      </c>
      <c r="N866" s="23">
        <v>-111.42</v>
      </c>
      <c r="O866" s="31">
        <v>-6.6E-3</v>
      </c>
      <c r="P866" s="31">
        <v>5.0000000000000001E-3</v>
      </c>
      <c r="Q866" s="23" t="s">
        <v>24</v>
      </c>
      <c r="R866" s="23">
        <v>0</v>
      </c>
      <c r="S866" s="23">
        <v>30.34</v>
      </c>
      <c r="U866" s="47">
        <f>VLOOKUP(AU866,[1]expiry_dates!$B$2:$C$2894,2,FALSE)</f>
        <v>44161</v>
      </c>
      <c r="V866" s="23" t="s">
        <v>182</v>
      </c>
      <c r="W866" s="23" t="s">
        <v>23</v>
      </c>
      <c r="X866" s="49">
        <v>44139.552083333336</v>
      </c>
      <c r="Y866" s="23">
        <v>1.5</v>
      </c>
      <c r="Z866" s="23">
        <v>44139.572916666664</v>
      </c>
      <c r="AA866" s="23">
        <v>1.55</v>
      </c>
      <c r="AB866" s="23">
        <v>3.3300000000000003E-2</v>
      </c>
      <c r="AC866" s="23">
        <v>-2132.5100000000002</v>
      </c>
      <c r="AD866" s="23">
        <v>-3.3300000000000003E-2</v>
      </c>
      <c r="AE866" s="23">
        <v>42650.16</v>
      </c>
      <c r="AF866" s="23">
        <v>63975.24</v>
      </c>
      <c r="AG866" s="23">
        <v>2786057.89</v>
      </c>
      <c r="AH866" s="23">
        <v>3</v>
      </c>
      <c r="AI866" s="23">
        <v>-710.84</v>
      </c>
      <c r="AJ866" s="23">
        <v>-3.3300000000000003E-2</v>
      </c>
      <c r="AK866" s="23">
        <v>6.6699999999999995E-2</v>
      </c>
      <c r="AL866" s="23" t="s">
        <v>24</v>
      </c>
      <c r="AM866" s="23">
        <v>30.15</v>
      </c>
      <c r="AN866" s="23">
        <v>25297.75</v>
      </c>
      <c r="AO866" s="23">
        <v>30.34</v>
      </c>
      <c r="AP866" s="23">
        <v>0</v>
      </c>
      <c r="AR866" s="46"/>
      <c r="AS866" s="44"/>
      <c r="AT866" s="45"/>
      <c r="AU866" s="2">
        <v>44139</v>
      </c>
      <c r="AV866" s="52">
        <v>5.2083333333333336E-2</v>
      </c>
      <c r="AW866" s="2" t="s">
        <v>213</v>
      </c>
      <c r="AY866" s="3"/>
      <c r="BA866" s="3"/>
      <c r="BG866" s="3"/>
      <c r="BH866" s="3"/>
    </row>
    <row r="867" spans="1:60">
      <c r="A867" s="23" t="s">
        <v>22</v>
      </c>
      <c r="B867" s="23" t="s">
        <v>25</v>
      </c>
      <c r="C867" s="27">
        <v>44139.572916666664</v>
      </c>
      <c r="D867" s="23">
        <v>30.35</v>
      </c>
      <c r="E867" s="27">
        <v>44141.447916666664</v>
      </c>
      <c r="F867" s="23">
        <v>31.25</v>
      </c>
      <c r="G867" s="31">
        <v>2.9700000000000001E-2</v>
      </c>
      <c r="H867" s="23">
        <v>1494.28</v>
      </c>
      <c r="I867" s="31">
        <v>2.9700000000000001E-2</v>
      </c>
      <c r="J867" s="23">
        <v>1660.3140000000001</v>
      </c>
      <c r="K867" s="23">
        <v>50390.52</v>
      </c>
      <c r="L867" s="23">
        <v>79347.520000000004</v>
      </c>
      <c r="M867" s="23">
        <v>45</v>
      </c>
      <c r="N867" s="23">
        <v>33.21</v>
      </c>
      <c r="O867" s="31">
        <v>-6.6E-3</v>
      </c>
      <c r="P867" s="31">
        <v>4.1200000000000001E-2</v>
      </c>
      <c r="Q867" s="23" t="s">
        <v>24</v>
      </c>
      <c r="R867" s="23">
        <v>0</v>
      </c>
      <c r="S867" s="23">
        <v>30</v>
      </c>
      <c r="U867" s="47">
        <f>VLOOKUP(AU867,[1]expiry_dates!$B$2:$C$2894,2,FALSE)</f>
        <v>44161</v>
      </c>
      <c r="V867" s="23" t="s">
        <v>173</v>
      </c>
      <c r="W867" s="23" t="s">
        <v>23</v>
      </c>
      <c r="X867" s="49">
        <v>44139.572916666664</v>
      </c>
      <c r="Y867" s="23">
        <v>0.7</v>
      </c>
      <c r="Z867" s="23">
        <v>44141.447916666664</v>
      </c>
      <c r="AA867" s="23">
        <v>0.3</v>
      </c>
      <c r="AB867" s="23">
        <v>-0.57140000000000002</v>
      </c>
      <c r="AC867" s="23">
        <v>36537.69</v>
      </c>
      <c r="AD867" s="23">
        <v>0.57140000000000002</v>
      </c>
      <c r="AE867" s="23">
        <v>91344.22</v>
      </c>
      <c r="AF867" s="23">
        <v>63940.95</v>
      </c>
      <c r="AG867" s="23">
        <v>2822595.58</v>
      </c>
      <c r="AH867" s="23">
        <v>45</v>
      </c>
      <c r="AI867" s="23">
        <v>811.95</v>
      </c>
      <c r="AJ867" s="23">
        <v>0</v>
      </c>
      <c r="AK867" s="23">
        <v>0.64290000000000003</v>
      </c>
      <c r="AL867" s="23" t="s">
        <v>24</v>
      </c>
      <c r="AM867" s="23">
        <v>30.35</v>
      </c>
      <c r="AN867" s="23">
        <v>25501.25</v>
      </c>
      <c r="AO867" s="23">
        <v>30</v>
      </c>
      <c r="AP867" s="23">
        <v>0</v>
      </c>
      <c r="AR867" s="46"/>
      <c r="AS867" s="44"/>
      <c r="AT867" s="45"/>
      <c r="AU867" s="2">
        <v>44139</v>
      </c>
      <c r="AV867" s="52">
        <v>7.2916666666666671E-2</v>
      </c>
      <c r="AW867" s="2" t="s">
        <v>213</v>
      </c>
      <c r="AY867" s="3"/>
      <c r="BA867" s="3"/>
      <c r="BG867" s="3"/>
      <c r="BH867" s="3"/>
    </row>
    <row r="868" spans="1:60">
      <c r="A868" s="23" t="s">
        <v>22</v>
      </c>
      <c r="B868" s="23" t="s">
        <v>23</v>
      </c>
      <c r="C868" s="27">
        <v>44141.447916666664</v>
      </c>
      <c r="D868" s="23">
        <v>31.25</v>
      </c>
      <c r="E868" s="27">
        <v>44141.489583333336</v>
      </c>
      <c r="F868" s="23">
        <v>31.5</v>
      </c>
      <c r="G868" s="31">
        <v>8.0000000000000002E-3</v>
      </c>
      <c r="H868" s="23">
        <v>-403.18</v>
      </c>
      <c r="I868" s="31">
        <v>-8.0000000000000002E-3</v>
      </c>
      <c r="J868" s="23">
        <v>1612.7349999999999</v>
      </c>
      <c r="K868" s="23">
        <v>50397.98</v>
      </c>
      <c r="L868" s="23">
        <v>78944.34</v>
      </c>
      <c r="M868" s="23">
        <v>5</v>
      </c>
      <c r="N868" s="23">
        <v>-80.64</v>
      </c>
      <c r="O868" s="31">
        <v>-8.0000000000000002E-3</v>
      </c>
      <c r="P868" s="31">
        <v>4.7999999999999996E-3</v>
      </c>
      <c r="Q868" s="23" t="s">
        <v>24</v>
      </c>
      <c r="R868" s="23">
        <v>0</v>
      </c>
      <c r="S868" s="23">
        <v>31.59</v>
      </c>
      <c r="U868" s="47">
        <f>VLOOKUP(AU868,[1]expiry_dates!$B$2:$C$2894,2,FALSE)</f>
        <v>44161</v>
      </c>
      <c r="V868" s="23" t="s">
        <v>176</v>
      </c>
      <c r="W868" s="23" t="s">
        <v>23</v>
      </c>
      <c r="X868" s="49">
        <v>44141.447916666664</v>
      </c>
      <c r="Y868" s="23">
        <v>1.55</v>
      </c>
      <c r="Z868" s="23">
        <v>44141.489583333336</v>
      </c>
      <c r="AA868" s="23">
        <v>1.6</v>
      </c>
      <c r="AB868" s="23">
        <v>3.2300000000000002E-2</v>
      </c>
      <c r="AC868" s="23">
        <v>-2068.16</v>
      </c>
      <c r="AD868" s="23">
        <v>-3.2300000000000002E-2</v>
      </c>
      <c r="AE868" s="23">
        <v>41363.21</v>
      </c>
      <c r="AF868" s="23">
        <v>64112.98</v>
      </c>
      <c r="AG868" s="23">
        <v>2820527.42</v>
      </c>
      <c r="AH868" s="23">
        <v>5</v>
      </c>
      <c r="AI868" s="23">
        <v>-413.63</v>
      </c>
      <c r="AJ868" s="23">
        <v>-6.4500000000000002E-2</v>
      </c>
      <c r="AK868" s="23">
        <v>3.2300000000000002E-2</v>
      </c>
      <c r="AL868" s="23" t="s">
        <v>24</v>
      </c>
      <c r="AM868" s="23">
        <v>31.25</v>
      </c>
      <c r="AN868" s="23">
        <v>26389.8</v>
      </c>
      <c r="AO868" s="23">
        <v>31.59</v>
      </c>
      <c r="AP868" s="23">
        <v>0</v>
      </c>
      <c r="AR868" s="46"/>
      <c r="AS868" s="44"/>
      <c r="AT868" s="45"/>
      <c r="AU868" s="2">
        <v>44141</v>
      </c>
      <c r="AV868" s="52">
        <v>0.44791666666666669</v>
      </c>
      <c r="AW868" s="2" t="s">
        <v>212</v>
      </c>
      <c r="AY868" s="3"/>
      <c r="BA868" s="3"/>
      <c r="BG868" s="3"/>
      <c r="BH868" s="3"/>
    </row>
    <row r="869" spans="1:60">
      <c r="A869" s="23" t="s">
        <v>22</v>
      </c>
      <c r="B869" s="23" t="s">
        <v>25</v>
      </c>
      <c r="C869" s="27">
        <v>44141.489583333336</v>
      </c>
      <c r="D869" s="23">
        <v>31.5</v>
      </c>
      <c r="E869" s="27">
        <v>44144.458333333336</v>
      </c>
      <c r="F869" s="23">
        <v>31.85</v>
      </c>
      <c r="G869" s="31">
        <v>1.11E-2</v>
      </c>
      <c r="H869" s="23">
        <v>559.95000000000005</v>
      </c>
      <c r="I869" s="31">
        <v>1.11E-2</v>
      </c>
      <c r="J869" s="23">
        <v>1599.8579999999999</v>
      </c>
      <c r="K869" s="23">
        <v>50395.53</v>
      </c>
      <c r="L869" s="23">
        <v>79504.289999999994</v>
      </c>
      <c r="M869" s="23">
        <v>26</v>
      </c>
      <c r="N869" s="23">
        <v>21.54</v>
      </c>
      <c r="O869" s="31">
        <v>-4.7999999999999996E-3</v>
      </c>
      <c r="P869" s="31">
        <v>2.3800000000000002E-2</v>
      </c>
      <c r="Q869" s="23" t="s">
        <v>24</v>
      </c>
      <c r="R869" s="23">
        <v>0</v>
      </c>
      <c r="S869" s="23">
        <v>31.11</v>
      </c>
      <c r="U869" s="47">
        <f>VLOOKUP(AU869,[1]expiry_dates!$B$2:$C$2894,2,FALSE)</f>
        <v>44161</v>
      </c>
      <c r="V869" s="23" t="s">
        <v>178</v>
      </c>
      <c r="W869" s="23" t="s">
        <v>23</v>
      </c>
      <c r="X869" s="49">
        <v>44141.489583333336</v>
      </c>
      <c r="Y869" s="23">
        <v>0.5</v>
      </c>
      <c r="Z869" s="23">
        <v>44144.458333333336</v>
      </c>
      <c r="AA869" s="23">
        <v>0.3</v>
      </c>
      <c r="AB869" s="23">
        <v>-0.4</v>
      </c>
      <c r="AC869" s="23">
        <v>25641.05</v>
      </c>
      <c r="AD869" s="23">
        <v>0.4</v>
      </c>
      <c r="AE869" s="23">
        <v>128205.3</v>
      </c>
      <c r="AF869" s="23">
        <v>64102.64</v>
      </c>
      <c r="AG869" s="23">
        <v>2846168.48</v>
      </c>
      <c r="AH869" s="23">
        <v>26</v>
      </c>
      <c r="AI869" s="23">
        <v>986.19</v>
      </c>
      <c r="AJ869" s="23">
        <v>0</v>
      </c>
      <c r="AK869" s="23">
        <v>0.5</v>
      </c>
      <c r="AL869" s="23" t="s">
        <v>24</v>
      </c>
      <c r="AM869" s="23">
        <v>31.5</v>
      </c>
      <c r="AN869" s="23">
        <v>26458.45</v>
      </c>
      <c r="AO869" s="23">
        <v>31.11</v>
      </c>
      <c r="AP869" s="23">
        <v>0</v>
      </c>
      <c r="AR869" s="46"/>
      <c r="AS869" s="44"/>
      <c r="AT869" s="45"/>
      <c r="AU869" s="2">
        <v>44141</v>
      </c>
      <c r="AV869" s="52">
        <v>0.48958333333333331</v>
      </c>
      <c r="AW869" s="2" t="s">
        <v>212</v>
      </c>
      <c r="AY869" s="3"/>
      <c r="BA869" s="3"/>
      <c r="BG869" s="3"/>
      <c r="BH869" s="3"/>
    </row>
    <row r="870" spans="1:60">
      <c r="A870" s="23" t="s">
        <v>22</v>
      </c>
      <c r="B870" s="23" t="s">
        <v>23</v>
      </c>
      <c r="C870" s="27">
        <v>44144.458333333336</v>
      </c>
      <c r="D870" s="23">
        <v>31.85</v>
      </c>
      <c r="E870" s="27">
        <v>44144.520833333336</v>
      </c>
      <c r="F870" s="23">
        <v>32.1</v>
      </c>
      <c r="G870" s="31">
        <v>7.7999999999999996E-3</v>
      </c>
      <c r="H870" s="23">
        <v>-395.59</v>
      </c>
      <c r="I870" s="31">
        <v>-7.7999999999999996E-3</v>
      </c>
      <c r="J870" s="23">
        <v>1582.3520000000001</v>
      </c>
      <c r="K870" s="23">
        <v>50397.919999999998</v>
      </c>
      <c r="L870" s="23">
        <v>79108.7</v>
      </c>
      <c r="M870" s="23">
        <v>7</v>
      </c>
      <c r="N870" s="23">
        <v>-56.51</v>
      </c>
      <c r="O870" s="31">
        <v>-7.7999999999999996E-3</v>
      </c>
      <c r="P870" s="31">
        <v>3.0999999999999999E-3</v>
      </c>
      <c r="Q870" s="23" t="s">
        <v>24</v>
      </c>
      <c r="R870" s="23">
        <v>0</v>
      </c>
      <c r="S870" s="23">
        <v>32.24</v>
      </c>
      <c r="U870" s="47">
        <f>VLOOKUP(AU870,[1]expiry_dates!$B$2:$C$2894,2,FALSE)</f>
        <v>44161</v>
      </c>
      <c r="V870" s="23" t="s">
        <v>176</v>
      </c>
      <c r="W870" s="23" t="s">
        <v>23</v>
      </c>
      <c r="X870" s="49">
        <v>44144.458333333336</v>
      </c>
      <c r="Y870" s="23">
        <v>1.7</v>
      </c>
      <c r="Z870" s="23">
        <v>44144.520833333336</v>
      </c>
      <c r="AA870" s="23">
        <v>1.8</v>
      </c>
      <c r="AB870" s="23">
        <v>5.8799999999999998E-2</v>
      </c>
      <c r="AC870" s="23">
        <v>-3778.28</v>
      </c>
      <c r="AD870" s="23">
        <v>-5.8799999999999998E-2</v>
      </c>
      <c r="AE870" s="23">
        <v>37782.85</v>
      </c>
      <c r="AF870" s="23">
        <v>64230.84</v>
      </c>
      <c r="AG870" s="23">
        <v>2842390.19</v>
      </c>
      <c r="AH870" s="23">
        <v>7</v>
      </c>
      <c r="AI870" s="23">
        <v>-539.75</v>
      </c>
      <c r="AJ870" s="23">
        <v>-5.8799999999999998E-2</v>
      </c>
      <c r="AK870" s="23">
        <v>2.9399999999999999E-2</v>
      </c>
      <c r="AL870" s="23" t="s">
        <v>24</v>
      </c>
      <c r="AM870" s="23">
        <v>31.85</v>
      </c>
      <c r="AN870" s="23">
        <v>27258.85</v>
      </c>
      <c r="AO870" s="23">
        <v>32.24</v>
      </c>
      <c r="AP870" s="23">
        <v>0</v>
      </c>
      <c r="AR870" s="46"/>
      <c r="AS870" s="44"/>
      <c r="AT870" s="45"/>
      <c r="AU870" s="2">
        <v>44144</v>
      </c>
      <c r="AV870" s="52">
        <v>0.45833333333333331</v>
      </c>
      <c r="AW870" s="2" t="s">
        <v>212</v>
      </c>
      <c r="AY870" s="3"/>
      <c r="BA870" s="3"/>
      <c r="BG870" s="3"/>
      <c r="BH870" s="3"/>
    </row>
    <row r="871" spans="1:60">
      <c r="A871" s="23" t="s">
        <v>22</v>
      </c>
      <c r="B871" s="23" t="s">
        <v>25</v>
      </c>
      <c r="C871" s="27">
        <v>44144.520833333336</v>
      </c>
      <c r="D871" s="23">
        <v>32.1</v>
      </c>
      <c r="E871" s="27">
        <v>44146.40625</v>
      </c>
      <c r="F871" s="23">
        <v>33.9</v>
      </c>
      <c r="G871" s="31">
        <v>5.6099999999999997E-2</v>
      </c>
      <c r="H871" s="23">
        <v>2825.94</v>
      </c>
      <c r="I871" s="31">
        <v>5.6099999999999997E-2</v>
      </c>
      <c r="J871" s="23">
        <v>1569.9670000000001</v>
      </c>
      <c r="K871" s="23">
        <v>50395.94</v>
      </c>
      <c r="L871" s="23">
        <v>81934.64</v>
      </c>
      <c r="M871" s="23">
        <v>46</v>
      </c>
      <c r="N871" s="23">
        <v>61.43</v>
      </c>
      <c r="O871" s="31">
        <v>-4.7000000000000002E-3</v>
      </c>
      <c r="P871" s="31">
        <v>7.6300000000000007E-2</v>
      </c>
      <c r="Q871" s="23" t="s">
        <v>24</v>
      </c>
      <c r="R871" s="23">
        <v>0</v>
      </c>
      <c r="S871" s="23">
        <v>31.75</v>
      </c>
      <c r="U871" s="47">
        <f>VLOOKUP(AU871,[1]expiry_dates!$B$2:$C$2894,2,FALSE)</f>
        <v>44161</v>
      </c>
      <c r="V871" s="23" t="s">
        <v>177</v>
      </c>
      <c r="W871" s="23" t="s">
        <v>23</v>
      </c>
      <c r="X871" s="49">
        <v>44144.520833333336</v>
      </c>
      <c r="Y871" s="23">
        <v>0.8</v>
      </c>
      <c r="Z871" s="23">
        <v>44146.40625</v>
      </c>
      <c r="AA871" s="23">
        <v>0.3</v>
      </c>
      <c r="AB871" s="23">
        <v>-0.625</v>
      </c>
      <c r="AC871" s="23">
        <v>40138.370000000003</v>
      </c>
      <c r="AD871" s="23">
        <v>0.625</v>
      </c>
      <c r="AE871" s="23">
        <v>80276.740000000005</v>
      </c>
      <c r="AF871" s="23">
        <v>64221.39</v>
      </c>
      <c r="AG871" s="23">
        <v>2882528.56</v>
      </c>
      <c r="AH871" s="23">
        <v>46</v>
      </c>
      <c r="AI871" s="23">
        <v>872.57</v>
      </c>
      <c r="AJ871" s="23">
        <v>0</v>
      </c>
      <c r="AK871" s="23">
        <v>0.6875</v>
      </c>
      <c r="AL871" s="23" t="s">
        <v>24</v>
      </c>
      <c r="AM871" s="23">
        <v>32.1</v>
      </c>
      <c r="AN871" s="23">
        <v>27253.95</v>
      </c>
      <c r="AO871" s="23">
        <v>31.75</v>
      </c>
      <c r="AP871" s="23">
        <v>0</v>
      </c>
      <c r="AR871" s="46"/>
      <c r="AS871" s="44"/>
      <c r="AT871" s="45"/>
      <c r="AU871" s="2">
        <v>44144</v>
      </c>
      <c r="AV871" s="52">
        <v>0.52083333333333337</v>
      </c>
      <c r="AW871" s="2" t="s">
        <v>213</v>
      </c>
      <c r="AY871" s="3"/>
      <c r="BA871" s="3"/>
      <c r="BG871" s="3"/>
      <c r="BH871" s="3"/>
    </row>
    <row r="872" spans="1:60">
      <c r="A872" s="23" t="s">
        <v>22</v>
      </c>
      <c r="B872" s="23" t="s">
        <v>23</v>
      </c>
      <c r="C872" s="27">
        <v>44146.40625</v>
      </c>
      <c r="D872" s="23">
        <v>33.9</v>
      </c>
      <c r="E872" s="27">
        <v>44146.604166666664</v>
      </c>
      <c r="F872" s="23">
        <v>33.200000000000003</v>
      </c>
      <c r="G872" s="31">
        <v>-2.06E-2</v>
      </c>
      <c r="H872" s="23">
        <v>1041</v>
      </c>
      <c r="I872" s="31">
        <v>2.06E-2</v>
      </c>
      <c r="J872" s="23">
        <v>1487.15</v>
      </c>
      <c r="K872" s="23">
        <v>50414.38</v>
      </c>
      <c r="L872" s="23">
        <v>82975.649999999994</v>
      </c>
      <c r="M872" s="23">
        <v>20</v>
      </c>
      <c r="N872" s="23">
        <v>52.05</v>
      </c>
      <c r="O872" s="31">
        <v>-1.9199999999999998E-2</v>
      </c>
      <c r="P872" s="31">
        <v>3.5400000000000001E-2</v>
      </c>
      <c r="Q872" s="23" t="s">
        <v>24</v>
      </c>
      <c r="R872" s="23">
        <v>0</v>
      </c>
      <c r="S872" s="23">
        <v>34.549999999999997</v>
      </c>
      <c r="U872" s="47">
        <f>VLOOKUP(AU872,[1]expiry_dates!$B$2:$C$2894,2,FALSE)</f>
        <v>44161</v>
      </c>
      <c r="V872" s="23" t="s">
        <v>150</v>
      </c>
      <c r="W872" s="23" t="s">
        <v>23</v>
      </c>
      <c r="X872" s="49">
        <v>44146.40625</v>
      </c>
      <c r="Y872" s="23">
        <v>1.3</v>
      </c>
      <c r="Z872" s="23">
        <v>44146.604166666664</v>
      </c>
      <c r="AA872" s="23">
        <v>0.9</v>
      </c>
      <c r="AB872" s="23">
        <v>-0.30769999999999997</v>
      </c>
      <c r="AC872" s="23">
        <v>19825.45</v>
      </c>
      <c r="AD872" s="23">
        <v>0.30769999999999997</v>
      </c>
      <c r="AE872" s="23">
        <v>49563.63</v>
      </c>
      <c r="AF872" s="23">
        <v>64432.71</v>
      </c>
      <c r="AG872" s="23">
        <v>2902354.01</v>
      </c>
      <c r="AH872" s="23">
        <v>20</v>
      </c>
      <c r="AI872" s="23">
        <v>991.27</v>
      </c>
      <c r="AJ872" s="23">
        <v>-0.1923</v>
      </c>
      <c r="AK872" s="23">
        <v>0.42309999999999998</v>
      </c>
      <c r="AL872" s="23" t="s">
        <v>24</v>
      </c>
      <c r="AM872" s="23">
        <v>33.9</v>
      </c>
      <c r="AN872" s="23">
        <v>28789.4</v>
      </c>
      <c r="AO872" s="23">
        <v>34.549999999999997</v>
      </c>
      <c r="AP872" s="23">
        <v>0</v>
      </c>
      <c r="AR872" s="46"/>
      <c r="AS872" s="44"/>
      <c r="AT872" s="45"/>
      <c r="AU872" s="2">
        <v>44146</v>
      </c>
      <c r="AV872" s="52">
        <v>0.40625</v>
      </c>
      <c r="AW872" s="2" t="s">
        <v>212</v>
      </c>
      <c r="AY872" s="3"/>
      <c r="BA872" s="3"/>
      <c r="BG872" s="3"/>
      <c r="BH872" s="3"/>
    </row>
    <row r="873" spans="1:60">
      <c r="A873" s="23" t="s">
        <v>22</v>
      </c>
      <c r="B873" s="23" t="s">
        <v>25</v>
      </c>
      <c r="C873" s="27">
        <v>44146.604166666664</v>
      </c>
      <c r="D873" s="23">
        <v>33.200000000000003</v>
      </c>
      <c r="E873" s="27">
        <v>44147.385416666664</v>
      </c>
      <c r="F873" s="23">
        <v>32.9</v>
      </c>
      <c r="G873" s="31">
        <v>-8.9999999999999993E-3</v>
      </c>
      <c r="H873" s="23">
        <v>-455.54</v>
      </c>
      <c r="I873" s="31">
        <v>-8.9999999999999993E-3</v>
      </c>
      <c r="J873" s="23">
        <v>1518.4639999999999</v>
      </c>
      <c r="K873" s="23">
        <v>50413.02</v>
      </c>
      <c r="L873" s="23">
        <v>82520.11</v>
      </c>
      <c r="M873" s="23">
        <v>8</v>
      </c>
      <c r="N873" s="23">
        <v>-56.94</v>
      </c>
      <c r="O873" s="31">
        <v>-8.9999999999999993E-3</v>
      </c>
      <c r="P873" s="31">
        <v>8.9999999999999993E-3</v>
      </c>
      <c r="Q873" s="23" t="s">
        <v>24</v>
      </c>
      <c r="R873" s="23">
        <v>0</v>
      </c>
      <c r="S873" s="23">
        <v>32.729999999999997</v>
      </c>
      <c r="U873" s="47">
        <f>VLOOKUP(AU873,[1]expiry_dates!$B$2:$C$2894,2,FALSE)</f>
        <v>44161</v>
      </c>
      <c r="V873" s="23" t="s">
        <v>180</v>
      </c>
      <c r="W873" s="23" t="s">
        <v>23</v>
      </c>
      <c r="X873" s="49">
        <v>44146.604166666664</v>
      </c>
      <c r="Y873" s="23">
        <v>0.7</v>
      </c>
      <c r="Z873" s="23">
        <v>44147.385416666664</v>
      </c>
      <c r="AA873" s="23">
        <v>0.85</v>
      </c>
      <c r="AB873" s="23">
        <v>0.21429999999999999</v>
      </c>
      <c r="AC873" s="23">
        <v>-13818.64</v>
      </c>
      <c r="AD873" s="23">
        <v>-0.21429999999999999</v>
      </c>
      <c r="AE873" s="23">
        <v>92124.27</v>
      </c>
      <c r="AF873" s="23">
        <v>64486.99</v>
      </c>
      <c r="AG873" s="23">
        <v>2888535.37</v>
      </c>
      <c r="AH873" s="23">
        <v>8</v>
      </c>
      <c r="AI873" s="23">
        <v>-1727.33</v>
      </c>
      <c r="AJ873" s="23">
        <v>-0.21429999999999999</v>
      </c>
      <c r="AK873" s="23">
        <v>0</v>
      </c>
      <c r="AL873" s="23" t="s">
        <v>24</v>
      </c>
      <c r="AM873" s="23">
        <v>33.200000000000003</v>
      </c>
      <c r="AN873" s="23">
        <v>28750.3</v>
      </c>
      <c r="AO873" s="23">
        <v>32.729999999999997</v>
      </c>
      <c r="AP873" s="23">
        <v>0</v>
      </c>
      <c r="AR873" s="46"/>
      <c r="AS873" s="44"/>
      <c r="AT873" s="45"/>
      <c r="AU873" s="2">
        <v>44146</v>
      </c>
      <c r="AV873" s="52">
        <v>0.10416666666666667</v>
      </c>
      <c r="AW873" s="2" t="s">
        <v>213</v>
      </c>
      <c r="AY873" s="3"/>
      <c r="BA873" s="3"/>
      <c r="BG873" s="3"/>
      <c r="BH873" s="3"/>
    </row>
    <row r="874" spans="1:60">
      <c r="A874" s="23" t="s">
        <v>22</v>
      </c>
      <c r="B874" s="23" t="s">
        <v>23</v>
      </c>
      <c r="C874" s="27">
        <v>44147.385416666664</v>
      </c>
      <c r="D874" s="23">
        <v>32.9</v>
      </c>
      <c r="E874" s="27">
        <v>44147.510416666664</v>
      </c>
      <c r="F874" s="23">
        <v>33.1</v>
      </c>
      <c r="G874" s="31">
        <v>6.1000000000000004E-3</v>
      </c>
      <c r="H874" s="23">
        <v>-306.45999999999998</v>
      </c>
      <c r="I874" s="31">
        <v>-6.1000000000000004E-3</v>
      </c>
      <c r="J874" s="23">
        <v>1532.3209999999999</v>
      </c>
      <c r="K874" s="23">
        <v>50413.36</v>
      </c>
      <c r="L874" s="23">
        <v>82213.64</v>
      </c>
      <c r="M874" s="23">
        <v>13</v>
      </c>
      <c r="N874" s="23">
        <v>-23.57</v>
      </c>
      <c r="O874" s="31">
        <v>-7.6E-3</v>
      </c>
      <c r="P874" s="31">
        <v>1.06E-2</v>
      </c>
      <c r="Q874" s="23" t="s">
        <v>24</v>
      </c>
      <c r="R874" s="23">
        <v>0</v>
      </c>
      <c r="S874" s="23">
        <v>33.47</v>
      </c>
      <c r="U874" s="47">
        <f>VLOOKUP(AU874,[1]expiry_dates!$B$2:$C$2894,2,FALSE)</f>
        <v>44161</v>
      </c>
      <c r="V874" s="23" t="s">
        <v>181</v>
      </c>
      <c r="W874" s="23" t="s">
        <v>23</v>
      </c>
      <c r="X874" s="49">
        <v>44147.385416666664</v>
      </c>
      <c r="Y874" s="23">
        <v>1.2</v>
      </c>
      <c r="Z874" s="23">
        <v>44147.510416666664</v>
      </c>
      <c r="AA874" s="23">
        <v>1.3</v>
      </c>
      <c r="AB874" s="23">
        <v>8.3299999999999999E-2</v>
      </c>
      <c r="AC874" s="23">
        <v>-5375.98</v>
      </c>
      <c r="AD874" s="23">
        <v>-8.3299999999999999E-2</v>
      </c>
      <c r="AE874" s="23">
        <v>53759.8</v>
      </c>
      <c r="AF874" s="23">
        <v>64511.77</v>
      </c>
      <c r="AG874" s="23">
        <v>2883159.39</v>
      </c>
      <c r="AH874" s="23">
        <v>13</v>
      </c>
      <c r="AI874" s="23">
        <v>-413.54</v>
      </c>
      <c r="AJ874" s="23">
        <v>-8.3299999999999999E-2</v>
      </c>
      <c r="AK874" s="23">
        <v>0.16669999999999999</v>
      </c>
      <c r="AL874" s="23" t="s">
        <v>24</v>
      </c>
      <c r="AM874" s="23">
        <v>32.9</v>
      </c>
      <c r="AN874" s="23">
        <v>28440.05</v>
      </c>
      <c r="AO874" s="23">
        <v>33.47</v>
      </c>
      <c r="AP874" s="23">
        <v>0</v>
      </c>
      <c r="AR874" s="46"/>
      <c r="AS874" s="44"/>
      <c r="AT874" s="45"/>
      <c r="AU874" s="2">
        <v>44147</v>
      </c>
      <c r="AV874" s="52">
        <v>0.38541666666666669</v>
      </c>
      <c r="AW874" s="2" t="s">
        <v>212</v>
      </c>
      <c r="AY874" s="3"/>
      <c r="BA874" s="3"/>
      <c r="BG874" s="3"/>
      <c r="BH874" s="3"/>
    </row>
    <row r="875" spans="1:60">
      <c r="A875" s="23" t="s">
        <v>22</v>
      </c>
      <c r="B875" s="23" t="s">
        <v>25</v>
      </c>
      <c r="C875" s="27">
        <v>44147.510416666664</v>
      </c>
      <c r="D875" s="23">
        <v>33.1</v>
      </c>
      <c r="E875" s="27">
        <v>44147.625</v>
      </c>
      <c r="F875" s="23">
        <v>32.9</v>
      </c>
      <c r="G875" s="31">
        <v>-6.0000000000000001E-3</v>
      </c>
      <c r="H875" s="23">
        <v>-304.61</v>
      </c>
      <c r="I875" s="31">
        <v>-6.0000000000000001E-3</v>
      </c>
      <c r="J875" s="23">
        <v>1523.028</v>
      </c>
      <c r="K875" s="23">
        <v>50412.22</v>
      </c>
      <c r="L875" s="23">
        <v>81909.039999999994</v>
      </c>
      <c r="M875" s="23">
        <v>12</v>
      </c>
      <c r="N875" s="23">
        <v>-25.38</v>
      </c>
      <c r="O875" s="31">
        <v>-7.6E-3</v>
      </c>
      <c r="P875" s="31">
        <v>7.6E-3</v>
      </c>
      <c r="Q875" s="23" t="s">
        <v>24</v>
      </c>
      <c r="R875" s="23">
        <v>0</v>
      </c>
      <c r="S875" s="23">
        <v>32.549999999999997</v>
      </c>
      <c r="U875" s="47">
        <f>VLOOKUP(AU875,[1]expiry_dates!$B$2:$C$2894,2,FALSE)</f>
        <v>44161</v>
      </c>
      <c r="V875" s="23" t="s">
        <v>147</v>
      </c>
      <c r="W875" s="23" t="s">
        <v>23</v>
      </c>
      <c r="X875" s="49">
        <v>44147.510416666664</v>
      </c>
      <c r="Y875" s="23">
        <v>1.2</v>
      </c>
      <c r="Z875" s="23">
        <v>44147.625</v>
      </c>
      <c r="AA875" s="23">
        <v>1.2</v>
      </c>
      <c r="AB875" s="23">
        <v>0</v>
      </c>
      <c r="AC875" s="23">
        <v>0</v>
      </c>
      <c r="AD875" s="23">
        <v>0</v>
      </c>
      <c r="AE875" s="23">
        <v>53702.23</v>
      </c>
      <c r="AF875" s="23">
        <v>64442.68</v>
      </c>
      <c r="AG875" s="23">
        <v>2883159.39</v>
      </c>
      <c r="AH875" s="23">
        <v>12</v>
      </c>
      <c r="AI875" s="23">
        <v>0</v>
      </c>
      <c r="AJ875" s="23">
        <v>-0.20830000000000001</v>
      </c>
      <c r="AK875" s="23">
        <v>8.3299999999999999E-2</v>
      </c>
      <c r="AL875" s="23" t="s">
        <v>24</v>
      </c>
      <c r="AM875" s="23">
        <v>33.1</v>
      </c>
      <c r="AN875" s="23">
        <v>28422.2</v>
      </c>
      <c r="AO875" s="23">
        <v>32.549999999999997</v>
      </c>
      <c r="AP875" s="23">
        <v>0</v>
      </c>
      <c r="AR875" s="46"/>
      <c r="AS875" s="44"/>
      <c r="AT875" s="45"/>
      <c r="AU875" s="2">
        <v>44147</v>
      </c>
      <c r="AV875" s="52">
        <v>0.51041666666666663</v>
      </c>
      <c r="AW875" s="2" t="s">
        <v>213</v>
      </c>
      <c r="AY875" s="3"/>
      <c r="BA875" s="3"/>
      <c r="BG875" s="3"/>
      <c r="BH875" s="3"/>
    </row>
    <row r="876" spans="1:60">
      <c r="A876" s="23" t="s">
        <v>22</v>
      </c>
      <c r="B876" s="23" t="s">
        <v>23</v>
      </c>
      <c r="C876" s="27">
        <v>44147.625</v>
      </c>
      <c r="D876" s="23">
        <v>32.9</v>
      </c>
      <c r="E876" s="27">
        <v>44148.572916666664</v>
      </c>
      <c r="F876" s="23">
        <v>32.549999999999997</v>
      </c>
      <c r="G876" s="31">
        <v>-1.06E-2</v>
      </c>
      <c r="H876" s="23">
        <v>536.29</v>
      </c>
      <c r="I876" s="31">
        <v>1.06E-2</v>
      </c>
      <c r="J876" s="23">
        <v>1532.251</v>
      </c>
      <c r="K876" s="23">
        <v>50411.07</v>
      </c>
      <c r="L876" s="23">
        <v>82445.320000000007</v>
      </c>
      <c r="M876" s="23">
        <v>24</v>
      </c>
      <c r="N876" s="23">
        <v>22.35</v>
      </c>
      <c r="O876" s="31">
        <v>-7.6E-3</v>
      </c>
      <c r="P876" s="31">
        <v>2.7400000000000001E-2</v>
      </c>
      <c r="Q876" s="23" t="s">
        <v>24</v>
      </c>
      <c r="R876" s="23">
        <v>0</v>
      </c>
      <c r="S876" s="23">
        <v>33.35</v>
      </c>
      <c r="U876" s="47">
        <f>VLOOKUP(AU876,[1]expiry_dates!$B$2:$C$2894,2,FALSE)</f>
        <v>44161</v>
      </c>
      <c r="V876" s="23" t="s">
        <v>181</v>
      </c>
      <c r="W876" s="23" t="s">
        <v>23</v>
      </c>
      <c r="X876" s="49">
        <v>44147.625</v>
      </c>
      <c r="Y876" s="23">
        <v>1.2</v>
      </c>
      <c r="Z876" s="23">
        <v>44148.572916666664</v>
      </c>
      <c r="AA876" s="23">
        <v>0.89999989999999996</v>
      </c>
      <c r="AB876" s="23">
        <v>-0.25</v>
      </c>
      <c r="AC876" s="23">
        <v>16100.59</v>
      </c>
      <c r="AD876" s="23">
        <v>0.25</v>
      </c>
      <c r="AE876" s="23">
        <v>53668.639999999999</v>
      </c>
      <c r="AF876" s="23">
        <v>64402.37</v>
      </c>
      <c r="AG876" s="23">
        <v>2899259.98</v>
      </c>
      <c r="AH876" s="23">
        <v>24</v>
      </c>
      <c r="AI876" s="23">
        <v>670.86</v>
      </c>
      <c r="AJ876" s="23">
        <v>-4.1700000000000001E-2</v>
      </c>
      <c r="AK876" s="23">
        <v>0.45829999999999999</v>
      </c>
      <c r="AL876" s="23" t="s">
        <v>24</v>
      </c>
      <c r="AM876" s="23">
        <v>32.9</v>
      </c>
      <c r="AN876" s="23">
        <v>28293.95</v>
      </c>
      <c r="AO876" s="23">
        <v>33.35</v>
      </c>
      <c r="AP876" s="23">
        <v>0</v>
      </c>
      <c r="AR876" s="46"/>
      <c r="AS876" s="44"/>
      <c r="AT876" s="45"/>
      <c r="AU876" s="2">
        <v>44147</v>
      </c>
      <c r="AV876" s="52">
        <v>0.125</v>
      </c>
      <c r="AW876" s="2" t="s">
        <v>213</v>
      </c>
      <c r="AY876" s="3"/>
      <c r="BA876" s="3"/>
      <c r="BG876" s="3"/>
      <c r="BH876" s="3"/>
    </row>
    <row r="877" spans="1:60">
      <c r="A877" s="23" t="s">
        <v>22</v>
      </c>
      <c r="B877" s="23" t="s">
        <v>25</v>
      </c>
      <c r="C877" s="27">
        <v>44148.572916666664</v>
      </c>
      <c r="D877" s="23">
        <v>32.549999999999997</v>
      </c>
      <c r="E877" s="27">
        <v>44152.604166666664</v>
      </c>
      <c r="F877" s="23">
        <v>33.700000000000003</v>
      </c>
      <c r="G877" s="31">
        <v>3.5299999999999998E-2</v>
      </c>
      <c r="H877" s="23">
        <v>1781.13</v>
      </c>
      <c r="I877" s="31">
        <v>3.5299999999999998E-2</v>
      </c>
      <c r="J877" s="23">
        <v>1548.81</v>
      </c>
      <c r="K877" s="23">
        <v>50413.760000000002</v>
      </c>
      <c r="L877" s="23">
        <v>84226.46</v>
      </c>
      <c r="M877" s="23">
        <v>38</v>
      </c>
      <c r="N877" s="23">
        <v>46.87</v>
      </c>
      <c r="O877" s="31">
        <v>-6.1000000000000004E-3</v>
      </c>
      <c r="P877" s="31">
        <v>4.4499999999999998E-2</v>
      </c>
      <c r="Q877" s="23" t="s">
        <v>24</v>
      </c>
      <c r="R877" s="23">
        <v>0</v>
      </c>
      <c r="S877" s="23">
        <v>32.020000000000003</v>
      </c>
      <c r="U877" s="47">
        <f>VLOOKUP(AU877,[1]expiry_dates!$B$2:$C$2894,2,FALSE)</f>
        <v>44161</v>
      </c>
      <c r="V877" s="23" t="s">
        <v>180</v>
      </c>
      <c r="W877" s="23" t="s">
        <v>23</v>
      </c>
      <c r="X877" s="49">
        <v>44148.572916666664</v>
      </c>
      <c r="Y877" s="23">
        <v>0.85</v>
      </c>
      <c r="Z877" s="23">
        <v>44152.604166666664</v>
      </c>
      <c r="AA877" s="23">
        <v>0.35</v>
      </c>
      <c r="AB877" s="23">
        <v>-0.58819999999999995</v>
      </c>
      <c r="AC877" s="23">
        <v>37954.79</v>
      </c>
      <c r="AD877" s="23">
        <v>0.58819999999999995</v>
      </c>
      <c r="AE877" s="23">
        <v>75909.570000000007</v>
      </c>
      <c r="AF877" s="23">
        <v>64523.14</v>
      </c>
      <c r="AG877" s="23">
        <v>2937214.77</v>
      </c>
      <c r="AH877" s="23">
        <v>38</v>
      </c>
      <c r="AI877" s="23">
        <v>998.81</v>
      </c>
      <c r="AJ877" s="23">
        <v>-0.1176</v>
      </c>
      <c r="AK877" s="23">
        <v>0.58819999999999995</v>
      </c>
      <c r="AL877" s="23" t="s">
        <v>24</v>
      </c>
      <c r="AM877" s="23">
        <v>32.549999999999997</v>
      </c>
      <c r="AN877" s="23">
        <v>28327.85</v>
      </c>
      <c r="AO877" s="23">
        <v>32.020000000000003</v>
      </c>
      <c r="AP877" s="23">
        <v>0</v>
      </c>
      <c r="AR877" s="46"/>
      <c r="AS877" s="44"/>
      <c r="AT877" s="45"/>
      <c r="AU877" s="2">
        <v>44148</v>
      </c>
      <c r="AV877" s="52">
        <v>7.2916666666666671E-2</v>
      </c>
      <c r="AW877" s="2" t="s">
        <v>213</v>
      </c>
      <c r="AY877" s="3"/>
      <c r="BA877" s="3"/>
      <c r="BG877" s="3"/>
      <c r="BH877" s="3"/>
    </row>
    <row r="878" spans="1:60">
      <c r="A878" s="23" t="s">
        <v>22</v>
      </c>
      <c r="B878" s="23" t="s">
        <v>23</v>
      </c>
      <c r="C878" s="27">
        <v>44152.604166666664</v>
      </c>
      <c r="D878" s="23">
        <v>33.700000000000003</v>
      </c>
      <c r="E878" s="27">
        <v>44153.385416666664</v>
      </c>
      <c r="F878" s="23">
        <v>33.9</v>
      </c>
      <c r="G878" s="31">
        <v>5.8999999999999999E-3</v>
      </c>
      <c r="H878" s="23">
        <v>-299.24</v>
      </c>
      <c r="I878" s="31">
        <v>-5.8999999999999999E-3</v>
      </c>
      <c r="J878" s="23">
        <v>1496.222</v>
      </c>
      <c r="K878" s="23">
        <v>50422.68</v>
      </c>
      <c r="L878" s="23">
        <v>83927.21</v>
      </c>
      <c r="M878" s="23">
        <v>8</v>
      </c>
      <c r="N878" s="23">
        <v>-37.409999999999997</v>
      </c>
      <c r="O878" s="31">
        <v>-5.8999999999999999E-3</v>
      </c>
      <c r="P878" s="31">
        <v>5.8999999999999999E-3</v>
      </c>
      <c r="Q878" s="23" t="s">
        <v>24</v>
      </c>
      <c r="R878" s="23">
        <v>0</v>
      </c>
      <c r="S878" s="23">
        <v>34</v>
      </c>
      <c r="U878" s="47">
        <f>VLOOKUP(AU878,[1]expiry_dates!$B$2:$C$2894,2,FALSE)</f>
        <v>44161</v>
      </c>
      <c r="V878" s="23" t="s">
        <v>150</v>
      </c>
      <c r="W878" s="23" t="s">
        <v>23</v>
      </c>
      <c r="X878" s="49">
        <v>44152.604166666664</v>
      </c>
      <c r="Y878" s="23">
        <v>0.85</v>
      </c>
      <c r="Z878" s="23">
        <v>44153.385416666664</v>
      </c>
      <c r="AA878" s="23">
        <v>0.9</v>
      </c>
      <c r="AB878" s="23">
        <v>5.8799999999999998E-2</v>
      </c>
      <c r="AC878" s="23">
        <v>-3805.06</v>
      </c>
      <c r="AD878" s="23">
        <v>-5.8799999999999998E-2</v>
      </c>
      <c r="AE878" s="23">
        <v>76101.259999999995</v>
      </c>
      <c r="AF878" s="23">
        <v>64686.07</v>
      </c>
      <c r="AG878" s="23">
        <v>2933409.71</v>
      </c>
      <c r="AH878" s="23">
        <v>8</v>
      </c>
      <c r="AI878" s="23">
        <v>-475.63</v>
      </c>
      <c r="AJ878" s="23">
        <v>-0.1176</v>
      </c>
      <c r="AK878" s="23">
        <v>0.1176</v>
      </c>
      <c r="AL878" s="23" t="s">
        <v>24</v>
      </c>
      <c r="AM878" s="23">
        <v>33.700000000000003</v>
      </c>
      <c r="AN878" s="23">
        <v>29030.1</v>
      </c>
      <c r="AO878" s="23">
        <v>34</v>
      </c>
      <c r="AP878" s="23">
        <v>0</v>
      </c>
      <c r="AR878" s="46"/>
      <c r="AS878" s="44"/>
      <c r="AT878" s="45"/>
      <c r="AU878" s="2">
        <v>44152</v>
      </c>
      <c r="AV878" s="52">
        <v>0.10416666666666667</v>
      </c>
      <c r="AW878" s="2" t="s">
        <v>213</v>
      </c>
      <c r="AY878" s="3"/>
      <c r="BA878" s="3"/>
      <c r="BG878" s="3"/>
      <c r="BH878" s="3"/>
    </row>
    <row r="879" spans="1:60">
      <c r="A879" s="23" t="s">
        <v>22</v>
      </c>
      <c r="B879" s="23" t="s">
        <v>25</v>
      </c>
      <c r="C879" s="27">
        <v>44153.385416666664</v>
      </c>
      <c r="D879" s="23">
        <v>33.9</v>
      </c>
      <c r="E879" s="27">
        <v>44153.458333333336</v>
      </c>
      <c r="F879" s="23">
        <v>33.75</v>
      </c>
      <c r="G879" s="31">
        <v>-4.4000000000000003E-3</v>
      </c>
      <c r="H879" s="23">
        <v>-223.11</v>
      </c>
      <c r="I879" s="31">
        <v>-4.4000000000000003E-3</v>
      </c>
      <c r="J879" s="23">
        <v>1487.393</v>
      </c>
      <c r="K879" s="23">
        <v>50422.63</v>
      </c>
      <c r="L879" s="23">
        <v>83704.100000000006</v>
      </c>
      <c r="M879" s="23">
        <v>8</v>
      </c>
      <c r="N879" s="23">
        <v>-27.89</v>
      </c>
      <c r="O879" s="31">
        <v>-1.3299999999999999E-2</v>
      </c>
      <c r="P879" s="31">
        <v>1.3299999999999999E-2</v>
      </c>
      <c r="Q879" s="23" t="s">
        <v>24</v>
      </c>
      <c r="R879" s="23">
        <v>0</v>
      </c>
      <c r="S879" s="23">
        <v>33.450000000000003</v>
      </c>
      <c r="U879" s="47">
        <f>VLOOKUP(AU879,[1]expiry_dates!$B$2:$C$2894,2,FALSE)</f>
        <v>44161</v>
      </c>
      <c r="V879" s="23" t="s">
        <v>173</v>
      </c>
      <c r="W879" s="23" t="s">
        <v>23</v>
      </c>
      <c r="X879" s="49">
        <v>44153.385416666664</v>
      </c>
      <c r="Y879" s="23">
        <v>0.05</v>
      </c>
      <c r="Z879" s="23">
        <v>44153.458333333336</v>
      </c>
      <c r="AA879" s="23">
        <v>0.05</v>
      </c>
      <c r="AB879" s="23">
        <v>0</v>
      </c>
      <c r="AC879" s="23">
        <v>0</v>
      </c>
      <c r="AD879" s="23">
        <v>0</v>
      </c>
      <c r="AE879" s="23">
        <v>1294102</v>
      </c>
      <c r="AF879" s="23">
        <v>64705.1</v>
      </c>
      <c r="AG879" s="23">
        <v>2933409.71</v>
      </c>
      <c r="AH879" s="23">
        <v>8</v>
      </c>
      <c r="AI879" s="23">
        <v>0</v>
      </c>
      <c r="AJ879" s="23">
        <v>0</v>
      </c>
      <c r="AK879" s="23">
        <v>0</v>
      </c>
      <c r="AL879" s="23" t="s">
        <v>24</v>
      </c>
      <c r="AM879" s="23">
        <v>33.9</v>
      </c>
      <c r="AN879" s="23">
        <v>29340.35</v>
      </c>
      <c r="AO879" s="23">
        <v>33.450000000000003</v>
      </c>
      <c r="AP879" s="23">
        <v>0</v>
      </c>
      <c r="AR879" s="46"/>
      <c r="AS879" s="44"/>
      <c r="AT879" s="45"/>
      <c r="AU879" s="2">
        <v>44153</v>
      </c>
      <c r="AV879" s="52">
        <v>0.38541666666666669</v>
      </c>
      <c r="AW879" s="2" t="s">
        <v>212</v>
      </c>
      <c r="AY879" s="3"/>
      <c r="BA879" s="3"/>
      <c r="BG879" s="3"/>
      <c r="BH879" s="3"/>
    </row>
    <row r="880" spans="1:60">
      <c r="A880" s="23" t="s">
        <v>22</v>
      </c>
      <c r="B880" s="23" t="s">
        <v>23</v>
      </c>
      <c r="C880" s="27">
        <v>44153.458333333336</v>
      </c>
      <c r="D880" s="23">
        <v>33.75</v>
      </c>
      <c r="E880" s="27">
        <v>44153.541666666664</v>
      </c>
      <c r="F880" s="23">
        <v>34.049999999999997</v>
      </c>
      <c r="G880" s="31">
        <v>8.8999999999999999E-3</v>
      </c>
      <c r="H880" s="23">
        <v>-448.18</v>
      </c>
      <c r="I880" s="31">
        <v>-8.8999999999999999E-3</v>
      </c>
      <c r="J880" s="23">
        <v>1493.9369999999999</v>
      </c>
      <c r="K880" s="23">
        <v>50420.38</v>
      </c>
      <c r="L880" s="23">
        <v>83255.92</v>
      </c>
      <c r="M880" s="23">
        <v>9</v>
      </c>
      <c r="N880" s="23">
        <v>-49.8</v>
      </c>
      <c r="O880" s="31">
        <v>-1.04E-2</v>
      </c>
      <c r="P880" s="31">
        <v>1.5E-3</v>
      </c>
      <c r="Q880" s="23" t="s">
        <v>24</v>
      </c>
      <c r="R880" s="23">
        <v>0</v>
      </c>
      <c r="S880" s="23">
        <v>34.35</v>
      </c>
      <c r="U880" s="47">
        <f>VLOOKUP(AU880,[1]expiry_dates!$B$2:$C$2894,2,FALSE)</f>
        <v>44161</v>
      </c>
      <c r="V880" s="23" t="s">
        <v>150</v>
      </c>
      <c r="W880" s="23" t="s">
        <v>23</v>
      </c>
      <c r="X880" s="49">
        <v>44153.458333333336</v>
      </c>
      <c r="Y880" s="23">
        <v>0.8</v>
      </c>
      <c r="Z880" s="23">
        <v>44153.541666666664</v>
      </c>
      <c r="AA880" s="23">
        <v>1</v>
      </c>
      <c r="AB880" s="23">
        <v>0.25</v>
      </c>
      <c r="AC880" s="23">
        <v>-16166.76</v>
      </c>
      <c r="AD880" s="23">
        <v>-0.25</v>
      </c>
      <c r="AE880" s="23">
        <v>80833.81</v>
      </c>
      <c r="AF880" s="23">
        <v>64667.05</v>
      </c>
      <c r="AG880" s="23">
        <v>2917242.94</v>
      </c>
      <c r="AH880" s="23">
        <v>9</v>
      </c>
      <c r="AI880" s="23">
        <v>-1796.31</v>
      </c>
      <c r="AJ880" s="23">
        <v>-0.25</v>
      </c>
      <c r="AK880" s="23">
        <v>6.25E-2</v>
      </c>
      <c r="AL880" s="23" t="s">
        <v>24</v>
      </c>
      <c r="AM880" s="23">
        <v>33.75</v>
      </c>
      <c r="AN880" s="23">
        <v>29351.65</v>
      </c>
      <c r="AO880" s="23">
        <v>34.35</v>
      </c>
      <c r="AP880" s="23">
        <v>0</v>
      </c>
      <c r="AR880" s="46"/>
      <c r="AS880" s="44"/>
      <c r="AT880" s="45"/>
      <c r="AU880" s="2">
        <v>44153</v>
      </c>
      <c r="AV880" s="52">
        <v>0.45833333333333331</v>
      </c>
      <c r="AW880" s="2" t="s">
        <v>212</v>
      </c>
      <c r="AY880" s="3"/>
      <c r="BA880" s="3"/>
      <c r="BG880" s="3"/>
      <c r="BH880" s="3"/>
    </row>
    <row r="881" spans="1:60">
      <c r="A881" s="23" t="s">
        <v>22</v>
      </c>
      <c r="B881" s="23" t="s">
        <v>25</v>
      </c>
      <c r="C881" s="27">
        <v>44153.541666666664</v>
      </c>
      <c r="D881" s="23">
        <v>34.049999999999997</v>
      </c>
      <c r="E881" s="27">
        <v>44154.385416666664</v>
      </c>
      <c r="F881" s="23">
        <v>34</v>
      </c>
      <c r="G881" s="31">
        <v>-1.5E-3</v>
      </c>
      <c r="H881" s="23">
        <v>-74.03</v>
      </c>
      <c r="I881" s="31">
        <v>-1.5E-3</v>
      </c>
      <c r="J881" s="23">
        <v>1480.654</v>
      </c>
      <c r="K881" s="23">
        <v>50416.28</v>
      </c>
      <c r="L881" s="23">
        <v>83181.89</v>
      </c>
      <c r="M881" s="23">
        <v>14</v>
      </c>
      <c r="N881" s="23">
        <v>-5.29</v>
      </c>
      <c r="O881" s="31">
        <v>-1.03E-2</v>
      </c>
      <c r="P881" s="31">
        <v>2.06E-2</v>
      </c>
      <c r="Q881" s="23" t="s">
        <v>24</v>
      </c>
      <c r="R881" s="23">
        <v>0</v>
      </c>
      <c r="S881" s="23">
        <v>33.700000000000003</v>
      </c>
      <c r="U881" s="47">
        <f>VLOOKUP(AU881,[1]expiry_dates!$B$2:$C$2894,2,FALSE)</f>
        <v>44161</v>
      </c>
      <c r="V881" s="23" t="s">
        <v>146</v>
      </c>
      <c r="W881" s="23" t="s">
        <v>23</v>
      </c>
      <c r="X881" s="49">
        <v>44153.541666666664</v>
      </c>
      <c r="Y881" s="23">
        <v>0.95</v>
      </c>
      <c r="Z881" s="23">
        <v>44154.385416666664</v>
      </c>
      <c r="AA881" s="23">
        <v>0.9</v>
      </c>
      <c r="AB881" s="23">
        <v>-5.2600000000000001E-2</v>
      </c>
      <c r="AC881" s="23">
        <v>3400.34</v>
      </c>
      <c r="AD881" s="23">
        <v>5.2600000000000001E-2</v>
      </c>
      <c r="AE881" s="23">
        <v>68006.77</v>
      </c>
      <c r="AF881" s="23">
        <v>64606.43</v>
      </c>
      <c r="AG881" s="23">
        <v>2920643.28</v>
      </c>
      <c r="AH881" s="23">
        <v>14</v>
      </c>
      <c r="AI881" s="23">
        <v>242.88</v>
      </c>
      <c r="AJ881" s="23">
        <v>-5.2600000000000001E-2</v>
      </c>
      <c r="AK881" s="23">
        <v>0.36840000000000001</v>
      </c>
      <c r="AL881" s="23" t="s">
        <v>24</v>
      </c>
      <c r="AM881" s="23">
        <v>34.049999999999997</v>
      </c>
      <c r="AN881" s="23">
        <v>29484.45</v>
      </c>
      <c r="AO881" s="23">
        <v>33.700000000000003</v>
      </c>
      <c r="AP881" s="23">
        <v>0</v>
      </c>
      <c r="AR881" s="46"/>
      <c r="AS881" s="44"/>
      <c r="AT881" s="45"/>
      <c r="AU881" s="2">
        <v>44153</v>
      </c>
      <c r="AV881" s="52">
        <v>4.1666666666666664E-2</v>
      </c>
      <c r="AW881" s="2" t="s">
        <v>213</v>
      </c>
      <c r="AY881" s="3"/>
      <c r="BA881" s="3"/>
      <c r="BG881" s="3"/>
      <c r="BH881" s="3"/>
    </row>
    <row r="882" spans="1:60">
      <c r="A882" s="23" t="s">
        <v>22</v>
      </c>
      <c r="B882" s="23" t="s">
        <v>23</v>
      </c>
      <c r="C882" s="27">
        <v>44154.385416666664</v>
      </c>
      <c r="D882" s="23">
        <v>34</v>
      </c>
      <c r="E882" s="27">
        <v>44154.479166666664</v>
      </c>
      <c r="F882" s="23">
        <v>34.299999999999997</v>
      </c>
      <c r="G882" s="31">
        <v>8.8000000000000005E-3</v>
      </c>
      <c r="H882" s="23">
        <v>-444.84</v>
      </c>
      <c r="I882" s="31">
        <v>-8.8000000000000005E-3</v>
      </c>
      <c r="J882" s="23">
        <v>1482.81</v>
      </c>
      <c r="K882" s="23">
        <v>50415.54</v>
      </c>
      <c r="L882" s="23">
        <v>82737.05</v>
      </c>
      <c r="M882" s="23">
        <v>10</v>
      </c>
      <c r="N882" s="23">
        <v>-44.48</v>
      </c>
      <c r="O882" s="31">
        <v>-8.8000000000000005E-3</v>
      </c>
      <c r="P882" s="31">
        <v>8.8000000000000005E-3</v>
      </c>
      <c r="Q882" s="23" t="s">
        <v>24</v>
      </c>
      <c r="R882" s="23">
        <v>0</v>
      </c>
      <c r="S882" s="23">
        <v>34.69</v>
      </c>
      <c r="U882" s="47">
        <f>VLOOKUP(AU882,[1]expiry_dates!$B$2:$C$2894,2,FALSE)</f>
        <v>44161</v>
      </c>
      <c r="V882" s="23" t="s">
        <v>150</v>
      </c>
      <c r="W882" s="23" t="s">
        <v>23</v>
      </c>
      <c r="X882" s="49">
        <v>44154.385416666664</v>
      </c>
      <c r="Y882" s="23">
        <v>0.9</v>
      </c>
      <c r="Z882" s="23">
        <v>44154.479166666664</v>
      </c>
      <c r="AA882" s="23">
        <v>1.1000000000000001</v>
      </c>
      <c r="AB882" s="23">
        <v>0.22220000000000001</v>
      </c>
      <c r="AC882" s="23">
        <v>-14363.83</v>
      </c>
      <c r="AD882" s="23">
        <v>-0.22220000000000001</v>
      </c>
      <c r="AE882" s="23">
        <v>71819.13</v>
      </c>
      <c r="AF882" s="23">
        <v>64637.22</v>
      </c>
      <c r="AG882" s="23">
        <v>2906279.45</v>
      </c>
      <c r="AH882" s="23">
        <v>10</v>
      </c>
      <c r="AI882" s="23">
        <v>-1436.38</v>
      </c>
      <c r="AJ882" s="23">
        <v>-0.22220000000000001</v>
      </c>
      <c r="AK882" s="23">
        <v>0.16669999999999999</v>
      </c>
      <c r="AL882" s="23" t="s">
        <v>24</v>
      </c>
      <c r="AM882" s="23">
        <v>34</v>
      </c>
      <c r="AN882" s="23">
        <v>29435.599999999999</v>
      </c>
      <c r="AO882" s="23">
        <v>34.69</v>
      </c>
      <c r="AP882" s="23">
        <v>0</v>
      </c>
      <c r="AR882" s="46"/>
      <c r="AS882" s="44"/>
      <c r="AT882" s="45"/>
      <c r="AU882" s="2">
        <v>44154</v>
      </c>
      <c r="AV882" s="52">
        <v>0.38541666666666669</v>
      </c>
      <c r="AW882" s="2" t="s">
        <v>212</v>
      </c>
      <c r="AY882" s="3"/>
      <c r="BA882" s="3"/>
      <c r="BG882" s="3"/>
      <c r="BH882" s="3"/>
    </row>
    <row r="883" spans="1:60">
      <c r="A883" s="23" t="s">
        <v>22</v>
      </c>
      <c r="B883" s="23" t="s">
        <v>25</v>
      </c>
      <c r="C883" s="27">
        <v>44154.479166666664</v>
      </c>
      <c r="D883" s="23">
        <v>34.299999999999997</v>
      </c>
      <c r="E883" s="27">
        <v>44154.541666666664</v>
      </c>
      <c r="F883" s="23">
        <v>33.9</v>
      </c>
      <c r="G883" s="31">
        <v>-1.17E-2</v>
      </c>
      <c r="H883" s="23">
        <v>-587.94000000000005</v>
      </c>
      <c r="I883" s="31">
        <v>-1.17E-2</v>
      </c>
      <c r="J883" s="23">
        <v>1469.8409999999999</v>
      </c>
      <c r="K883" s="23">
        <v>50415.54</v>
      </c>
      <c r="L883" s="23">
        <v>82149.11</v>
      </c>
      <c r="M883" s="23">
        <v>7</v>
      </c>
      <c r="N883" s="23">
        <v>-83.99</v>
      </c>
      <c r="O883" s="31">
        <v>-1.17E-2</v>
      </c>
      <c r="P883" s="31">
        <v>2.8999999999999998E-3</v>
      </c>
      <c r="Q883" s="23" t="s">
        <v>24</v>
      </c>
      <c r="R883" s="23">
        <v>0</v>
      </c>
      <c r="S883" s="23">
        <v>33.71</v>
      </c>
      <c r="U883" s="47">
        <f>VLOOKUP(AU883,[1]expiry_dates!$B$2:$C$2894,2,FALSE)</f>
        <v>44161</v>
      </c>
      <c r="V883" s="23" t="s">
        <v>146</v>
      </c>
      <c r="W883" s="23" t="s">
        <v>23</v>
      </c>
      <c r="X883" s="49">
        <v>44154.479166666664</v>
      </c>
      <c r="Y883" s="23">
        <v>0.7</v>
      </c>
      <c r="Z883" s="23">
        <v>44154.541666666664</v>
      </c>
      <c r="AA883" s="23">
        <v>0.9</v>
      </c>
      <c r="AB883" s="23">
        <v>0.28570000000000001</v>
      </c>
      <c r="AC883" s="23">
        <v>-18452.93</v>
      </c>
      <c r="AD883" s="23">
        <v>-0.28570000000000001</v>
      </c>
      <c r="AE883" s="23">
        <v>92264.66</v>
      </c>
      <c r="AF883" s="23">
        <v>64585.27</v>
      </c>
      <c r="AG883" s="23">
        <v>2887826.52</v>
      </c>
      <c r="AH883" s="23">
        <v>7</v>
      </c>
      <c r="AI883" s="23">
        <v>-2636.13</v>
      </c>
      <c r="AJ883" s="23">
        <v>-0.35709999999999997</v>
      </c>
      <c r="AK883" s="23">
        <v>0</v>
      </c>
      <c r="AL883" s="23" t="s">
        <v>24</v>
      </c>
      <c r="AM883" s="23">
        <v>34.299999999999997</v>
      </c>
      <c r="AN883" s="23">
        <v>29556.85</v>
      </c>
      <c r="AO883" s="23">
        <v>33.71</v>
      </c>
      <c r="AP883" s="23">
        <v>0</v>
      </c>
      <c r="AR883" s="46"/>
      <c r="AS883" s="44"/>
      <c r="AT883" s="45"/>
      <c r="AU883" s="2">
        <v>44154</v>
      </c>
      <c r="AV883" s="52">
        <v>0.47916666666666669</v>
      </c>
      <c r="AW883" s="2" t="s">
        <v>212</v>
      </c>
      <c r="AY883" s="3"/>
      <c r="BA883" s="3"/>
      <c r="BG883" s="3"/>
      <c r="BH883" s="3"/>
    </row>
    <row r="884" spans="1:60">
      <c r="A884" s="23" t="s">
        <v>22</v>
      </c>
      <c r="B884" s="23" t="s">
        <v>23</v>
      </c>
      <c r="C884" s="27">
        <v>44154.541666666664</v>
      </c>
      <c r="D884" s="23">
        <v>33.9</v>
      </c>
      <c r="E884" s="27">
        <v>44155.416666666664</v>
      </c>
      <c r="F884" s="23">
        <v>33.65</v>
      </c>
      <c r="G884" s="31">
        <v>-7.4000000000000003E-3</v>
      </c>
      <c r="H884" s="23">
        <v>371.77</v>
      </c>
      <c r="I884" s="31">
        <v>7.4000000000000003E-3</v>
      </c>
      <c r="J884" s="23">
        <v>1487.0640000000001</v>
      </c>
      <c r="K884" s="23">
        <v>50411.48</v>
      </c>
      <c r="L884" s="23">
        <v>82520.88</v>
      </c>
      <c r="M884" s="23">
        <v>17</v>
      </c>
      <c r="N884" s="23">
        <v>21.87</v>
      </c>
      <c r="O884" s="31">
        <v>-2.8999999999999998E-3</v>
      </c>
      <c r="P884" s="31">
        <v>2.5100000000000001E-2</v>
      </c>
      <c r="Q884" s="23" t="s">
        <v>24</v>
      </c>
      <c r="R884" s="23">
        <v>0</v>
      </c>
      <c r="S884" s="23">
        <v>34.380000000000003</v>
      </c>
      <c r="U884" s="47">
        <f>VLOOKUP(AU884,[1]expiry_dates!$B$2:$C$2894,2,FALSE)</f>
        <v>44161</v>
      </c>
      <c r="V884" s="23" t="s">
        <v>150</v>
      </c>
      <c r="W884" s="23" t="s">
        <v>23</v>
      </c>
      <c r="X884" s="49">
        <v>44154.541666666664</v>
      </c>
      <c r="Y884" s="23">
        <v>0.85</v>
      </c>
      <c r="Z884" s="23">
        <v>44155.416666666664</v>
      </c>
      <c r="AA884" s="23">
        <v>0.6</v>
      </c>
      <c r="AB884" s="23">
        <v>-0.29409999999999997</v>
      </c>
      <c r="AC884" s="23">
        <v>18952.689999999999</v>
      </c>
      <c r="AD884" s="23">
        <v>0.29409999999999997</v>
      </c>
      <c r="AE884" s="23">
        <v>75810.740000000005</v>
      </c>
      <c r="AF884" s="23">
        <v>64439.13</v>
      </c>
      <c r="AG884" s="23">
        <v>2906779.21</v>
      </c>
      <c r="AH884" s="23">
        <v>17</v>
      </c>
      <c r="AI884" s="23">
        <v>1114.8599999999999</v>
      </c>
      <c r="AJ884" s="23">
        <v>-5.8799999999999998E-2</v>
      </c>
      <c r="AK884" s="23">
        <v>0.47060000000000002</v>
      </c>
      <c r="AL884" s="23" t="s">
        <v>24</v>
      </c>
      <c r="AM884" s="23">
        <v>33.9</v>
      </c>
      <c r="AN884" s="23">
        <v>29435.3</v>
      </c>
      <c r="AO884" s="23">
        <v>34.380000000000003</v>
      </c>
      <c r="AP884" s="23">
        <v>0</v>
      </c>
      <c r="AR884" s="46"/>
      <c r="AS884" s="44"/>
      <c r="AT884" s="45"/>
      <c r="AU884" s="2">
        <v>44154</v>
      </c>
      <c r="AV884" s="52">
        <v>4.1666666666666664E-2</v>
      </c>
      <c r="AW884" s="2" t="s">
        <v>213</v>
      </c>
      <c r="AY884" s="3"/>
      <c r="BA884" s="3"/>
      <c r="BG884" s="3"/>
      <c r="BH884" s="3"/>
    </row>
    <row r="885" spans="1:60">
      <c r="A885" s="23" t="s">
        <v>22</v>
      </c>
      <c r="B885" s="23" t="s">
        <v>25</v>
      </c>
      <c r="C885" s="27">
        <v>44155.416666666664</v>
      </c>
      <c r="D885" s="23">
        <v>33.65</v>
      </c>
      <c r="E885" s="27">
        <v>44155.458333333336</v>
      </c>
      <c r="F885" s="23">
        <v>33.200000000000003</v>
      </c>
      <c r="G885" s="31">
        <v>-1.34E-2</v>
      </c>
      <c r="H885" s="23">
        <v>-674.19</v>
      </c>
      <c r="I885" s="31">
        <v>-1.34E-2</v>
      </c>
      <c r="J885" s="23">
        <v>1498.19</v>
      </c>
      <c r="K885" s="23">
        <v>50414.09</v>
      </c>
      <c r="L885" s="23">
        <v>81846.69</v>
      </c>
      <c r="M885" s="23">
        <v>5</v>
      </c>
      <c r="N885" s="23">
        <v>-134.84</v>
      </c>
      <c r="O885" s="31">
        <v>-1.34E-2</v>
      </c>
      <c r="P885" s="31">
        <v>4.4999999999999997E-3</v>
      </c>
      <c r="Q885" s="23" t="s">
        <v>24</v>
      </c>
      <c r="R885" s="23">
        <v>0</v>
      </c>
      <c r="S885" s="23">
        <v>33.049999999999997</v>
      </c>
      <c r="U885" s="47">
        <f>VLOOKUP(AU885,[1]expiry_dates!$B$2:$C$2894,2,FALSE)</f>
        <v>44161</v>
      </c>
      <c r="V885" s="23" t="s">
        <v>146</v>
      </c>
      <c r="W885" s="23" t="s">
        <v>23</v>
      </c>
      <c r="X885" s="49">
        <v>44155.416666666664</v>
      </c>
      <c r="Y885" s="23">
        <v>1.1000000000000001</v>
      </c>
      <c r="Z885" s="23">
        <v>44155.458333333336</v>
      </c>
      <c r="AA885" s="23">
        <v>1.2</v>
      </c>
      <c r="AB885" s="23">
        <v>9.0899999999999995E-2</v>
      </c>
      <c r="AC885" s="23">
        <v>-5868.44</v>
      </c>
      <c r="AD885" s="23">
        <v>-9.0899999999999995E-2</v>
      </c>
      <c r="AE885" s="23">
        <v>58684.41</v>
      </c>
      <c r="AF885" s="23">
        <v>64552.85</v>
      </c>
      <c r="AG885" s="23">
        <v>2900910.77</v>
      </c>
      <c r="AH885" s="23">
        <v>5</v>
      </c>
      <c r="AI885" s="23">
        <v>-1173.69</v>
      </c>
      <c r="AJ885" s="23">
        <v>-9.0899999999999995E-2</v>
      </c>
      <c r="AK885" s="23">
        <v>9.0899999999999995E-2</v>
      </c>
      <c r="AL885" s="23" t="s">
        <v>24</v>
      </c>
      <c r="AM885" s="23">
        <v>33.65</v>
      </c>
      <c r="AN885" s="23">
        <v>28970.9</v>
      </c>
      <c r="AO885" s="23">
        <v>33.049999999999997</v>
      </c>
      <c r="AP885" s="23">
        <v>0</v>
      </c>
      <c r="AR885" s="46"/>
      <c r="AS885" s="44"/>
      <c r="AT885" s="45"/>
      <c r="AU885" s="2">
        <v>44155</v>
      </c>
      <c r="AV885" s="52">
        <v>0.41666666666666669</v>
      </c>
      <c r="AW885" s="2" t="s">
        <v>212</v>
      </c>
      <c r="AY885" s="3"/>
      <c r="BA885" s="3"/>
      <c r="BG885" s="3"/>
      <c r="BH885" s="3"/>
    </row>
    <row r="886" spans="1:60">
      <c r="A886" s="23" t="s">
        <v>22</v>
      </c>
      <c r="B886" s="23" t="s">
        <v>23</v>
      </c>
      <c r="C886" s="27">
        <v>44155.458333333336</v>
      </c>
      <c r="D886" s="23">
        <v>33.200000000000003</v>
      </c>
      <c r="E886" s="27">
        <v>44155.572916666664</v>
      </c>
      <c r="F886" s="23">
        <v>33.549999999999997</v>
      </c>
      <c r="G886" s="31">
        <v>1.0500000000000001E-2</v>
      </c>
      <c r="H886" s="23">
        <v>-531.42999999999995</v>
      </c>
      <c r="I886" s="31">
        <v>-1.0500000000000001E-2</v>
      </c>
      <c r="J886" s="23">
        <v>1518.384</v>
      </c>
      <c r="K886" s="23">
        <v>50410.36</v>
      </c>
      <c r="L886" s="23">
        <v>81315.259999999995</v>
      </c>
      <c r="M886" s="23">
        <v>12</v>
      </c>
      <c r="N886" s="23">
        <v>-44.29</v>
      </c>
      <c r="O886" s="31">
        <v>-1.0500000000000001E-2</v>
      </c>
      <c r="P886" s="31">
        <v>4.4999999999999997E-3</v>
      </c>
      <c r="Q886" s="23" t="s">
        <v>24</v>
      </c>
      <c r="R886" s="23">
        <v>0</v>
      </c>
      <c r="S886" s="23">
        <v>33.799999999999997</v>
      </c>
      <c r="U886" s="47">
        <f>VLOOKUP(AU886,[1]expiry_dates!$B$2:$C$2894,2,FALSE)</f>
        <v>44161</v>
      </c>
      <c r="V886" s="23" t="s">
        <v>181</v>
      </c>
      <c r="W886" s="23" t="s">
        <v>23</v>
      </c>
      <c r="X886" s="49">
        <v>44155.458333333336</v>
      </c>
      <c r="Y886" s="23">
        <v>0.75</v>
      </c>
      <c r="Z886" s="23">
        <v>44155.572916666664</v>
      </c>
      <c r="AA886" s="23">
        <v>1.05</v>
      </c>
      <c r="AB886" s="23">
        <v>0.4</v>
      </c>
      <c r="AC886" s="23">
        <v>-25801.82</v>
      </c>
      <c r="AD886" s="23">
        <v>-0.4</v>
      </c>
      <c r="AE886" s="23">
        <v>86006.07</v>
      </c>
      <c r="AF886" s="23">
        <v>64504.55</v>
      </c>
      <c r="AG886" s="23">
        <v>2875108.95</v>
      </c>
      <c r="AH886" s="23">
        <v>12</v>
      </c>
      <c r="AI886" s="23">
        <v>-2150.15</v>
      </c>
      <c r="AJ886" s="23">
        <v>-0.4</v>
      </c>
      <c r="AK886" s="23">
        <v>0</v>
      </c>
      <c r="AL886" s="23" t="s">
        <v>24</v>
      </c>
      <c r="AM886" s="23">
        <v>33.200000000000003</v>
      </c>
      <c r="AN886" s="23">
        <v>28627.05</v>
      </c>
      <c r="AO886" s="23">
        <v>33.799999999999997</v>
      </c>
      <c r="AP886" s="23">
        <v>0</v>
      </c>
      <c r="AR886" s="46"/>
      <c r="AS886" s="44"/>
      <c r="AT886" s="45"/>
      <c r="AU886" s="2">
        <v>44155</v>
      </c>
      <c r="AV886" s="52">
        <v>0.45833333333333331</v>
      </c>
      <c r="AW886" s="2" t="s">
        <v>212</v>
      </c>
      <c r="AY886" s="3"/>
      <c r="BA886" s="3"/>
      <c r="BG886" s="3"/>
      <c r="BH886" s="3"/>
    </row>
    <row r="887" spans="1:60">
      <c r="A887" s="23" t="s">
        <v>22</v>
      </c>
      <c r="B887" s="23" t="s">
        <v>25</v>
      </c>
      <c r="C887" s="27">
        <v>44155.572916666664</v>
      </c>
      <c r="D887" s="23">
        <v>33.549999999999997</v>
      </c>
      <c r="E887" s="27">
        <v>44159.385416666664</v>
      </c>
      <c r="F887" s="23">
        <v>36.450000000000003</v>
      </c>
      <c r="G887" s="31">
        <v>8.6400000000000005E-2</v>
      </c>
      <c r="H887" s="23">
        <v>4357.12</v>
      </c>
      <c r="I887" s="31">
        <v>8.6400000000000005E-2</v>
      </c>
      <c r="J887" s="23">
        <v>1502.454</v>
      </c>
      <c r="K887" s="23">
        <v>50407.33</v>
      </c>
      <c r="L887" s="23">
        <v>85672.37</v>
      </c>
      <c r="M887" s="23">
        <v>39</v>
      </c>
      <c r="N887" s="23">
        <v>111.72</v>
      </c>
      <c r="O887" s="31">
        <v>-4.4999999999999997E-3</v>
      </c>
      <c r="P887" s="31">
        <v>0.14749999999999999</v>
      </c>
      <c r="Q887" s="23" t="s">
        <v>24</v>
      </c>
      <c r="R887" s="23">
        <v>0</v>
      </c>
      <c r="S887" s="23">
        <v>33.07</v>
      </c>
      <c r="U887" s="47">
        <f>VLOOKUP(AU887,[1]expiry_dates!$B$2:$C$2894,2,FALSE)</f>
        <v>44161</v>
      </c>
      <c r="V887" s="23" t="s">
        <v>147</v>
      </c>
      <c r="W887" s="23" t="s">
        <v>23</v>
      </c>
      <c r="X887" s="49">
        <v>44155.572916666664</v>
      </c>
      <c r="Y887" s="23">
        <v>0.5</v>
      </c>
      <c r="Z887" s="23">
        <v>44159.385416666664</v>
      </c>
      <c r="AA887" s="23">
        <v>0.05</v>
      </c>
      <c r="AB887" s="23">
        <v>-0.9</v>
      </c>
      <c r="AC887" s="23">
        <v>57996.05</v>
      </c>
      <c r="AD887" s="23">
        <v>0.9</v>
      </c>
      <c r="AE887" s="23">
        <v>128880.1</v>
      </c>
      <c r="AF887" s="23">
        <v>64440.05</v>
      </c>
      <c r="AG887" s="23">
        <v>2933104.99</v>
      </c>
      <c r="AH887" s="23">
        <v>39</v>
      </c>
      <c r="AI887" s="23">
        <v>1487.08</v>
      </c>
      <c r="AJ887" s="23">
        <v>-0.1</v>
      </c>
      <c r="AK887" s="23">
        <v>0.9</v>
      </c>
      <c r="AL887" s="23" t="s">
        <v>24</v>
      </c>
      <c r="AM887" s="23">
        <v>33.549999999999997</v>
      </c>
      <c r="AN887" s="23">
        <v>29239.4</v>
      </c>
      <c r="AO887" s="23">
        <v>33.07</v>
      </c>
      <c r="AP887" s="23">
        <v>0</v>
      </c>
      <c r="AR887" s="46"/>
      <c r="AS887" s="44"/>
      <c r="AT887" s="45"/>
      <c r="AU887" s="2">
        <v>44155</v>
      </c>
      <c r="AV887" s="52">
        <v>7.2916666666666671E-2</v>
      </c>
      <c r="AW887" s="2" t="s">
        <v>213</v>
      </c>
      <c r="AY887" s="3"/>
      <c r="BA887" s="3"/>
      <c r="BG887" s="3"/>
      <c r="BH887" s="3"/>
    </row>
    <row r="888" spans="1:60">
      <c r="A888" s="23" t="s">
        <v>22</v>
      </c>
      <c r="B888" s="23" t="s">
        <v>23</v>
      </c>
      <c r="C888" s="27">
        <v>44159.385416666664</v>
      </c>
      <c r="D888" s="23">
        <v>36.450000000000003</v>
      </c>
      <c r="E888" s="27">
        <v>44159.604166666664</v>
      </c>
      <c r="F888" s="23">
        <v>36.450000000000003</v>
      </c>
      <c r="G888" s="31">
        <v>0</v>
      </c>
      <c r="H888" s="23">
        <v>0</v>
      </c>
      <c r="I888" s="31">
        <v>0</v>
      </c>
      <c r="J888" s="23">
        <v>1383.6690000000001</v>
      </c>
      <c r="K888" s="23">
        <v>50434.75</v>
      </c>
      <c r="L888" s="23">
        <v>85672.37</v>
      </c>
      <c r="M888" s="23">
        <v>22</v>
      </c>
      <c r="N888" s="23">
        <v>0</v>
      </c>
      <c r="O888" s="31">
        <v>-2.1899999999999999E-2</v>
      </c>
      <c r="P888" s="31">
        <v>2.06E-2</v>
      </c>
      <c r="Q888" s="23" t="s">
        <v>24</v>
      </c>
      <c r="R888" s="23">
        <v>0</v>
      </c>
      <c r="S888" s="23">
        <v>38.42</v>
      </c>
      <c r="U888" s="47">
        <f>VLOOKUP(AU888,[1]expiry_dates!$B$2:$C$2894,2,FALSE)</f>
        <v>44161</v>
      </c>
      <c r="V888" s="23" t="s">
        <v>145</v>
      </c>
      <c r="W888" s="23" t="s">
        <v>23</v>
      </c>
      <c r="X888" s="49">
        <v>44159.385416666664</v>
      </c>
      <c r="Y888" s="23">
        <v>0.9</v>
      </c>
      <c r="Z888" s="23">
        <v>44159.604166666664</v>
      </c>
      <c r="AA888" s="23">
        <v>0.9</v>
      </c>
      <c r="AB888" s="23">
        <v>0</v>
      </c>
      <c r="AC888" s="23">
        <v>0</v>
      </c>
      <c r="AD888" s="23">
        <v>0</v>
      </c>
      <c r="AE888" s="23">
        <v>71850.59</v>
      </c>
      <c r="AF888" s="23">
        <v>64665.53</v>
      </c>
      <c r="AG888" s="23">
        <v>2933104.99</v>
      </c>
      <c r="AH888" s="23">
        <v>22</v>
      </c>
      <c r="AI888" s="23">
        <v>0</v>
      </c>
      <c r="AJ888" s="23">
        <v>-0.77780000000000005</v>
      </c>
      <c r="AK888" s="23">
        <v>0.44440000000000002</v>
      </c>
      <c r="AL888" s="23" t="s">
        <v>24</v>
      </c>
      <c r="AM888" s="23">
        <v>36.450000000000003</v>
      </c>
      <c r="AN888" s="23">
        <v>29415.45</v>
      </c>
      <c r="AO888" s="23">
        <v>38.42</v>
      </c>
      <c r="AP888" s="23">
        <v>0</v>
      </c>
      <c r="AR888" s="46"/>
      <c r="AS888" s="44"/>
      <c r="AT888" s="45"/>
      <c r="AU888" s="2">
        <v>44159</v>
      </c>
      <c r="AV888" s="52">
        <v>0.38541666666666669</v>
      </c>
      <c r="AW888" s="2" t="s">
        <v>212</v>
      </c>
      <c r="AY888" s="3"/>
      <c r="BA888" s="3"/>
      <c r="BG888" s="3"/>
      <c r="BH888" s="3"/>
    </row>
    <row r="889" spans="1:60">
      <c r="A889" s="23" t="s">
        <v>22</v>
      </c>
      <c r="B889" s="23" t="s">
        <v>25</v>
      </c>
      <c r="C889" s="27">
        <v>44159.604166666664</v>
      </c>
      <c r="D889" s="23">
        <v>36.450000000000003</v>
      </c>
      <c r="E889" s="27">
        <v>44160.427083333336</v>
      </c>
      <c r="F889" s="23">
        <v>36.35</v>
      </c>
      <c r="G889" s="31">
        <v>-2.7000000000000001E-3</v>
      </c>
      <c r="H889" s="23">
        <v>-138.35</v>
      </c>
      <c r="I889" s="31">
        <v>-2.7000000000000001E-3</v>
      </c>
      <c r="J889" s="23">
        <v>1383.5129999999999</v>
      </c>
      <c r="K889" s="23">
        <v>50429.05</v>
      </c>
      <c r="L889" s="23">
        <v>85534.02</v>
      </c>
      <c r="M889" s="23">
        <v>12</v>
      </c>
      <c r="N889" s="23">
        <v>-11.53</v>
      </c>
      <c r="O889" s="31">
        <v>-2.7000000000000001E-3</v>
      </c>
      <c r="P889" s="31">
        <v>2.3300000000000001E-2</v>
      </c>
      <c r="Q889" s="23" t="s">
        <v>24</v>
      </c>
      <c r="R889" s="23">
        <v>0</v>
      </c>
      <c r="S889" s="23">
        <v>35.700000000000003</v>
      </c>
      <c r="U889" s="47">
        <f>VLOOKUP(AU889,[1]expiry_dates!$B$2:$C$2894,2,FALSE)</f>
        <v>44161</v>
      </c>
      <c r="V889" s="23" t="s">
        <v>148</v>
      </c>
      <c r="W889" s="23" t="s">
        <v>23</v>
      </c>
      <c r="X889" s="49">
        <v>44159.604166666664</v>
      </c>
      <c r="Y889" s="23">
        <v>0.25</v>
      </c>
      <c r="Z889" s="23">
        <v>44160.427083333336</v>
      </c>
      <c r="AA889" s="23">
        <v>0.2</v>
      </c>
      <c r="AB889" s="23">
        <v>-0.2</v>
      </c>
      <c r="AC889" s="23">
        <v>12940.29</v>
      </c>
      <c r="AD889" s="23">
        <v>0.2</v>
      </c>
      <c r="AE889" s="23">
        <v>258805.8</v>
      </c>
      <c r="AF889" s="23">
        <v>64701.45</v>
      </c>
      <c r="AG889" s="23">
        <v>2946045.28</v>
      </c>
      <c r="AH889" s="23">
        <v>12</v>
      </c>
      <c r="AI889" s="23">
        <v>1078.3599999999999</v>
      </c>
      <c r="AJ889" s="23">
        <v>-0.2</v>
      </c>
      <c r="AK889" s="23">
        <v>0.6</v>
      </c>
      <c r="AL889" s="23" t="s">
        <v>24</v>
      </c>
      <c r="AM889" s="23">
        <v>36.450000000000003</v>
      </c>
      <c r="AN889" s="23">
        <v>29687.05</v>
      </c>
      <c r="AO889" s="23">
        <v>35.700000000000003</v>
      </c>
      <c r="AP889" s="23">
        <v>0</v>
      </c>
      <c r="AR889" s="46"/>
      <c r="AS889" s="44"/>
      <c r="AT889" s="45"/>
      <c r="AU889" s="2">
        <v>44159</v>
      </c>
      <c r="AV889" s="52">
        <v>0.10416666666666667</v>
      </c>
      <c r="AW889" s="2" t="s">
        <v>213</v>
      </c>
      <c r="AY889" s="3"/>
      <c r="BA889" s="3"/>
      <c r="BG889" s="3"/>
      <c r="BH889" s="3"/>
    </row>
    <row r="890" spans="1:60">
      <c r="A890" s="23" t="s">
        <v>22</v>
      </c>
      <c r="B890" s="23" t="s">
        <v>23</v>
      </c>
      <c r="C890" s="27">
        <v>44160.427083333336</v>
      </c>
      <c r="D890" s="23">
        <v>36.35</v>
      </c>
      <c r="E890" s="27">
        <v>44160.541666666664</v>
      </c>
      <c r="F890" s="23">
        <v>36.65</v>
      </c>
      <c r="G890" s="31">
        <v>8.3000000000000001E-3</v>
      </c>
      <c r="H890" s="23">
        <v>-416.21</v>
      </c>
      <c r="I890" s="31">
        <v>-8.3000000000000001E-3</v>
      </c>
      <c r="J890" s="23">
        <v>1387.376</v>
      </c>
      <c r="K890" s="23">
        <v>50431.13</v>
      </c>
      <c r="L890" s="23">
        <v>85117.81</v>
      </c>
      <c r="M890" s="23">
        <v>12</v>
      </c>
      <c r="N890" s="23">
        <v>-34.68</v>
      </c>
      <c r="O890" s="31">
        <v>-1.5100000000000001E-2</v>
      </c>
      <c r="P890" s="31">
        <v>1.5100000000000001E-2</v>
      </c>
      <c r="Q890" s="23" t="s">
        <v>24</v>
      </c>
      <c r="R890" s="23">
        <v>0</v>
      </c>
      <c r="S890" s="23">
        <v>37.299999999999997</v>
      </c>
      <c r="U890" s="47">
        <f>VLOOKUP(AU890,[1]expiry_dates!$B$2:$C$2894,2,FALSE)</f>
        <v>44161</v>
      </c>
      <c r="V890" s="23" t="s">
        <v>145</v>
      </c>
      <c r="W890" s="23" t="s">
        <v>23</v>
      </c>
      <c r="X890" s="49">
        <v>44160.427083333336</v>
      </c>
      <c r="Y890" s="23">
        <v>0.65</v>
      </c>
      <c r="Z890" s="23">
        <v>44160.541666666664</v>
      </c>
      <c r="AA890" s="23">
        <v>0.85</v>
      </c>
      <c r="AB890" s="23">
        <v>0.30769999999999997</v>
      </c>
      <c r="AC890" s="23">
        <v>-19936.900000000001</v>
      </c>
      <c r="AD890" s="23">
        <v>-0.30769999999999997</v>
      </c>
      <c r="AE890" s="23">
        <v>99684.51</v>
      </c>
      <c r="AF890" s="23">
        <v>64794.93</v>
      </c>
      <c r="AG890" s="23">
        <v>2926108.38</v>
      </c>
      <c r="AH890" s="23">
        <v>12</v>
      </c>
      <c r="AI890" s="23">
        <v>-1661.41</v>
      </c>
      <c r="AJ890" s="23">
        <v>-0.3846</v>
      </c>
      <c r="AK890" s="23">
        <v>0.3846</v>
      </c>
      <c r="AL890" s="23" t="s">
        <v>24</v>
      </c>
      <c r="AM890" s="23">
        <v>36.35</v>
      </c>
      <c r="AN890" s="23">
        <v>29925.4</v>
      </c>
      <c r="AO890" s="23">
        <v>37.299999999999997</v>
      </c>
      <c r="AP890" s="23">
        <v>0</v>
      </c>
      <c r="AR890" s="46"/>
      <c r="AS890" s="44"/>
      <c r="AT890" s="45"/>
      <c r="AU890" s="2">
        <v>44160</v>
      </c>
      <c r="AV890" s="52">
        <v>0.42708333333333331</v>
      </c>
      <c r="AW890" s="2" t="s">
        <v>212</v>
      </c>
      <c r="AY890" s="3"/>
      <c r="BA890" s="3"/>
      <c r="BG890" s="3"/>
      <c r="BH890" s="3"/>
    </row>
    <row r="891" spans="1:60">
      <c r="A891" s="23" t="s">
        <v>22</v>
      </c>
      <c r="B891" s="23" t="s">
        <v>25</v>
      </c>
      <c r="C891" s="27">
        <v>44160.541666666664</v>
      </c>
      <c r="D891" s="23">
        <v>36.65</v>
      </c>
      <c r="E891" s="27">
        <v>44160.583333333336</v>
      </c>
      <c r="F891" s="23">
        <v>36.049999999999997</v>
      </c>
      <c r="G891" s="31">
        <v>-1.6400000000000001E-2</v>
      </c>
      <c r="H891" s="23">
        <v>-825.53</v>
      </c>
      <c r="I891" s="31">
        <v>-1.6400000000000001E-2</v>
      </c>
      <c r="J891" s="23">
        <v>1375.8879999999999</v>
      </c>
      <c r="K891" s="23">
        <v>50426.28</v>
      </c>
      <c r="L891" s="23">
        <v>84292.28</v>
      </c>
      <c r="M891" s="23">
        <v>5</v>
      </c>
      <c r="N891" s="23">
        <v>-165.11</v>
      </c>
      <c r="O891" s="31">
        <v>-1.6400000000000001E-2</v>
      </c>
      <c r="P891" s="31">
        <v>4.1000000000000003E-3</v>
      </c>
      <c r="Q891" s="23" t="s">
        <v>24</v>
      </c>
      <c r="R891" s="23">
        <v>0</v>
      </c>
      <c r="S891" s="23">
        <v>35.82</v>
      </c>
      <c r="U891" s="47">
        <f>VLOOKUP(AU891,[1]expiry_dates!$B$2:$C$2894,2,FALSE)</f>
        <v>44161</v>
      </c>
      <c r="V891" s="23" t="s">
        <v>148</v>
      </c>
      <c r="W891" s="23" t="s">
        <v>23</v>
      </c>
      <c r="X891" s="49">
        <v>44160.541666666664</v>
      </c>
      <c r="Y891" s="23">
        <v>0.1</v>
      </c>
      <c r="Z891" s="23">
        <v>44160.583333333336</v>
      </c>
      <c r="AA891" s="23">
        <v>0.2</v>
      </c>
      <c r="AB891" s="23">
        <v>1</v>
      </c>
      <c r="AC891" s="23">
        <v>-64680.38</v>
      </c>
      <c r="AD891" s="23">
        <v>-1</v>
      </c>
      <c r="AE891" s="23">
        <v>646803.80000000005</v>
      </c>
      <c r="AF891" s="23">
        <v>64680.38</v>
      </c>
      <c r="AG891" s="23">
        <v>2861428</v>
      </c>
      <c r="AH891" s="23">
        <v>5</v>
      </c>
      <c r="AI891" s="23">
        <v>-12936.08</v>
      </c>
      <c r="AJ891" s="23">
        <v>-1</v>
      </c>
      <c r="AK891" s="23">
        <v>0</v>
      </c>
      <c r="AL891" s="23" t="s">
        <v>24</v>
      </c>
      <c r="AM891" s="23">
        <v>36.65</v>
      </c>
      <c r="AN891" s="23">
        <v>29776.2</v>
      </c>
      <c r="AO891" s="23">
        <v>35.82</v>
      </c>
      <c r="AP891" s="23">
        <v>0</v>
      </c>
      <c r="AR891" s="46"/>
      <c r="AS891" s="44"/>
      <c r="AT891" s="45"/>
      <c r="AU891" s="2">
        <v>44160</v>
      </c>
      <c r="AV891" s="52">
        <v>4.1666666666666664E-2</v>
      </c>
      <c r="AW891" s="2" t="s">
        <v>213</v>
      </c>
      <c r="AY891" s="3"/>
      <c r="BA891" s="3"/>
      <c r="BG891" s="3"/>
      <c r="BH891" s="3"/>
    </row>
    <row r="892" spans="1:60">
      <c r="A892" s="23" t="s">
        <v>22</v>
      </c>
      <c r="B892" s="23" t="s">
        <v>23</v>
      </c>
      <c r="C892" s="27">
        <v>44160.583333333336</v>
      </c>
      <c r="D892" s="23">
        <v>36.049999999999997</v>
      </c>
      <c r="E892" s="27">
        <v>44161.53125</v>
      </c>
      <c r="F892" s="23">
        <v>35.700000000000003</v>
      </c>
      <c r="G892" s="31">
        <v>-9.7000000000000003E-3</v>
      </c>
      <c r="H892" s="23">
        <v>489.53</v>
      </c>
      <c r="I892" s="31">
        <v>9.7000000000000003E-3</v>
      </c>
      <c r="J892" s="23">
        <v>1398.663</v>
      </c>
      <c r="K892" s="23">
        <v>50421.8</v>
      </c>
      <c r="L892" s="23">
        <v>84781.81</v>
      </c>
      <c r="M892" s="23">
        <v>24</v>
      </c>
      <c r="N892" s="23">
        <v>20.399999999999999</v>
      </c>
      <c r="O892" s="31">
        <v>-6.8999999999999999E-3</v>
      </c>
      <c r="P892" s="31">
        <v>2.7699999999999999E-2</v>
      </c>
      <c r="Q892" s="23" t="s">
        <v>24</v>
      </c>
      <c r="R892" s="23">
        <v>0</v>
      </c>
      <c r="S892" s="23">
        <v>36.78</v>
      </c>
      <c r="U892" s="47">
        <f>VLOOKUP(AU892,[1]expiry_dates!$B$2:$C$2894,2,FALSE)</f>
        <v>44161</v>
      </c>
      <c r="V892" s="23" t="s">
        <v>145</v>
      </c>
      <c r="W892" s="23" t="s">
        <v>23</v>
      </c>
      <c r="X892" s="49">
        <v>44160.583333333336</v>
      </c>
      <c r="Y892" s="23">
        <v>0.4</v>
      </c>
      <c r="Z892" s="23">
        <v>44161.53125</v>
      </c>
      <c r="AA892" s="23">
        <v>0.1</v>
      </c>
      <c r="AB892" s="23">
        <v>-0.75</v>
      </c>
      <c r="AC892" s="23">
        <v>48351.63</v>
      </c>
      <c r="AD892" s="23">
        <v>0.75</v>
      </c>
      <c r="AE892" s="23">
        <v>161172.1</v>
      </c>
      <c r="AF892" s="23">
        <v>64468.84</v>
      </c>
      <c r="AG892" s="23">
        <v>2909779.63</v>
      </c>
      <c r="AH892" s="23">
        <v>24</v>
      </c>
      <c r="AI892" s="23">
        <v>2014.65</v>
      </c>
      <c r="AJ892" s="23">
        <v>-0.25</v>
      </c>
      <c r="AK892" s="23">
        <v>0.875</v>
      </c>
      <c r="AL892" s="23" t="s">
        <v>24</v>
      </c>
      <c r="AM892" s="23">
        <v>36.049999999999997</v>
      </c>
      <c r="AN892" s="23">
        <v>29280.05</v>
      </c>
      <c r="AO892" s="23">
        <v>36.78</v>
      </c>
      <c r="AP892" s="23">
        <v>0</v>
      </c>
      <c r="AR892" s="46"/>
      <c r="AS892" s="44"/>
      <c r="AT892" s="45"/>
      <c r="AU892" s="2">
        <v>44160</v>
      </c>
      <c r="AV892" s="52">
        <v>8.3333333333333329E-2</v>
      </c>
      <c r="AW892" s="2" t="s">
        <v>213</v>
      </c>
      <c r="AY892" s="3"/>
      <c r="BA892" s="3"/>
      <c r="BG892" s="3"/>
      <c r="BH892" s="3"/>
    </row>
    <row r="893" spans="1:60">
      <c r="A893" s="23" t="s">
        <v>22</v>
      </c>
      <c r="B893" s="23" t="s">
        <v>25</v>
      </c>
      <c r="C893" s="27">
        <v>44161.53125</v>
      </c>
      <c r="D893" s="23">
        <v>35.700000000000003</v>
      </c>
      <c r="E893" s="27">
        <v>44161.6875</v>
      </c>
      <c r="F893" s="23">
        <v>35.799999999999997</v>
      </c>
      <c r="G893" s="31">
        <v>2.8E-3</v>
      </c>
      <c r="H893" s="23">
        <v>141.25</v>
      </c>
      <c r="I893" s="31">
        <v>2.8E-3</v>
      </c>
      <c r="J893" s="23">
        <v>1412.4739999999999</v>
      </c>
      <c r="K893" s="23">
        <v>50425.31</v>
      </c>
      <c r="L893" s="23">
        <v>84923.06</v>
      </c>
      <c r="M893" s="23">
        <v>13</v>
      </c>
      <c r="N893" s="23">
        <v>10.87</v>
      </c>
      <c r="O893" s="31">
        <v>-1.12E-2</v>
      </c>
      <c r="P893" s="31">
        <v>9.7999999999999997E-3</v>
      </c>
      <c r="Q893" s="23" t="s">
        <v>24</v>
      </c>
      <c r="R893" s="23">
        <v>0</v>
      </c>
      <c r="S893" s="23">
        <v>35.06</v>
      </c>
      <c r="U893" s="47">
        <f>VLOOKUP(AU893,[1]expiry_dates!$B$2:$C$2894,2,FALSE)</f>
        <v>44161</v>
      </c>
      <c r="V893" s="23" t="s">
        <v>148</v>
      </c>
      <c r="W893" s="23" t="s">
        <v>23</v>
      </c>
      <c r="X893" s="49">
        <v>44161.53125</v>
      </c>
      <c r="Y893" s="23">
        <v>0.05</v>
      </c>
      <c r="Z893" s="23">
        <v>44161.6875</v>
      </c>
      <c r="AA893" s="23">
        <v>0.05</v>
      </c>
      <c r="AB893" s="23">
        <v>0</v>
      </c>
      <c r="AC893" s="23">
        <v>0</v>
      </c>
      <c r="AD893" s="23">
        <v>0</v>
      </c>
      <c r="AE893" s="23">
        <v>1290978</v>
      </c>
      <c r="AF893" s="23">
        <v>64548.9</v>
      </c>
      <c r="AG893" s="23">
        <v>2909779.63</v>
      </c>
      <c r="AH893" s="23">
        <v>13</v>
      </c>
      <c r="AI893" s="23">
        <v>0</v>
      </c>
      <c r="AJ893" s="23">
        <v>-1</v>
      </c>
      <c r="AK893" s="23">
        <v>0</v>
      </c>
      <c r="AL893" s="23" t="s">
        <v>24</v>
      </c>
      <c r="AM893" s="23">
        <v>35.700000000000003</v>
      </c>
      <c r="AN893" s="23">
        <v>29341.85</v>
      </c>
      <c r="AO893" s="23">
        <v>35.06</v>
      </c>
      <c r="AP893" s="23">
        <v>0</v>
      </c>
      <c r="AR893" s="46"/>
      <c r="AS893" s="44"/>
      <c r="AT893" s="45"/>
      <c r="AU893" s="2">
        <v>44161</v>
      </c>
      <c r="AV893" s="52">
        <v>0.53125</v>
      </c>
      <c r="AW893" s="2" t="s">
        <v>213</v>
      </c>
      <c r="AY893" s="3"/>
      <c r="BA893" s="3"/>
      <c r="BG893" s="3"/>
      <c r="BH893" s="3"/>
    </row>
    <row r="894" spans="1:60">
      <c r="A894" s="23" t="s">
        <v>22</v>
      </c>
      <c r="B894" s="23" t="s">
        <v>25</v>
      </c>
      <c r="C894" s="27">
        <v>44162.385416666664</v>
      </c>
      <c r="D894" s="23">
        <v>36.299999999999997</v>
      </c>
      <c r="E894" s="27">
        <v>44162.614583333336</v>
      </c>
      <c r="F894" s="23">
        <v>36.75</v>
      </c>
      <c r="G894" s="31">
        <v>1.24E-2</v>
      </c>
      <c r="H894" s="23">
        <v>625.1</v>
      </c>
      <c r="I894" s="31">
        <v>1.24E-2</v>
      </c>
      <c r="J894" s="23">
        <v>1389.1079999999999</v>
      </c>
      <c r="K894" s="23">
        <v>50424.62</v>
      </c>
      <c r="L894" s="23">
        <v>85548.15</v>
      </c>
      <c r="M894" s="23">
        <v>23</v>
      </c>
      <c r="N894" s="23">
        <v>27.18</v>
      </c>
      <c r="O894" s="31">
        <v>-1.52E-2</v>
      </c>
      <c r="P894" s="31">
        <v>2.4799999999999999E-2</v>
      </c>
      <c r="Q894" s="23" t="s">
        <v>24</v>
      </c>
      <c r="R894" s="23">
        <v>0</v>
      </c>
      <c r="S894" s="23">
        <v>35.54</v>
      </c>
      <c r="U894" s="47">
        <f>VLOOKUP(AU894,[1]expiry_dates!$B$2:$C$2894,2,FALSE)</f>
        <v>44196</v>
      </c>
      <c r="V894" s="23" t="s">
        <v>148</v>
      </c>
      <c r="W894" s="23" t="s">
        <v>23</v>
      </c>
      <c r="X894" s="49">
        <v>44162.385416666664</v>
      </c>
      <c r="Y894" s="23">
        <v>1.55</v>
      </c>
      <c r="Z894" s="23">
        <v>44162.614583333336</v>
      </c>
      <c r="AA894" s="23">
        <v>1.35</v>
      </c>
      <c r="AB894" s="23">
        <v>-0.129</v>
      </c>
      <c r="AC894" s="23">
        <v>8328.89</v>
      </c>
      <c r="AD894" s="23">
        <v>0.129</v>
      </c>
      <c r="AE894" s="23">
        <v>41644.449999999997</v>
      </c>
      <c r="AF894" s="23">
        <v>64548.9</v>
      </c>
      <c r="AG894" s="23">
        <v>2918108.52</v>
      </c>
      <c r="AH894" s="23">
        <v>23</v>
      </c>
      <c r="AI894" s="23">
        <v>362.13</v>
      </c>
      <c r="AJ894" s="23">
        <v>-3.2300000000000002E-2</v>
      </c>
      <c r="AK894" s="23">
        <v>0.2581</v>
      </c>
      <c r="AL894" s="23" t="s">
        <v>24</v>
      </c>
      <c r="AM894" s="23">
        <v>36.299999999999997</v>
      </c>
      <c r="AN894" s="23">
        <v>29531.75</v>
      </c>
      <c r="AO894" s="23">
        <v>35.54</v>
      </c>
      <c r="AP894" s="23">
        <v>0</v>
      </c>
      <c r="AR894" s="46"/>
      <c r="AS894" s="44"/>
      <c r="AT894" s="45"/>
      <c r="AU894" s="2">
        <v>44162</v>
      </c>
      <c r="AV894" s="52">
        <v>0.38541666666666669</v>
      </c>
      <c r="AW894" s="2" t="s">
        <v>212</v>
      </c>
      <c r="AY894" s="3"/>
      <c r="BA894" s="3"/>
      <c r="BG894" s="3"/>
      <c r="BH894" s="3"/>
    </row>
    <row r="895" spans="1:60">
      <c r="A895" s="23" t="s">
        <v>22</v>
      </c>
      <c r="B895" s="23" t="s">
        <v>23</v>
      </c>
      <c r="C895" s="27">
        <v>44162.614583333336</v>
      </c>
      <c r="D895" s="23">
        <v>36.75</v>
      </c>
      <c r="E895" s="27">
        <v>44166.385416666664</v>
      </c>
      <c r="F895" s="23">
        <v>36.75</v>
      </c>
      <c r="G895" s="31">
        <v>0</v>
      </c>
      <c r="H895" s="23">
        <v>0</v>
      </c>
      <c r="I895" s="31">
        <v>0</v>
      </c>
      <c r="J895" s="23">
        <v>1372.174</v>
      </c>
      <c r="K895" s="23">
        <v>50427.39</v>
      </c>
      <c r="L895" s="23">
        <v>85548.15</v>
      </c>
      <c r="M895" s="23">
        <v>7</v>
      </c>
      <c r="N895" s="23">
        <v>0</v>
      </c>
      <c r="O895" s="31">
        <v>-9.4999999999999998E-3</v>
      </c>
      <c r="P895" s="31">
        <v>6.7999999999999996E-3</v>
      </c>
      <c r="Q895" s="23" t="s">
        <v>24</v>
      </c>
      <c r="R895" s="23">
        <v>0</v>
      </c>
      <c r="S895" s="23">
        <v>37.17</v>
      </c>
      <c r="U895" s="47">
        <f>VLOOKUP(AU895,[1]expiry_dates!$B$2:$C$2894,2,FALSE)</f>
        <v>44196</v>
      </c>
      <c r="V895" s="23" t="s">
        <v>144</v>
      </c>
      <c r="W895" s="23" t="s">
        <v>23</v>
      </c>
      <c r="X895" s="49">
        <v>44162.614583333336</v>
      </c>
      <c r="Y895" s="23">
        <v>1.95</v>
      </c>
      <c r="Z895" s="23">
        <v>44166.385416666664</v>
      </c>
      <c r="AA895" s="23">
        <v>1.8</v>
      </c>
      <c r="AB895" s="23">
        <v>-7.6899999999999996E-2</v>
      </c>
      <c r="AC895" s="23">
        <v>4970.1000000000004</v>
      </c>
      <c r="AD895" s="23">
        <v>7.6899999999999996E-2</v>
      </c>
      <c r="AE895" s="23">
        <v>33134.03</v>
      </c>
      <c r="AF895" s="23">
        <v>64611.360000000001</v>
      </c>
      <c r="AG895" s="23">
        <v>2923078.62</v>
      </c>
      <c r="AH895" s="23">
        <v>7</v>
      </c>
      <c r="AI895" s="23">
        <v>710.01</v>
      </c>
      <c r="AJ895" s="23">
        <v>0</v>
      </c>
      <c r="AK895" s="23">
        <v>0.12820000000000001</v>
      </c>
      <c r="AL895" s="23" t="s">
        <v>24</v>
      </c>
      <c r="AM895" s="23">
        <v>36.75</v>
      </c>
      <c r="AN895" s="23">
        <v>29586.400000000001</v>
      </c>
      <c r="AO895" s="23">
        <v>37.17</v>
      </c>
      <c r="AP895" s="23">
        <v>0</v>
      </c>
      <c r="AR895" s="46"/>
      <c r="AS895" s="44"/>
      <c r="AT895" s="45"/>
      <c r="AU895" s="2">
        <v>44162</v>
      </c>
      <c r="AV895" s="52">
        <v>0.11458333333333333</v>
      </c>
      <c r="AW895" s="2" t="s">
        <v>213</v>
      </c>
      <c r="AY895" s="3"/>
      <c r="BA895" s="3"/>
      <c r="BG895" s="3"/>
      <c r="BH895" s="3"/>
    </row>
    <row r="896" spans="1:60">
      <c r="A896" s="23" t="s">
        <v>22</v>
      </c>
      <c r="B896" s="23" t="s">
        <v>25</v>
      </c>
      <c r="C896" s="27">
        <v>44166.385416666664</v>
      </c>
      <c r="D896" s="23">
        <v>36.75</v>
      </c>
      <c r="E896" s="27">
        <v>44166.5625</v>
      </c>
      <c r="F896" s="23">
        <v>37.15</v>
      </c>
      <c r="G896" s="31">
        <v>1.09E-2</v>
      </c>
      <c r="H896" s="23">
        <v>548.85</v>
      </c>
      <c r="I896" s="31">
        <v>1.09E-2</v>
      </c>
      <c r="J896" s="23">
        <v>1372.1179999999999</v>
      </c>
      <c r="K896" s="23">
        <v>50425.34</v>
      </c>
      <c r="L896" s="23">
        <v>86097</v>
      </c>
      <c r="M896" s="23">
        <v>18</v>
      </c>
      <c r="N896" s="23">
        <v>30.49</v>
      </c>
      <c r="O896" s="31">
        <v>-5.4000000000000003E-3</v>
      </c>
      <c r="P896" s="31">
        <v>1.4999999999999999E-2</v>
      </c>
      <c r="Q896" s="23" t="s">
        <v>24</v>
      </c>
      <c r="R896" s="23">
        <v>0</v>
      </c>
      <c r="S896" s="23">
        <v>36.54</v>
      </c>
      <c r="U896" s="47">
        <f>VLOOKUP(AU896,[1]expiry_dates!$B$2:$C$2894,2,FALSE)</f>
        <v>44196</v>
      </c>
      <c r="V896" s="23" t="s">
        <v>142</v>
      </c>
      <c r="W896" s="23" t="s">
        <v>23</v>
      </c>
      <c r="X896" s="49">
        <v>44166.385416666664</v>
      </c>
      <c r="Y896" s="23">
        <v>2.25</v>
      </c>
      <c r="Z896" s="23">
        <v>44166.5625</v>
      </c>
      <c r="AA896" s="23">
        <v>1.95</v>
      </c>
      <c r="AB896" s="23">
        <v>-0.1333</v>
      </c>
      <c r="AC896" s="23">
        <v>8617.59</v>
      </c>
      <c r="AD896" s="23">
        <v>0.1333</v>
      </c>
      <c r="AE896" s="23">
        <v>28725.32</v>
      </c>
      <c r="AF896" s="23">
        <v>64631.96</v>
      </c>
      <c r="AG896" s="23">
        <v>2931696.22</v>
      </c>
      <c r="AH896" s="23">
        <v>18</v>
      </c>
      <c r="AI896" s="23">
        <v>478.76</v>
      </c>
      <c r="AJ896" s="23">
        <v>-4.4400000000000002E-2</v>
      </c>
      <c r="AK896" s="23">
        <v>0.1333</v>
      </c>
      <c r="AL896" s="23" t="s">
        <v>24</v>
      </c>
      <c r="AM896" s="23">
        <v>36.75</v>
      </c>
      <c r="AN896" s="23">
        <v>29600.95</v>
      </c>
      <c r="AO896" s="23">
        <v>36.54</v>
      </c>
      <c r="AP896" s="23">
        <v>0</v>
      </c>
      <c r="AR896" s="46"/>
      <c r="AS896" s="44"/>
      <c r="AT896" s="45"/>
      <c r="AU896" s="2">
        <v>44166</v>
      </c>
      <c r="AV896" s="52">
        <v>0.38541666666666669</v>
      </c>
      <c r="AW896" s="2" t="s">
        <v>212</v>
      </c>
      <c r="AY896" s="3"/>
      <c r="BA896" s="3"/>
      <c r="BG896" s="3"/>
      <c r="BH896" s="3"/>
    </row>
    <row r="897" spans="1:60">
      <c r="A897" s="23" t="s">
        <v>22</v>
      </c>
      <c r="B897" s="23" t="s">
        <v>23</v>
      </c>
      <c r="C897" s="27">
        <v>44166.5625</v>
      </c>
      <c r="D897" s="23">
        <v>37.15</v>
      </c>
      <c r="E897" s="27">
        <v>44166.583333333336</v>
      </c>
      <c r="F897" s="23">
        <v>37.25</v>
      </c>
      <c r="G897" s="31">
        <v>2.7000000000000001E-3</v>
      </c>
      <c r="H897" s="23">
        <v>-135.75</v>
      </c>
      <c r="I897" s="31">
        <v>-2.7000000000000001E-3</v>
      </c>
      <c r="J897" s="23">
        <v>1357.4829999999999</v>
      </c>
      <c r="K897" s="23">
        <v>50430.48</v>
      </c>
      <c r="L897" s="23">
        <v>85961.25</v>
      </c>
      <c r="M897" s="23">
        <v>3</v>
      </c>
      <c r="N897" s="23">
        <v>-45.25</v>
      </c>
      <c r="O897" s="31">
        <v>-2.7000000000000001E-3</v>
      </c>
      <c r="P897" s="31">
        <v>4.0000000000000001E-3</v>
      </c>
      <c r="Q897" s="23" t="s">
        <v>24</v>
      </c>
      <c r="R897" s="23">
        <v>0</v>
      </c>
      <c r="S897" s="23">
        <v>37.29</v>
      </c>
      <c r="U897" s="47">
        <f>VLOOKUP(AU897,[1]expiry_dates!$B$2:$C$2894,2,FALSE)</f>
        <v>44196</v>
      </c>
      <c r="V897" s="23" t="s">
        <v>144</v>
      </c>
      <c r="W897" s="23" t="s">
        <v>23</v>
      </c>
      <c r="X897" s="49">
        <v>44166.5625</v>
      </c>
      <c r="Y897" s="23">
        <v>2</v>
      </c>
      <c r="Z897" s="23">
        <v>44166.583333333336</v>
      </c>
      <c r="AA897" s="23">
        <v>2.0499999999999998</v>
      </c>
      <c r="AB897" s="23">
        <v>2.5000000000000001E-2</v>
      </c>
      <c r="AC897" s="23">
        <v>-1616.46</v>
      </c>
      <c r="AD897" s="23">
        <v>-2.5000000000000001E-2</v>
      </c>
      <c r="AE897" s="23">
        <v>32329.24</v>
      </c>
      <c r="AF897" s="23">
        <v>64658.48</v>
      </c>
      <c r="AG897" s="23">
        <v>2930079.75</v>
      </c>
      <c r="AH897" s="23">
        <v>3</v>
      </c>
      <c r="AI897" s="23">
        <v>-538.82000000000005</v>
      </c>
      <c r="AJ897" s="23">
        <v>-0.05</v>
      </c>
      <c r="AK897" s="23">
        <v>0</v>
      </c>
      <c r="AL897" s="23" t="s">
        <v>24</v>
      </c>
      <c r="AM897" s="23">
        <v>37.15</v>
      </c>
      <c r="AN897" s="23">
        <v>29760.7</v>
      </c>
      <c r="AO897" s="23">
        <v>37.29</v>
      </c>
      <c r="AP897" s="23">
        <v>0</v>
      </c>
      <c r="AR897" s="46"/>
      <c r="AS897" s="44"/>
      <c r="AT897" s="45"/>
      <c r="AU897" s="2">
        <v>44166</v>
      </c>
      <c r="AV897" s="52">
        <v>6.25E-2</v>
      </c>
      <c r="AW897" s="2" t="s">
        <v>213</v>
      </c>
      <c r="AY897" s="3"/>
      <c r="BA897" s="3"/>
      <c r="BG897" s="3"/>
      <c r="BH897" s="3"/>
    </row>
    <row r="898" spans="1:60">
      <c r="A898" s="23" t="s">
        <v>22</v>
      </c>
      <c r="B898" s="23" t="s">
        <v>25</v>
      </c>
      <c r="C898" s="27">
        <v>44166.583333333336</v>
      </c>
      <c r="D898" s="23">
        <v>37.25</v>
      </c>
      <c r="E898" s="27">
        <v>44166.604166666664</v>
      </c>
      <c r="F898" s="23">
        <v>37.15</v>
      </c>
      <c r="G898" s="31">
        <v>-2.7000000000000001E-3</v>
      </c>
      <c r="H898" s="23">
        <v>-135.38</v>
      </c>
      <c r="I898" s="31">
        <v>-2.7000000000000001E-3</v>
      </c>
      <c r="J898" s="23">
        <v>1353.829</v>
      </c>
      <c r="K898" s="23">
        <v>50430.15</v>
      </c>
      <c r="L898" s="23">
        <v>85825.87</v>
      </c>
      <c r="M898" s="23">
        <v>3</v>
      </c>
      <c r="N898" s="23">
        <v>-45.13</v>
      </c>
      <c r="O898" s="31">
        <v>-5.4000000000000003E-3</v>
      </c>
      <c r="P898" s="31">
        <v>1.2999999999999999E-3</v>
      </c>
      <c r="Q898" s="23" t="s">
        <v>24</v>
      </c>
      <c r="R898" s="23">
        <v>0</v>
      </c>
      <c r="S898" s="23">
        <v>37.01</v>
      </c>
      <c r="U898" s="47">
        <f>VLOOKUP(AU898,[1]expiry_dates!$B$2:$C$2894,2,FALSE)</f>
        <v>44196</v>
      </c>
      <c r="V898" s="23" t="s">
        <v>143</v>
      </c>
      <c r="W898" s="23" t="s">
        <v>23</v>
      </c>
      <c r="X898" s="49">
        <v>44166.583333333336</v>
      </c>
      <c r="Y898" s="23">
        <v>1.4</v>
      </c>
      <c r="Z898" s="23">
        <v>44166.604166666664</v>
      </c>
      <c r="AA898" s="23">
        <v>1.5</v>
      </c>
      <c r="AB898" s="23">
        <v>7.1400000000000005E-2</v>
      </c>
      <c r="AC898" s="23">
        <v>-4617.8900000000003</v>
      </c>
      <c r="AD898" s="23">
        <v>-7.1400000000000005E-2</v>
      </c>
      <c r="AE898" s="23">
        <v>46178.86</v>
      </c>
      <c r="AF898" s="23">
        <v>64650.400000000001</v>
      </c>
      <c r="AG898" s="23">
        <v>2925461.87</v>
      </c>
      <c r="AH898" s="23">
        <v>3</v>
      </c>
      <c r="AI898" s="23">
        <v>-1539.3</v>
      </c>
      <c r="AJ898" s="23">
        <v>-7.1400000000000005E-2</v>
      </c>
      <c r="AK898" s="23">
        <v>0</v>
      </c>
      <c r="AL898" s="23" t="s">
        <v>24</v>
      </c>
      <c r="AM898" s="23">
        <v>37.25</v>
      </c>
      <c r="AN898" s="23">
        <v>29860.1</v>
      </c>
      <c r="AO898" s="23">
        <v>37.01</v>
      </c>
      <c r="AP898" s="23">
        <v>0</v>
      </c>
      <c r="AR898" s="46"/>
      <c r="AS898" s="44"/>
      <c r="AT898" s="45"/>
      <c r="AU898" s="2">
        <v>44166</v>
      </c>
      <c r="AV898" s="52">
        <v>8.3333333333333329E-2</v>
      </c>
      <c r="AW898" s="2" t="s">
        <v>213</v>
      </c>
      <c r="AY898" s="3"/>
      <c r="BA898" s="3"/>
      <c r="BG898" s="3"/>
      <c r="BH898" s="3"/>
    </row>
    <row r="899" spans="1:60">
      <c r="A899" s="23" t="s">
        <v>22</v>
      </c>
      <c r="B899" s="23" t="s">
        <v>23</v>
      </c>
      <c r="C899" s="27">
        <v>44166.604166666664</v>
      </c>
      <c r="D899" s="23">
        <v>37.15</v>
      </c>
      <c r="E899" s="27">
        <v>44167.385416666664</v>
      </c>
      <c r="F899" s="23">
        <v>37.35</v>
      </c>
      <c r="G899" s="31">
        <v>5.4000000000000003E-3</v>
      </c>
      <c r="H899" s="23">
        <v>-271.49</v>
      </c>
      <c r="I899" s="31">
        <v>-5.4000000000000003E-3</v>
      </c>
      <c r="J899" s="23">
        <v>1357.4369999999999</v>
      </c>
      <c r="K899" s="23">
        <v>50428.79</v>
      </c>
      <c r="L899" s="23">
        <v>85554.38</v>
      </c>
      <c r="M899" s="23">
        <v>8</v>
      </c>
      <c r="N899" s="23">
        <v>-33.94</v>
      </c>
      <c r="O899" s="31">
        <v>-5.4000000000000003E-3</v>
      </c>
      <c r="P899" s="31">
        <v>4.0000000000000001E-3</v>
      </c>
      <c r="Q899" s="23" t="s">
        <v>24</v>
      </c>
      <c r="R899" s="23">
        <v>0</v>
      </c>
      <c r="S899" s="23">
        <v>37.29</v>
      </c>
      <c r="U899" s="47">
        <f>VLOOKUP(AU899,[1]expiry_dates!$B$2:$C$2894,2,FALSE)</f>
        <v>44196</v>
      </c>
      <c r="V899" s="23" t="s">
        <v>144</v>
      </c>
      <c r="W899" s="23" t="s">
        <v>23</v>
      </c>
      <c r="X899" s="49">
        <v>44166.604166666664</v>
      </c>
      <c r="Y899" s="23">
        <v>1.9</v>
      </c>
      <c r="Z899" s="23">
        <v>44167.385416666664</v>
      </c>
      <c r="AA899" s="23">
        <v>2.0499999999999998</v>
      </c>
      <c r="AB899" s="23">
        <v>7.8899999999999998E-2</v>
      </c>
      <c r="AC899" s="23">
        <v>-5103.9799999999996</v>
      </c>
      <c r="AD899" s="23">
        <v>-7.8899999999999998E-2</v>
      </c>
      <c r="AE899" s="23">
        <v>34026.53</v>
      </c>
      <c r="AF899" s="23">
        <v>64650.400000000001</v>
      </c>
      <c r="AG899" s="23">
        <v>2920357.89</v>
      </c>
      <c r="AH899" s="23">
        <v>8</v>
      </c>
      <c r="AI899" s="23">
        <v>-638</v>
      </c>
      <c r="AJ899" s="23">
        <v>-7.8899999999999998E-2</v>
      </c>
      <c r="AK899" s="23">
        <v>2.63E-2</v>
      </c>
      <c r="AL899" s="23" t="s">
        <v>24</v>
      </c>
      <c r="AM899" s="23">
        <v>37.15</v>
      </c>
      <c r="AN899" s="23">
        <v>29874.9</v>
      </c>
      <c r="AO899" s="23">
        <v>37.29</v>
      </c>
      <c r="AP899" s="23">
        <v>0</v>
      </c>
      <c r="AR899" s="46"/>
      <c r="AS899" s="44"/>
      <c r="AT899" s="45"/>
      <c r="AU899" s="2">
        <v>44166</v>
      </c>
      <c r="AV899" s="52">
        <v>0.10416666666666667</v>
      </c>
      <c r="AW899" s="2" t="s">
        <v>213</v>
      </c>
      <c r="AY899" s="3"/>
      <c r="BA899" s="3"/>
      <c r="BG899" s="3"/>
      <c r="BH899" s="3"/>
    </row>
    <row r="900" spans="1:60">
      <c r="A900" s="23" t="s">
        <v>22</v>
      </c>
      <c r="B900" s="23" t="s">
        <v>25</v>
      </c>
      <c r="C900" s="27">
        <v>44167.385416666664</v>
      </c>
      <c r="D900" s="23">
        <v>37.35</v>
      </c>
      <c r="E900" s="27">
        <v>44167.458333333336</v>
      </c>
      <c r="F900" s="23">
        <v>37.200000000000003</v>
      </c>
      <c r="G900" s="31">
        <v>-4.0000000000000001E-3</v>
      </c>
      <c r="H900" s="23">
        <v>-202.52</v>
      </c>
      <c r="I900" s="31">
        <v>-4.0000000000000001E-3</v>
      </c>
      <c r="J900" s="23">
        <v>1350.15</v>
      </c>
      <c r="K900" s="23">
        <v>50428.11</v>
      </c>
      <c r="L900" s="23">
        <v>85351.86</v>
      </c>
      <c r="M900" s="23">
        <v>8</v>
      </c>
      <c r="N900" s="23">
        <v>-25.32</v>
      </c>
      <c r="O900" s="31">
        <v>-1.47E-2</v>
      </c>
      <c r="P900" s="31">
        <v>1.2E-2</v>
      </c>
      <c r="Q900" s="23" t="s">
        <v>24</v>
      </c>
      <c r="R900" s="23">
        <v>0</v>
      </c>
      <c r="S900" s="23">
        <v>36.799999999999997</v>
      </c>
      <c r="U900" s="47">
        <f>VLOOKUP(AU900,[1]expiry_dates!$B$2:$C$2894,2,FALSE)</f>
        <v>44196</v>
      </c>
      <c r="V900" s="23" t="s">
        <v>142</v>
      </c>
      <c r="W900" s="23" t="s">
        <v>23</v>
      </c>
      <c r="X900" s="49">
        <v>44167.385416666664</v>
      </c>
      <c r="Y900" s="23">
        <v>1.9</v>
      </c>
      <c r="Z900" s="23">
        <v>44167.458333333336</v>
      </c>
      <c r="AA900" s="23">
        <v>1.95</v>
      </c>
      <c r="AB900" s="23">
        <v>2.63E-2</v>
      </c>
      <c r="AC900" s="23">
        <v>-1700.49</v>
      </c>
      <c r="AD900" s="23">
        <v>-2.63E-2</v>
      </c>
      <c r="AE900" s="23">
        <v>34009.9</v>
      </c>
      <c r="AF900" s="23">
        <v>64618.8</v>
      </c>
      <c r="AG900" s="23">
        <v>2918657.4</v>
      </c>
      <c r="AH900" s="23">
        <v>8</v>
      </c>
      <c r="AI900" s="23">
        <v>-212.56</v>
      </c>
      <c r="AJ900" s="23">
        <v>-5.2600000000000001E-2</v>
      </c>
      <c r="AK900" s="23">
        <v>0.1053</v>
      </c>
      <c r="AL900" s="23" t="s">
        <v>24</v>
      </c>
      <c r="AM900" s="23">
        <v>37.35</v>
      </c>
      <c r="AN900" s="23">
        <v>29731.35</v>
      </c>
      <c r="AO900" s="23">
        <v>36.799999999999997</v>
      </c>
      <c r="AP900" s="23">
        <v>0</v>
      </c>
      <c r="AR900" s="46"/>
      <c r="AS900" s="44"/>
      <c r="AT900" s="45"/>
      <c r="AU900" s="2">
        <v>44167</v>
      </c>
      <c r="AV900" s="52">
        <v>0.38541666666666669</v>
      </c>
      <c r="AW900" s="2" t="s">
        <v>212</v>
      </c>
      <c r="AY900" s="3"/>
      <c r="BA900" s="3"/>
      <c r="BG900" s="3"/>
      <c r="BH900" s="3"/>
    </row>
    <row r="901" spans="1:60">
      <c r="A901" s="23" t="s">
        <v>22</v>
      </c>
      <c r="B901" s="23" t="s">
        <v>23</v>
      </c>
      <c r="C901" s="27">
        <v>44167.458333333336</v>
      </c>
      <c r="D901" s="23">
        <v>37.200000000000003</v>
      </c>
      <c r="E901" s="27">
        <v>44168.385416666664</v>
      </c>
      <c r="F901" s="23">
        <v>36.799999999999997</v>
      </c>
      <c r="G901" s="31">
        <v>-1.0800000000000001E-2</v>
      </c>
      <c r="H901" s="23">
        <v>542.22</v>
      </c>
      <c r="I901" s="31">
        <v>1.0800000000000001E-2</v>
      </c>
      <c r="J901" s="23">
        <v>1355.549</v>
      </c>
      <c r="K901" s="23">
        <v>50426.42</v>
      </c>
      <c r="L901" s="23">
        <v>85894.080000000002</v>
      </c>
      <c r="M901" s="23">
        <v>22</v>
      </c>
      <c r="N901" s="23">
        <v>24.65</v>
      </c>
      <c r="O901" s="31">
        <v>-1.2999999999999999E-3</v>
      </c>
      <c r="P901" s="31">
        <v>2.2800000000000001E-2</v>
      </c>
      <c r="Q901" s="23" t="s">
        <v>24</v>
      </c>
      <c r="R901" s="23">
        <v>0</v>
      </c>
      <c r="S901" s="23">
        <v>37.79</v>
      </c>
      <c r="U901" s="47">
        <f>VLOOKUP(AU901,[1]expiry_dates!$B$2:$C$2894,2,FALSE)</f>
        <v>44196</v>
      </c>
      <c r="V901" s="23" t="s">
        <v>145</v>
      </c>
      <c r="W901" s="23" t="s">
        <v>23</v>
      </c>
      <c r="X901" s="49">
        <v>44167.458333333336</v>
      </c>
      <c r="Y901" s="23">
        <v>2.4</v>
      </c>
      <c r="Z901" s="23">
        <v>44168.385416666664</v>
      </c>
      <c r="AA901" s="23">
        <v>2.4</v>
      </c>
      <c r="AB901" s="23">
        <v>0</v>
      </c>
      <c r="AC901" s="23">
        <v>0</v>
      </c>
      <c r="AD901" s="23">
        <v>0</v>
      </c>
      <c r="AE901" s="23">
        <v>26913.87</v>
      </c>
      <c r="AF901" s="23">
        <v>64593.29</v>
      </c>
      <c r="AG901" s="23">
        <v>2918657.4</v>
      </c>
      <c r="AH901" s="23">
        <v>22</v>
      </c>
      <c r="AI901" s="23">
        <v>0</v>
      </c>
      <c r="AJ901" s="23">
        <v>-2.0799999999999999E-2</v>
      </c>
      <c r="AK901" s="23">
        <v>0.16669999999999999</v>
      </c>
      <c r="AL901" s="23" t="s">
        <v>24</v>
      </c>
      <c r="AM901" s="23">
        <v>37.200000000000003</v>
      </c>
      <c r="AN901" s="23">
        <v>29650.7</v>
      </c>
      <c r="AO901" s="23">
        <v>37.79</v>
      </c>
      <c r="AP901" s="23">
        <v>0</v>
      </c>
      <c r="AR901" s="46"/>
      <c r="AS901" s="44"/>
      <c r="AT901" s="45"/>
      <c r="AU901" s="2">
        <v>44167</v>
      </c>
      <c r="AV901" s="52">
        <v>0.45833333333333331</v>
      </c>
      <c r="AW901" s="2" t="s">
        <v>212</v>
      </c>
      <c r="AY901" s="3"/>
      <c r="BA901" s="3"/>
      <c r="BG901" s="3"/>
      <c r="BH901" s="3"/>
    </row>
    <row r="902" spans="1:60">
      <c r="A902" s="23" t="s">
        <v>22</v>
      </c>
      <c r="B902" s="23" t="s">
        <v>25</v>
      </c>
      <c r="C902" s="27">
        <v>44168.385416666664</v>
      </c>
      <c r="D902" s="23">
        <v>36.799999999999997</v>
      </c>
      <c r="E902" s="27">
        <v>44168.510416666664</v>
      </c>
      <c r="F902" s="23">
        <v>37</v>
      </c>
      <c r="G902" s="31">
        <v>5.4000000000000003E-3</v>
      </c>
      <c r="H902" s="23">
        <v>274.06</v>
      </c>
      <c r="I902" s="31">
        <v>5.4000000000000003E-3</v>
      </c>
      <c r="J902" s="23">
        <v>1370.2919999999999</v>
      </c>
      <c r="K902" s="23">
        <v>50426.76</v>
      </c>
      <c r="L902" s="23">
        <v>86168.14</v>
      </c>
      <c r="M902" s="23">
        <v>13</v>
      </c>
      <c r="N902" s="23">
        <v>21.08</v>
      </c>
      <c r="O902" s="31">
        <v>-1.4E-3</v>
      </c>
      <c r="P902" s="31">
        <v>1.6299999999999999E-2</v>
      </c>
      <c r="Q902" s="23" t="s">
        <v>24</v>
      </c>
      <c r="R902" s="23">
        <v>0</v>
      </c>
      <c r="S902" s="23">
        <v>36.4</v>
      </c>
      <c r="U902" s="47">
        <f>VLOOKUP(AU902,[1]expiry_dates!$B$2:$C$2894,2,FALSE)</f>
        <v>44196</v>
      </c>
      <c r="V902" s="23" t="s">
        <v>148</v>
      </c>
      <c r="W902" s="23" t="s">
        <v>23</v>
      </c>
      <c r="X902" s="49">
        <v>44168.385416666664</v>
      </c>
      <c r="Y902" s="23">
        <v>1.1499999999999999</v>
      </c>
      <c r="Z902" s="23">
        <v>44168.510416666664</v>
      </c>
      <c r="AA902" s="23">
        <v>1.05</v>
      </c>
      <c r="AB902" s="23">
        <v>-8.6999999999999994E-2</v>
      </c>
      <c r="AC902" s="23">
        <v>5619.15</v>
      </c>
      <c r="AD902" s="23">
        <v>8.6999999999999994E-2</v>
      </c>
      <c r="AE902" s="23">
        <v>56191.48</v>
      </c>
      <c r="AF902" s="23">
        <v>64620.2</v>
      </c>
      <c r="AG902" s="23">
        <v>2924276.54</v>
      </c>
      <c r="AH902" s="23">
        <v>13</v>
      </c>
      <c r="AI902" s="23">
        <v>432.24</v>
      </c>
      <c r="AJ902" s="23">
        <v>-4.3499999999999997E-2</v>
      </c>
      <c r="AK902" s="23">
        <v>0.21740000000000001</v>
      </c>
      <c r="AL902" s="23" t="s">
        <v>24</v>
      </c>
      <c r="AM902" s="23">
        <v>36.799999999999997</v>
      </c>
      <c r="AN902" s="23">
        <v>29586.7</v>
      </c>
      <c r="AO902" s="23">
        <v>36.4</v>
      </c>
      <c r="AP902" s="23">
        <v>0</v>
      </c>
      <c r="AR902" s="46"/>
      <c r="AS902" s="44"/>
      <c r="AT902" s="45"/>
      <c r="AU902" s="2">
        <v>44168</v>
      </c>
      <c r="AV902" s="52">
        <v>0.38541666666666669</v>
      </c>
      <c r="AW902" s="2" t="s">
        <v>212</v>
      </c>
      <c r="AY902" s="3"/>
      <c r="BA902" s="3"/>
      <c r="BG902" s="3"/>
      <c r="BH902" s="3"/>
    </row>
    <row r="903" spans="1:60">
      <c r="A903" s="23" t="s">
        <v>22</v>
      </c>
      <c r="B903" s="23" t="s">
        <v>23</v>
      </c>
      <c r="C903" s="27">
        <v>44168.510416666664</v>
      </c>
      <c r="D903" s="23">
        <v>37</v>
      </c>
      <c r="E903" s="27">
        <v>44169.385416666664</v>
      </c>
      <c r="F903" s="23">
        <v>37.1</v>
      </c>
      <c r="G903" s="31">
        <v>2.7000000000000001E-3</v>
      </c>
      <c r="H903" s="23">
        <v>-136.30000000000001</v>
      </c>
      <c r="I903" s="31">
        <v>-2.7000000000000001E-3</v>
      </c>
      <c r="J903" s="23">
        <v>1362.9960000000001</v>
      </c>
      <c r="K903" s="23">
        <v>50430.84</v>
      </c>
      <c r="L903" s="23">
        <v>86031.84</v>
      </c>
      <c r="M903" s="23">
        <v>17</v>
      </c>
      <c r="N903" s="23">
        <v>-8.02</v>
      </c>
      <c r="O903" s="31">
        <v>-6.7999999999999996E-3</v>
      </c>
      <c r="P903" s="31">
        <v>4.1000000000000003E-3</v>
      </c>
      <c r="Q903" s="23" t="s">
        <v>24</v>
      </c>
      <c r="R903" s="23">
        <v>0</v>
      </c>
      <c r="S903" s="23">
        <v>37.39</v>
      </c>
      <c r="U903" s="47">
        <f>VLOOKUP(AU903,[1]expiry_dates!$B$2:$C$2894,2,FALSE)</f>
        <v>44196</v>
      </c>
      <c r="V903" s="23" t="s">
        <v>144</v>
      </c>
      <c r="W903" s="23" t="s">
        <v>23</v>
      </c>
      <c r="X903" s="49">
        <v>44168.510416666664</v>
      </c>
      <c r="Y903" s="23">
        <v>1.75</v>
      </c>
      <c r="Z903" s="23">
        <v>44169.385416666664</v>
      </c>
      <c r="AA903" s="23">
        <v>1.85</v>
      </c>
      <c r="AB903" s="23">
        <v>5.7099999999999998E-2</v>
      </c>
      <c r="AC903" s="23">
        <v>-3692.65</v>
      </c>
      <c r="AD903" s="23">
        <v>-5.7099999999999998E-2</v>
      </c>
      <c r="AE903" s="23">
        <v>36926.5</v>
      </c>
      <c r="AF903" s="23">
        <v>64621.38</v>
      </c>
      <c r="AG903" s="23">
        <v>2920583.89</v>
      </c>
      <c r="AH903" s="23">
        <v>17</v>
      </c>
      <c r="AI903" s="23">
        <v>-217.21</v>
      </c>
      <c r="AJ903" s="23">
        <v>-0.1429</v>
      </c>
      <c r="AK903" s="23">
        <v>0</v>
      </c>
      <c r="AL903" s="23" t="s">
        <v>24</v>
      </c>
      <c r="AM903" s="23">
        <v>37</v>
      </c>
      <c r="AN903" s="23">
        <v>29588.95</v>
      </c>
      <c r="AO903" s="23">
        <v>37.39</v>
      </c>
      <c r="AP903" s="23">
        <v>0</v>
      </c>
      <c r="AR903" s="46"/>
      <c r="AS903" s="44"/>
      <c r="AT903" s="45"/>
      <c r="AU903" s="2">
        <v>44168</v>
      </c>
      <c r="AV903" s="52">
        <v>0.51041666666666663</v>
      </c>
      <c r="AW903" s="2" t="s">
        <v>213</v>
      </c>
      <c r="AY903" s="3"/>
      <c r="BA903" s="3"/>
      <c r="BG903" s="3"/>
      <c r="BH903" s="3"/>
    </row>
    <row r="904" spans="1:60">
      <c r="A904" s="23" t="s">
        <v>22</v>
      </c>
      <c r="B904" s="23" t="s">
        <v>25</v>
      </c>
      <c r="C904" s="27">
        <v>44169.385416666664</v>
      </c>
      <c r="D904" s="23">
        <v>37.1</v>
      </c>
      <c r="E904" s="27">
        <v>44169.479166666664</v>
      </c>
      <c r="F904" s="23">
        <v>37.25</v>
      </c>
      <c r="G904" s="31">
        <v>4.0000000000000001E-3</v>
      </c>
      <c r="H904" s="23">
        <v>203.9</v>
      </c>
      <c r="I904" s="31">
        <v>4.0000000000000001E-3</v>
      </c>
      <c r="J904" s="23">
        <v>1359.3219999999999</v>
      </c>
      <c r="K904" s="23">
        <v>50430.84</v>
      </c>
      <c r="L904" s="23">
        <v>86235.74</v>
      </c>
      <c r="M904" s="23">
        <v>10</v>
      </c>
      <c r="N904" s="23">
        <v>20.39</v>
      </c>
      <c r="O904" s="31">
        <v>-1.2999999999999999E-3</v>
      </c>
      <c r="P904" s="31">
        <v>1.89E-2</v>
      </c>
      <c r="Q904" s="23" t="s">
        <v>24</v>
      </c>
      <c r="R904" s="23">
        <v>0</v>
      </c>
      <c r="S904" s="23">
        <v>36.869999999999997</v>
      </c>
      <c r="U904" s="47">
        <f>VLOOKUP(AU904,[1]expiry_dates!$B$2:$C$2894,2,FALSE)</f>
        <v>44196</v>
      </c>
      <c r="V904" s="23" t="s">
        <v>146</v>
      </c>
      <c r="W904" s="23" t="s">
        <v>23</v>
      </c>
      <c r="X904" s="49">
        <v>44169.385416666664</v>
      </c>
      <c r="Y904" s="23">
        <v>0.7</v>
      </c>
      <c r="Z904" s="23">
        <v>44169.479166666664</v>
      </c>
      <c r="AA904" s="23">
        <v>0.7</v>
      </c>
      <c r="AB904" s="23">
        <v>0</v>
      </c>
      <c r="AC904" s="23">
        <v>0</v>
      </c>
      <c r="AD904" s="23">
        <v>0</v>
      </c>
      <c r="AE904" s="23">
        <v>92289.88</v>
      </c>
      <c r="AF904" s="23">
        <v>64602.92</v>
      </c>
      <c r="AG904" s="23">
        <v>2920583.89</v>
      </c>
      <c r="AH904" s="23">
        <v>10</v>
      </c>
      <c r="AI904" s="23">
        <v>0</v>
      </c>
      <c r="AJ904" s="23">
        <v>0</v>
      </c>
      <c r="AK904" s="23">
        <v>0.1429</v>
      </c>
      <c r="AL904" s="23" t="s">
        <v>24</v>
      </c>
      <c r="AM904" s="23">
        <v>37.1</v>
      </c>
      <c r="AN904" s="23">
        <v>29554.9</v>
      </c>
      <c r="AO904" s="23">
        <v>36.869999999999997</v>
      </c>
      <c r="AP904" s="23">
        <v>0</v>
      </c>
      <c r="AR904" s="46"/>
      <c r="AS904" s="44"/>
      <c r="AT904" s="45"/>
      <c r="AU904" s="2">
        <v>44169</v>
      </c>
      <c r="AV904" s="52">
        <v>0.38541666666666669</v>
      </c>
      <c r="AW904" s="2" t="s">
        <v>212</v>
      </c>
      <c r="AY904" s="3"/>
      <c r="BA904" s="3"/>
      <c r="BG904" s="3"/>
      <c r="BH904" s="3"/>
    </row>
    <row r="905" spans="1:60">
      <c r="A905" s="23" t="s">
        <v>22</v>
      </c>
      <c r="B905" s="23" t="s">
        <v>23</v>
      </c>
      <c r="C905" s="27">
        <v>44169.479166666664</v>
      </c>
      <c r="D905" s="23">
        <v>37.25</v>
      </c>
      <c r="E905" s="27">
        <v>44169.614583333336</v>
      </c>
      <c r="F905" s="23">
        <v>37.1</v>
      </c>
      <c r="G905" s="31">
        <v>-4.0000000000000001E-3</v>
      </c>
      <c r="H905" s="23">
        <v>203.08</v>
      </c>
      <c r="I905" s="31">
        <v>4.0000000000000001E-3</v>
      </c>
      <c r="J905" s="23">
        <v>1353.885</v>
      </c>
      <c r="K905" s="23">
        <v>50432.2</v>
      </c>
      <c r="L905" s="23">
        <v>86438.82</v>
      </c>
      <c r="M905" s="23">
        <v>14</v>
      </c>
      <c r="N905" s="23">
        <v>14.51</v>
      </c>
      <c r="O905" s="31">
        <v>-4.0000000000000001E-3</v>
      </c>
      <c r="P905" s="31">
        <v>2.2800000000000001E-2</v>
      </c>
      <c r="Q905" s="23" t="s">
        <v>24</v>
      </c>
      <c r="R905" s="23">
        <v>0</v>
      </c>
      <c r="S905" s="23">
        <v>37.799999999999997</v>
      </c>
      <c r="U905" s="47">
        <f>VLOOKUP(AU905,[1]expiry_dates!$B$2:$C$2894,2,FALSE)</f>
        <v>44196</v>
      </c>
      <c r="V905" s="23" t="s">
        <v>144</v>
      </c>
      <c r="W905" s="23" t="s">
        <v>23</v>
      </c>
      <c r="X905" s="49">
        <v>44169.479166666664</v>
      </c>
      <c r="Y905" s="23">
        <v>1.9</v>
      </c>
      <c r="Z905" s="23">
        <v>44169.614583333336</v>
      </c>
      <c r="AA905" s="23">
        <v>1.9</v>
      </c>
      <c r="AB905" s="23">
        <v>0</v>
      </c>
      <c r="AC905" s="23">
        <v>0</v>
      </c>
      <c r="AD905" s="23">
        <v>0</v>
      </c>
      <c r="AE905" s="23">
        <v>34001.54</v>
      </c>
      <c r="AF905" s="23">
        <v>64602.91</v>
      </c>
      <c r="AG905" s="23">
        <v>2920583.89</v>
      </c>
      <c r="AH905" s="23">
        <v>14</v>
      </c>
      <c r="AI905" s="23">
        <v>0</v>
      </c>
      <c r="AJ905" s="23">
        <v>-2.63E-2</v>
      </c>
      <c r="AK905" s="23">
        <v>0.15790000000000001</v>
      </c>
      <c r="AL905" s="23" t="s">
        <v>24</v>
      </c>
      <c r="AM905" s="23">
        <v>37.25</v>
      </c>
      <c r="AN905" s="23">
        <v>29725.05</v>
      </c>
      <c r="AO905" s="23">
        <v>37.799999999999997</v>
      </c>
      <c r="AP905" s="23">
        <v>0</v>
      </c>
      <c r="AR905" s="46"/>
      <c r="AS905" s="44"/>
      <c r="AT905" s="45"/>
      <c r="AU905" s="2">
        <v>44169</v>
      </c>
      <c r="AV905" s="52">
        <v>0.47916666666666669</v>
      </c>
      <c r="AW905" s="2" t="s">
        <v>212</v>
      </c>
      <c r="AY905" s="3"/>
      <c r="BA905" s="3"/>
      <c r="BG905" s="3"/>
      <c r="BH905" s="3"/>
    </row>
    <row r="906" spans="1:60">
      <c r="A906" s="23" t="s">
        <v>22</v>
      </c>
      <c r="B906" s="23" t="s">
        <v>25</v>
      </c>
      <c r="C906" s="27">
        <v>44169.614583333336</v>
      </c>
      <c r="D906" s="23">
        <v>37.1</v>
      </c>
      <c r="E906" s="27">
        <v>44172.479166666664</v>
      </c>
      <c r="F906" s="23">
        <v>37.049999999999997</v>
      </c>
      <c r="G906" s="31">
        <v>-1.2999999999999999E-3</v>
      </c>
      <c r="H906" s="23">
        <v>-67.97</v>
      </c>
      <c r="I906" s="31">
        <v>-1.2999999999999999E-3</v>
      </c>
      <c r="J906" s="23">
        <v>1359.3579999999999</v>
      </c>
      <c r="K906" s="23">
        <v>50432.2</v>
      </c>
      <c r="L906" s="23">
        <v>86370.85</v>
      </c>
      <c r="M906" s="23">
        <v>16</v>
      </c>
      <c r="N906" s="23">
        <v>-4.25</v>
      </c>
      <c r="O906" s="31">
        <v>-5.4000000000000003E-3</v>
      </c>
      <c r="P906" s="31">
        <v>9.4000000000000004E-3</v>
      </c>
      <c r="Q906" s="23" t="s">
        <v>24</v>
      </c>
      <c r="R906" s="23">
        <v>0</v>
      </c>
      <c r="S906" s="23">
        <v>36.43</v>
      </c>
      <c r="U906" s="47">
        <f>VLOOKUP(AU906,[1]expiry_dates!$B$2:$C$2894,2,FALSE)</f>
        <v>44196</v>
      </c>
      <c r="V906" s="23" t="s">
        <v>142</v>
      </c>
      <c r="W906" s="23" t="s">
        <v>23</v>
      </c>
      <c r="X906" s="49">
        <v>44169.614583333336</v>
      </c>
      <c r="Y906" s="23">
        <v>1.9</v>
      </c>
      <c r="Z906" s="23">
        <v>44172.479166666664</v>
      </c>
      <c r="AA906" s="23">
        <v>1.95</v>
      </c>
      <c r="AB906" s="23">
        <v>2.63E-2</v>
      </c>
      <c r="AC906" s="23">
        <v>-1700.52</v>
      </c>
      <c r="AD906" s="23">
        <v>-2.63E-2</v>
      </c>
      <c r="AE906" s="23">
        <v>34010.480000000003</v>
      </c>
      <c r="AF906" s="23">
        <v>64619.92</v>
      </c>
      <c r="AG906" s="23">
        <v>2918883.37</v>
      </c>
      <c r="AH906" s="23">
        <v>16</v>
      </c>
      <c r="AI906" s="23">
        <v>-106.28</v>
      </c>
      <c r="AJ906" s="23">
        <v>-0.26319999999999999</v>
      </c>
      <c r="AK906" s="23">
        <v>5.2600000000000001E-2</v>
      </c>
      <c r="AL906" s="23" t="s">
        <v>24</v>
      </c>
      <c r="AM906" s="23">
        <v>37.1</v>
      </c>
      <c r="AN906" s="23">
        <v>30049</v>
      </c>
      <c r="AO906" s="23">
        <v>36.43</v>
      </c>
      <c r="AP906" s="23">
        <v>0</v>
      </c>
      <c r="AR906" s="46"/>
      <c r="AS906" s="44"/>
      <c r="AT906" s="45"/>
      <c r="AU906" s="2">
        <v>44169</v>
      </c>
      <c r="AV906" s="52">
        <v>0.11458333333333333</v>
      </c>
      <c r="AW906" s="2" t="s">
        <v>213</v>
      </c>
      <c r="AY906" s="3"/>
      <c r="BA906" s="3"/>
      <c r="BG906" s="3"/>
      <c r="BH906" s="3"/>
    </row>
    <row r="907" spans="1:60">
      <c r="A907" s="23" t="s">
        <v>22</v>
      </c>
      <c r="B907" s="23" t="s">
        <v>23</v>
      </c>
      <c r="C907" s="27">
        <v>44172.479166666664</v>
      </c>
      <c r="D907" s="23">
        <v>37.049999999999997</v>
      </c>
      <c r="E907" s="27">
        <v>44172.583333333336</v>
      </c>
      <c r="F907" s="23">
        <v>37.25</v>
      </c>
      <c r="G907" s="31">
        <v>5.4000000000000003E-3</v>
      </c>
      <c r="H907" s="23">
        <v>-272.24</v>
      </c>
      <c r="I907" s="31">
        <v>-5.4000000000000003E-3</v>
      </c>
      <c r="J907" s="23">
        <v>1361.193</v>
      </c>
      <c r="K907" s="23">
        <v>50432.2</v>
      </c>
      <c r="L907" s="23">
        <v>86098.61</v>
      </c>
      <c r="M907" s="23">
        <v>11</v>
      </c>
      <c r="N907" s="23">
        <v>-24.75</v>
      </c>
      <c r="O907" s="31">
        <v>-5.4000000000000003E-3</v>
      </c>
      <c r="P907" s="31">
        <v>1.21E-2</v>
      </c>
      <c r="Q907" s="23" t="s">
        <v>24</v>
      </c>
      <c r="R907" s="23">
        <v>0</v>
      </c>
      <c r="S907" s="23">
        <v>37.44</v>
      </c>
      <c r="U907" s="47">
        <f>VLOOKUP(AU907,[1]expiry_dates!$B$2:$C$2894,2,FALSE)</f>
        <v>44196</v>
      </c>
      <c r="V907" s="23" t="s">
        <v>144</v>
      </c>
      <c r="W907" s="23" t="s">
        <v>23</v>
      </c>
      <c r="X907" s="49">
        <v>44172.479166666664</v>
      </c>
      <c r="Y907" s="23">
        <v>1.8</v>
      </c>
      <c r="Z907" s="23">
        <v>44172.583333333336</v>
      </c>
      <c r="AA907" s="23">
        <v>1.85</v>
      </c>
      <c r="AB907" s="23">
        <v>2.7799999999999998E-2</v>
      </c>
      <c r="AC907" s="23">
        <v>-1794.29</v>
      </c>
      <c r="AD907" s="23">
        <v>-2.7799999999999998E-2</v>
      </c>
      <c r="AE907" s="23">
        <v>35885.79</v>
      </c>
      <c r="AF907" s="23">
        <v>64594.42</v>
      </c>
      <c r="AG907" s="23">
        <v>2917089.08</v>
      </c>
      <c r="AH907" s="23">
        <v>11</v>
      </c>
      <c r="AI907" s="23">
        <v>-163.12</v>
      </c>
      <c r="AJ907" s="23">
        <v>-5.5599999999999997E-2</v>
      </c>
      <c r="AK907" s="23">
        <v>5.5599999999999997E-2</v>
      </c>
      <c r="AL907" s="23" t="s">
        <v>24</v>
      </c>
      <c r="AM907" s="23">
        <v>37.049999999999997</v>
      </c>
      <c r="AN907" s="23">
        <v>30009</v>
      </c>
      <c r="AO907" s="23">
        <v>37.44</v>
      </c>
      <c r="AP907" s="23">
        <v>0</v>
      </c>
      <c r="AR907" s="46"/>
      <c r="AS907" s="44"/>
      <c r="AT907" s="45"/>
      <c r="AU907" s="2">
        <v>44172</v>
      </c>
      <c r="AV907" s="52">
        <v>0.47916666666666669</v>
      </c>
      <c r="AW907" s="2" t="s">
        <v>212</v>
      </c>
      <c r="AY907" s="3"/>
      <c r="BA907" s="3"/>
      <c r="BG907" s="3"/>
      <c r="BH907" s="3"/>
    </row>
    <row r="908" spans="1:60">
      <c r="A908" s="23" t="s">
        <v>22</v>
      </c>
      <c r="B908" s="23" t="s">
        <v>25</v>
      </c>
      <c r="C908" s="27">
        <v>44172.583333333336</v>
      </c>
      <c r="D908" s="23">
        <v>37.25</v>
      </c>
      <c r="E908" s="27">
        <v>44172.625</v>
      </c>
      <c r="F908" s="23">
        <v>36.65</v>
      </c>
      <c r="G908" s="31">
        <v>-1.61E-2</v>
      </c>
      <c r="H908" s="23">
        <v>-812.33</v>
      </c>
      <c r="I908" s="31">
        <v>-1.61E-2</v>
      </c>
      <c r="J908" s="23">
        <v>1353.884</v>
      </c>
      <c r="K908" s="23">
        <v>50432.2</v>
      </c>
      <c r="L908" s="23">
        <v>85286.28</v>
      </c>
      <c r="M908" s="23">
        <v>5</v>
      </c>
      <c r="N908" s="23">
        <v>-162.47</v>
      </c>
      <c r="O908" s="31">
        <v>-1.61E-2</v>
      </c>
      <c r="P908" s="31">
        <v>0</v>
      </c>
      <c r="Q908" s="23" t="s">
        <v>24</v>
      </c>
      <c r="R908" s="23">
        <v>0</v>
      </c>
      <c r="S908" s="23">
        <v>36.6</v>
      </c>
      <c r="U908" s="47">
        <f>VLOOKUP(AU908,[1]expiry_dates!$B$2:$C$2894,2,FALSE)</f>
        <v>44196</v>
      </c>
      <c r="V908" s="23" t="s">
        <v>142</v>
      </c>
      <c r="W908" s="23" t="s">
        <v>23</v>
      </c>
      <c r="X908" s="49">
        <v>44172.583333333336</v>
      </c>
      <c r="Y908" s="23">
        <v>1.8</v>
      </c>
      <c r="Z908" s="23">
        <v>44172.625</v>
      </c>
      <c r="AA908" s="23">
        <v>1.95</v>
      </c>
      <c r="AB908" s="23">
        <v>8.3299999999999999E-2</v>
      </c>
      <c r="AC908" s="23">
        <v>-5382.12</v>
      </c>
      <c r="AD908" s="23">
        <v>-8.3299999999999999E-2</v>
      </c>
      <c r="AE908" s="23">
        <v>35880.800000000003</v>
      </c>
      <c r="AF908" s="23">
        <v>64585.45</v>
      </c>
      <c r="AG908" s="23">
        <v>2911706.96</v>
      </c>
      <c r="AH908" s="23">
        <v>5</v>
      </c>
      <c r="AI908" s="23">
        <v>-1076.42</v>
      </c>
      <c r="AJ908" s="23">
        <v>-0.1111</v>
      </c>
      <c r="AK908" s="23">
        <v>0</v>
      </c>
      <c r="AL908" s="23" t="s">
        <v>24</v>
      </c>
      <c r="AM908" s="23">
        <v>37.25</v>
      </c>
      <c r="AN908" s="23">
        <v>30160.35</v>
      </c>
      <c r="AO908" s="23">
        <v>36.6</v>
      </c>
      <c r="AP908" s="23">
        <v>0</v>
      </c>
      <c r="AR908" s="46"/>
      <c r="AS908" s="44"/>
      <c r="AT908" s="45"/>
      <c r="AU908" s="2">
        <v>44172</v>
      </c>
      <c r="AV908" s="52">
        <v>8.3333333333333329E-2</v>
      </c>
      <c r="AW908" s="2" t="s">
        <v>213</v>
      </c>
      <c r="AY908" s="3"/>
      <c r="BA908" s="3"/>
      <c r="BG908" s="3"/>
      <c r="BH908" s="3"/>
    </row>
    <row r="909" spans="1:60">
      <c r="A909" s="23" t="s">
        <v>22</v>
      </c>
      <c r="B909" s="23" t="s">
        <v>23</v>
      </c>
      <c r="C909" s="27">
        <v>44172.625</v>
      </c>
      <c r="D909" s="23">
        <v>36.65</v>
      </c>
      <c r="E909" s="27">
        <v>44173.395833333336</v>
      </c>
      <c r="F909" s="23">
        <v>37.25</v>
      </c>
      <c r="G909" s="31">
        <v>1.6400000000000001E-2</v>
      </c>
      <c r="H909" s="23">
        <v>-825.58</v>
      </c>
      <c r="I909" s="31">
        <v>-1.6400000000000001E-2</v>
      </c>
      <c r="J909" s="23">
        <v>1375.9659999999999</v>
      </c>
      <c r="K909" s="23">
        <v>50429.14</v>
      </c>
      <c r="L909" s="23">
        <v>84460.7</v>
      </c>
      <c r="M909" s="23">
        <v>7</v>
      </c>
      <c r="N909" s="23">
        <v>-117.94</v>
      </c>
      <c r="O909" s="31">
        <v>-1.6400000000000001E-2</v>
      </c>
      <c r="P909" s="31">
        <v>1.4E-3</v>
      </c>
      <c r="Q909" s="23" t="s">
        <v>24</v>
      </c>
      <c r="R909" s="23">
        <v>0</v>
      </c>
      <c r="S909" s="23">
        <v>37.25</v>
      </c>
      <c r="U909" s="47">
        <f>VLOOKUP(AU909,[1]expiry_dates!$B$2:$C$2894,2,FALSE)</f>
        <v>44196</v>
      </c>
      <c r="V909" s="23" t="s">
        <v>144</v>
      </c>
      <c r="W909" s="23" t="s">
        <v>23</v>
      </c>
      <c r="X909" s="49">
        <v>44172.625</v>
      </c>
      <c r="Y909" s="23">
        <v>1.7</v>
      </c>
      <c r="Z909" s="23">
        <v>44173.395833333336</v>
      </c>
      <c r="AA909" s="23">
        <v>2</v>
      </c>
      <c r="AB909" s="23">
        <v>0.17649999999999999</v>
      </c>
      <c r="AC909" s="23">
        <v>-11397.43</v>
      </c>
      <c r="AD909" s="23">
        <v>-0.17649999999999999</v>
      </c>
      <c r="AE909" s="23">
        <v>37991.440000000002</v>
      </c>
      <c r="AF909" s="23">
        <v>64585.45</v>
      </c>
      <c r="AG909" s="23">
        <v>2900309.53</v>
      </c>
      <c r="AH909" s="23">
        <v>7</v>
      </c>
      <c r="AI909" s="23">
        <v>-1628.2</v>
      </c>
      <c r="AJ909" s="23">
        <v>-0.17649999999999999</v>
      </c>
      <c r="AK909" s="23">
        <v>0</v>
      </c>
      <c r="AL909" s="23" t="s">
        <v>24</v>
      </c>
      <c r="AM909" s="23">
        <v>36.65</v>
      </c>
      <c r="AN909" s="23">
        <v>30202.400000000001</v>
      </c>
      <c r="AO909" s="23">
        <v>37.25</v>
      </c>
      <c r="AP909" s="23">
        <v>0</v>
      </c>
      <c r="AR909" s="46"/>
      <c r="AS909" s="44"/>
      <c r="AT909" s="45"/>
      <c r="AU909" s="2">
        <v>44172</v>
      </c>
      <c r="AV909" s="52">
        <v>0.125</v>
      </c>
      <c r="AW909" s="2" t="s">
        <v>213</v>
      </c>
      <c r="AY909" s="3"/>
      <c r="BA909" s="3"/>
      <c r="BG909" s="3"/>
      <c r="BH909" s="3"/>
    </row>
    <row r="910" spans="1:60">
      <c r="A910" s="23" t="s">
        <v>22</v>
      </c>
      <c r="B910" s="23" t="s">
        <v>25</v>
      </c>
      <c r="C910" s="27">
        <v>44173.395833333336</v>
      </c>
      <c r="D910" s="23">
        <v>37.25</v>
      </c>
      <c r="E910" s="27">
        <v>44173.458333333336</v>
      </c>
      <c r="F910" s="23">
        <v>36.75</v>
      </c>
      <c r="G910" s="31">
        <v>-1.34E-2</v>
      </c>
      <c r="H910" s="23">
        <v>-676.85</v>
      </c>
      <c r="I910" s="31">
        <v>-1.34E-2</v>
      </c>
      <c r="J910" s="23">
        <v>1353.693</v>
      </c>
      <c r="K910" s="23">
        <v>50425.05</v>
      </c>
      <c r="L910" s="23">
        <v>83783.86</v>
      </c>
      <c r="M910" s="23">
        <v>7</v>
      </c>
      <c r="N910" s="23">
        <v>-96.69</v>
      </c>
      <c r="O910" s="31">
        <v>-1.34E-2</v>
      </c>
      <c r="P910" s="31">
        <v>1.2999999999999999E-3</v>
      </c>
      <c r="Q910" s="23" t="s">
        <v>24</v>
      </c>
      <c r="R910" s="23">
        <v>0</v>
      </c>
      <c r="S910" s="23">
        <v>36.61</v>
      </c>
      <c r="U910" s="47">
        <f>VLOOKUP(AU910,[1]expiry_dates!$B$2:$C$2894,2,FALSE)</f>
        <v>44196</v>
      </c>
      <c r="V910" s="23" t="s">
        <v>142</v>
      </c>
      <c r="W910" s="23" t="s">
        <v>23</v>
      </c>
      <c r="X910" s="49">
        <v>44173.395833333336</v>
      </c>
      <c r="Y910" s="23">
        <v>1.75</v>
      </c>
      <c r="Z910" s="23">
        <v>44173.458333333336</v>
      </c>
      <c r="AA910" s="23">
        <v>2.0499999999999998</v>
      </c>
      <c r="AB910" s="23">
        <v>0.1714</v>
      </c>
      <c r="AC910" s="23">
        <v>-11067.18</v>
      </c>
      <c r="AD910" s="23">
        <v>-0.1714</v>
      </c>
      <c r="AE910" s="23">
        <v>36890.589999999997</v>
      </c>
      <c r="AF910" s="23">
        <v>64558.53</v>
      </c>
      <c r="AG910" s="23">
        <v>2889242.35</v>
      </c>
      <c r="AH910" s="23">
        <v>7</v>
      </c>
      <c r="AI910" s="23">
        <v>-1581.03</v>
      </c>
      <c r="AJ910" s="23">
        <v>-0.1714</v>
      </c>
      <c r="AK910" s="23">
        <v>0</v>
      </c>
      <c r="AL910" s="23" t="s">
        <v>24</v>
      </c>
      <c r="AM910" s="23">
        <v>37.25</v>
      </c>
      <c r="AN910" s="23">
        <v>30277.5</v>
      </c>
      <c r="AO910" s="23">
        <v>36.61</v>
      </c>
      <c r="AP910" s="23">
        <v>0</v>
      </c>
      <c r="AR910" s="46"/>
      <c r="AS910" s="44"/>
      <c r="AT910" s="45"/>
      <c r="AU910" s="2">
        <v>44173</v>
      </c>
      <c r="AV910" s="52">
        <v>0.39583333333333331</v>
      </c>
      <c r="AW910" s="2" t="s">
        <v>212</v>
      </c>
      <c r="AY910" s="3"/>
      <c r="BA910" s="3"/>
      <c r="BG910" s="3"/>
      <c r="BH910" s="3"/>
    </row>
    <row r="911" spans="1:60">
      <c r="A911" s="23" t="s">
        <v>22</v>
      </c>
      <c r="B911" s="23" t="s">
        <v>23</v>
      </c>
      <c r="C911" s="27">
        <v>44173.458333333336</v>
      </c>
      <c r="D911" s="23">
        <v>36.75</v>
      </c>
      <c r="E911" s="27">
        <v>44173.53125</v>
      </c>
      <c r="F911" s="23">
        <v>36.950000000000003</v>
      </c>
      <c r="G911" s="31">
        <v>5.4000000000000003E-3</v>
      </c>
      <c r="H911" s="23">
        <v>-274.39</v>
      </c>
      <c r="I911" s="31">
        <v>-5.4000000000000003E-3</v>
      </c>
      <c r="J911" s="23">
        <v>1371.971</v>
      </c>
      <c r="K911" s="23">
        <v>50419.93</v>
      </c>
      <c r="L911" s="23">
        <v>83509.460000000006</v>
      </c>
      <c r="M911" s="23">
        <v>8</v>
      </c>
      <c r="N911" s="23">
        <v>-34.299999999999997</v>
      </c>
      <c r="O911" s="31">
        <v>-5.4000000000000003E-3</v>
      </c>
      <c r="P911" s="31">
        <v>8.2000000000000007E-3</v>
      </c>
      <c r="Q911" s="23" t="s">
        <v>24</v>
      </c>
      <c r="R911" s="23">
        <v>0</v>
      </c>
      <c r="S911" s="23">
        <v>37.28</v>
      </c>
      <c r="U911" s="47">
        <f>VLOOKUP(AU911,[1]expiry_dates!$B$2:$C$2894,2,FALSE)</f>
        <v>44196</v>
      </c>
      <c r="V911" s="23" t="s">
        <v>144</v>
      </c>
      <c r="W911" s="23" t="s">
        <v>23</v>
      </c>
      <c r="X911" s="49">
        <v>44173.458333333336</v>
      </c>
      <c r="Y911" s="23">
        <v>1.65</v>
      </c>
      <c r="Z911" s="23">
        <v>44173.53125</v>
      </c>
      <c r="AA911" s="23">
        <v>1.75</v>
      </c>
      <c r="AB911" s="23">
        <v>6.0600000000000001E-2</v>
      </c>
      <c r="AC911" s="23">
        <v>-3906.95</v>
      </c>
      <c r="AD911" s="23">
        <v>-6.0600000000000001E-2</v>
      </c>
      <c r="AE911" s="23">
        <v>39069.49</v>
      </c>
      <c r="AF911" s="23">
        <v>64464.66</v>
      </c>
      <c r="AG911" s="23">
        <v>2885335.4</v>
      </c>
      <c r="AH911" s="23">
        <v>8</v>
      </c>
      <c r="AI911" s="23">
        <v>-488.37</v>
      </c>
      <c r="AJ911" s="23">
        <v>-6.0600000000000001E-2</v>
      </c>
      <c r="AK911" s="23">
        <v>6.0600000000000001E-2</v>
      </c>
      <c r="AL911" s="23" t="s">
        <v>24</v>
      </c>
      <c r="AM911" s="23">
        <v>36.75</v>
      </c>
      <c r="AN911" s="23">
        <v>30177.55</v>
      </c>
      <c r="AO911" s="23">
        <v>37.28</v>
      </c>
      <c r="AP911" s="23">
        <v>0</v>
      </c>
      <c r="AR911" s="46"/>
      <c r="AS911" s="44"/>
      <c r="AT911" s="45"/>
      <c r="AU911" s="2">
        <v>44173</v>
      </c>
      <c r="AV911" s="52">
        <v>0.45833333333333331</v>
      </c>
      <c r="AW911" s="2" t="s">
        <v>212</v>
      </c>
      <c r="AY911" s="3"/>
      <c r="BA911" s="3"/>
      <c r="BG911" s="3"/>
      <c r="BH911" s="3"/>
    </row>
    <row r="912" spans="1:60">
      <c r="A912" s="23" t="s">
        <v>22</v>
      </c>
      <c r="B912" s="23" t="s">
        <v>25</v>
      </c>
      <c r="C912" s="27">
        <v>44173.53125</v>
      </c>
      <c r="D912" s="23">
        <v>36.950000000000003</v>
      </c>
      <c r="E912" s="27">
        <v>44174.5</v>
      </c>
      <c r="F912" s="23">
        <v>37.25</v>
      </c>
      <c r="G912" s="31">
        <v>8.0999999999999996E-3</v>
      </c>
      <c r="H912" s="23">
        <v>409.35</v>
      </c>
      <c r="I912" s="31">
        <v>8.0999999999999996E-3</v>
      </c>
      <c r="J912" s="23">
        <v>1364.499</v>
      </c>
      <c r="K912" s="23">
        <v>50418.23</v>
      </c>
      <c r="L912" s="23">
        <v>83918.81</v>
      </c>
      <c r="M912" s="23">
        <v>26</v>
      </c>
      <c r="N912" s="23">
        <v>15.74</v>
      </c>
      <c r="O912" s="31">
        <v>-4.1000000000000003E-3</v>
      </c>
      <c r="P912" s="31">
        <v>1.89E-2</v>
      </c>
      <c r="Q912" s="23" t="s">
        <v>24</v>
      </c>
      <c r="R912" s="23">
        <v>0</v>
      </c>
      <c r="S912" s="23">
        <v>36.450000000000003</v>
      </c>
      <c r="U912" s="47">
        <f>VLOOKUP(AU912,[1]expiry_dates!$B$2:$C$2894,2,FALSE)</f>
        <v>44196</v>
      </c>
      <c r="V912" s="23" t="s">
        <v>146</v>
      </c>
      <c r="W912" s="23" t="s">
        <v>23</v>
      </c>
      <c r="X912" s="49">
        <v>44173.53125</v>
      </c>
      <c r="Y912" s="23">
        <v>0.7</v>
      </c>
      <c r="Z912" s="23">
        <v>44174.5</v>
      </c>
      <c r="AA912" s="23">
        <v>0.65</v>
      </c>
      <c r="AB912" s="23">
        <v>-7.1400000000000005E-2</v>
      </c>
      <c r="AC912" s="23">
        <v>4602.6000000000004</v>
      </c>
      <c r="AD912" s="23">
        <v>7.1400000000000005E-2</v>
      </c>
      <c r="AE912" s="23">
        <v>92052.06</v>
      </c>
      <c r="AF912" s="23">
        <v>64436.44</v>
      </c>
      <c r="AG912" s="23">
        <v>2889938</v>
      </c>
      <c r="AH912" s="23">
        <v>26</v>
      </c>
      <c r="AI912" s="23">
        <v>177.02</v>
      </c>
      <c r="AJ912" s="23">
        <v>-0.1429</v>
      </c>
      <c r="AK912" s="23">
        <v>0.1429</v>
      </c>
      <c r="AL912" s="23" t="s">
        <v>24</v>
      </c>
      <c r="AM912" s="23">
        <v>36.950000000000003</v>
      </c>
      <c r="AN912" s="23">
        <v>30299.4</v>
      </c>
      <c r="AO912" s="23">
        <v>36.450000000000003</v>
      </c>
      <c r="AP912" s="23">
        <v>0</v>
      </c>
      <c r="AR912" s="46"/>
      <c r="AS912" s="44"/>
      <c r="AT912" s="45"/>
      <c r="AU912" s="2">
        <v>44173</v>
      </c>
      <c r="AV912" s="52">
        <v>0.53125</v>
      </c>
      <c r="AW912" s="2" t="s">
        <v>213</v>
      </c>
      <c r="AY912" s="3"/>
      <c r="BA912" s="3"/>
      <c r="BG912" s="3"/>
      <c r="BH912" s="3"/>
    </row>
    <row r="913" spans="1:60">
      <c r="A913" s="23" t="s">
        <v>22</v>
      </c>
      <c r="B913" s="23" t="s">
        <v>23</v>
      </c>
      <c r="C913" s="27">
        <v>44174.5</v>
      </c>
      <c r="D913" s="23">
        <v>37.25</v>
      </c>
      <c r="E913" s="27">
        <v>44174.59375</v>
      </c>
      <c r="F913" s="23">
        <v>37.35</v>
      </c>
      <c r="G913" s="31">
        <v>2.7000000000000001E-3</v>
      </c>
      <c r="H913" s="23">
        <v>-135.35</v>
      </c>
      <c r="I913" s="31">
        <v>-2.7000000000000001E-3</v>
      </c>
      <c r="J913" s="23">
        <v>1353.546</v>
      </c>
      <c r="K913" s="23">
        <v>50419.59</v>
      </c>
      <c r="L913" s="23">
        <v>83783.460000000006</v>
      </c>
      <c r="M913" s="23">
        <v>10</v>
      </c>
      <c r="N913" s="23">
        <v>-13.54</v>
      </c>
      <c r="O913" s="31">
        <v>-4.0000000000000001E-3</v>
      </c>
      <c r="P913" s="31">
        <v>6.7000000000000002E-3</v>
      </c>
      <c r="Q913" s="23" t="s">
        <v>24</v>
      </c>
      <c r="R913" s="23">
        <v>0</v>
      </c>
      <c r="S913" s="23">
        <v>37.64</v>
      </c>
      <c r="U913" s="47">
        <f>VLOOKUP(AU913,[1]expiry_dates!$B$2:$C$2894,2,FALSE)</f>
        <v>44196</v>
      </c>
      <c r="V913" s="23" t="s">
        <v>140</v>
      </c>
      <c r="W913" s="23" t="s">
        <v>23</v>
      </c>
      <c r="X913" s="49">
        <v>44174.5</v>
      </c>
      <c r="Y913" s="23">
        <v>1.5</v>
      </c>
      <c r="Z913" s="23">
        <v>44174.59375</v>
      </c>
      <c r="AA913" s="23">
        <v>1.55</v>
      </c>
      <c r="AB913" s="23">
        <v>3.3300000000000003E-2</v>
      </c>
      <c r="AC913" s="23">
        <v>-2149.09</v>
      </c>
      <c r="AD913" s="23">
        <v>-3.3300000000000003E-2</v>
      </c>
      <c r="AE913" s="23">
        <v>42981.8</v>
      </c>
      <c r="AF913" s="23">
        <v>64472.7</v>
      </c>
      <c r="AG913" s="23">
        <v>2887788.91</v>
      </c>
      <c r="AH913" s="23">
        <v>10</v>
      </c>
      <c r="AI913" s="23">
        <v>-214.91</v>
      </c>
      <c r="AJ913" s="23">
        <v>-6.6699999999999995E-2</v>
      </c>
      <c r="AK913" s="23">
        <v>3.3300000000000003E-2</v>
      </c>
      <c r="AL913" s="23" t="s">
        <v>24</v>
      </c>
      <c r="AM913" s="23">
        <v>37.25</v>
      </c>
      <c r="AN913" s="23">
        <v>30491.45</v>
      </c>
      <c r="AO913" s="23">
        <v>37.64</v>
      </c>
      <c r="AP913" s="23">
        <v>0</v>
      </c>
      <c r="AR913" s="46"/>
      <c r="AS913" s="44"/>
      <c r="AT913" s="45"/>
      <c r="AU913" s="2">
        <v>44174</v>
      </c>
      <c r="AV913" s="52">
        <v>0.5</v>
      </c>
      <c r="AW913" s="2" t="s">
        <v>213</v>
      </c>
      <c r="AY913" s="3"/>
      <c r="BA913" s="3"/>
      <c r="BG913" s="3"/>
      <c r="BH913" s="3"/>
    </row>
    <row r="914" spans="1:60">
      <c r="A914" s="23" t="s">
        <v>22</v>
      </c>
      <c r="B914" s="23" t="s">
        <v>25</v>
      </c>
      <c r="C914" s="27">
        <v>44174.59375</v>
      </c>
      <c r="D914" s="23">
        <v>37.35</v>
      </c>
      <c r="E914" s="27">
        <v>44175.395833333336</v>
      </c>
      <c r="F914" s="23">
        <v>37.5</v>
      </c>
      <c r="G914" s="31">
        <v>4.0000000000000001E-3</v>
      </c>
      <c r="H914" s="23">
        <v>202.49</v>
      </c>
      <c r="I914" s="31">
        <v>4.0000000000000001E-3</v>
      </c>
      <c r="J914" s="23">
        <v>1349.904</v>
      </c>
      <c r="K914" s="23">
        <v>50418.92</v>
      </c>
      <c r="L914" s="23">
        <v>83985.94</v>
      </c>
      <c r="M914" s="23">
        <v>10</v>
      </c>
      <c r="N914" s="23">
        <v>20.25</v>
      </c>
      <c r="O914" s="31">
        <v>-1.2999999999999999E-3</v>
      </c>
      <c r="P914" s="31">
        <v>4.5499999999999999E-2</v>
      </c>
      <c r="Q914" s="23" t="s">
        <v>24</v>
      </c>
      <c r="R914" s="23">
        <v>0</v>
      </c>
      <c r="S914" s="23">
        <v>37.020000000000003</v>
      </c>
      <c r="U914" s="47">
        <f>VLOOKUP(AU914,[1]expiry_dates!$B$2:$C$2894,2,FALSE)</f>
        <v>44196</v>
      </c>
      <c r="V914" s="23" t="s">
        <v>142</v>
      </c>
      <c r="W914" s="23" t="s">
        <v>23</v>
      </c>
      <c r="X914" s="49">
        <v>44174.59375</v>
      </c>
      <c r="Y914" s="23">
        <v>1.65</v>
      </c>
      <c r="Z914" s="23">
        <v>44175.395833333336</v>
      </c>
      <c r="AA914" s="23">
        <v>1.95</v>
      </c>
      <c r="AB914" s="23">
        <v>0.18179999999999999</v>
      </c>
      <c r="AC914" s="23">
        <v>-11714.22</v>
      </c>
      <c r="AD914" s="23">
        <v>-0.18179999999999999</v>
      </c>
      <c r="AE914" s="23">
        <v>39047.39</v>
      </c>
      <c r="AF914" s="23">
        <v>64428.2</v>
      </c>
      <c r="AG914" s="23">
        <v>2876074.7</v>
      </c>
      <c r="AH914" s="23">
        <v>10</v>
      </c>
      <c r="AI914" s="23">
        <v>-1171.42</v>
      </c>
      <c r="AJ914" s="23">
        <v>-0.18179999999999999</v>
      </c>
      <c r="AK914" s="23">
        <v>0.2727</v>
      </c>
      <c r="AL914" s="23" t="s">
        <v>24</v>
      </c>
      <c r="AM914" s="23">
        <v>37.35</v>
      </c>
      <c r="AN914" s="23">
        <v>30725.85</v>
      </c>
      <c r="AO914" s="23">
        <v>37.020000000000003</v>
      </c>
      <c r="AP914" s="23">
        <v>0</v>
      </c>
      <c r="AR914" s="46"/>
      <c r="AS914" s="44"/>
      <c r="AT914" s="45"/>
      <c r="AU914" s="2">
        <v>44174</v>
      </c>
      <c r="AV914" s="52">
        <v>9.375E-2</v>
      </c>
      <c r="AW914" s="2" t="s">
        <v>213</v>
      </c>
      <c r="AY914" s="3"/>
      <c r="BA914" s="3"/>
      <c r="BG914" s="3"/>
      <c r="BH914" s="3"/>
    </row>
    <row r="915" spans="1:60">
      <c r="A915" s="23" t="s">
        <v>22</v>
      </c>
      <c r="B915" s="23" t="s">
        <v>23</v>
      </c>
      <c r="C915" s="27">
        <v>44175.395833333336</v>
      </c>
      <c r="D915" s="23">
        <v>37.5</v>
      </c>
      <c r="E915" s="27">
        <v>44175.604166666664</v>
      </c>
      <c r="F915" s="23">
        <v>37.549999999999997</v>
      </c>
      <c r="G915" s="31">
        <v>1.2999999999999999E-3</v>
      </c>
      <c r="H915" s="23">
        <v>-67.23</v>
      </c>
      <c r="I915" s="31">
        <v>-1.2999999999999999E-3</v>
      </c>
      <c r="J915" s="23">
        <v>1344.63</v>
      </c>
      <c r="K915" s="23">
        <v>50423.64</v>
      </c>
      <c r="L915" s="23">
        <v>83918.71</v>
      </c>
      <c r="M915" s="23">
        <v>21</v>
      </c>
      <c r="N915" s="23">
        <v>-3.2</v>
      </c>
      <c r="O915" s="31">
        <v>-1.47E-2</v>
      </c>
      <c r="P915" s="31">
        <v>1.8700000000000001E-2</v>
      </c>
      <c r="Q915" s="23" t="s">
        <v>24</v>
      </c>
      <c r="R915" s="23">
        <v>0</v>
      </c>
      <c r="S915" s="23">
        <v>39.020000000000003</v>
      </c>
      <c r="U915" s="47">
        <f>VLOOKUP(AU915,[1]expiry_dates!$B$2:$C$2894,2,FALSE)</f>
        <v>44196</v>
      </c>
      <c r="V915" s="23" t="s">
        <v>140</v>
      </c>
      <c r="W915" s="23" t="s">
        <v>23</v>
      </c>
      <c r="X915" s="49">
        <v>44175.395833333336</v>
      </c>
      <c r="Y915" s="23">
        <v>1.85</v>
      </c>
      <c r="Z915" s="23">
        <v>44175.604166666664</v>
      </c>
      <c r="AA915" s="23">
        <v>1.9</v>
      </c>
      <c r="AB915" s="23">
        <v>2.7E-2</v>
      </c>
      <c r="AC915" s="23">
        <v>-1741.07</v>
      </c>
      <c r="AD915" s="23">
        <v>-2.7E-2</v>
      </c>
      <c r="AE915" s="23">
        <v>34821.31</v>
      </c>
      <c r="AF915" s="23">
        <v>64419.42</v>
      </c>
      <c r="AG915" s="23">
        <v>2874333.63</v>
      </c>
      <c r="AH915" s="23">
        <v>21</v>
      </c>
      <c r="AI915" s="23">
        <v>-82.91</v>
      </c>
      <c r="AJ915" s="23">
        <v>-0.1351</v>
      </c>
      <c r="AK915" s="23">
        <v>0.1351</v>
      </c>
      <c r="AL915" s="23" t="s">
        <v>24</v>
      </c>
      <c r="AM915" s="23">
        <v>37.5</v>
      </c>
      <c r="AN915" s="23">
        <v>30452.2</v>
      </c>
      <c r="AO915" s="23">
        <v>39.020000000000003</v>
      </c>
      <c r="AP915" s="23">
        <v>0</v>
      </c>
      <c r="AR915" s="46"/>
      <c r="AS915" s="44"/>
      <c r="AT915" s="45"/>
      <c r="AU915" s="2">
        <v>44175</v>
      </c>
      <c r="AV915" s="52">
        <v>0.39583333333333331</v>
      </c>
      <c r="AW915" s="2" t="s">
        <v>212</v>
      </c>
      <c r="AY915" s="3"/>
      <c r="BA915" s="3"/>
      <c r="BG915" s="3"/>
      <c r="BH915" s="3"/>
    </row>
    <row r="916" spans="1:60">
      <c r="A916" s="23" t="s">
        <v>22</v>
      </c>
      <c r="B916" s="23" t="s">
        <v>25</v>
      </c>
      <c r="C916" s="27">
        <v>44175.604166666664</v>
      </c>
      <c r="D916" s="23">
        <v>37.549999999999997</v>
      </c>
      <c r="E916" s="27">
        <v>44176.479166666664</v>
      </c>
      <c r="F916" s="23">
        <v>37.65</v>
      </c>
      <c r="G916" s="31">
        <v>2.7000000000000001E-3</v>
      </c>
      <c r="H916" s="23">
        <v>134.28</v>
      </c>
      <c r="I916" s="31">
        <v>2.7000000000000001E-3</v>
      </c>
      <c r="J916" s="23">
        <v>1342.75</v>
      </c>
      <c r="K916" s="23">
        <v>50420.27</v>
      </c>
      <c r="L916" s="23">
        <v>84052.99</v>
      </c>
      <c r="M916" s="23">
        <v>17</v>
      </c>
      <c r="N916" s="23">
        <v>7.9</v>
      </c>
      <c r="O916" s="31">
        <v>-5.3E-3</v>
      </c>
      <c r="P916" s="31">
        <v>2.8000000000000001E-2</v>
      </c>
      <c r="Q916" s="23" t="s">
        <v>24</v>
      </c>
      <c r="R916" s="23">
        <v>0</v>
      </c>
      <c r="S916" s="23">
        <v>36.83</v>
      </c>
      <c r="U916" s="47">
        <f>VLOOKUP(AU916,[1]expiry_dates!$B$2:$C$2894,2,FALSE)</f>
        <v>44196</v>
      </c>
      <c r="V916" s="23" t="s">
        <v>142</v>
      </c>
      <c r="W916" s="23" t="s">
        <v>23</v>
      </c>
      <c r="X916" s="49">
        <v>44175.604166666664</v>
      </c>
      <c r="Y916" s="23">
        <v>1.9</v>
      </c>
      <c r="Z916" s="23">
        <v>44176.479166666664</v>
      </c>
      <c r="AA916" s="23">
        <v>1.95</v>
      </c>
      <c r="AB916" s="23">
        <v>2.63E-2</v>
      </c>
      <c r="AC916" s="23">
        <v>-1694.45</v>
      </c>
      <c r="AD916" s="23">
        <v>-2.63E-2</v>
      </c>
      <c r="AE916" s="23">
        <v>33888.99</v>
      </c>
      <c r="AF916" s="23">
        <v>64389.08</v>
      </c>
      <c r="AG916" s="23">
        <v>2872639.18</v>
      </c>
      <c r="AH916" s="23">
        <v>17</v>
      </c>
      <c r="AI916" s="23">
        <v>-99.67</v>
      </c>
      <c r="AJ916" s="23">
        <v>-0.1842</v>
      </c>
      <c r="AK916" s="23">
        <v>0.23680000000000001</v>
      </c>
      <c r="AL916" s="23" t="s">
        <v>24</v>
      </c>
      <c r="AM916" s="23">
        <v>37.549999999999997</v>
      </c>
      <c r="AN916" s="23">
        <v>30466.9</v>
      </c>
      <c r="AO916" s="23">
        <v>36.83</v>
      </c>
      <c r="AP916" s="23">
        <v>0</v>
      </c>
      <c r="AR916" s="46"/>
      <c r="AS916" s="44"/>
      <c r="AT916" s="45"/>
      <c r="AU916" s="2">
        <v>44175</v>
      </c>
      <c r="AV916" s="52">
        <v>0.10416666666666667</v>
      </c>
      <c r="AW916" s="2" t="s">
        <v>213</v>
      </c>
      <c r="AY916" s="3"/>
      <c r="BA916" s="3"/>
      <c r="BG916" s="3"/>
      <c r="BH916" s="3"/>
    </row>
    <row r="917" spans="1:60">
      <c r="A917" s="23" t="s">
        <v>22</v>
      </c>
      <c r="B917" s="23" t="s">
        <v>23</v>
      </c>
      <c r="C917" s="27">
        <v>44176.479166666664</v>
      </c>
      <c r="D917" s="23">
        <v>37.65</v>
      </c>
      <c r="E917" s="27">
        <v>44179.385416666664</v>
      </c>
      <c r="F917" s="23">
        <v>37.700000000000003</v>
      </c>
      <c r="G917" s="31">
        <v>1.2999999999999999E-3</v>
      </c>
      <c r="H917" s="23">
        <v>-66.959999999999994</v>
      </c>
      <c r="I917" s="31">
        <v>-1.2999999999999999E-3</v>
      </c>
      <c r="J917" s="23">
        <v>1339.21</v>
      </c>
      <c r="K917" s="23">
        <v>50421.27</v>
      </c>
      <c r="L917" s="23">
        <v>83986.03</v>
      </c>
      <c r="M917" s="23">
        <v>20</v>
      </c>
      <c r="N917" s="23">
        <v>-3.35</v>
      </c>
      <c r="O917" s="31">
        <v>-6.6E-3</v>
      </c>
      <c r="P917" s="31">
        <v>1.5900000000000001E-2</v>
      </c>
      <c r="Q917" s="23" t="s">
        <v>24</v>
      </c>
      <c r="R917" s="23">
        <v>0</v>
      </c>
      <c r="S917" s="23">
        <v>38.56</v>
      </c>
      <c r="U917" s="47">
        <f>VLOOKUP(AU917,[1]expiry_dates!$B$2:$C$2894,2,FALSE)</f>
        <v>44196</v>
      </c>
      <c r="V917" s="23" t="s">
        <v>140</v>
      </c>
      <c r="W917" s="23" t="s">
        <v>23</v>
      </c>
      <c r="X917" s="49">
        <v>44176.479166666664</v>
      </c>
      <c r="Y917" s="23">
        <v>1.9</v>
      </c>
      <c r="Z917" s="23">
        <v>44179.385416666664</v>
      </c>
      <c r="AA917" s="23">
        <v>2</v>
      </c>
      <c r="AB917" s="23">
        <v>5.2600000000000001E-2</v>
      </c>
      <c r="AC917" s="23">
        <v>-3388.87</v>
      </c>
      <c r="AD917" s="23">
        <v>-5.2600000000000001E-2</v>
      </c>
      <c r="AE917" s="23">
        <v>33888.74</v>
      </c>
      <c r="AF917" s="23">
        <v>64388.61</v>
      </c>
      <c r="AG917" s="23">
        <v>2869250.31</v>
      </c>
      <c r="AH917" s="23">
        <v>20</v>
      </c>
      <c r="AI917" s="23">
        <v>-169.44</v>
      </c>
      <c r="AJ917" s="23">
        <v>-5.2600000000000001E-2</v>
      </c>
      <c r="AK917" s="23">
        <v>0.15790000000000001</v>
      </c>
      <c r="AL917" s="23" t="s">
        <v>24</v>
      </c>
      <c r="AM917" s="23">
        <v>37.65</v>
      </c>
      <c r="AN917" s="23">
        <v>30584.7</v>
      </c>
      <c r="AO917" s="23">
        <v>38.56</v>
      </c>
      <c r="AP917" s="23">
        <v>0</v>
      </c>
      <c r="AR917" s="46"/>
      <c r="AS917" s="44"/>
      <c r="AT917" s="45"/>
      <c r="AU917" s="2">
        <v>44176</v>
      </c>
      <c r="AV917" s="52">
        <v>0.47916666666666669</v>
      </c>
      <c r="AW917" s="2" t="s">
        <v>212</v>
      </c>
      <c r="AY917" s="3"/>
      <c r="BA917" s="3"/>
      <c r="BG917" s="3"/>
      <c r="BH917" s="3"/>
    </row>
    <row r="918" spans="1:60">
      <c r="A918" s="23" t="s">
        <v>22</v>
      </c>
      <c r="B918" s="23" t="s">
        <v>25</v>
      </c>
      <c r="C918" s="27">
        <v>44179.385416666664</v>
      </c>
      <c r="D918" s="23">
        <v>37.700000000000003</v>
      </c>
      <c r="E918" s="27">
        <v>44179.520833333336</v>
      </c>
      <c r="F918" s="23">
        <v>37.700000000000003</v>
      </c>
      <c r="G918" s="31">
        <v>0</v>
      </c>
      <c r="H918" s="23">
        <v>0</v>
      </c>
      <c r="I918" s="31">
        <v>0</v>
      </c>
      <c r="J918" s="23">
        <v>1337.3630000000001</v>
      </c>
      <c r="K918" s="23">
        <v>50418.59</v>
      </c>
      <c r="L918" s="23">
        <v>83986.03</v>
      </c>
      <c r="M918" s="23">
        <v>14</v>
      </c>
      <c r="N918" s="23">
        <v>0</v>
      </c>
      <c r="O918" s="31">
        <v>-4.0000000000000001E-3</v>
      </c>
      <c r="P918" s="31">
        <v>6.6E-3</v>
      </c>
      <c r="Q918" s="23" t="s">
        <v>24</v>
      </c>
      <c r="R918" s="23">
        <v>0</v>
      </c>
      <c r="S918" s="23">
        <v>37.1</v>
      </c>
      <c r="U918" s="47">
        <f>VLOOKUP(AU918,[1]expiry_dates!$B$2:$C$2894,2,FALSE)</f>
        <v>44196</v>
      </c>
      <c r="V918" s="23" t="s">
        <v>135</v>
      </c>
      <c r="W918" s="23" t="s">
        <v>23</v>
      </c>
      <c r="X918" s="49">
        <v>44179.385416666664</v>
      </c>
      <c r="Y918" s="23">
        <v>2.4</v>
      </c>
      <c r="Z918" s="23">
        <v>44179.520833333336</v>
      </c>
      <c r="AA918" s="23">
        <v>2.35</v>
      </c>
      <c r="AB918" s="23">
        <v>-2.0799999999999999E-2</v>
      </c>
      <c r="AC918" s="23">
        <v>1341.08</v>
      </c>
      <c r="AD918" s="23">
        <v>2.0799999999999999E-2</v>
      </c>
      <c r="AE918" s="23">
        <v>26821.53</v>
      </c>
      <c r="AF918" s="23">
        <v>64371.67</v>
      </c>
      <c r="AG918" s="23">
        <v>2870591.38</v>
      </c>
      <c r="AH918" s="23">
        <v>14</v>
      </c>
      <c r="AI918" s="23">
        <v>95.79</v>
      </c>
      <c r="AJ918" s="23">
        <v>0</v>
      </c>
      <c r="AK918" s="23">
        <v>8.3299999999999999E-2</v>
      </c>
      <c r="AL918" s="23" t="s">
        <v>24</v>
      </c>
      <c r="AM918" s="23">
        <v>37.700000000000003</v>
      </c>
      <c r="AN918" s="23">
        <v>30766.85</v>
      </c>
      <c r="AO918" s="23">
        <v>37.1</v>
      </c>
      <c r="AP918" s="23">
        <v>0</v>
      </c>
      <c r="AR918" s="46"/>
      <c r="AS918" s="44"/>
      <c r="AT918" s="45"/>
      <c r="AU918" s="2">
        <v>44179</v>
      </c>
      <c r="AV918" s="52">
        <v>0.38541666666666669</v>
      </c>
      <c r="AW918" s="2" t="s">
        <v>212</v>
      </c>
      <c r="AY918" s="3"/>
      <c r="BA918" s="3"/>
      <c r="BG918" s="3"/>
      <c r="BH918" s="3"/>
    </row>
    <row r="919" spans="1:60">
      <c r="A919" s="23" t="s">
        <v>22</v>
      </c>
      <c r="B919" s="23" t="s">
        <v>23</v>
      </c>
      <c r="C919" s="27">
        <v>44179.520833333336</v>
      </c>
      <c r="D919" s="23">
        <v>37.700000000000003</v>
      </c>
      <c r="E919" s="27">
        <v>44179.59375</v>
      </c>
      <c r="F919" s="23">
        <v>37.799999999999997</v>
      </c>
      <c r="G919" s="31">
        <v>2.7000000000000001E-3</v>
      </c>
      <c r="H919" s="23">
        <v>-133.74</v>
      </c>
      <c r="I919" s="31">
        <v>-2.7000000000000001E-3</v>
      </c>
      <c r="J919" s="23">
        <v>1337.3989999999999</v>
      </c>
      <c r="K919" s="23">
        <v>50419.93</v>
      </c>
      <c r="L919" s="23">
        <v>83852.289999999994</v>
      </c>
      <c r="M919" s="23">
        <v>8</v>
      </c>
      <c r="N919" s="23">
        <v>-16.72</v>
      </c>
      <c r="O919" s="31">
        <v>-2.7000000000000001E-3</v>
      </c>
      <c r="P919" s="31">
        <v>5.3E-3</v>
      </c>
      <c r="Q919" s="23" t="s">
        <v>24</v>
      </c>
      <c r="R919" s="23">
        <v>0</v>
      </c>
      <c r="S919" s="23">
        <v>37.94</v>
      </c>
      <c r="U919" s="47">
        <f>VLOOKUP(AU919,[1]expiry_dates!$B$2:$C$2894,2,FALSE)</f>
        <v>44196</v>
      </c>
      <c r="V919" s="23" t="s">
        <v>140</v>
      </c>
      <c r="W919" s="23" t="s">
        <v>23</v>
      </c>
      <c r="X919" s="49">
        <v>44179.520833333336</v>
      </c>
      <c r="Y919" s="23">
        <v>1.85</v>
      </c>
      <c r="Z919" s="23">
        <v>44179.59375</v>
      </c>
      <c r="AA919" s="23">
        <v>2</v>
      </c>
      <c r="AB919" s="23">
        <v>8.1100000000000005E-2</v>
      </c>
      <c r="AC919" s="23">
        <v>-5217.8100000000004</v>
      </c>
      <c r="AD919" s="23">
        <v>-8.1100000000000005E-2</v>
      </c>
      <c r="AE919" s="23">
        <v>34785.379999999997</v>
      </c>
      <c r="AF919" s="23">
        <v>64352.959999999999</v>
      </c>
      <c r="AG919" s="23">
        <v>2865373.58</v>
      </c>
      <c r="AH919" s="23">
        <v>8</v>
      </c>
      <c r="AI919" s="23">
        <v>-652.23</v>
      </c>
      <c r="AJ919" s="23">
        <v>-8.1100000000000005E-2</v>
      </c>
      <c r="AK919" s="23">
        <v>2.7E-2</v>
      </c>
      <c r="AL919" s="23" t="s">
        <v>24</v>
      </c>
      <c r="AM919" s="23">
        <v>37.700000000000003</v>
      </c>
      <c r="AN919" s="23">
        <v>30748.75</v>
      </c>
      <c r="AO919" s="23">
        <v>37.94</v>
      </c>
      <c r="AP919" s="23">
        <v>0</v>
      </c>
      <c r="AR919" s="46"/>
      <c r="AS919" s="44"/>
      <c r="AT919" s="45"/>
      <c r="AU919" s="2">
        <v>44179</v>
      </c>
      <c r="AV919" s="52">
        <v>0.52083333333333337</v>
      </c>
      <c r="AW919" s="2" t="s">
        <v>213</v>
      </c>
      <c r="AY919" s="3"/>
      <c r="BA919" s="3"/>
      <c r="BG919" s="3"/>
      <c r="BH919" s="3"/>
    </row>
    <row r="920" spans="1:60">
      <c r="A920" s="23" t="s">
        <v>22</v>
      </c>
      <c r="B920" s="23" t="s">
        <v>25</v>
      </c>
      <c r="C920" s="27">
        <v>44179.59375</v>
      </c>
      <c r="D920" s="23">
        <v>37.799999999999997</v>
      </c>
      <c r="E920" s="27">
        <v>44179.635416666664</v>
      </c>
      <c r="F920" s="23">
        <v>37.700000000000003</v>
      </c>
      <c r="G920" s="31">
        <v>-2.5999999999999999E-3</v>
      </c>
      <c r="H920" s="23">
        <v>-133.38999999999999</v>
      </c>
      <c r="I920" s="31">
        <v>-2.5999999999999999E-3</v>
      </c>
      <c r="J920" s="23">
        <v>1333.87</v>
      </c>
      <c r="K920" s="23">
        <v>50420.27</v>
      </c>
      <c r="L920" s="23">
        <v>83718.899999999994</v>
      </c>
      <c r="M920" s="23">
        <v>5</v>
      </c>
      <c r="N920" s="23">
        <v>-26.68</v>
      </c>
      <c r="O920" s="31">
        <v>-4.0000000000000001E-3</v>
      </c>
      <c r="P920" s="31">
        <v>5.3E-3</v>
      </c>
      <c r="Q920" s="23" t="s">
        <v>24</v>
      </c>
      <c r="R920" s="23">
        <v>0</v>
      </c>
      <c r="S920" s="23">
        <v>37.51</v>
      </c>
      <c r="U920" s="47">
        <f>VLOOKUP(AU920,[1]expiry_dates!$B$2:$C$2894,2,FALSE)</f>
        <v>44196</v>
      </c>
      <c r="V920" s="23" t="s">
        <v>135</v>
      </c>
      <c r="W920" s="23" t="s">
        <v>23</v>
      </c>
      <c r="X920" s="49">
        <v>44179.59375</v>
      </c>
      <c r="Y920" s="23">
        <v>2.2000000000000002</v>
      </c>
      <c r="Z920" s="23">
        <v>44179.635416666664</v>
      </c>
      <c r="AA920" s="23">
        <v>2.35</v>
      </c>
      <c r="AB920" s="23">
        <v>6.8199999999999997E-2</v>
      </c>
      <c r="AC920" s="23">
        <v>-4387.1099999999997</v>
      </c>
      <c r="AD920" s="23">
        <v>-6.8199999999999997E-2</v>
      </c>
      <c r="AE920" s="23">
        <v>29247.39</v>
      </c>
      <c r="AF920" s="23">
        <v>64344.26</v>
      </c>
      <c r="AG920" s="23">
        <v>2860986.47</v>
      </c>
      <c r="AH920" s="23">
        <v>5</v>
      </c>
      <c r="AI920" s="23">
        <v>-877.42</v>
      </c>
      <c r="AJ920" s="23">
        <v>-6.8199999999999997E-2</v>
      </c>
      <c r="AK920" s="23">
        <v>2.2700000000000001E-2</v>
      </c>
      <c r="AL920" s="23" t="s">
        <v>24</v>
      </c>
      <c r="AM920" s="23">
        <v>37.799999999999997</v>
      </c>
      <c r="AN920" s="23">
        <v>30786.65</v>
      </c>
      <c r="AO920" s="23">
        <v>37.51</v>
      </c>
      <c r="AP920" s="23">
        <v>0</v>
      </c>
      <c r="AR920" s="46"/>
      <c r="AS920" s="44"/>
      <c r="AT920" s="45"/>
      <c r="AU920" s="2">
        <v>44179</v>
      </c>
      <c r="AV920" s="52">
        <v>9.375E-2</v>
      </c>
      <c r="AW920" s="2" t="s">
        <v>213</v>
      </c>
      <c r="AY920" s="3"/>
      <c r="BA920" s="3"/>
      <c r="BG920" s="3"/>
      <c r="BH920" s="3"/>
    </row>
    <row r="921" spans="1:60">
      <c r="A921" s="23" t="s">
        <v>22</v>
      </c>
      <c r="B921" s="23" t="s">
        <v>23</v>
      </c>
      <c r="C921" s="27">
        <v>44179.635416666664</v>
      </c>
      <c r="D921" s="23">
        <v>37.700000000000003</v>
      </c>
      <c r="E921" s="27">
        <v>44180.53125</v>
      </c>
      <c r="F921" s="23">
        <v>37.4</v>
      </c>
      <c r="G921" s="31">
        <v>-8.0000000000000002E-3</v>
      </c>
      <c r="H921" s="23">
        <v>401.21</v>
      </c>
      <c r="I921" s="31">
        <v>8.0000000000000002E-3</v>
      </c>
      <c r="J921" s="23">
        <v>1337.3720000000001</v>
      </c>
      <c r="K921" s="23">
        <v>50418.93</v>
      </c>
      <c r="L921" s="23">
        <v>84120.11</v>
      </c>
      <c r="M921" s="23">
        <v>19</v>
      </c>
      <c r="N921" s="23">
        <v>21.12</v>
      </c>
      <c r="O921" s="31">
        <v>-2.7000000000000001E-3</v>
      </c>
      <c r="P921" s="31">
        <v>2.2499999999999999E-2</v>
      </c>
      <c r="Q921" s="23" t="s">
        <v>24</v>
      </c>
      <c r="R921" s="23">
        <v>0</v>
      </c>
      <c r="S921" s="23">
        <v>38</v>
      </c>
      <c r="U921" s="47">
        <f>VLOOKUP(AU921,[1]expiry_dates!$B$2:$C$2894,2,FALSE)</f>
        <v>44196</v>
      </c>
      <c r="V921" s="23" t="s">
        <v>140</v>
      </c>
      <c r="W921" s="23" t="s">
        <v>23</v>
      </c>
      <c r="X921" s="49">
        <v>44179.635416666664</v>
      </c>
      <c r="Y921" s="23">
        <v>1.9</v>
      </c>
      <c r="Z921" s="23">
        <v>44180.53125</v>
      </c>
      <c r="AA921" s="23">
        <v>1.7</v>
      </c>
      <c r="AB921" s="23">
        <v>-0.1053</v>
      </c>
      <c r="AC921" s="23">
        <v>6770.48</v>
      </c>
      <c r="AD921" s="23">
        <v>0.1053</v>
      </c>
      <c r="AE921" s="23">
        <v>33852.400000000001</v>
      </c>
      <c r="AF921" s="23">
        <v>64319.55</v>
      </c>
      <c r="AG921" s="23">
        <v>2867756.95</v>
      </c>
      <c r="AH921" s="23">
        <v>19</v>
      </c>
      <c r="AI921" s="23">
        <v>356.34</v>
      </c>
      <c r="AJ921" s="23">
        <v>-2.63E-2</v>
      </c>
      <c r="AK921" s="23">
        <v>0.21049999999999999</v>
      </c>
      <c r="AL921" s="23" t="s">
        <v>24</v>
      </c>
      <c r="AM921" s="23">
        <v>37.700000000000003</v>
      </c>
      <c r="AN921" s="23">
        <v>30746.05</v>
      </c>
      <c r="AO921" s="23">
        <v>38</v>
      </c>
      <c r="AP921" s="23">
        <v>0</v>
      </c>
      <c r="AR921" s="46"/>
      <c r="AS921" s="44"/>
      <c r="AT921" s="45"/>
      <c r="AU921" s="2">
        <v>44179</v>
      </c>
      <c r="AV921" s="52">
        <v>0.13541666666666666</v>
      </c>
      <c r="AW921" s="2" t="s">
        <v>213</v>
      </c>
      <c r="AY921" s="3"/>
      <c r="BA921" s="3"/>
      <c r="BG921" s="3"/>
      <c r="BH921" s="3"/>
    </row>
    <row r="922" spans="1:60">
      <c r="A922" s="23" t="s">
        <v>22</v>
      </c>
      <c r="B922" s="23" t="s">
        <v>25</v>
      </c>
      <c r="C922" s="27">
        <v>44180.53125</v>
      </c>
      <c r="D922" s="23">
        <v>37.4</v>
      </c>
      <c r="E922" s="27">
        <v>44181.520833333336</v>
      </c>
      <c r="F922" s="23">
        <v>37.700000000000003</v>
      </c>
      <c r="G922" s="31">
        <v>8.0000000000000002E-3</v>
      </c>
      <c r="H922" s="23">
        <v>404.46</v>
      </c>
      <c r="I922" s="31">
        <v>8.0000000000000002E-3</v>
      </c>
      <c r="J922" s="23">
        <v>1348.1890000000001</v>
      </c>
      <c r="K922" s="23">
        <v>50422.27</v>
      </c>
      <c r="L922" s="23">
        <v>84524.57</v>
      </c>
      <c r="M922" s="23">
        <v>28</v>
      </c>
      <c r="N922" s="23">
        <v>14.44</v>
      </c>
      <c r="O922" s="31">
        <v>-6.7000000000000002E-3</v>
      </c>
      <c r="P922" s="31">
        <v>2.01E-2</v>
      </c>
      <c r="Q922" s="23" t="s">
        <v>24</v>
      </c>
      <c r="R922" s="23">
        <v>0</v>
      </c>
      <c r="S922" s="23">
        <v>36.86</v>
      </c>
      <c r="U922" s="47">
        <f>VLOOKUP(AU922,[1]expiry_dates!$B$2:$C$2894,2,FALSE)</f>
        <v>44196</v>
      </c>
      <c r="V922" s="23" t="s">
        <v>148</v>
      </c>
      <c r="W922" s="23" t="s">
        <v>23</v>
      </c>
      <c r="X922" s="49">
        <v>44180.53125</v>
      </c>
      <c r="Y922" s="23">
        <v>0.95</v>
      </c>
      <c r="Z922" s="23">
        <v>44181.520833333336</v>
      </c>
      <c r="AA922" s="23">
        <v>0.8</v>
      </c>
      <c r="AB922" s="23">
        <v>-0.15790000000000001</v>
      </c>
      <c r="AC922" s="23">
        <v>10161.43</v>
      </c>
      <c r="AD922" s="23">
        <v>0.15790000000000001</v>
      </c>
      <c r="AE922" s="23">
        <v>67742.850000000006</v>
      </c>
      <c r="AF922" s="23">
        <v>64355.71</v>
      </c>
      <c r="AG922" s="23">
        <v>2877918.37</v>
      </c>
      <c r="AH922" s="23">
        <v>28</v>
      </c>
      <c r="AI922" s="23">
        <v>362.91</v>
      </c>
      <c r="AJ922" s="23">
        <v>-5.2600000000000001E-2</v>
      </c>
      <c r="AK922" s="23">
        <v>0.26319999999999999</v>
      </c>
      <c r="AL922" s="23" t="s">
        <v>24</v>
      </c>
      <c r="AM922" s="23">
        <v>37.4</v>
      </c>
      <c r="AN922" s="23">
        <v>30535.25</v>
      </c>
      <c r="AO922" s="23">
        <v>36.86</v>
      </c>
      <c r="AP922" s="23">
        <v>0</v>
      </c>
      <c r="AR922" s="46"/>
      <c r="AS922" s="44"/>
      <c r="AT922" s="45"/>
      <c r="AU922" s="2">
        <v>44180</v>
      </c>
      <c r="AV922" s="52">
        <v>0.53125</v>
      </c>
      <c r="AW922" s="2" t="s">
        <v>213</v>
      </c>
      <c r="AY922" s="3"/>
      <c r="BA922" s="3"/>
      <c r="BG922" s="3"/>
      <c r="BH922" s="3"/>
    </row>
    <row r="923" spans="1:60">
      <c r="A923" s="23" t="s">
        <v>22</v>
      </c>
      <c r="B923" s="23" t="s">
        <v>23</v>
      </c>
      <c r="C923" s="27">
        <v>44181.520833333336</v>
      </c>
      <c r="D923" s="23">
        <v>37.700000000000003</v>
      </c>
      <c r="E923" s="27">
        <v>44182.5</v>
      </c>
      <c r="F923" s="23">
        <v>37.6</v>
      </c>
      <c r="G923" s="31">
        <v>-2.7000000000000001E-3</v>
      </c>
      <c r="H923" s="23">
        <v>133.75</v>
      </c>
      <c r="I923" s="31">
        <v>2.7000000000000001E-3</v>
      </c>
      <c r="J923" s="23">
        <v>1337.4970000000001</v>
      </c>
      <c r="K923" s="23">
        <v>50423.64</v>
      </c>
      <c r="L923" s="23">
        <v>84658.32</v>
      </c>
      <c r="M923" s="23">
        <v>27</v>
      </c>
      <c r="N923" s="23">
        <v>4.95</v>
      </c>
      <c r="O923" s="31">
        <v>-6.6E-3</v>
      </c>
      <c r="P923" s="31">
        <v>1.1900000000000001E-2</v>
      </c>
      <c r="Q923" s="23" t="s">
        <v>24</v>
      </c>
      <c r="R923" s="23">
        <v>0</v>
      </c>
      <c r="S923" s="23">
        <v>38.130000000000003</v>
      </c>
      <c r="U923" s="47">
        <f>VLOOKUP(AU923,[1]expiry_dates!$B$2:$C$2894,2,FALSE)</f>
        <v>44196</v>
      </c>
      <c r="V923" s="23" t="s">
        <v>140</v>
      </c>
      <c r="W923" s="23" t="s">
        <v>23</v>
      </c>
      <c r="X923" s="49">
        <v>44181.520833333336</v>
      </c>
      <c r="Y923" s="23">
        <v>1.8</v>
      </c>
      <c r="Z923" s="23">
        <v>44182.5</v>
      </c>
      <c r="AA923" s="23">
        <v>1.65</v>
      </c>
      <c r="AB923" s="23">
        <v>-8.3299999999999999E-2</v>
      </c>
      <c r="AC923" s="23">
        <v>5367.21</v>
      </c>
      <c r="AD923" s="23">
        <v>8.3299999999999999E-2</v>
      </c>
      <c r="AE923" s="23">
        <v>35781.410000000003</v>
      </c>
      <c r="AF923" s="23">
        <v>64406.53</v>
      </c>
      <c r="AG923" s="23">
        <v>2883285.59</v>
      </c>
      <c r="AH923" s="23">
        <v>27</v>
      </c>
      <c r="AI923" s="23">
        <v>198.79</v>
      </c>
      <c r="AJ923" s="23">
        <v>-5.5599999999999997E-2</v>
      </c>
      <c r="AK923" s="23">
        <v>0.16669999999999999</v>
      </c>
      <c r="AL923" s="23" t="s">
        <v>24</v>
      </c>
      <c r="AM923" s="23">
        <v>37.700000000000003</v>
      </c>
      <c r="AN923" s="23">
        <v>30691.1</v>
      </c>
      <c r="AO923" s="23">
        <v>38.130000000000003</v>
      </c>
      <c r="AP923" s="23">
        <v>0</v>
      </c>
      <c r="AR923" s="46"/>
      <c r="AS923" s="44"/>
      <c r="AT923" s="45"/>
      <c r="AU923" s="2">
        <v>44181</v>
      </c>
      <c r="AV923" s="52">
        <v>0.52083333333333337</v>
      </c>
      <c r="AW923" s="2" t="s">
        <v>213</v>
      </c>
      <c r="AY923" s="3"/>
      <c r="BA923" s="3"/>
      <c r="BG923" s="3"/>
      <c r="BH923" s="3"/>
    </row>
    <row r="924" spans="1:60">
      <c r="A924" s="23" t="s">
        <v>22</v>
      </c>
      <c r="B924" s="23" t="s">
        <v>25</v>
      </c>
      <c r="C924" s="27">
        <v>44182.5</v>
      </c>
      <c r="D924" s="23">
        <v>37.6</v>
      </c>
      <c r="E924" s="27">
        <v>44182.59375</v>
      </c>
      <c r="F924" s="23">
        <v>37.5</v>
      </c>
      <c r="G924" s="31">
        <v>-2.7000000000000001E-3</v>
      </c>
      <c r="H924" s="23">
        <v>-134.11000000000001</v>
      </c>
      <c r="I924" s="31">
        <v>-2.7000000000000001E-3</v>
      </c>
      <c r="J924" s="23">
        <v>1341.0630000000001</v>
      </c>
      <c r="K924" s="23">
        <v>50423.96</v>
      </c>
      <c r="L924" s="23">
        <v>84524.21</v>
      </c>
      <c r="M924" s="23">
        <v>10</v>
      </c>
      <c r="N924" s="23">
        <v>-13.41</v>
      </c>
      <c r="O924" s="31">
        <v>-5.3E-3</v>
      </c>
      <c r="P924" s="31">
        <v>9.2999999999999992E-3</v>
      </c>
      <c r="Q924" s="23" t="s">
        <v>24</v>
      </c>
      <c r="R924" s="23">
        <v>0</v>
      </c>
      <c r="S924" s="23">
        <v>37.25</v>
      </c>
      <c r="U924" s="47">
        <f>VLOOKUP(AU924,[1]expiry_dates!$B$2:$C$2894,2,FALSE)</f>
        <v>44196</v>
      </c>
      <c r="V924" s="23" t="s">
        <v>142</v>
      </c>
      <c r="W924" s="23" t="s">
        <v>23</v>
      </c>
      <c r="X924" s="49">
        <v>44182.5</v>
      </c>
      <c r="Y924" s="23">
        <v>1.5</v>
      </c>
      <c r="Z924" s="23">
        <v>44182.59375</v>
      </c>
      <c r="AA924" s="23">
        <v>1.5</v>
      </c>
      <c r="AB924" s="23">
        <v>0</v>
      </c>
      <c r="AC924" s="23">
        <v>0</v>
      </c>
      <c r="AD924" s="23">
        <v>0</v>
      </c>
      <c r="AE924" s="23">
        <v>42950.25</v>
      </c>
      <c r="AF924" s="23">
        <v>64425.38</v>
      </c>
      <c r="AG924" s="23">
        <v>2883285.59</v>
      </c>
      <c r="AH924" s="23">
        <v>10</v>
      </c>
      <c r="AI924" s="23">
        <v>0</v>
      </c>
      <c r="AJ924" s="23">
        <v>-6.6699999999999995E-2</v>
      </c>
      <c r="AK924" s="23">
        <v>0.1</v>
      </c>
      <c r="AL924" s="23" t="s">
        <v>24</v>
      </c>
      <c r="AM924" s="23">
        <v>37.6</v>
      </c>
      <c r="AN924" s="23">
        <v>30896.25</v>
      </c>
      <c r="AO924" s="23">
        <v>37.25</v>
      </c>
      <c r="AP924" s="23">
        <v>0</v>
      </c>
      <c r="AR924" s="46"/>
      <c r="AS924" s="44"/>
      <c r="AT924" s="45"/>
      <c r="AU924" s="2">
        <v>44182</v>
      </c>
      <c r="AV924" s="52">
        <v>0.5</v>
      </c>
      <c r="AW924" s="2" t="s">
        <v>213</v>
      </c>
      <c r="AY924" s="3"/>
      <c r="BA924" s="3"/>
      <c r="BG924" s="3"/>
      <c r="BH924" s="3"/>
    </row>
    <row r="925" spans="1:60">
      <c r="A925" s="23" t="s">
        <v>22</v>
      </c>
      <c r="B925" s="23" t="s">
        <v>23</v>
      </c>
      <c r="C925" s="27">
        <v>44182.59375</v>
      </c>
      <c r="D925" s="23">
        <v>37.5</v>
      </c>
      <c r="E925" s="27">
        <v>44183.5</v>
      </c>
      <c r="F925" s="23">
        <v>37</v>
      </c>
      <c r="G925" s="31">
        <v>-1.3299999999999999E-2</v>
      </c>
      <c r="H925" s="23">
        <v>672.32</v>
      </c>
      <c r="I925" s="31">
        <v>1.3299999999999999E-2</v>
      </c>
      <c r="J925" s="23">
        <v>1344.6479999999999</v>
      </c>
      <c r="K925" s="23">
        <v>50424.3</v>
      </c>
      <c r="L925" s="23">
        <v>85196.53</v>
      </c>
      <c r="M925" s="23">
        <v>20</v>
      </c>
      <c r="N925" s="23">
        <v>33.619999999999997</v>
      </c>
      <c r="O925" s="31">
        <v>-6.7000000000000002E-3</v>
      </c>
      <c r="P925" s="31">
        <v>3.4700000000000002E-2</v>
      </c>
      <c r="Q925" s="23" t="s">
        <v>24</v>
      </c>
      <c r="R925" s="23">
        <v>0</v>
      </c>
      <c r="S925" s="23">
        <v>37.950000000000003</v>
      </c>
      <c r="U925" s="47">
        <f>VLOOKUP(AU925,[1]expiry_dates!$B$2:$C$2894,2,FALSE)</f>
        <v>44196</v>
      </c>
      <c r="V925" s="23" t="s">
        <v>140</v>
      </c>
      <c r="W925" s="23" t="s">
        <v>23</v>
      </c>
      <c r="X925" s="49">
        <v>44182.59375</v>
      </c>
      <c r="Y925" s="23">
        <v>1.55</v>
      </c>
      <c r="Z925" s="23">
        <v>44183.5</v>
      </c>
      <c r="AA925" s="23">
        <v>1.1499999999999999</v>
      </c>
      <c r="AB925" s="23">
        <v>-0.2581</v>
      </c>
      <c r="AC925" s="23">
        <v>16629.14</v>
      </c>
      <c r="AD925" s="23">
        <v>0.2581</v>
      </c>
      <c r="AE925" s="23">
        <v>41572.839999999997</v>
      </c>
      <c r="AF925" s="23">
        <v>64437.91</v>
      </c>
      <c r="AG925" s="23">
        <v>2899914.72</v>
      </c>
      <c r="AH925" s="23">
        <v>20</v>
      </c>
      <c r="AI925" s="23">
        <v>831.46</v>
      </c>
      <c r="AJ925" s="23">
        <v>-9.6799999999999997E-2</v>
      </c>
      <c r="AK925" s="23">
        <v>0.4516</v>
      </c>
      <c r="AL925" s="23" t="s">
        <v>24</v>
      </c>
      <c r="AM925" s="23">
        <v>37.5</v>
      </c>
      <c r="AN925" s="23">
        <v>30814.6</v>
      </c>
      <c r="AO925" s="23">
        <v>37.950000000000003</v>
      </c>
      <c r="AP925" s="23">
        <v>0</v>
      </c>
      <c r="AR925" s="46"/>
      <c r="AS925" s="44"/>
      <c r="AT925" s="45"/>
      <c r="AU925" s="2">
        <v>44182</v>
      </c>
      <c r="AV925" s="52">
        <v>9.375E-2</v>
      </c>
      <c r="AW925" s="2" t="s">
        <v>213</v>
      </c>
      <c r="AY925" s="3"/>
      <c r="BA925" s="3"/>
      <c r="BG925" s="3"/>
      <c r="BH925" s="3"/>
    </row>
    <row r="926" spans="1:60">
      <c r="A926" s="23" t="s">
        <v>22</v>
      </c>
      <c r="B926" s="23" t="s">
        <v>25</v>
      </c>
      <c r="C926" s="27">
        <v>44183.5</v>
      </c>
      <c r="D926" s="23">
        <v>37</v>
      </c>
      <c r="E926" s="27">
        <v>44186.385416666664</v>
      </c>
      <c r="F926" s="23">
        <v>36.25</v>
      </c>
      <c r="G926" s="31">
        <v>-2.0299999999999999E-2</v>
      </c>
      <c r="H926" s="23">
        <v>-1022.16</v>
      </c>
      <c r="I926" s="31">
        <v>-2.0299999999999999E-2</v>
      </c>
      <c r="J926" s="23">
        <v>1362.874</v>
      </c>
      <c r="K926" s="23">
        <v>50426.32</v>
      </c>
      <c r="L926" s="23">
        <v>84174.38</v>
      </c>
      <c r="M926" s="23">
        <v>18</v>
      </c>
      <c r="N926" s="23">
        <v>-56.79</v>
      </c>
      <c r="O926" s="31">
        <v>-2.0299999999999999E-2</v>
      </c>
      <c r="P926" s="31">
        <v>8.0999999999999996E-3</v>
      </c>
      <c r="Q926" s="23" t="s">
        <v>24</v>
      </c>
      <c r="R926" s="23">
        <v>0</v>
      </c>
      <c r="S926" s="23">
        <v>36.22</v>
      </c>
      <c r="U926" s="47">
        <f>VLOOKUP(AU926,[1]expiry_dates!$B$2:$C$2894,2,FALSE)</f>
        <v>44196</v>
      </c>
      <c r="V926" s="23" t="s">
        <v>142</v>
      </c>
      <c r="W926" s="23" t="s">
        <v>23</v>
      </c>
      <c r="X926" s="49">
        <v>44183.5</v>
      </c>
      <c r="Y926" s="23">
        <v>1.65</v>
      </c>
      <c r="Z926" s="23">
        <v>44186.385416666664</v>
      </c>
      <c r="AA926" s="23">
        <v>1.9</v>
      </c>
      <c r="AB926" s="23">
        <v>0.1515</v>
      </c>
      <c r="AC926" s="23">
        <v>-9775.81</v>
      </c>
      <c r="AD926" s="23">
        <v>-0.1515</v>
      </c>
      <c r="AE926" s="23">
        <v>39103.25</v>
      </c>
      <c r="AF926" s="23">
        <v>64520.36</v>
      </c>
      <c r="AG926" s="23">
        <v>2890138.91</v>
      </c>
      <c r="AH926" s="23">
        <v>18</v>
      </c>
      <c r="AI926" s="23">
        <v>-543.1</v>
      </c>
      <c r="AJ926" s="23">
        <v>-0.18179999999999999</v>
      </c>
      <c r="AK926" s="23">
        <v>9.0899999999999995E-2</v>
      </c>
      <c r="AL926" s="23" t="s">
        <v>24</v>
      </c>
      <c r="AM926" s="23">
        <v>37</v>
      </c>
      <c r="AN926" s="23">
        <v>30553.3</v>
      </c>
      <c r="AO926" s="23">
        <v>36.22</v>
      </c>
      <c r="AP926" s="23">
        <v>0</v>
      </c>
      <c r="AR926" s="46"/>
      <c r="AS926" s="44"/>
      <c r="AT926" s="45"/>
      <c r="AU926" s="2">
        <v>44183</v>
      </c>
      <c r="AV926" s="52">
        <v>0.5</v>
      </c>
      <c r="AW926" s="2" t="s">
        <v>213</v>
      </c>
      <c r="AY926" s="3"/>
      <c r="BA926" s="3"/>
      <c r="BG926" s="3"/>
      <c r="BH926" s="3"/>
    </row>
    <row r="927" spans="1:60">
      <c r="A927" s="23" t="s">
        <v>22</v>
      </c>
      <c r="B927" s="23" t="s">
        <v>23</v>
      </c>
      <c r="C927" s="27">
        <v>44186.385416666664</v>
      </c>
      <c r="D927" s="23">
        <v>36.25</v>
      </c>
      <c r="E927" s="27">
        <v>44187.5625</v>
      </c>
      <c r="F927" s="23">
        <v>34</v>
      </c>
      <c r="G927" s="31">
        <v>-6.2100000000000002E-2</v>
      </c>
      <c r="H927" s="23">
        <v>3129.68</v>
      </c>
      <c r="I927" s="31">
        <v>6.2100000000000002E-2</v>
      </c>
      <c r="J927" s="23">
        <v>1390.9680000000001</v>
      </c>
      <c r="K927" s="23">
        <v>50422.58</v>
      </c>
      <c r="L927" s="23">
        <v>87304.06</v>
      </c>
      <c r="M927" s="23">
        <v>46</v>
      </c>
      <c r="N927" s="23">
        <v>68.040000000000006</v>
      </c>
      <c r="O927" s="31">
        <v>-1.24E-2</v>
      </c>
      <c r="P927" s="31">
        <v>9.2399999999999996E-2</v>
      </c>
      <c r="Q927" s="23" t="s">
        <v>24</v>
      </c>
      <c r="R927" s="23">
        <v>0</v>
      </c>
      <c r="S927" s="23">
        <v>37.24</v>
      </c>
      <c r="U927" s="47">
        <f>VLOOKUP(AU927,[1]expiry_dates!$B$2:$C$2894,2,FALSE)</f>
        <v>44196</v>
      </c>
      <c r="V927" s="23" t="s">
        <v>145</v>
      </c>
      <c r="W927" s="23" t="s">
        <v>23</v>
      </c>
      <c r="X927" s="49">
        <v>44186.385416666664</v>
      </c>
      <c r="Y927" s="23">
        <v>1.4</v>
      </c>
      <c r="Z927" s="23">
        <v>44187.5625</v>
      </c>
      <c r="AA927" s="23">
        <v>0.45</v>
      </c>
      <c r="AB927" s="23">
        <v>-0.67859999999999998</v>
      </c>
      <c r="AC927" s="23">
        <v>43767.57</v>
      </c>
      <c r="AD927" s="23">
        <v>0.67859999999999998</v>
      </c>
      <c r="AE927" s="23">
        <v>46071.13</v>
      </c>
      <c r="AF927" s="23">
        <v>64499.57</v>
      </c>
      <c r="AG927" s="23">
        <v>2933906.48</v>
      </c>
      <c r="AH927" s="23">
        <v>46</v>
      </c>
      <c r="AI927" s="23">
        <v>951.47</v>
      </c>
      <c r="AJ927" s="23">
        <v>-7.1400000000000005E-2</v>
      </c>
      <c r="AK927" s="23">
        <v>0.75</v>
      </c>
      <c r="AL927" s="23" t="s">
        <v>24</v>
      </c>
      <c r="AM927" s="23">
        <v>36.25</v>
      </c>
      <c r="AN927" s="23">
        <v>30370.65</v>
      </c>
      <c r="AO927" s="23">
        <v>37.24</v>
      </c>
      <c r="AP927" s="23">
        <v>0</v>
      </c>
      <c r="AR927" s="46"/>
      <c r="AS927" s="44"/>
      <c r="AT927" s="45"/>
      <c r="AU927" s="2">
        <v>44186</v>
      </c>
      <c r="AV927" s="52">
        <v>0.38541666666666669</v>
      </c>
      <c r="AW927" s="2" t="s">
        <v>212</v>
      </c>
      <c r="AY927" s="3"/>
      <c r="BA927" s="3"/>
      <c r="BG927" s="3"/>
      <c r="BH927" s="3"/>
    </row>
    <row r="928" spans="1:60">
      <c r="A928" s="23" t="s">
        <v>22</v>
      </c>
      <c r="B928" s="23" t="s">
        <v>25</v>
      </c>
      <c r="C928" s="27">
        <v>44187.5625</v>
      </c>
      <c r="D928" s="23">
        <v>34</v>
      </c>
      <c r="E928" s="27">
        <v>44189.46875</v>
      </c>
      <c r="F928" s="23">
        <v>36.1</v>
      </c>
      <c r="G928" s="31">
        <v>6.1800000000000001E-2</v>
      </c>
      <c r="H928" s="23">
        <v>3115.35</v>
      </c>
      <c r="I928" s="31">
        <v>6.1800000000000001E-2</v>
      </c>
      <c r="J928" s="23">
        <v>1483.499</v>
      </c>
      <c r="K928" s="23">
        <v>50438.95</v>
      </c>
      <c r="L928" s="23">
        <v>90419.4</v>
      </c>
      <c r="M928" s="23">
        <v>48</v>
      </c>
      <c r="N928" s="23">
        <v>64.900000000000006</v>
      </c>
      <c r="O928" s="31">
        <v>-1.47E-2</v>
      </c>
      <c r="P928" s="31">
        <v>7.3499999999999996E-2</v>
      </c>
      <c r="Q928" s="23" t="s">
        <v>24</v>
      </c>
      <c r="R928" s="23">
        <v>0</v>
      </c>
      <c r="S928" s="23">
        <v>32.92</v>
      </c>
      <c r="U928" s="47">
        <f>VLOOKUP(AU928,[1]expiry_dates!$B$2:$C$2894,2,FALSE)</f>
        <v>44196</v>
      </c>
      <c r="V928" s="23" t="s">
        <v>177</v>
      </c>
      <c r="W928" s="23" t="s">
        <v>23</v>
      </c>
      <c r="X928" s="49">
        <v>44187.5625</v>
      </c>
      <c r="Y928" s="23">
        <v>0.35</v>
      </c>
      <c r="Z928" s="23">
        <v>44189.46875</v>
      </c>
      <c r="AA928" s="23">
        <v>0.05</v>
      </c>
      <c r="AB928" s="23">
        <v>-0.85709999999999997</v>
      </c>
      <c r="AC928" s="23">
        <v>55431.03</v>
      </c>
      <c r="AD928" s="23">
        <v>0.85709999999999997</v>
      </c>
      <c r="AE928" s="23">
        <v>184770.1</v>
      </c>
      <c r="AF928" s="23">
        <v>64669.53</v>
      </c>
      <c r="AG928" s="23">
        <v>2989337.51</v>
      </c>
      <c r="AH928" s="23">
        <v>48</v>
      </c>
      <c r="AI928" s="23">
        <v>1154.81</v>
      </c>
      <c r="AJ928" s="23">
        <v>0</v>
      </c>
      <c r="AK928" s="23">
        <v>0.85709999999999997</v>
      </c>
      <c r="AL928" s="23" t="s">
        <v>24</v>
      </c>
      <c r="AM928" s="23">
        <v>34</v>
      </c>
      <c r="AN928" s="23">
        <v>29483.65</v>
      </c>
      <c r="AO928" s="23">
        <v>32.92</v>
      </c>
      <c r="AP928" s="23">
        <v>0</v>
      </c>
      <c r="AR928" s="46"/>
      <c r="AS928" s="44"/>
      <c r="AT928" s="45"/>
      <c r="AU928" s="2">
        <v>44187</v>
      </c>
      <c r="AV928" s="52">
        <v>6.25E-2</v>
      </c>
      <c r="AW928" s="2" t="s">
        <v>213</v>
      </c>
      <c r="AY928" s="3"/>
      <c r="BA928" s="3"/>
      <c r="BG928" s="3"/>
      <c r="BH928" s="3"/>
    </row>
    <row r="929" spans="1:60">
      <c r="A929" s="23" t="s">
        <v>22</v>
      </c>
      <c r="B929" s="23" t="s">
        <v>23</v>
      </c>
      <c r="C929" s="27">
        <v>44189.46875</v>
      </c>
      <c r="D929" s="23">
        <v>36.1</v>
      </c>
      <c r="E929" s="27">
        <v>44189.520833333336</v>
      </c>
      <c r="F929" s="23">
        <v>36.25</v>
      </c>
      <c r="G929" s="31">
        <v>4.1999999999999997E-3</v>
      </c>
      <c r="H929" s="23">
        <v>-209.63</v>
      </c>
      <c r="I929" s="31">
        <v>-4.1999999999999997E-3</v>
      </c>
      <c r="J929" s="23">
        <v>1397.5029999999999</v>
      </c>
      <c r="K929" s="23">
        <v>50449.87</v>
      </c>
      <c r="L929" s="23">
        <v>90209.78</v>
      </c>
      <c r="M929" s="23">
        <v>6</v>
      </c>
      <c r="N929" s="23">
        <v>-34.94</v>
      </c>
      <c r="O929" s="31">
        <v>-4.1999999999999997E-3</v>
      </c>
      <c r="P929" s="31">
        <v>1.2500000000000001E-2</v>
      </c>
      <c r="Q929" s="23" t="s">
        <v>24</v>
      </c>
      <c r="R929" s="23">
        <v>0</v>
      </c>
      <c r="S929" s="23">
        <v>36.47</v>
      </c>
      <c r="U929" s="47">
        <f>VLOOKUP(AU929,[1]expiry_dates!$B$2:$C$2894,2,FALSE)</f>
        <v>44196</v>
      </c>
      <c r="V929" s="23" t="s">
        <v>145</v>
      </c>
      <c r="W929" s="23" t="s">
        <v>23</v>
      </c>
      <c r="X929" s="49">
        <v>44189.46875</v>
      </c>
      <c r="Y929" s="23">
        <v>0.75</v>
      </c>
      <c r="Z929" s="23">
        <v>44189.520833333336</v>
      </c>
      <c r="AA929" s="23">
        <v>0.85</v>
      </c>
      <c r="AB929" s="23">
        <v>0.1333</v>
      </c>
      <c r="AC929" s="23">
        <v>-8659.56</v>
      </c>
      <c r="AD929" s="23">
        <v>-0.1333</v>
      </c>
      <c r="AE929" s="23">
        <v>86595.59</v>
      </c>
      <c r="AF929" s="23">
        <v>64946.69</v>
      </c>
      <c r="AG929" s="23">
        <v>2980677.95</v>
      </c>
      <c r="AH929" s="23">
        <v>6</v>
      </c>
      <c r="AI929" s="23">
        <v>-1443.26</v>
      </c>
      <c r="AJ929" s="23">
        <v>-0.1333</v>
      </c>
      <c r="AK929" s="23">
        <v>0.2</v>
      </c>
      <c r="AL929" s="23" t="s">
        <v>24</v>
      </c>
      <c r="AM929" s="23">
        <v>36.1</v>
      </c>
      <c r="AN929" s="23">
        <v>30321.4</v>
      </c>
      <c r="AO929" s="23">
        <v>36.47</v>
      </c>
      <c r="AP929" s="23">
        <v>0</v>
      </c>
      <c r="AR929" s="46"/>
      <c r="AS929" s="44"/>
      <c r="AT929" s="45"/>
      <c r="AU929" s="2">
        <v>44189</v>
      </c>
      <c r="AV929" s="52">
        <v>0.46875</v>
      </c>
      <c r="AW929" s="2" t="s">
        <v>212</v>
      </c>
      <c r="AY929" s="3"/>
      <c r="BA929" s="3"/>
      <c r="BG929" s="3"/>
      <c r="BH929" s="3"/>
    </row>
    <row r="930" spans="1:60">
      <c r="A930" s="23" t="s">
        <v>22</v>
      </c>
      <c r="B930" s="23" t="s">
        <v>25</v>
      </c>
      <c r="C930" s="27">
        <v>44189.520833333336</v>
      </c>
      <c r="D930" s="23">
        <v>36.25</v>
      </c>
      <c r="E930" s="27">
        <v>44189.625</v>
      </c>
      <c r="F930" s="23">
        <v>35.799999999999997</v>
      </c>
      <c r="G930" s="31">
        <v>-1.24E-2</v>
      </c>
      <c r="H930" s="23">
        <v>-626.30999999999995</v>
      </c>
      <c r="I930" s="31">
        <v>-1.24E-2</v>
      </c>
      <c r="J930" s="23">
        <v>1391.7919999999999</v>
      </c>
      <c r="K930" s="23">
        <v>50452.45</v>
      </c>
      <c r="L930" s="23">
        <v>89583.47</v>
      </c>
      <c r="M930" s="23">
        <v>11</v>
      </c>
      <c r="N930" s="23">
        <v>-56.94</v>
      </c>
      <c r="O930" s="31">
        <v>-1.24E-2</v>
      </c>
      <c r="P930" s="31">
        <v>2.8E-3</v>
      </c>
      <c r="Q930" s="23" t="s">
        <v>24</v>
      </c>
      <c r="R930" s="23">
        <v>0</v>
      </c>
      <c r="S930" s="23">
        <v>35.65</v>
      </c>
      <c r="U930" s="47">
        <f>VLOOKUP(AU930,[1]expiry_dates!$B$2:$C$2894,2,FALSE)</f>
        <v>44196</v>
      </c>
      <c r="V930" s="23" t="s">
        <v>143</v>
      </c>
      <c r="W930" s="23" t="s">
        <v>23</v>
      </c>
      <c r="X930" s="49">
        <v>44189.520833333336</v>
      </c>
      <c r="Y930" s="23">
        <v>0.65</v>
      </c>
      <c r="Z930" s="23">
        <v>44189.625</v>
      </c>
      <c r="AA930" s="23">
        <v>0.85</v>
      </c>
      <c r="AB930" s="23">
        <v>0.30769999999999997</v>
      </c>
      <c r="AC930" s="23">
        <v>-19983.599999999999</v>
      </c>
      <c r="AD930" s="23">
        <v>-0.30769999999999997</v>
      </c>
      <c r="AE930" s="23">
        <v>99917.98</v>
      </c>
      <c r="AF930" s="23">
        <v>64946.69</v>
      </c>
      <c r="AG930" s="23">
        <v>2960694.35</v>
      </c>
      <c r="AH930" s="23">
        <v>11</v>
      </c>
      <c r="AI930" s="23">
        <v>-1816.69</v>
      </c>
      <c r="AJ930" s="23">
        <v>-0.30769999999999997</v>
      </c>
      <c r="AK930" s="23">
        <v>7.6899999999999996E-2</v>
      </c>
      <c r="AL930" s="23" t="s">
        <v>24</v>
      </c>
      <c r="AM930" s="23">
        <v>36.25</v>
      </c>
      <c r="AN930" s="23">
        <v>30372.3</v>
      </c>
      <c r="AO930" s="23">
        <v>35.65</v>
      </c>
      <c r="AP930" s="23">
        <v>0</v>
      </c>
      <c r="AR930" s="46"/>
      <c r="AS930" s="44"/>
      <c r="AT930" s="45"/>
      <c r="AU930" s="2">
        <v>44189</v>
      </c>
      <c r="AV930" s="52">
        <v>0.52083333333333337</v>
      </c>
      <c r="AW930" s="2" t="s">
        <v>213</v>
      </c>
      <c r="AY930" s="3"/>
      <c r="BA930" s="3"/>
      <c r="BG930" s="3"/>
      <c r="BH930" s="3"/>
    </row>
    <row r="931" spans="1:60">
      <c r="A931" s="23" t="s">
        <v>22</v>
      </c>
      <c r="B931" s="23" t="s">
        <v>23</v>
      </c>
      <c r="C931" s="27">
        <v>44189.625</v>
      </c>
      <c r="D931" s="23">
        <v>35.799999999999997</v>
      </c>
      <c r="E931" s="27">
        <v>44193.385416666664</v>
      </c>
      <c r="F931" s="23">
        <v>36.35</v>
      </c>
      <c r="G931" s="31">
        <v>1.54E-2</v>
      </c>
      <c r="H931" s="23">
        <v>-775.07</v>
      </c>
      <c r="I931" s="31">
        <v>-1.54E-2</v>
      </c>
      <c r="J931" s="23">
        <v>1409.2180000000001</v>
      </c>
      <c r="K931" s="23">
        <v>50450</v>
      </c>
      <c r="L931" s="23">
        <v>88808.4</v>
      </c>
      <c r="M931" s="23">
        <v>6</v>
      </c>
      <c r="N931" s="23">
        <v>-129.18</v>
      </c>
      <c r="O931" s="31">
        <v>-1.54E-2</v>
      </c>
      <c r="P931" s="31">
        <v>2.8E-3</v>
      </c>
      <c r="Q931" s="23" t="s">
        <v>24</v>
      </c>
      <c r="R931" s="23">
        <v>0</v>
      </c>
      <c r="S931" s="23">
        <v>36.340000000000003</v>
      </c>
      <c r="U931" s="47">
        <f>VLOOKUP(AU931,[1]expiry_dates!$B$2:$C$2894,2,FALSE)</f>
        <v>44196</v>
      </c>
      <c r="V931" s="23" t="s">
        <v>145</v>
      </c>
      <c r="W931" s="23" t="s">
        <v>23</v>
      </c>
      <c r="X931" s="49">
        <v>44189.625</v>
      </c>
      <c r="Y931" s="23">
        <v>0.6</v>
      </c>
      <c r="Z931" s="23">
        <v>44193.385416666664</v>
      </c>
      <c r="AA931" s="23">
        <v>0.75</v>
      </c>
      <c r="AB931" s="23">
        <v>0.25</v>
      </c>
      <c r="AC931" s="23">
        <v>-16219.6</v>
      </c>
      <c r="AD931" s="23">
        <v>-0.25</v>
      </c>
      <c r="AE931" s="23">
        <v>108130.7</v>
      </c>
      <c r="AF931" s="23">
        <v>64878.41</v>
      </c>
      <c r="AG931" s="23">
        <v>2944474.75</v>
      </c>
      <c r="AH931" s="23">
        <v>6</v>
      </c>
      <c r="AI931" s="23">
        <v>-2703.27</v>
      </c>
      <c r="AJ931" s="23">
        <v>-0.41670000000000001</v>
      </c>
      <c r="AK931" s="23">
        <v>0</v>
      </c>
      <c r="AL931" s="23" t="s">
        <v>24</v>
      </c>
      <c r="AM931" s="23">
        <v>35.799999999999997</v>
      </c>
      <c r="AN931" s="23">
        <v>30396.5</v>
      </c>
      <c r="AO931" s="23">
        <v>36.340000000000003</v>
      </c>
      <c r="AP931" s="23">
        <v>0</v>
      </c>
      <c r="AR931" s="46"/>
      <c r="AS931" s="44"/>
      <c r="AT931" s="45"/>
      <c r="AU931" s="2">
        <v>44189</v>
      </c>
      <c r="AV931" s="52">
        <v>0.125</v>
      </c>
      <c r="AW931" s="2" t="s">
        <v>213</v>
      </c>
      <c r="AY931" s="3"/>
      <c r="BA931" s="3"/>
      <c r="BG931" s="3"/>
      <c r="BH931" s="3"/>
    </row>
    <row r="932" spans="1:60">
      <c r="A932" s="23" t="s">
        <v>22</v>
      </c>
      <c r="B932" s="23" t="s">
        <v>25</v>
      </c>
      <c r="C932" s="27">
        <v>44193.385416666664</v>
      </c>
      <c r="D932" s="23">
        <v>36.35</v>
      </c>
      <c r="E932" s="27">
        <v>44194.427083333336</v>
      </c>
      <c r="F932" s="23">
        <v>37</v>
      </c>
      <c r="G932" s="31">
        <v>1.7899999999999999E-2</v>
      </c>
      <c r="H932" s="23">
        <v>902.04</v>
      </c>
      <c r="I932" s="31">
        <v>1.7899999999999999E-2</v>
      </c>
      <c r="J932" s="23">
        <v>1387.751</v>
      </c>
      <c r="K932" s="23">
        <v>50444.75</v>
      </c>
      <c r="L932" s="23">
        <v>89710.44</v>
      </c>
      <c r="M932" s="23">
        <v>33</v>
      </c>
      <c r="N932" s="23">
        <v>27.33</v>
      </c>
      <c r="O932" s="31">
        <v>-9.5999999999999992E-3</v>
      </c>
      <c r="P932" s="31">
        <v>3.3000000000000002E-2</v>
      </c>
      <c r="Q932" s="23" t="s">
        <v>24</v>
      </c>
      <c r="R932" s="23">
        <v>0</v>
      </c>
      <c r="S932" s="23">
        <v>35.729999999999997</v>
      </c>
      <c r="U932" s="47">
        <f>VLOOKUP(AU932,[1]expiry_dates!$B$2:$C$2894,2,FALSE)</f>
        <v>44196</v>
      </c>
      <c r="V932" s="23" t="s">
        <v>148</v>
      </c>
      <c r="W932" s="23" t="s">
        <v>23</v>
      </c>
      <c r="X932" s="49">
        <v>44193.385416666664</v>
      </c>
      <c r="Y932" s="23">
        <v>0.25</v>
      </c>
      <c r="Z932" s="23">
        <v>44194.427083333336</v>
      </c>
      <c r="AA932" s="23">
        <v>0.1</v>
      </c>
      <c r="AB932" s="23">
        <v>-0.6</v>
      </c>
      <c r="AC932" s="23">
        <v>38865.86</v>
      </c>
      <c r="AD932" s="23">
        <v>0.6</v>
      </c>
      <c r="AE932" s="23">
        <v>259105.8</v>
      </c>
      <c r="AF932" s="23">
        <v>64776.44</v>
      </c>
      <c r="AG932" s="23">
        <v>2983340.61</v>
      </c>
      <c r="AH932" s="23">
        <v>33</v>
      </c>
      <c r="AI932" s="23">
        <v>1177.75</v>
      </c>
      <c r="AJ932" s="23">
        <v>-0.2</v>
      </c>
      <c r="AK932" s="23">
        <v>0.8</v>
      </c>
      <c r="AL932" s="23" t="s">
        <v>24</v>
      </c>
      <c r="AM932" s="23">
        <v>36.35</v>
      </c>
      <c r="AN932" s="23">
        <v>30763.65</v>
      </c>
      <c r="AO932" s="23">
        <v>35.729999999999997</v>
      </c>
      <c r="AP932" s="23">
        <v>0</v>
      </c>
      <c r="AR932" s="46"/>
      <c r="AS932" s="44"/>
      <c r="AT932" s="45"/>
      <c r="AU932" s="2">
        <v>44193</v>
      </c>
      <c r="AV932" s="52">
        <v>0.38541666666666669</v>
      </c>
      <c r="AW932" s="2" t="s">
        <v>212</v>
      </c>
      <c r="AY932" s="3"/>
      <c r="BA932" s="3"/>
      <c r="BG932" s="3"/>
      <c r="BH932" s="3"/>
    </row>
    <row r="933" spans="1:60">
      <c r="A933" s="23" t="s">
        <v>22</v>
      </c>
      <c r="B933" s="23" t="s">
        <v>23</v>
      </c>
      <c r="C933" s="27">
        <v>44194.427083333336</v>
      </c>
      <c r="D933" s="23">
        <v>37</v>
      </c>
      <c r="E933" s="27">
        <v>44194.541666666664</v>
      </c>
      <c r="F933" s="23">
        <v>37.1</v>
      </c>
      <c r="G933" s="31">
        <v>2.7000000000000001E-3</v>
      </c>
      <c r="H933" s="23">
        <v>-136.35</v>
      </c>
      <c r="I933" s="31">
        <v>-2.7000000000000001E-3</v>
      </c>
      <c r="J933" s="23">
        <v>1363.4929999999999</v>
      </c>
      <c r="K933" s="23">
        <v>50449.25</v>
      </c>
      <c r="L933" s="23">
        <v>89574.09</v>
      </c>
      <c r="M933" s="23">
        <v>12</v>
      </c>
      <c r="N933" s="23">
        <v>-11.36</v>
      </c>
      <c r="O933" s="31">
        <v>-4.1000000000000003E-3</v>
      </c>
      <c r="P933" s="31">
        <v>2.0299999999999999E-2</v>
      </c>
      <c r="Q933" s="23" t="s">
        <v>24</v>
      </c>
      <c r="R933" s="23">
        <v>0</v>
      </c>
      <c r="S933" s="23">
        <v>37.549999999999997</v>
      </c>
      <c r="U933" s="47">
        <f>VLOOKUP(AU933,[1]expiry_dates!$B$2:$C$2894,2,FALSE)</f>
        <v>44196</v>
      </c>
      <c r="V933" s="23" t="s">
        <v>144</v>
      </c>
      <c r="W933" s="23" t="s">
        <v>23</v>
      </c>
      <c r="X933" s="49">
        <v>44194.427083333336</v>
      </c>
      <c r="Y933" s="23">
        <v>0.7</v>
      </c>
      <c r="Z933" s="23">
        <v>44194.541666666664</v>
      </c>
      <c r="AA933" s="23">
        <v>0.6</v>
      </c>
      <c r="AB933" s="23">
        <v>-0.1429</v>
      </c>
      <c r="AC933" s="23">
        <v>9273.81</v>
      </c>
      <c r="AD933" s="23">
        <v>0.1429</v>
      </c>
      <c r="AE933" s="23">
        <v>92738.15</v>
      </c>
      <c r="AF933" s="23">
        <v>64916.7</v>
      </c>
      <c r="AG933" s="23">
        <v>2992614.43</v>
      </c>
      <c r="AH933" s="23">
        <v>12</v>
      </c>
      <c r="AI933" s="23">
        <v>772.82</v>
      </c>
      <c r="AJ933" s="23">
        <v>-0.1429</v>
      </c>
      <c r="AK933" s="23">
        <v>0.5</v>
      </c>
      <c r="AL933" s="23" t="s">
        <v>24</v>
      </c>
      <c r="AM933" s="23">
        <v>37</v>
      </c>
      <c r="AN933" s="23">
        <v>31277.25</v>
      </c>
      <c r="AO933" s="23">
        <v>37.549999999999997</v>
      </c>
      <c r="AP933" s="23">
        <v>0</v>
      </c>
      <c r="AR933" s="46"/>
      <c r="AS933" s="44"/>
      <c r="AT933" s="45"/>
      <c r="AU933" s="2">
        <v>44194</v>
      </c>
      <c r="AV933" s="52">
        <v>0.42708333333333331</v>
      </c>
      <c r="AW933" s="2" t="s">
        <v>212</v>
      </c>
      <c r="AY933" s="3"/>
      <c r="BA933" s="3"/>
      <c r="BG933" s="3"/>
      <c r="BH933" s="3"/>
    </row>
    <row r="934" spans="1:60">
      <c r="A934" s="23" t="s">
        <v>22</v>
      </c>
      <c r="B934" s="23" t="s">
        <v>25</v>
      </c>
      <c r="C934" s="27">
        <v>44194.541666666664</v>
      </c>
      <c r="D934" s="23">
        <v>37.1</v>
      </c>
      <c r="E934" s="27">
        <v>44194.625</v>
      </c>
      <c r="F934" s="23">
        <v>36.700000000000003</v>
      </c>
      <c r="G934" s="31">
        <v>-1.0800000000000001E-2</v>
      </c>
      <c r="H934" s="23">
        <v>-543.92999999999995</v>
      </c>
      <c r="I934" s="31">
        <v>-1.0800000000000001E-2</v>
      </c>
      <c r="J934" s="23">
        <v>1359.827</v>
      </c>
      <c r="K934" s="23">
        <v>50449.57</v>
      </c>
      <c r="L934" s="23">
        <v>89030.16</v>
      </c>
      <c r="M934" s="23">
        <v>9</v>
      </c>
      <c r="N934" s="23">
        <v>-60.44</v>
      </c>
      <c r="O934" s="31">
        <v>-1.0800000000000001E-2</v>
      </c>
      <c r="P934" s="31">
        <v>1.2999999999999999E-3</v>
      </c>
      <c r="Q934" s="23" t="s">
        <v>24</v>
      </c>
      <c r="R934" s="23">
        <v>0</v>
      </c>
      <c r="S934" s="23">
        <v>36.28</v>
      </c>
      <c r="U934" s="47">
        <f>VLOOKUP(AU934,[1]expiry_dates!$B$2:$C$2894,2,FALSE)</f>
        <v>44196</v>
      </c>
      <c r="V934" s="23" t="s">
        <v>142</v>
      </c>
      <c r="W934" s="23" t="s">
        <v>23</v>
      </c>
      <c r="X934" s="49">
        <v>44194.541666666664</v>
      </c>
      <c r="Y934" s="23">
        <v>0.5</v>
      </c>
      <c r="Z934" s="23">
        <v>44194.625</v>
      </c>
      <c r="AA934" s="23">
        <v>0.75</v>
      </c>
      <c r="AB934" s="23">
        <v>0.5</v>
      </c>
      <c r="AC934" s="23">
        <v>-32504.720000000001</v>
      </c>
      <c r="AD934" s="23">
        <v>-0.5</v>
      </c>
      <c r="AE934" s="23">
        <v>130018.9</v>
      </c>
      <c r="AF934" s="23">
        <v>65009.440000000002</v>
      </c>
      <c r="AG934" s="23">
        <v>2960109.71</v>
      </c>
      <c r="AH934" s="23">
        <v>9</v>
      </c>
      <c r="AI934" s="23">
        <v>-3611.64</v>
      </c>
      <c r="AJ934" s="23">
        <v>-0.5</v>
      </c>
      <c r="AK934" s="23">
        <v>0</v>
      </c>
      <c r="AL934" s="23" t="s">
        <v>24</v>
      </c>
      <c r="AM934" s="23">
        <v>37.1</v>
      </c>
      <c r="AN934" s="23">
        <v>31305.15</v>
      </c>
      <c r="AO934" s="23">
        <v>36.28</v>
      </c>
      <c r="AP934" s="23">
        <v>0</v>
      </c>
      <c r="AR934" s="46"/>
      <c r="AS934" s="44"/>
      <c r="AT934" s="45"/>
      <c r="AU934" s="2">
        <v>44194</v>
      </c>
      <c r="AV934" s="52">
        <v>4.1666666666666664E-2</v>
      </c>
      <c r="AW934" s="2" t="s">
        <v>213</v>
      </c>
      <c r="AY934" s="3"/>
      <c r="BA934" s="3"/>
      <c r="BG934" s="3"/>
      <c r="BH934" s="3"/>
    </row>
    <row r="935" spans="1:60">
      <c r="A935" s="23" t="s">
        <v>22</v>
      </c>
      <c r="B935" s="23" t="s">
        <v>23</v>
      </c>
      <c r="C935" s="27">
        <v>44194.625</v>
      </c>
      <c r="D935" s="23">
        <v>36.700000000000003</v>
      </c>
      <c r="E935" s="27">
        <v>44195.5625</v>
      </c>
      <c r="F935" s="23">
        <v>36.450000000000003</v>
      </c>
      <c r="G935" s="31">
        <v>-6.7999999999999996E-3</v>
      </c>
      <c r="H935" s="23">
        <v>343.64</v>
      </c>
      <c r="I935" s="31">
        <v>6.7999999999999996E-3</v>
      </c>
      <c r="J935" s="23">
        <v>1374.5640000000001</v>
      </c>
      <c r="K935" s="23">
        <v>50446.51</v>
      </c>
      <c r="L935" s="23">
        <v>89373.8</v>
      </c>
      <c r="M935" s="23">
        <v>23</v>
      </c>
      <c r="N935" s="23">
        <v>14.94</v>
      </c>
      <c r="O935" s="31">
        <v>-6.7999999999999996E-3</v>
      </c>
      <c r="P935" s="31">
        <v>2.18E-2</v>
      </c>
      <c r="Q935" s="23" t="s">
        <v>24</v>
      </c>
      <c r="R935" s="23">
        <v>0</v>
      </c>
      <c r="S935" s="23">
        <v>37.14</v>
      </c>
      <c r="U935" s="47">
        <f>VLOOKUP(AU935,[1]expiry_dates!$B$2:$C$2894,2,FALSE)</f>
        <v>44196</v>
      </c>
      <c r="V935" s="23" t="s">
        <v>144</v>
      </c>
      <c r="W935" s="23" t="s">
        <v>23</v>
      </c>
      <c r="X935" s="49">
        <v>44194.625</v>
      </c>
      <c r="Y935" s="23">
        <v>0.45</v>
      </c>
      <c r="Z935" s="23">
        <v>44195.5625</v>
      </c>
      <c r="AA935" s="23">
        <v>0.2</v>
      </c>
      <c r="AB935" s="23">
        <v>-0.55559999999999998</v>
      </c>
      <c r="AC935" s="23">
        <v>36054.480000000003</v>
      </c>
      <c r="AD935" s="23">
        <v>0.55559999999999998</v>
      </c>
      <c r="AE935" s="23">
        <v>144217.9</v>
      </c>
      <c r="AF935" s="23">
        <v>64898.06</v>
      </c>
      <c r="AG935" s="23">
        <v>2996164.19</v>
      </c>
      <c r="AH935" s="23">
        <v>23</v>
      </c>
      <c r="AI935" s="23">
        <v>1567.59</v>
      </c>
      <c r="AJ935" s="23">
        <v>-0.22220000000000001</v>
      </c>
      <c r="AK935" s="23">
        <v>0.77780000000000005</v>
      </c>
      <c r="AL935" s="23" t="s">
        <v>24</v>
      </c>
      <c r="AM935" s="23">
        <v>36.700000000000003</v>
      </c>
      <c r="AN935" s="23">
        <v>31303.55</v>
      </c>
      <c r="AO935" s="23">
        <v>37.14</v>
      </c>
      <c r="AP935" s="23">
        <v>0</v>
      </c>
      <c r="AR935" s="46"/>
      <c r="AS935" s="44"/>
      <c r="AT935" s="45"/>
      <c r="AU935" s="2">
        <v>44194</v>
      </c>
      <c r="AV935" s="52">
        <v>0.125</v>
      </c>
      <c r="AW935" s="2" t="s">
        <v>213</v>
      </c>
      <c r="AY935" s="3"/>
      <c r="BA935" s="3"/>
      <c r="BG935" s="3"/>
      <c r="BH935" s="3"/>
    </row>
    <row r="936" spans="1:60">
      <c r="A936" s="23" t="s">
        <v>22</v>
      </c>
      <c r="B936" s="23" t="s">
        <v>25</v>
      </c>
      <c r="C936" s="27">
        <v>44195.5625</v>
      </c>
      <c r="D936" s="23">
        <v>36.450000000000003</v>
      </c>
      <c r="E936" s="27">
        <v>44196.604166666664</v>
      </c>
      <c r="F936" s="23">
        <v>37.1</v>
      </c>
      <c r="G936" s="31">
        <v>1.78E-2</v>
      </c>
      <c r="H936" s="23">
        <v>899.63</v>
      </c>
      <c r="I936" s="31">
        <v>1.78E-2</v>
      </c>
      <c r="J936" s="23">
        <v>1384.04</v>
      </c>
      <c r="K936" s="23">
        <v>50448.24</v>
      </c>
      <c r="L936" s="23">
        <v>90273.43</v>
      </c>
      <c r="M936" s="23">
        <v>33</v>
      </c>
      <c r="N936" s="23">
        <v>27.26</v>
      </c>
      <c r="O936" s="31">
        <v>-5.4999999999999997E-3</v>
      </c>
      <c r="P936" s="31">
        <v>2.8799999999999999E-2</v>
      </c>
      <c r="Q936" s="23" t="s">
        <v>24</v>
      </c>
      <c r="R936" s="23">
        <v>0</v>
      </c>
      <c r="S936" s="23">
        <v>35.909999999999997</v>
      </c>
      <c r="U936" s="47">
        <f>VLOOKUP(AU936,[1]expiry_dates!$B$2:$C$2894,2,FALSE)</f>
        <v>44196</v>
      </c>
      <c r="V936" s="23" t="s">
        <v>143</v>
      </c>
      <c r="W936" s="23" t="s">
        <v>23</v>
      </c>
      <c r="X936" s="49">
        <v>44195.5625</v>
      </c>
      <c r="Y936" s="23">
        <v>0.15</v>
      </c>
      <c r="Z936" s="23">
        <v>44196.604166666664</v>
      </c>
      <c r="AA936" s="23">
        <v>0.05</v>
      </c>
      <c r="AB936" s="23">
        <v>-0.66669999999999996</v>
      </c>
      <c r="AC936" s="23">
        <v>43368.62</v>
      </c>
      <c r="AD936" s="23">
        <v>0.66669999999999996</v>
      </c>
      <c r="AE936" s="23">
        <v>433686.2</v>
      </c>
      <c r="AF936" s="23">
        <v>65052.93</v>
      </c>
      <c r="AG936" s="23">
        <v>3039532.81</v>
      </c>
      <c r="AH936" s="23">
        <v>33</v>
      </c>
      <c r="AI936" s="23">
        <v>1314.2</v>
      </c>
      <c r="AJ936" s="23">
        <v>-0.33329999999999999</v>
      </c>
      <c r="AK936" s="23">
        <v>0.66669999999999996</v>
      </c>
      <c r="AL936" s="23" t="s">
        <v>24</v>
      </c>
      <c r="AM936" s="23">
        <v>36.450000000000003</v>
      </c>
      <c r="AN936" s="23">
        <v>31216.7</v>
      </c>
      <c r="AO936" s="23">
        <v>35.909999999999997</v>
      </c>
      <c r="AP936" s="23">
        <v>0</v>
      </c>
      <c r="AR936" s="46"/>
      <c r="AS936" s="44"/>
      <c r="AT936" s="45"/>
      <c r="AU936" s="2">
        <v>44195</v>
      </c>
      <c r="AV936" s="52">
        <v>6.25E-2</v>
      </c>
      <c r="AW936" s="2" t="s">
        <v>213</v>
      </c>
      <c r="AY936" s="3"/>
      <c r="BA936" s="3"/>
      <c r="BG936" s="3"/>
      <c r="BH936" s="3"/>
    </row>
    <row r="937" spans="1:60">
      <c r="A937" s="23" t="s">
        <v>22</v>
      </c>
      <c r="B937" s="23" t="s">
        <v>23</v>
      </c>
      <c r="C937" s="27">
        <v>44196.604166666664</v>
      </c>
      <c r="D937" s="23">
        <v>37.1</v>
      </c>
      <c r="E937" s="27">
        <v>44196.697916666664</v>
      </c>
      <c r="F937" s="23">
        <v>37.049999999999997</v>
      </c>
      <c r="G937" s="31">
        <v>-1.2999999999999999E-3</v>
      </c>
      <c r="H937" s="23">
        <v>67.989999999999995</v>
      </c>
      <c r="I937" s="31">
        <v>1.2999999999999999E-3</v>
      </c>
      <c r="J937" s="23">
        <v>1359.875</v>
      </c>
      <c r="K937" s="23">
        <v>50451.360000000001</v>
      </c>
      <c r="L937" s="23">
        <v>90341.42</v>
      </c>
      <c r="M937" s="23">
        <v>6</v>
      </c>
      <c r="N937" s="23">
        <v>11.33</v>
      </c>
      <c r="O937" s="31">
        <v>-4.0000000000000001E-3</v>
      </c>
      <c r="P937" s="31">
        <v>6.7000000000000002E-3</v>
      </c>
      <c r="Q937" s="23" t="s">
        <v>24</v>
      </c>
      <c r="R937" s="23">
        <v>0</v>
      </c>
      <c r="S937" s="23">
        <v>37.479999999999997</v>
      </c>
      <c r="U937" s="47">
        <f>VLOOKUP(AU937,[1]expiry_dates!$B$2:$C$2894,2,FALSE)</f>
        <v>44196</v>
      </c>
      <c r="V937" s="23" t="s">
        <v>144</v>
      </c>
      <c r="W937" s="23" t="s">
        <v>23</v>
      </c>
      <c r="X937" s="49">
        <v>44196.604166666664</v>
      </c>
      <c r="Y937" s="23">
        <v>0.2</v>
      </c>
      <c r="Z937" s="23">
        <v>44196.697916666664</v>
      </c>
      <c r="AA937" s="23">
        <v>0.05</v>
      </c>
      <c r="AB937" s="23">
        <v>-0.75</v>
      </c>
      <c r="AC937" s="23">
        <v>48898.25</v>
      </c>
      <c r="AD937" s="23">
        <v>0.75</v>
      </c>
      <c r="AE937" s="23">
        <v>325988.3</v>
      </c>
      <c r="AF937" s="23">
        <v>65197.66</v>
      </c>
      <c r="AG937" s="23">
        <v>3088431.05</v>
      </c>
      <c r="AH937" s="23">
        <v>6</v>
      </c>
      <c r="AI937" s="23">
        <v>8149.71</v>
      </c>
      <c r="AJ937" s="23">
        <v>-0.25</v>
      </c>
      <c r="AK937" s="23">
        <v>0.75</v>
      </c>
      <c r="AL937" s="23" t="s">
        <v>24</v>
      </c>
      <c r="AM937" s="23">
        <v>37.1</v>
      </c>
      <c r="AN937" s="23">
        <v>31313.35</v>
      </c>
      <c r="AO937" s="23">
        <v>37.479999999999997</v>
      </c>
      <c r="AP937" s="23">
        <v>0</v>
      </c>
      <c r="AR937" s="46"/>
      <c r="AS937" s="44"/>
      <c r="AT937" s="45"/>
      <c r="AU937" s="2">
        <v>44196</v>
      </c>
      <c r="AV937" s="52">
        <v>0.10416666666666667</v>
      </c>
      <c r="AW937" s="2" t="s">
        <v>213</v>
      </c>
      <c r="AY937" s="3"/>
      <c r="BA937" s="3"/>
      <c r="BG937" s="3"/>
      <c r="BH937" s="3"/>
    </row>
    <row r="938" spans="1:60">
      <c r="A938" s="23" t="s">
        <v>22</v>
      </c>
      <c r="B938" s="23" t="s">
        <v>25</v>
      </c>
      <c r="C938" s="27">
        <v>44197.385416666664</v>
      </c>
      <c r="D938" s="23">
        <v>37.25</v>
      </c>
      <c r="E938" s="27">
        <v>44197.625</v>
      </c>
      <c r="F938" s="23">
        <v>37.5</v>
      </c>
      <c r="G938" s="31">
        <v>6.7000000000000002E-3</v>
      </c>
      <c r="H938" s="23">
        <v>338.6</v>
      </c>
      <c r="I938" s="31">
        <v>6.7000000000000002E-3</v>
      </c>
      <c r="J938" s="23">
        <v>1354.4079999999999</v>
      </c>
      <c r="K938" s="23">
        <v>50451.71</v>
      </c>
      <c r="L938" s="23">
        <v>90680.02</v>
      </c>
      <c r="M938" s="23">
        <v>24</v>
      </c>
      <c r="N938" s="23">
        <v>14.11</v>
      </c>
      <c r="O938" s="31">
        <v>-1.0699999999999999E-2</v>
      </c>
      <c r="P938" s="31">
        <v>9.4000000000000004E-3</v>
      </c>
      <c r="Q938" s="23" t="s">
        <v>24</v>
      </c>
      <c r="R938" s="23">
        <v>0</v>
      </c>
      <c r="S938" s="23">
        <v>36.85</v>
      </c>
      <c r="U938" s="47">
        <f>VLOOKUP(AU938,[1]expiry_dates!$B$2:$C$2894,2,FALSE)</f>
        <v>44224</v>
      </c>
      <c r="V938" s="23" t="s">
        <v>142</v>
      </c>
      <c r="W938" s="23" t="s">
        <v>23</v>
      </c>
      <c r="X938" s="49">
        <v>44197.385416666664</v>
      </c>
      <c r="Y938" s="23">
        <v>2.1</v>
      </c>
      <c r="Z938" s="23">
        <v>44197.625</v>
      </c>
      <c r="AA938" s="23">
        <v>1.8</v>
      </c>
      <c r="AB938" s="23">
        <v>-0.1429</v>
      </c>
      <c r="AC938" s="23">
        <v>9348.8799999999992</v>
      </c>
      <c r="AD938" s="23">
        <v>0.1429</v>
      </c>
      <c r="AE938" s="23">
        <v>31162.93</v>
      </c>
      <c r="AF938" s="23">
        <v>65442.15</v>
      </c>
      <c r="AG938" s="23">
        <v>3097779.93</v>
      </c>
      <c r="AH938" s="23">
        <v>24</v>
      </c>
      <c r="AI938" s="23">
        <v>389.54</v>
      </c>
      <c r="AJ938" s="23">
        <v>-4.7600000000000003E-2</v>
      </c>
      <c r="AK938" s="23">
        <v>0.1429</v>
      </c>
      <c r="AL938" s="23" t="s">
        <v>24</v>
      </c>
      <c r="AM938" s="23">
        <v>37.25</v>
      </c>
      <c r="AN938" s="23">
        <v>31345.45</v>
      </c>
      <c r="AO938" s="23">
        <v>36.85</v>
      </c>
      <c r="AP938" s="23">
        <v>0</v>
      </c>
      <c r="AR938" s="46"/>
      <c r="AS938" s="44"/>
      <c r="AT938" s="45"/>
      <c r="AU938" s="2">
        <v>44197</v>
      </c>
      <c r="AV938" s="52">
        <v>0.38541666666666669</v>
      </c>
      <c r="AW938" s="2" t="s">
        <v>212</v>
      </c>
      <c r="AY938" s="3"/>
      <c r="BA938" s="3"/>
      <c r="BG938" s="3"/>
      <c r="BH938" s="3"/>
    </row>
    <row r="939" spans="1:60">
      <c r="A939" s="23" t="s">
        <v>22</v>
      </c>
      <c r="B939" s="23" t="s">
        <v>23</v>
      </c>
      <c r="C939" s="27">
        <v>44197.625</v>
      </c>
      <c r="D939" s="23">
        <v>37.5</v>
      </c>
      <c r="E939" s="27">
        <v>44200.385416666664</v>
      </c>
      <c r="F939" s="23">
        <v>38.200000000000003</v>
      </c>
      <c r="G939" s="31">
        <v>1.8700000000000001E-2</v>
      </c>
      <c r="H939" s="23">
        <v>-941.8</v>
      </c>
      <c r="I939" s="31">
        <v>-1.8700000000000001E-2</v>
      </c>
      <c r="J939" s="23">
        <v>1345.433</v>
      </c>
      <c r="K939" s="23">
        <v>50453.74</v>
      </c>
      <c r="L939" s="23">
        <v>89738.22</v>
      </c>
      <c r="M939" s="23">
        <v>6</v>
      </c>
      <c r="N939" s="23">
        <v>-156.97</v>
      </c>
      <c r="O939" s="31">
        <v>-1.8700000000000001E-2</v>
      </c>
      <c r="P939" s="31">
        <v>6.7000000000000002E-3</v>
      </c>
      <c r="Q939" s="23" t="s">
        <v>24</v>
      </c>
      <c r="R939" s="23">
        <v>0</v>
      </c>
      <c r="S939" s="23">
        <v>37.590000000000003</v>
      </c>
      <c r="U939" s="47">
        <f>VLOOKUP(AU939,[1]expiry_dates!$B$2:$C$2894,2,FALSE)</f>
        <v>44224</v>
      </c>
      <c r="V939" s="23" t="s">
        <v>140</v>
      </c>
      <c r="W939" s="23" t="s">
        <v>23</v>
      </c>
      <c r="X939" s="49">
        <v>44197.625</v>
      </c>
      <c r="Y939" s="23">
        <v>1.8</v>
      </c>
      <c r="Z939" s="23">
        <v>44200.385416666664</v>
      </c>
      <c r="AA939" s="23">
        <v>2.15</v>
      </c>
      <c r="AB939" s="23">
        <v>0.19439999999999999</v>
      </c>
      <c r="AC939" s="23">
        <v>-12733.95</v>
      </c>
      <c r="AD939" s="23">
        <v>-0.19439999999999999</v>
      </c>
      <c r="AE939" s="23">
        <v>36382.720000000001</v>
      </c>
      <c r="AF939" s="23">
        <v>65488.9</v>
      </c>
      <c r="AG939" s="23">
        <v>3085045.98</v>
      </c>
      <c r="AH939" s="23">
        <v>6</v>
      </c>
      <c r="AI939" s="23">
        <v>-2122.33</v>
      </c>
      <c r="AJ939" s="23">
        <v>-0.19439999999999999</v>
      </c>
      <c r="AK939" s="23">
        <v>2.7799999999999998E-2</v>
      </c>
      <c r="AL939" s="23" t="s">
        <v>24</v>
      </c>
      <c r="AM939" s="23">
        <v>37.5</v>
      </c>
      <c r="AN939" s="23">
        <v>31227.05</v>
      </c>
      <c r="AO939" s="23">
        <v>37.590000000000003</v>
      </c>
      <c r="AP939" s="23">
        <v>0</v>
      </c>
      <c r="AR939" s="46"/>
      <c r="AS939" s="44"/>
      <c r="AT939" s="45"/>
      <c r="AU939" s="2">
        <v>44197</v>
      </c>
      <c r="AV939" s="52">
        <v>0.125</v>
      </c>
      <c r="AW939" s="2" t="s">
        <v>213</v>
      </c>
      <c r="AY939" s="3"/>
      <c r="BA939" s="3"/>
      <c r="BG939" s="3"/>
      <c r="BH939" s="3"/>
    </row>
    <row r="940" spans="1:60">
      <c r="A940" s="23" t="s">
        <v>22</v>
      </c>
      <c r="B940" s="23" t="s">
        <v>25</v>
      </c>
      <c r="C940" s="27">
        <v>44200.385416666664</v>
      </c>
      <c r="D940" s="23">
        <v>38.200000000000003</v>
      </c>
      <c r="E940" s="27">
        <v>44200.5</v>
      </c>
      <c r="F940" s="23">
        <v>38.049999999999997</v>
      </c>
      <c r="G940" s="31">
        <v>-3.8999999999999998E-3</v>
      </c>
      <c r="H940" s="23">
        <v>-198.1</v>
      </c>
      <c r="I940" s="31">
        <v>-3.8999999999999998E-3</v>
      </c>
      <c r="J940" s="23">
        <v>1320.69</v>
      </c>
      <c r="K940" s="23">
        <v>50450.37</v>
      </c>
      <c r="L940" s="23">
        <v>89540.12</v>
      </c>
      <c r="M940" s="23">
        <v>12</v>
      </c>
      <c r="N940" s="23">
        <v>-16.510000000000002</v>
      </c>
      <c r="O940" s="31">
        <v>-1.3100000000000001E-2</v>
      </c>
      <c r="P940" s="31">
        <v>2.4899999999999999E-2</v>
      </c>
      <c r="Q940" s="23" t="s">
        <v>24</v>
      </c>
      <c r="R940" s="23">
        <v>0</v>
      </c>
      <c r="S940" s="23">
        <v>37.299999999999997</v>
      </c>
      <c r="U940" s="47">
        <f>VLOOKUP(AU940,[1]expiry_dates!$B$2:$C$2894,2,FALSE)</f>
        <v>44224</v>
      </c>
      <c r="V940" s="23" t="s">
        <v>135</v>
      </c>
      <c r="W940" s="23" t="s">
        <v>23</v>
      </c>
      <c r="X940" s="49">
        <v>44200.385416666664</v>
      </c>
      <c r="Y940" s="23">
        <v>1.95</v>
      </c>
      <c r="Z940" s="23">
        <v>44200.5</v>
      </c>
      <c r="AA940" s="23">
        <v>2.1</v>
      </c>
      <c r="AB940" s="23">
        <v>7.6899999999999996E-2</v>
      </c>
      <c r="AC940" s="23">
        <v>-5037.6099999999997</v>
      </c>
      <c r="AD940" s="23">
        <v>-7.6899999999999996E-2</v>
      </c>
      <c r="AE940" s="23">
        <v>33584.050000000003</v>
      </c>
      <c r="AF940" s="23">
        <v>65488.9</v>
      </c>
      <c r="AG940" s="23">
        <v>3080008.37</v>
      </c>
      <c r="AH940" s="23">
        <v>12</v>
      </c>
      <c r="AI940" s="23">
        <v>-419.8</v>
      </c>
      <c r="AJ940" s="23">
        <v>-7.6899999999999996E-2</v>
      </c>
      <c r="AK940" s="23">
        <v>0.17949999999999999</v>
      </c>
      <c r="AL940" s="23" t="s">
        <v>24</v>
      </c>
      <c r="AM940" s="23">
        <v>38.200000000000003</v>
      </c>
      <c r="AN940" s="23">
        <v>31465.75</v>
      </c>
      <c r="AO940" s="23">
        <v>37.299999999999997</v>
      </c>
      <c r="AP940" s="23">
        <v>0</v>
      </c>
      <c r="AR940" s="46"/>
      <c r="AS940" s="44"/>
      <c r="AT940" s="45"/>
      <c r="AU940" s="2">
        <v>44200</v>
      </c>
      <c r="AV940" s="52">
        <v>0.38541666666666669</v>
      </c>
      <c r="AW940" s="2" t="s">
        <v>212</v>
      </c>
      <c r="AY940" s="3"/>
      <c r="BA940" s="3"/>
      <c r="BG940" s="3"/>
      <c r="BH940" s="3"/>
    </row>
    <row r="941" spans="1:60">
      <c r="A941" s="23" t="s">
        <v>22</v>
      </c>
      <c r="B941" s="23" t="s">
        <v>23</v>
      </c>
      <c r="C941" s="27">
        <v>44200.5</v>
      </c>
      <c r="D941" s="23">
        <v>38.049999999999997</v>
      </c>
      <c r="E941" s="27">
        <v>44200.614583333336</v>
      </c>
      <c r="F941" s="23">
        <v>38.5</v>
      </c>
      <c r="G941" s="31">
        <v>1.18E-2</v>
      </c>
      <c r="H941" s="23">
        <v>-596.63</v>
      </c>
      <c r="I941" s="31">
        <v>-1.18E-2</v>
      </c>
      <c r="J941" s="23">
        <v>1325.8440000000001</v>
      </c>
      <c r="K941" s="23">
        <v>50448.36</v>
      </c>
      <c r="L941" s="23">
        <v>88943.49</v>
      </c>
      <c r="M941" s="23">
        <v>12</v>
      </c>
      <c r="N941" s="23">
        <v>-49.72</v>
      </c>
      <c r="O941" s="31">
        <v>-1.18E-2</v>
      </c>
      <c r="P941" s="31">
        <v>1.2999999999999999E-3</v>
      </c>
      <c r="Q941" s="23" t="s">
        <v>24</v>
      </c>
      <c r="R941" s="23">
        <v>0</v>
      </c>
      <c r="S941" s="23">
        <v>39.11</v>
      </c>
      <c r="U941" s="47">
        <f>VLOOKUP(AU941,[1]expiry_dates!$B$2:$C$2894,2,FALSE)</f>
        <v>44224</v>
      </c>
      <c r="V941" s="23" t="s">
        <v>140</v>
      </c>
      <c r="W941" s="23" t="s">
        <v>23</v>
      </c>
      <c r="X941" s="49">
        <v>44200.5</v>
      </c>
      <c r="Y941" s="23">
        <v>2</v>
      </c>
      <c r="Z941" s="23">
        <v>44200.614583333336</v>
      </c>
      <c r="AA941" s="23">
        <v>2.35</v>
      </c>
      <c r="AB941" s="23">
        <v>0.17499999999999999</v>
      </c>
      <c r="AC941" s="23">
        <v>-11445.01</v>
      </c>
      <c r="AD941" s="23">
        <v>-0.17499999999999999</v>
      </c>
      <c r="AE941" s="23">
        <v>32700.02</v>
      </c>
      <c r="AF941" s="23">
        <v>65400.04</v>
      </c>
      <c r="AG941" s="23">
        <v>3068563.36</v>
      </c>
      <c r="AH941" s="23">
        <v>12</v>
      </c>
      <c r="AI941" s="23">
        <v>-953.75</v>
      </c>
      <c r="AJ941" s="23">
        <v>-0.17499999999999999</v>
      </c>
      <c r="AK941" s="23">
        <v>0</v>
      </c>
      <c r="AL941" s="23" t="s">
        <v>24</v>
      </c>
      <c r="AM941" s="23">
        <v>38.049999999999997</v>
      </c>
      <c r="AN941" s="23">
        <v>31144.75</v>
      </c>
      <c r="AO941" s="23">
        <v>39.11</v>
      </c>
      <c r="AP941" s="23">
        <v>0</v>
      </c>
      <c r="AR941" s="46"/>
      <c r="AS941" s="44"/>
      <c r="AT941" s="45"/>
      <c r="AU941" s="2">
        <v>44200</v>
      </c>
      <c r="AV941" s="52">
        <v>0.5</v>
      </c>
      <c r="AW941" s="2" t="s">
        <v>213</v>
      </c>
      <c r="AY941" s="3"/>
      <c r="BA941" s="3"/>
      <c r="BG941" s="3"/>
      <c r="BH941" s="3"/>
    </row>
    <row r="942" spans="1:60">
      <c r="A942" s="23" t="s">
        <v>22</v>
      </c>
      <c r="B942" s="23" t="s">
        <v>25</v>
      </c>
      <c r="C942" s="27">
        <v>44200.614583333336</v>
      </c>
      <c r="D942" s="23">
        <v>38.5</v>
      </c>
      <c r="E942" s="27">
        <v>44201.385416666664</v>
      </c>
      <c r="F942" s="23">
        <v>38.5</v>
      </c>
      <c r="G942" s="31">
        <v>0</v>
      </c>
      <c r="H942" s="23">
        <v>0</v>
      </c>
      <c r="I942" s="31">
        <v>0</v>
      </c>
      <c r="J942" s="23">
        <v>1310.278</v>
      </c>
      <c r="K942" s="23">
        <v>50445.71</v>
      </c>
      <c r="L942" s="23">
        <v>88943.49</v>
      </c>
      <c r="M942" s="23">
        <v>7</v>
      </c>
      <c r="N942" s="23">
        <v>0</v>
      </c>
      <c r="O942" s="31">
        <v>-6.4999999999999997E-3</v>
      </c>
      <c r="P942" s="31">
        <v>5.1999999999999998E-3</v>
      </c>
      <c r="Q942" s="23" t="s">
        <v>24</v>
      </c>
      <c r="R942" s="23">
        <v>0</v>
      </c>
      <c r="S942" s="23">
        <v>38</v>
      </c>
      <c r="U942" s="47">
        <f>VLOOKUP(AU942,[1]expiry_dates!$B$2:$C$2894,2,FALSE)</f>
        <v>44224</v>
      </c>
      <c r="V942" s="23" t="s">
        <v>137</v>
      </c>
      <c r="W942" s="23" t="s">
        <v>23</v>
      </c>
      <c r="X942" s="49">
        <v>44200.614583333336</v>
      </c>
      <c r="Y942" s="23">
        <v>2.4500000000000002</v>
      </c>
      <c r="Z942" s="23">
        <v>44201.385416666664</v>
      </c>
      <c r="AA942" s="23">
        <v>2.35</v>
      </c>
      <c r="AB942" s="23">
        <v>-4.0800000000000003E-2</v>
      </c>
      <c r="AC942" s="23">
        <v>2668.05</v>
      </c>
      <c r="AD942" s="23">
        <v>4.0800000000000003E-2</v>
      </c>
      <c r="AE942" s="23">
        <v>26680.55</v>
      </c>
      <c r="AF942" s="23">
        <v>65367.34</v>
      </c>
      <c r="AG942" s="23">
        <v>3071231.42</v>
      </c>
      <c r="AH942" s="23">
        <v>7</v>
      </c>
      <c r="AI942" s="23">
        <v>381.15</v>
      </c>
      <c r="AJ942" s="23">
        <v>-4.0800000000000003E-2</v>
      </c>
      <c r="AK942" s="23">
        <v>6.1199999999999997E-2</v>
      </c>
      <c r="AL942" s="23" t="s">
        <v>24</v>
      </c>
      <c r="AM942" s="23">
        <v>38.5</v>
      </c>
      <c r="AN942" s="23">
        <v>31163.9</v>
      </c>
      <c r="AO942" s="23">
        <v>38</v>
      </c>
      <c r="AP942" s="23">
        <v>0</v>
      </c>
      <c r="AR942" s="46"/>
      <c r="AS942" s="44"/>
      <c r="AT942" s="45"/>
      <c r="AU942" s="2">
        <v>44200</v>
      </c>
      <c r="AV942" s="52">
        <v>0.11458333333333333</v>
      </c>
      <c r="AW942" s="2" t="s">
        <v>213</v>
      </c>
      <c r="AY942" s="3"/>
      <c r="BA942" s="3"/>
      <c r="BG942" s="3"/>
      <c r="BH942" s="3"/>
    </row>
    <row r="943" spans="1:60">
      <c r="A943" s="23" t="s">
        <v>22</v>
      </c>
      <c r="B943" s="23" t="s">
        <v>23</v>
      </c>
      <c r="C943" s="27">
        <v>44201.385416666664</v>
      </c>
      <c r="D943" s="23">
        <v>38.5</v>
      </c>
      <c r="E943" s="27">
        <v>44201.395833333336</v>
      </c>
      <c r="F943" s="23">
        <v>39.049999999999997</v>
      </c>
      <c r="G943" s="31">
        <v>1.43E-2</v>
      </c>
      <c r="H943" s="23">
        <v>-720.62</v>
      </c>
      <c r="I943" s="31">
        <v>-1.43E-2</v>
      </c>
      <c r="J943" s="23">
        <v>1310.21</v>
      </c>
      <c r="K943" s="23">
        <v>50443.08</v>
      </c>
      <c r="L943" s="23">
        <v>88222.87</v>
      </c>
      <c r="M943" s="23">
        <v>2</v>
      </c>
      <c r="N943" s="23">
        <v>-360.31</v>
      </c>
      <c r="O943" s="31">
        <v>-1.43E-2</v>
      </c>
      <c r="P943" s="31">
        <v>1.5599999999999999E-2</v>
      </c>
      <c r="Q943" s="23" t="s">
        <v>24</v>
      </c>
      <c r="R943" s="23">
        <v>0</v>
      </c>
      <c r="S943" s="23">
        <v>38.67</v>
      </c>
      <c r="U943" s="47">
        <f>VLOOKUP(AU943,[1]expiry_dates!$B$2:$C$2894,2,FALSE)</f>
        <v>44224</v>
      </c>
      <c r="V943" s="23" t="s">
        <v>141</v>
      </c>
      <c r="W943" s="23" t="s">
        <v>23</v>
      </c>
      <c r="X943" s="49">
        <v>44201.385416666664</v>
      </c>
      <c r="Y943" s="23">
        <v>1.8</v>
      </c>
      <c r="Z943" s="23">
        <v>44201.395833333336</v>
      </c>
      <c r="AA943" s="23">
        <v>2.0499999999999998</v>
      </c>
      <c r="AB943" s="23">
        <v>0.1389</v>
      </c>
      <c r="AC943" s="23">
        <v>-9077.24</v>
      </c>
      <c r="AD943" s="23">
        <v>-0.1389</v>
      </c>
      <c r="AE943" s="23">
        <v>36308.980000000003</v>
      </c>
      <c r="AF943" s="23">
        <v>65356.160000000003</v>
      </c>
      <c r="AG943" s="23">
        <v>3062154.17</v>
      </c>
      <c r="AH943" s="23">
        <v>2</v>
      </c>
      <c r="AI943" s="23">
        <v>-4538.62</v>
      </c>
      <c r="AJ943" s="23">
        <v>-0.1389</v>
      </c>
      <c r="AK943" s="23">
        <v>0.19439999999999999</v>
      </c>
      <c r="AL943" s="23" t="s">
        <v>24</v>
      </c>
      <c r="AM943" s="23">
        <v>38.5</v>
      </c>
      <c r="AN943" s="23">
        <v>31121.4</v>
      </c>
      <c r="AO943" s="23">
        <v>38.67</v>
      </c>
      <c r="AP943" s="23">
        <v>0</v>
      </c>
      <c r="AR943" s="46"/>
      <c r="AS943" s="44"/>
      <c r="AT943" s="45"/>
      <c r="AU943" s="2">
        <v>44201</v>
      </c>
      <c r="AV943" s="52">
        <v>0.38541666666666669</v>
      </c>
      <c r="AW943" s="2" t="s">
        <v>212</v>
      </c>
      <c r="AY943" s="3"/>
      <c r="BA943" s="3"/>
      <c r="BG943" s="3"/>
      <c r="BH943" s="3"/>
    </row>
    <row r="944" spans="1:60">
      <c r="A944" s="23" t="s">
        <v>22</v>
      </c>
      <c r="B944" s="23" t="s">
        <v>25</v>
      </c>
      <c r="C944" s="27">
        <v>44201.395833333336</v>
      </c>
      <c r="D944" s="23">
        <v>39.049999999999997</v>
      </c>
      <c r="E944" s="27">
        <v>44201.552083333336</v>
      </c>
      <c r="F944" s="23">
        <v>38.450000000000003</v>
      </c>
      <c r="G944" s="31">
        <v>-1.54E-2</v>
      </c>
      <c r="H944" s="23">
        <v>-775.08</v>
      </c>
      <c r="I944" s="31">
        <v>-1.54E-2</v>
      </c>
      <c r="J944" s="23">
        <v>1291.798</v>
      </c>
      <c r="K944" s="23">
        <v>50444.72</v>
      </c>
      <c r="L944" s="23">
        <v>87447.79</v>
      </c>
      <c r="M944" s="23">
        <v>16</v>
      </c>
      <c r="N944" s="23">
        <v>-48.44</v>
      </c>
      <c r="O944" s="31">
        <v>-2.3E-2</v>
      </c>
      <c r="P944" s="31">
        <v>5.1000000000000004E-3</v>
      </c>
      <c r="Q944" s="23" t="s">
        <v>24</v>
      </c>
      <c r="R944" s="23">
        <v>0</v>
      </c>
      <c r="S944" s="23">
        <v>37.94</v>
      </c>
      <c r="U944" s="47">
        <f>VLOOKUP(AU944,[1]expiry_dates!$B$2:$C$2894,2,FALSE)</f>
        <v>44224</v>
      </c>
      <c r="V944" s="23" t="s">
        <v>135</v>
      </c>
      <c r="W944" s="23" t="s">
        <v>23</v>
      </c>
      <c r="X944" s="49">
        <v>44201.395833333336</v>
      </c>
      <c r="Y944" s="23">
        <v>1.7</v>
      </c>
      <c r="Z944" s="23">
        <v>44201.552083333336</v>
      </c>
      <c r="AA944" s="23">
        <v>1.9</v>
      </c>
      <c r="AB944" s="23">
        <v>0.1176</v>
      </c>
      <c r="AC944" s="23">
        <v>-7688.96</v>
      </c>
      <c r="AD944" s="23">
        <v>-0.1176</v>
      </c>
      <c r="AE944" s="23">
        <v>38444.800000000003</v>
      </c>
      <c r="AF944" s="23">
        <v>65356.160000000003</v>
      </c>
      <c r="AG944" s="23">
        <v>3054465.22</v>
      </c>
      <c r="AH944" s="23">
        <v>16</v>
      </c>
      <c r="AI944" s="23">
        <v>-480.56</v>
      </c>
      <c r="AJ944" s="23">
        <v>-0.23530000000000001</v>
      </c>
      <c r="AK944" s="23">
        <v>5.8799999999999998E-2</v>
      </c>
      <c r="AL944" s="23" t="s">
        <v>24</v>
      </c>
      <c r="AM944" s="23">
        <v>39.049999999999997</v>
      </c>
      <c r="AN944" s="23">
        <v>31143.25</v>
      </c>
      <c r="AO944" s="23">
        <v>37.94</v>
      </c>
      <c r="AP944" s="23">
        <v>0</v>
      </c>
      <c r="AR944" s="46"/>
      <c r="AS944" s="44"/>
      <c r="AT944" s="45"/>
      <c r="AU944" s="2">
        <v>44201</v>
      </c>
      <c r="AV944" s="52">
        <v>0.39583333333333331</v>
      </c>
      <c r="AW944" s="2" t="s">
        <v>212</v>
      </c>
      <c r="AY944" s="3"/>
      <c r="BA944" s="3"/>
      <c r="BG944" s="3"/>
      <c r="BH944" s="3"/>
    </row>
    <row r="945" spans="1:60">
      <c r="A945" s="23" t="s">
        <v>22</v>
      </c>
      <c r="B945" s="23" t="s">
        <v>23</v>
      </c>
      <c r="C945" s="27">
        <v>44201.552083333336</v>
      </c>
      <c r="D945" s="23">
        <v>38.450000000000003</v>
      </c>
      <c r="E945" s="27">
        <v>44201.572916666664</v>
      </c>
      <c r="F945" s="23">
        <v>39.4</v>
      </c>
      <c r="G945" s="31">
        <v>2.47E-2</v>
      </c>
      <c r="H945" s="23">
        <v>-1246.22</v>
      </c>
      <c r="I945" s="31">
        <v>-2.47E-2</v>
      </c>
      <c r="J945" s="23">
        <v>1311.8119999999999</v>
      </c>
      <c r="K945" s="23">
        <v>50439.18</v>
      </c>
      <c r="L945" s="23">
        <v>86201.57</v>
      </c>
      <c r="M945" s="23">
        <v>3</v>
      </c>
      <c r="N945" s="23">
        <v>-415.41</v>
      </c>
      <c r="O945" s="31">
        <v>-2.47E-2</v>
      </c>
      <c r="P945" s="31">
        <v>1.2999999999999999E-3</v>
      </c>
      <c r="Q945" s="23" t="s">
        <v>24</v>
      </c>
      <c r="R945" s="23">
        <v>0</v>
      </c>
      <c r="S945" s="23">
        <v>39.22</v>
      </c>
      <c r="U945" s="47">
        <f>VLOOKUP(AU945,[1]expiry_dates!$B$2:$C$2894,2,FALSE)</f>
        <v>44224</v>
      </c>
      <c r="V945" s="23" t="s">
        <v>140</v>
      </c>
      <c r="W945" s="23" t="s">
        <v>23</v>
      </c>
      <c r="X945" s="49">
        <v>44201.552083333336</v>
      </c>
      <c r="Y945" s="23">
        <v>2.25</v>
      </c>
      <c r="Z945" s="23">
        <v>44201.572916666664</v>
      </c>
      <c r="AA945" s="23">
        <v>2.85</v>
      </c>
      <c r="AB945" s="23">
        <v>0.26669999999999999</v>
      </c>
      <c r="AC945" s="23">
        <v>-17416.21</v>
      </c>
      <c r="AD945" s="23">
        <v>-0.26669999999999999</v>
      </c>
      <c r="AE945" s="23">
        <v>29027.01</v>
      </c>
      <c r="AF945" s="23">
        <v>65310.77</v>
      </c>
      <c r="AG945" s="23">
        <v>3037049.01</v>
      </c>
      <c r="AH945" s="23">
        <v>3</v>
      </c>
      <c r="AI945" s="23">
        <v>-5805.4</v>
      </c>
      <c r="AJ945" s="23">
        <v>-0.26669999999999999</v>
      </c>
      <c r="AK945" s="23">
        <v>2.2200000000000001E-2</v>
      </c>
      <c r="AL945" s="23" t="s">
        <v>24</v>
      </c>
      <c r="AM945" s="23">
        <v>38.450000000000003</v>
      </c>
      <c r="AN945" s="23">
        <v>31338.400000000001</v>
      </c>
      <c r="AO945" s="23">
        <v>39.22</v>
      </c>
      <c r="AP945" s="23">
        <v>0</v>
      </c>
      <c r="AR945" s="46"/>
      <c r="AS945" s="44"/>
      <c r="AT945" s="45"/>
      <c r="AU945" s="2">
        <v>44201</v>
      </c>
      <c r="AV945" s="52">
        <v>5.2083333333333336E-2</v>
      </c>
      <c r="AW945" s="2" t="s">
        <v>213</v>
      </c>
      <c r="AY945" s="3"/>
      <c r="BA945" s="3"/>
      <c r="BG945" s="3"/>
      <c r="BH945" s="3"/>
    </row>
    <row r="946" spans="1:60">
      <c r="A946" s="23" t="s">
        <v>22</v>
      </c>
      <c r="B946" s="23" t="s">
        <v>25</v>
      </c>
      <c r="C946" s="27">
        <v>44201.572916666664</v>
      </c>
      <c r="D946" s="23">
        <v>39.4</v>
      </c>
      <c r="E946" s="27">
        <v>44202.5</v>
      </c>
      <c r="F946" s="23">
        <v>39.65</v>
      </c>
      <c r="G946" s="31">
        <v>6.3E-3</v>
      </c>
      <c r="H946" s="23">
        <v>320.02</v>
      </c>
      <c r="I946" s="31">
        <v>6.3E-3</v>
      </c>
      <c r="J946" s="23">
        <v>1280.075</v>
      </c>
      <c r="K946" s="23">
        <v>50434.95</v>
      </c>
      <c r="L946" s="23">
        <v>86521.59</v>
      </c>
      <c r="M946" s="23">
        <v>22</v>
      </c>
      <c r="N946" s="23">
        <v>14.55</v>
      </c>
      <c r="O946" s="31">
        <v>-1.6500000000000001E-2</v>
      </c>
      <c r="P946" s="31">
        <v>2.0299999999999999E-2</v>
      </c>
      <c r="Q946" s="23" t="s">
        <v>24</v>
      </c>
      <c r="R946" s="23">
        <v>0</v>
      </c>
      <c r="S946" s="23">
        <v>38.42</v>
      </c>
      <c r="U946" s="47">
        <f>VLOOKUP(AU946,[1]expiry_dates!$B$2:$C$2894,2,FALSE)</f>
        <v>44224</v>
      </c>
      <c r="V946" s="23" t="s">
        <v>137</v>
      </c>
      <c r="W946" s="23" t="s">
        <v>23</v>
      </c>
      <c r="X946" s="49">
        <v>44201.572916666664</v>
      </c>
      <c r="Y946" s="23">
        <v>1.85</v>
      </c>
      <c r="Z946" s="23">
        <v>44202.5</v>
      </c>
      <c r="AA946" s="23">
        <v>1.9</v>
      </c>
      <c r="AB946" s="23">
        <v>2.7E-2</v>
      </c>
      <c r="AC946" s="23">
        <v>-1763.53</v>
      </c>
      <c r="AD946" s="23">
        <v>-2.7E-2</v>
      </c>
      <c r="AE946" s="23">
        <v>35270.57</v>
      </c>
      <c r="AF946" s="23">
        <v>65250.55</v>
      </c>
      <c r="AG946" s="23">
        <v>3035285.48</v>
      </c>
      <c r="AH946" s="23">
        <v>22</v>
      </c>
      <c r="AI946" s="23">
        <v>-80.16</v>
      </c>
      <c r="AJ946" s="23">
        <v>-0.35139999999999999</v>
      </c>
      <c r="AK946" s="23">
        <v>0.1351</v>
      </c>
      <c r="AL946" s="23" t="s">
        <v>24</v>
      </c>
      <c r="AM946" s="23">
        <v>39.4</v>
      </c>
      <c r="AN946" s="23">
        <v>31500.05</v>
      </c>
      <c r="AO946" s="23">
        <v>38.42</v>
      </c>
      <c r="AP946" s="23">
        <v>0</v>
      </c>
      <c r="AR946" s="46"/>
      <c r="AS946" s="44"/>
      <c r="AT946" s="45"/>
      <c r="AU946" s="2">
        <v>44201</v>
      </c>
      <c r="AV946" s="52">
        <v>7.2916666666666671E-2</v>
      </c>
      <c r="AW946" s="2" t="s">
        <v>213</v>
      </c>
      <c r="AY946" s="3"/>
      <c r="BA946" s="3"/>
      <c r="BG946" s="3"/>
      <c r="BH946" s="3"/>
    </row>
    <row r="947" spans="1:60">
      <c r="A947" s="23" t="s">
        <v>22</v>
      </c>
      <c r="B947" s="23" t="s">
        <v>23</v>
      </c>
      <c r="C947" s="27">
        <v>44202.5</v>
      </c>
      <c r="D947" s="23">
        <v>39.65</v>
      </c>
      <c r="E947" s="27">
        <v>44202.625</v>
      </c>
      <c r="F947" s="23">
        <v>41.45</v>
      </c>
      <c r="G947" s="31">
        <v>4.5400000000000003E-2</v>
      </c>
      <c r="H947" s="23">
        <v>-2289.5</v>
      </c>
      <c r="I947" s="31">
        <v>-4.5400000000000003E-2</v>
      </c>
      <c r="J947" s="23">
        <v>1271.9449999999999</v>
      </c>
      <c r="K947" s="23">
        <v>50432.61</v>
      </c>
      <c r="L947" s="23">
        <v>84232.09</v>
      </c>
      <c r="M947" s="23">
        <v>13</v>
      </c>
      <c r="N947" s="23">
        <v>-176.12</v>
      </c>
      <c r="O947" s="31">
        <v>-4.5400000000000003E-2</v>
      </c>
      <c r="P947" s="31">
        <v>2.9000000000000001E-2</v>
      </c>
      <c r="Q947" s="23" t="s">
        <v>24</v>
      </c>
      <c r="R947" s="23">
        <v>0</v>
      </c>
      <c r="S947" s="23">
        <v>40.17</v>
      </c>
      <c r="U947" s="47">
        <f>VLOOKUP(AU947,[1]expiry_dates!$B$2:$C$2894,2,FALSE)</f>
        <v>44224</v>
      </c>
      <c r="V947" s="23" t="s">
        <v>139</v>
      </c>
      <c r="W947" s="23" t="s">
        <v>23</v>
      </c>
      <c r="X947" s="49">
        <v>44202.5</v>
      </c>
      <c r="Y947" s="23">
        <v>2</v>
      </c>
      <c r="Z947" s="23">
        <v>44202.625</v>
      </c>
      <c r="AA947" s="23">
        <v>2.95</v>
      </c>
      <c r="AB947" s="23">
        <v>0.47499999999999998</v>
      </c>
      <c r="AC947" s="23">
        <v>-30958.799999999999</v>
      </c>
      <c r="AD947" s="23">
        <v>-0.47499999999999998</v>
      </c>
      <c r="AE947" s="23">
        <v>32588.21</v>
      </c>
      <c r="AF947" s="23">
        <v>65176.43</v>
      </c>
      <c r="AG947" s="23">
        <v>3004326.68</v>
      </c>
      <c r="AH947" s="23">
        <v>13</v>
      </c>
      <c r="AI947" s="23">
        <v>-2381.4499999999998</v>
      </c>
      <c r="AJ947" s="23">
        <v>-0.47499999999999998</v>
      </c>
      <c r="AK947" s="23">
        <v>0.27500000000000002</v>
      </c>
      <c r="AL947" s="23" t="s">
        <v>24</v>
      </c>
      <c r="AM947" s="23">
        <v>39.65</v>
      </c>
      <c r="AN947" s="23">
        <v>31863.8</v>
      </c>
      <c r="AO947" s="23">
        <v>40.17</v>
      </c>
      <c r="AP947" s="23">
        <v>0</v>
      </c>
      <c r="AR947" s="46"/>
      <c r="AS947" s="44"/>
      <c r="AT947" s="45"/>
      <c r="AU947" s="2">
        <v>44202</v>
      </c>
      <c r="AV947" s="52">
        <v>0.5</v>
      </c>
      <c r="AW947" s="2" t="s">
        <v>213</v>
      </c>
      <c r="AY947" s="3"/>
      <c r="BA947" s="3"/>
      <c r="BG947" s="3"/>
      <c r="BH947" s="3"/>
    </row>
    <row r="948" spans="1:60">
      <c r="A948" s="23" t="s">
        <v>22</v>
      </c>
      <c r="B948" s="23" t="s">
        <v>25</v>
      </c>
      <c r="C948" s="27">
        <v>44202.625</v>
      </c>
      <c r="D948" s="23">
        <v>41.45</v>
      </c>
      <c r="E948" s="27">
        <v>44204.447916666664</v>
      </c>
      <c r="F948" s="23">
        <v>45.35</v>
      </c>
      <c r="G948" s="31">
        <v>9.4100000000000003E-2</v>
      </c>
      <c r="H948" s="23">
        <v>4745.53</v>
      </c>
      <c r="I948" s="31">
        <v>9.4100000000000003E-2</v>
      </c>
      <c r="J948" s="23">
        <v>1216.8019999999999</v>
      </c>
      <c r="K948" s="23">
        <v>50436.42</v>
      </c>
      <c r="L948" s="23">
        <v>88977.61</v>
      </c>
      <c r="M948" s="23">
        <v>40</v>
      </c>
      <c r="N948" s="23">
        <v>118.64</v>
      </c>
      <c r="O948" s="31">
        <v>-5.67E-2</v>
      </c>
      <c r="P948" s="31">
        <v>0.1484</v>
      </c>
      <c r="Q948" s="23" t="s">
        <v>24</v>
      </c>
      <c r="R948" s="23">
        <v>0</v>
      </c>
      <c r="S948" s="23">
        <v>38.54</v>
      </c>
      <c r="U948" s="47">
        <f>VLOOKUP(AU948,[1]expiry_dates!$B$2:$C$2894,2,FALSE)</f>
        <v>44224</v>
      </c>
      <c r="V948" s="23" t="s">
        <v>134</v>
      </c>
      <c r="W948" s="23" t="s">
        <v>23</v>
      </c>
      <c r="X948" s="49">
        <v>44202.625</v>
      </c>
      <c r="Y948" s="23">
        <v>2.35</v>
      </c>
      <c r="Z948" s="23">
        <v>44204.447916666664</v>
      </c>
      <c r="AA948" s="23">
        <v>0.9</v>
      </c>
      <c r="AB948" s="23">
        <v>-0.61699999999999999</v>
      </c>
      <c r="AC948" s="23">
        <v>40245.4</v>
      </c>
      <c r="AD948" s="23">
        <v>0.61699999999999999</v>
      </c>
      <c r="AE948" s="23">
        <v>27755.45</v>
      </c>
      <c r="AF948" s="23">
        <v>65225.31</v>
      </c>
      <c r="AG948" s="23">
        <v>3044572.08</v>
      </c>
      <c r="AH948" s="23">
        <v>40</v>
      </c>
      <c r="AI948" s="23">
        <v>1006.14</v>
      </c>
      <c r="AJ948" s="23">
        <v>-0.53190000000000004</v>
      </c>
      <c r="AK948" s="23">
        <v>0.74470000000000003</v>
      </c>
      <c r="AL948" s="23" t="s">
        <v>24</v>
      </c>
      <c r="AM948" s="23">
        <v>41.45</v>
      </c>
      <c r="AN948" s="23">
        <v>31808.2</v>
      </c>
      <c r="AO948" s="23">
        <v>38.54</v>
      </c>
      <c r="AP948" s="23">
        <v>0</v>
      </c>
      <c r="AR948" s="46"/>
      <c r="AS948" s="44"/>
      <c r="AT948" s="45"/>
      <c r="AU948" s="2">
        <v>44202</v>
      </c>
      <c r="AV948" s="52">
        <v>0.125</v>
      </c>
      <c r="AW948" s="2" t="s">
        <v>213</v>
      </c>
      <c r="AY948" s="3"/>
      <c r="BA948" s="3"/>
      <c r="BG948" s="3"/>
      <c r="BH948" s="3"/>
    </row>
    <row r="949" spans="1:60">
      <c r="A949" s="23" t="s">
        <v>22</v>
      </c>
      <c r="B949" s="23" t="s">
        <v>23</v>
      </c>
      <c r="C949" s="27">
        <v>44204.447916666664</v>
      </c>
      <c r="D949" s="23">
        <v>45.35</v>
      </c>
      <c r="E949" s="27">
        <v>44207.520833333336</v>
      </c>
      <c r="F949" s="23">
        <v>44.2</v>
      </c>
      <c r="G949" s="31">
        <v>-2.5399999999999999E-2</v>
      </c>
      <c r="H949" s="23">
        <v>1279.21</v>
      </c>
      <c r="I949" s="31">
        <v>2.5399999999999999E-2</v>
      </c>
      <c r="J949" s="23">
        <v>1112.3530000000001</v>
      </c>
      <c r="K949" s="23">
        <v>50445.19</v>
      </c>
      <c r="L949" s="23">
        <v>90256.82</v>
      </c>
      <c r="M949" s="23">
        <v>36</v>
      </c>
      <c r="N949" s="23">
        <v>35.53</v>
      </c>
      <c r="O949" s="31">
        <v>-2.2000000000000001E-3</v>
      </c>
      <c r="P949" s="31">
        <v>4.6300000000000001E-2</v>
      </c>
      <c r="Q949" s="23" t="s">
        <v>24</v>
      </c>
      <c r="R949" s="23">
        <v>0</v>
      </c>
      <c r="S949" s="23">
        <v>47.51</v>
      </c>
      <c r="U949" s="47">
        <f>VLOOKUP(AU949,[1]expiry_dates!$B$2:$C$2894,2,FALSE)</f>
        <v>44224</v>
      </c>
      <c r="V949" s="23" t="s">
        <v>112</v>
      </c>
      <c r="W949" s="23" t="s">
        <v>23</v>
      </c>
      <c r="X949" s="49">
        <v>44204.447916666664</v>
      </c>
      <c r="Y949" s="23">
        <v>2.7</v>
      </c>
      <c r="Z949" s="23">
        <v>44207.520833333336</v>
      </c>
      <c r="AA949" s="23">
        <v>2</v>
      </c>
      <c r="AB949" s="23">
        <v>-0.25929999999999997</v>
      </c>
      <c r="AC949" s="23">
        <v>16909.63</v>
      </c>
      <c r="AD949" s="23">
        <v>0.25929999999999997</v>
      </c>
      <c r="AE949" s="23">
        <v>24156.62</v>
      </c>
      <c r="AF949" s="23">
        <v>65222.86</v>
      </c>
      <c r="AG949" s="23">
        <v>3061481.71</v>
      </c>
      <c r="AH949" s="23">
        <v>36</v>
      </c>
      <c r="AI949" s="23">
        <v>469.71</v>
      </c>
      <c r="AJ949" s="23">
        <v>-3.6999999999999998E-2</v>
      </c>
      <c r="AK949" s="23">
        <v>0.4259</v>
      </c>
      <c r="AL949" s="23" t="s">
        <v>24</v>
      </c>
      <c r="AM949" s="23">
        <v>45.35</v>
      </c>
      <c r="AN949" s="23">
        <v>32138.35</v>
      </c>
      <c r="AO949" s="23">
        <v>47.51</v>
      </c>
      <c r="AP949" s="23">
        <v>0</v>
      </c>
      <c r="AR949" s="46"/>
      <c r="AS949" s="44"/>
      <c r="AT949" s="45"/>
      <c r="AU949" s="2">
        <v>44204</v>
      </c>
      <c r="AV949" s="52">
        <v>0.44791666666666669</v>
      </c>
      <c r="AW949" s="2" t="s">
        <v>212</v>
      </c>
      <c r="AY949" s="3"/>
      <c r="BA949" s="3"/>
      <c r="BG949" s="3"/>
      <c r="BH949" s="3"/>
    </row>
    <row r="950" spans="1:60">
      <c r="A950" s="23" t="s">
        <v>22</v>
      </c>
      <c r="B950" s="23" t="s">
        <v>25</v>
      </c>
      <c r="C950" s="27">
        <v>44207.520833333336</v>
      </c>
      <c r="D950" s="23">
        <v>44.2</v>
      </c>
      <c r="E950" s="27">
        <v>44209.385416666664</v>
      </c>
      <c r="F950" s="23">
        <v>47</v>
      </c>
      <c r="G950" s="31">
        <v>6.3299999999999995E-2</v>
      </c>
      <c r="H950" s="23">
        <v>3196.04</v>
      </c>
      <c r="I950" s="31">
        <v>6.3299999999999995E-2</v>
      </c>
      <c r="J950" s="23">
        <v>1141.444</v>
      </c>
      <c r="K950" s="23">
        <v>50451.839999999997</v>
      </c>
      <c r="L950" s="23">
        <v>93452.86</v>
      </c>
      <c r="M950" s="23">
        <v>44</v>
      </c>
      <c r="N950" s="23">
        <v>72.64</v>
      </c>
      <c r="O950" s="31">
        <v>-1.5800000000000002E-2</v>
      </c>
      <c r="P950" s="31">
        <v>9.6199999999999994E-2</v>
      </c>
      <c r="Q950" s="23" t="s">
        <v>24</v>
      </c>
      <c r="R950" s="23">
        <v>0</v>
      </c>
      <c r="S950" s="23">
        <v>43.25</v>
      </c>
      <c r="U950" s="47">
        <f>VLOOKUP(AU950,[1]expiry_dates!$B$2:$C$2894,2,FALSE)</f>
        <v>44224</v>
      </c>
      <c r="V950" s="23" t="s">
        <v>118</v>
      </c>
      <c r="W950" s="23" t="s">
        <v>23</v>
      </c>
      <c r="X950" s="49">
        <v>44207.520833333336</v>
      </c>
      <c r="Y950" s="23">
        <v>1.85</v>
      </c>
      <c r="Z950" s="23">
        <v>44209.385416666664</v>
      </c>
      <c r="AA950" s="23">
        <v>1</v>
      </c>
      <c r="AB950" s="23">
        <v>-0.45950000000000002</v>
      </c>
      <c r="AC950" s="23">
        <v>30008.880000000001</v>
      </c>
      <c r="AD950" s="23">
        <v>0.45950000000000002</v>
      </c>
      <c r="AE950" s="23">
        <v>35304.57</v>
      </c>
      <c r="AF950" s="23">
        <v>65313.45</v>
      </c>
      <c r="AG950" s="23">
        <v>3091490.6</v>
      </c>
      <c r="AH950" s="23">
        <v>44</v>
      </c>
      <c r="AI950" s="23">
        <v>682.02</v>
      </c>
      <c r="AJ950" s="23">
        <v>0</v>
      </c>
      <c r="AK950" s="23">
        <v>0.64859999999999995</v>
      </c>
      <c r="AL950" s="23" t="s">
        <v>24</v>
      </c>
      <c r="AM950" s="23">
        <v>44.2</v>
      </c>
      <c r="AN950" s="23">
        <v>32031.25</v>
      </c>
      <c r="AO950" s="23">
        <v>43.25</v>
      </c>
      <c r="AP950" s="23">
        <v>0</v>
      </c>
      <c r="AR950" s="46"/>
      <c r="AS950" s="44"/>
      <c r="AT950" s="45"/>
      <c r="AU950" s="2">
        <v>44207</v>
      </c>
      <c r="AV950" s="52">
        <v>0.52083333333333337</v>
      </c>
      <c r="AW950" s="2" t="s">
        <v>213</v>
      </c>
      <c r="AY950" s="3"/>
      <c r="BA950" s="3"/>
      <c r="BG950" s="3"/>
      <c r="BH950" s="3"/>
    </row>
    <row r="951" spans="1:60">
      <c r="A951" s="23" t="s">
        <v>22</v>
      </c>
      <c r="B951" s="23" t="s">
        <v>23</v>
      </c>
      <c r="C951" s="27">
        <v>44209.385416666664</v>
      </c>
      <c r="D951" s="23">
        <v>47</v>
      </c>
      <c r="E951" s="27">
        <v>44210.385416666664</v>
      </c>
      <c r="F951" s="23">
        <v>46.6</v>
      </c>
      <c r="G951" s="31">
        <v>-8.5000000000000006E-3</v>
      </c>
      <c r="H951" s="23">
        <v>429.55</v>
      </c>
      <c r="I951" s="31">
        <v>8.5000000000000006E-3</v>
      </c>
      <c r="J951" s="23">
        <v>1073.8630000000001</v>
      </c>
      <c r="K951" s="23">
        <v>50471.55</v>
      </c>
      <c r="L951" s="23">
        <v>93882.41</v>
      </c>
      <c r="M951" s="23">
        <v>29</v>
      </c>
      <c r="N951" s="23">
        <v>14.81</v>
      </c>
      <c r="O951" s="31">
        <v>-1.7000000000000001E-2</v>
      </c>
      <c r="P951" s="31">
        <v>3.9399999999999998E-2</v>
      </c>
      <c r="Q951" s="23" t="s">
        <v>24</v>
      </c>
      <c r="R951" s="23">
        <v>0</v>
      </c>
      <c r="S951" s="23">
        <v>48.42</v>
      </c>
      <c r="U951" s="47">
        <f>VLOOKUP(AU951,[1]expiry_dates!$B$2:$C$2894,2,FALSE)</f>
        <v>44224</v>
      </c>
      <c r="V951" s="23" t="s">
        <v>104</v>
      </c>
      <c r="W951" s="23" t="s">
        <v>23</v>
      </c>
      <c r="X951" s="49">
        <v>44209.385416666664</v>
      </c>
      <c r="Y951" s="23">
        <v>2.5</v>
      </c>
      <c r="Z951" s="23">
        <v>44210.385416666664</v>
      </c>
      <c r="AA951" s="23">
        <v>2.4</v>
      </c>
      <c r="AB951" s="23">
        <v>-0.04</v>
      </c>
      <c r="AC951" s="23">
        <v>2618.65</v>
      </c>
      <c r="AD951" s="23">
        <v>0.04</v>
      </c>
      <c r="AE951" s="23">
        <v>26186.51</v>
      </c>
      <c r="AF951" s="23">
        <v>65466.28</v>
      </c>
      <c r="AG951" s="23">
        <v>3094109.25</v>
      </c>
      <c r="AH951" s="23">
        <v>29</v>
      </c>
      <c r="AI951" s="23">
        <v>90.3</v>
      </c>
      <c r="AJ951" s="23">
        <v>-0.16</v>
      </c>
      <c r="AK951" s="23">
        <v>0.3</v>
      </c>
      <c r="AL951" s="23" t="s">
        <v>24</v>
      </c>
      <c r="AM951" s="23">
        <v>47</v>
      </c>
      <c r="AN951" s="23">
        <v>32527.1</v>
      </c>
      <c r="AO951" s="23">
        <v>48.42</v>
      </c>
      <c r="AP951" s="23">
        <v>0</v>
      </c>
      <c r="AR951" s="46"/>
      <c r="AS951" s="44"/>
      <c r="AT951" s="45"/>
      <c r="AU951" s="2">
        <v>44209</v>
      </c>
      <c r="AV951" s="52">
        <v>0.38541666666666669</v>
      </c>
      <c r="AW951" s="2" t="s">
        <v>212</v>
      </c>
      <c r="AY951" s="3"/>
      <c r="BA951" s="3"/>
      <c r="BG951" s="3"/>
      <c r="BH951" s="3"/>
    </row>
    <row r="952" spans="1:60">
      <c r="A952" s="23" t="s">
        <v>22</v>
      </c>
      <c r="B952" s="23" t="s">
        <v>25</v>
      </c>
      <c r="C952" s="27">
        <v>44210.385416666664</v>
      </c>
      <c r="D952" s="23">
        <v>46.6</v>
      </c>
      <c r="E952" s="27">
        <v>44210.552083333336</v>
      </c>
      <c r="F952" s="23">
        <v>46.55</v>
      </c>
      <c r="G952" s="31">
        <v>-1.1000000000000001E-3</v>
      </c>
      <c r="H952" s="23">
        <v>-54.15</v>
      </c>
      <c r="I952" s="31">
        <v>-1.1000000000000001E-3</v>
      </c>
      <c r="J952" s="23">
        <v>1083.075</v>
      </c>
      <c r="K952" s="23">
        <v>50471.29</v>
      </c>
      <c r="L952" s="23">
        <v>93828.26</v>
      </c>
      <c r="M952" s="23">
        <v>17</v>
      </c>
      <c r="N952" s="23">
        <v>-3.19</v>
      </c>
      <c r="O952" s="31">
        <v>-1.72E-2</v>
      </c>
      <c r="P952" s="31">
        <v>1.61E-2</v>
      </c>
      <c r="Q952" s="23" t="s">
        <v>24</v>
      </c>
      <c r="R952" s="23">
        <v>0</v>
      </c>
      <c r="S952" s="23">
        <v>45.22</v>
      </c>
      <c r="U952" s="47">
        <f>VLOOKUP(AU952,[1]expiry_dates!$B$2:$C$2894,2,FALSE)</f>
        <v>44224</v>
      </c>
      <c r="V952" s="23" t="s">
        <v>105</v>
      </c>
      <c r="W952" s="23" t="s">
        <v>23</v>
      </c>
      <c r="X952" s="49">
        <v>44210.385416666664</v>
      </c>
      <c r="Y952" s="23">
        <v>2.7</v>
      </c>
      <c r="Z952" s="23">
        <v>44210.552083333336</v>
      </c>
      <c r="AA952" s="23">
        <v>2.8</v>
      </c>
      <c r="AB952" s="23">
        <v>3.6999999999999998E-2</v>
      </c>
      <c r="AC952" s="23">
        <v>-2426.0500000000002</v>
      </c>
      <c r="AD952" s="23">
        <v>-3.6999999999999998E-2</v>
      </c>
      <c r="AE952" s="23">
        <v>24260.47</v>
      </c>
      <c r="AF952" s="23">
        <v>65503.28</v>
      </c>
      <c r="AG952" s="23">
        <v>3091683.2</v>
      </c>
      <c r="AH952" s="23">
        <v>17</v>
      </c>
      <c r="AI952" s="23">
        <v>-142.71</v>
      </c>
      <c r="AJ952" s="23">
        <v>-0.1111</v>
      </c>
      <c r="AK952" s="23">
        <v>0.12959999999999999</v>
      </c>
      <c r="AL952" s="23" t="s">
        <v>24</v>
      </c>
      <c r="AM952" s="23">
        <v>46.6</v>
      </c>
      <c r="AN952" s="23">
        <v>32629.65</v>
      </c>
      <c r="AO952" s="23">
        <v>45.22</v>
      </c>
      <c r="AP952" s="23">
        <v>0</v>
      </c>
      <c r="AR952" s="46"/>
      <c r="AS952" s="44"/>
      <c r="AT952" s="45"/>
      <c r="AU952" s="2">
        <v>44210</v>
      </c>
      <c r="AV952" s="52">
        <v>0.38541666666666669</v>
      </c>
      <c r="AW952" s="2" t="s">
        <v>212</v>
      </c>
      <c r="AY952" s="3"/>
      <c r="BA952" s="3"/>
      <c r="BG952" s="3"/>
      <c r="BH952" s="3"/>
    </row>
    <row r="953" spans="1:60">
      <c r="A953" s="23" t="s">
        <v>22</v>
      </c>
      <c r="B953" s="23" t="s">
        <v>23</v>
      </c>
      <c r="C953" s="27">
        <v>44210.552083333336</v>
      </c>
      <c r="D953" s="23">
        <v>46.55</v>
      </c>
      <c r="E953" s="27">
        <v>44211.427083333336</v>
      </c>
      <c r="F953" s="23">
        <v>47.3</v>
      </c>
      <c r="G953" s="31">
        <v>1.61E-2</v>
      </c>
      <c r="H953" s="23">
        <v>-813.16</v>
      </c>
      <c r="I953" s="31">
        <v>-1.61E-2</v>
      </c>
      <c r="J953" s="23">
        <v>1084.21</v>
      </c>
      <c r="K953" s="23">
        <v>50469.96</v>
      </c>
      <c r="L953" s="23">
        <v>93015.1</v>
      </c>
      <c r="M953" s="23">
        <v>17</v>
      </c>
      <c r="N953" s="23">
        <v>-47.83</v>
      </c>
      <c r="O953" s="31">
        <v>-1.61E-2</v>
      </c>
      <c r="P953" s="31">
        <v>1.4999999999999999E-2</v>
      </c>
      <c r="Q953" s="23" t="s">
        <v>24</v>
      </c>
      <c r="R953" s="23">
        <v>0</v>
      </c>
      <c r="S953" s="23">
        <v>47.33</v>
      </c>
      <c r="U953" s="47">
        <f>VLOOKUP(AU953,[1]expiry_dates!$B$2:$C$2894,2,FALSE)</f>
        <v>44224</v>
      </c>
      <c r="V953" s="23" t="s">
        <v>104</v>
      </c>
      <c r="W953" s="23" t="s">
        <v>23</v>
      </c>
      <c r="X953" s="49">
        <v>44210.552083333336</v>
      </c>
      <c r="Y953" s="23">
        <v>2.4</v>
      </c>
      <c r="Z953" s="23">
        <v>44211.427083333336</v>
      </c>
      <c r="AA953" s="23">
        <v>2.6</v>
      </c>
      <c r="AB953" s="23">
        <v>8.3299999999999999E-2</v>
      </c>
      <c r="AC953" s="23">
        <v>-5456.38</v>
      </c>
      <c r="AD953" s="23">
        <v>-8.3299999999999999E-2</v>
      </c>
      <c r="AE953" s="23">
        <v>27281.919999999998</v>
      </c>
      <c r="AF953" s="23">
        <v>65476.61</v>
      </c>
      <c r="AG953" s="23">
        <v>3086226.82</v>
      </c>
      <c r="AH953" s="23">
        <v>17</v>
      </c>
      <c r="AI953" s="23">
        <v>-320.95999999999998</v>
      </c>
      <c r="AJ953" s="23">
        <v>-8.3299999999999999E-2</v>
      </c>
      <c r="AK953" s="23">
        <v>0.20830000000000001</v>
      </c>
      <c r="AL953" s="23" t="s">
        <v>24</v>
      </c>
      <c r="AM953" s="23">
        <v>46.55</v>
      </c>
      <c r="AN953" s="23">
        <v>32566.95</v>
      </c>
      <c r="AO953" s="23">
        <v>47.33</v>
      </c>
      <c r="AP953" s="23">
        <v>0</v>
      </c>
      <c r="AR953" s="46"/>
      <c r="AS953" s="44"/>
      <c r="AT953" s="45"/>
      <c r="AU953" s="2">
        <v>44210</v>
      </c>
      <c r="AV953" s="52">
        <v>5.2083333333333336E-2</v>
      </c>
      <c r="AW953" s="2" t="s">
        <v>213</v>
      </c>
      <c r="AY953" s="3"/>
      <c r="BA953" s="3"/>
      <c r="BG953" s="3"/>
      <c r="BH953" s="3"/>
    </row>
    <row r="954" spans="1:60">
      <c r="A954" s="23" t="s">
        <v>22</v>
      </c>
      <c r="B954" s="23" t="s">
        <v>25</v>
      </c>
      <c r="C954" s="27">
        <v>44211.427083333336</v>
      </c>
      <c r="D954" s="23">
        <v>47.3</v>
      </c>
      <c r="E954" s="27">
        <v>44211.572916666664</v>
      </c>
      <c r="F954" s="23">
        <v>47.9</v>
      </c>
      <c r="G954" s="31">
        <v>1.2699999999999999E-2</v>
      </c>
      <c r="H954" s="23">
        <v>640.20000000000005</v>
      </c>
      <c r="I954" s="31">
        <v>1.2699999999999999E-2</v>
      </c>
      <c r="J954" s="23">
        <v>1066.9949999999999</v>
      </c>
      <c r="K954" s="23">
        <v>50468.87</v>
      </c>
      <c r="L954" s="23">
        <v>93655.3</v>
      </c>
      <c r="M954" s="23">
        <v>15</v>
      </c>
      <c r="N954" s="23">
        <v>42.68</v>
      </c>
      <c r="O954" s="31">
        <v>-1.5900000000000001E-2</v>
      </c>
      <c r="P954" s="31">
        <v>4.7600000000000003E-2</v>
      </c>
      <c r="Q954" s="23" t="s">
        <v>24</v>
      </c>
      <c r="R954" s="23">
        <v>0</v>
      </c>
      <c r="S954" s="23">
        <v>45.92</v>
      </c>
      <c r="U954" s="47">
        <f>VLOOKUP(AU954,[1]expiry_dates!$B$2:$C$2894,2,FALSE)</f>
        <v>44224</v>
      </c>
      <c r="V954" s="23" t="s">
        <v>105</v>
      </c>
      <c r="W954" s="23" t="s">
        <v>23</v>
      </c>
      <c r="X954" s="49">
        <v>44211.427083333336</v>
      </c>
      <c r="Y954" s="23">
        <v>2.2999999999999998</v>
      </c>
      <c r="Z954" s="23">
        <v>44211.572916666664</v>
      </c>
      <c r="AA954" s="23">
        <v>2.2000000000000002</v>
      </c>
      <c r="AB954" s="23">
        <v>-4.3499999999999997E-2</v>
      </c>
      <c r="AC954" s="23">
        <v>2846.61</v>
      </c>
      <c r="AD954" s="23">
        <v>4.3499999999999997E-2</v>
      </c>
      <c r="AE954" s="23">
        <v>28466.11</v>
      </c>
      <c r="AF954" s="23">
        <v>65472.06</v>
      </c>
      <c r="AG954" s="23">
        <v>3089073.43</v>
      </c>
      <c r="AH954" s="23">
        <v>15</v>
      </c>
      <c r="AI954" s="23">
        <v>189.77</v>
      </c>
      <c r="AJ954" s="23">
        <v>-0.1522</v>
      </c>
      <c r="AK954" s="23">
        <v>0.3261</v>
      </c>
      <c r="AL954" s="23" t="s">
        <v>24</v>
      </c>
      <c r="AM954" s="23">
        <v>47.3</v>
      </c>
      <c r="AN954" s="23">
        <v>32253.8</v>
      </c>
      <c r="AO954" s="23">
        <v>45.92</v>
      </c>
      <c r="AP954" s="23">
        <v>0</v>
      </c>
      <c r="AR954" s="46"/>
      <c r="AS954" s="44"/>
      <c r="AT954" s="45"/>
      <c r="AU954" s="2">
        <v>44211</v>
      </c>
      <c r="AV954" s="52">
        <v>0.42708333333333331</v>
      </c>
      <c r="AW954" s="2" t="s">
        <v>212</v>
      </c>
      <c r="AY954" s="3"/>
      <c r="BA954" s="3"/>
      <c r="BG954" s="3"/>
      <c r="BH954" s="3"/>
    </row>
    <row r="955" spans="1:60">
      <c r="A955" s="23" t="s">
        <v>22</v>
      </c>
      <c r="B955" s="23" t="s">
        <v>23</v>
      </c>
      <c r="C955" s="27">
        <v>44211.572916666664</v>
      </c>
      <c r="D955" s="23">
        <v>47.9</v>
      </c>
      <c r="E955" s="27">
        <v>44214.385416666664</v>
      </c>
      <c r="F955" s="23">
        <v>47.55</v>
      </c>
      <c r="G955" s="31">
        <v>-7.3000000000000001E-3</v>
      </c>
      <c r="H955" s="23">
        <v>368.78</v>
      </c>
      <c r="I955" s="31">
        <v>7.3000000000000001E-3</v>
      </c>
      <c r="J955" s="23">
        <v>1053.662</v>
      </c>
      <c r="K955" s="23">
        <v>50470.41</v>
      </c>
      <c r="L955" s="23">
        <v>94024.08</v>
      </c>
      <c r="M955" s="23">
        <v>11</v>
      </c>
      <c r="N955" s="23">
        <v>33.53</v>
      </c>
      <c r="O955" s="31">
        <v>-1.67E-2</v>
      </c>
      <c r="P955" s="31">
        <v>1.9800000000000002E-2</v>
      </c>
      <c r="Q955" s="23" t="s">
        <v>24</v>
      </c>
      <c r="R955" s="23">
        <v>0</v>
      </c>
      <c r="S955" s="23">
        <v>49.55</v>
      </c>
      <c r="U955" s="47">
        <f>VLOOKUP(AU955,[1]expiry_dates!$B$2:$C$2894,2,FALSE)</f>
        <v>44224</v>
      </c>
      <c r="V955" s="23" t="s">
        <v>106</v>
      </c>
      <c r="W955" s="23" t="s">
        <v>23</v>
      </c>
      <c r="X955" s="49">
        <v>44211.572916666664</v>
      </c>
      <c r="Y955" s="23">
        <v>2.2999999999999998</v>
      </c>
      <c r="Z955" s="23">
        <v>44214.385416666664</v>
      </c>
      <c r="AA955" s="23">
        <v>2.35</v>
      </c>
      <c r="AB955" s="23">
        <v>2.1700000000000001E-2</v>
      </c>
      <c r="AC955" s="23">
        <v>-1423.5</v>
      </c>
      <c r="AD955" s="23">
        <v>-2.1700000000000001E-2</v>
      </c>
      <c r="AE955" s="23">
        <v>28469.98</v>
      </c>
      <c r="AF955" s="23">
        <v>65480.95</v>
      </c>
      <c r="AG955" s="23">
        <v>3087649.93</v>
      </c>
      <c r="AH955" s="23">
        <v>11</v>
      </c>
      <c r="AI955" s="23">
        <v>-129.41</v>
      </c>
      <c r="AJ955" s="23">
        <v>-0.26090000000000002</v>
      </c>
      <c r="AK955" s="23">
        <v>0.13039999999999999</v>
      </c>
      <c r="AL955" s="23" t="s">
        <v>24</v>
      </c>
      <c r="AM955" s="23">
        <v>47.9</v>
      </c>
      <c r="AN955" s="23">
        <v>32250.7</v>
      </c>
      <c r="AO955" s="23">
        <v>49.55</v>
      </c>
      <c r="AP955" s="23">
        <v>0</v>
      </c>
      <c r="AR955" s="46"/>
      <c r="AS955" s="44"/>
      <c r="AT955" s="45"/>
      <c r="AU955" s="2">
        <v>44211</v>
      </c>
      <c r="AV955" s="52">
        <v>7.2916666666666671E-2</v>
      </c>
      <c r="AW955" s="2" t="s">
        <v>213</v>
      </c>
      <c r="AY955" s="3"/>
      <c r="BA955" s="3"/>
      <c r="BG955" s="3"/>
      <c r="BH955" s="3"/>
    </row>
    <row r="956" spans="1:60">
      <c r="A956" s="23" t="s">
        <v>22</v>
      </c>
      <c r="B956" s="23" t="s">
        <v>25</v>
      </c>
      <c r="C956" s="27">
        <v>44214.385416666664</v>
      </c>
      <c r="D956" s="23">
        <v>47.55</v>
      </c>
      <c r="E956" s="27">
        <v>44214.395833333336</v>
      </c>
      <c r="F956" s="23">
        <v>47.35</v>
      </c>
      <c r="G956" s="31">
        <v>-4.1999999999999997E-3</v>
      </c>
      <c r="H956" s="23">
        <v>-212.26</v>
      </c>
      <c r="I956" s="31">
        <v>-4.1999999999999997E-3</v>
      </c>
      <c r="J956" s="23">
        <v>1061.29</v>
      </c>
      <c r="K956" s="23">
        <v>50464.32</v>
      </c>
      <c r="L956" s="23">
        <v>93811.82</v>
      </c>
      <c r="M956" s="23">
        <v>2</v>
      </c>
      <c r="N956" s="23">
        <v>-106.13</v>
      </c>
      <c r="O956" s="31">
        <v>-4.1999999999999997E-3</v>
      </c>
      <c r="P956" s="31">
        <v>2.52E-2</v>
      </c>
      <c r="Q956" s="23" t="s">
        <v>24</v>
      </c>
      <c r="R956" s="23">
        <v>0</v>
      </c>
      <c r="S956" s="23">
        <v>47.02</v>
      </c>
      <c r="U956" s="47">
        <f>VLOOKUP(AU956,[1]expiry_dates!$B$2:$C$2894,2,FALSE)</f>
        <v>44224</v>
      </c>
      <c r="V956" s="23" t="s">
        <v>108</v>
      </c>
      <c r="W956" s="23" t="s">
        <v>23</v>
      </c>
      <c r="X956" s="49">
        <v>44214.385416666664</v>
      </c>
      <c r="Y956" s="23">
        <v>2.9</v>
      </c>
      <c r="Z956" s="23">
        <v>44214.395833333336</v>
      </c>
      <c r="AA956" s="23">
        <v>2.9</v>
      </c>
      <c r="AB956" s="23">
        <v>0</v>
      </c>
      <c r="AC956" s="23">
        <v>0</v>
      </c>
      <c r="AD956" s="23">
        <v>0</v>
      </c>
      <c r="AE956" s="23">
        <v>22545.279999999999</v>
      </c>
      <c r="AF956" s="23">
        <v>65381.31</v>
      </c>
      <c r="AG956" s="23">
        <v>3087649.93</v>
      </c>
      <c r="AH956" s="23">
        <v>2</v>
      </c>
      <c r="AI956" s="23">
        <v>0</v>
      </c>
      <c r="AJ956" s="23">
        <v>-1.72E-2</v>
      </c>
      <c r="AK956" s="23">
        <v>0.13789999999999999</v>
      </c>
      <c r="AL956" s="23" t="s">
        <v>24</v>
      </c>
      <c r="AM956" s="23">
        <v>47.55</v>
      </c>
      <c r="AN956" s="23">
        <v>32279</v>
      </c>
      <c r="AO956" s="23">
        <v>47.02</v>
      </c>
      <c r="AP956" s="23">
        <v>0</v>
      </c>
      <c r="AR956" s="46"/>
      <c r="AS956" s="44"/>
      <c r="AT956" s="45"/>
      <c r="AU956" s="2">
        <v>44214</v>
      </c>
      <c r="AV956" s="52">
        <v>0.38541666666666669</v>
      </c>
      <c r="AW956" s="2" t="s">
        <v>212</v>
      </c>
      <c r="AY956" s="3"/>
      <c r="BA956" s="3"/>
      <c r="BG956" s="3"/>
      <c r="BH956" s="3"/>
    </row>
    <row r="957" spans="1:60">
      <c r="A957" s="23" t="s">
        <v>22</v>
      </c>
      <c r="B957" s="23" t="s">
        <v>23</v>
      </c>
      <c r="C957" s="27">
        <v>44214.395833333336</v>
      </c>
      <c r="D957" s="23">
        <v>47.35</v>
      </c>
      <c r="E957" s="27">
        <v>44214.5625</v>
      </c>
      <c r="F957" s="23">
        <v>47.2</v>
      </c>
      <c r="G957" s="31">
        <v>-3.2000000000000002E-3</v>
      </c>
      <c r="H957" s="23">
        <v>159.88</v>
      </c>
      <c r="I957" s="31">
        <v>3.2000000000000002E-3</v>
      </c>
      <c r="J957" s="23">
        <v>1065.895</v>
      </c>
      <c r="K957" s="23">
        <v>50470.12</v>
      </c>
      <c r="L957" s="23">
        <v>93971.7</v>
      </c>
      <c r="M957" s="23">
        <v>17</v>
      </c>
      <c r="N957" s="23">
        <v>9.4</v>
      </c>
      <c r="O957" s="31">
        <v>-4.1999999999999997E-3</v>
      </c>
      <c r="P957" s="31">
        <v>3.27E-2</v>
      </c>
      <c r="Q957" s="23" t="s">
        <v>24</v>
      </c>
      <c r="R957" s="23">
        <v>0</v>
      </c>
      <c r="S957" s="23">
        <v>48.68</v>
      </c>
      <c r="U957" s="47">
        <f>VLOOKUP(AU957,[1]expiry_dates!$B$2:$C$2894,2,FALSE)</f>
        <v>44224</v>
      </c>
      <c r="V957" s="23" t="s">
        <v>104</v>
      </c>
      <c r="W957" s="23" t="s">
        <v>23</v>
      </c>
      <c r="X957" s="49">
        <v>44214.395833333336</v>
      </c>
      <c r="Y957" s="23">
        <v>2.5</v>
      </c>
      <c r="Z957" s="23">
        <v>44214.5625</v>
      </c>
      <c r="AA957" s="23">
        <v>2.4500000000000002</v>
      </c>
      <c r="AB957" s="23">
        <v>-0.02</v>
      </c>
      <c r="AC957" s="23">
        <v>1308.77</v>
      </c>
      <c r="AD957" s="23">
        <v>0.02</v>
      </c>
      <c r="AE957" s="23">
        <v>26175.3</v>
      </c>
      <c r="AF957" s="23">
        <v>65438.25</v>
      </c>
      <c r="AG957" s="23">
        <v>3088958.69</v>
      </c>
      <c r="AH957" s="23">
        <v>17</v>
      </c>
      <c r="AI957" s="23">
        <v>76.989999999999995</v>
      </c>
      <c r="AJ957" s="23">
        <v>-0.14000000000000001</v>
      </c>
      <c r="AK957" s="23">
        <v>0.28000000000000003</v>
      </c>
      <c r="AL957" s="23" t="s">
        <v>24</v>
      </c>
      <c r="AM957" s="23">
        <v>47.35</v>
      </c>
      <c r="AN957" s="23">
        <v>32347.7</v>
      </c>
      <c r="AO957" s="23">
        <v>48.68</v>
      </c>
      <c r="AP957" s="23">
        <v>0</v>
      </c>
      <c r="AR957" s="46"/>
      <c r="AS957" s="44"/>
      <c r="AT957" s="45"/>
      <c r="AU957" s="2">
        <v>44214</v>
      </c>
      <c r="AV957" s="52">
        <v>0.39583333333333331</v>
      </c>
      <c r="AW957" s="2" t="s">
        <v>212</v>
      </c>
      <c r="AY957" s="3"/>
      <c r="BA957" s="3"/>
      <c r="BG957" s="3"/>
      <c r="BH957" s="3"/>
    </row>
    <row r="958" spans="1:60">
      <c r="A958" s="23" t="s">
        <v>22</v>
      </c>
      <c r="B958" s="23" t="s">
        <v>25</v>
      </c>
      <c r="C958" s="27">
        <v>44214.5625</v>
      </c>
      <c r="D958" s="23">
        <v>47.2</v>
      </c>
      <c r="E958" s="27">
        <v>44214.635416666664</v>
      </c>
      <c r="F958" s="23">
        <v>46.45</v>
      </c>
      <c r="G958" s="31">
        <v>-1.5900000000000001E-2</v>
      </c>
      <c r="H958" s="23">
        <v>-801.98</v>
      </c>
      <c r="I958" s="31">
        <v>-1.5900000000000001E-2</v>
      </c>
      <c r="J958" s="23">
        <v>1069.3050000000001</v>
      </c>
      <c r="K958" s="23">
        <v>50471.199999999997</v>
      </c>
      <c r="L958" s="23">
        <v>93169.73</v>
      </c>
      <c r="M958" s="23">
        <v>8</v>
      </c>
      <c r="N958" s="23">
        <v>-100.25</v>
      </c>
      <c r="O958" s="31">
        <v>-1.5900000000000001E-2</v>
      </c>
      <c r="P958" s="31">
        <v>1.06E-2</v>
      </c>
      <c r="Q958" s="23" t="s">
        <v>24</v>
      </c>
      <c r="R958" s="23">
        <v>0</v>
      </c>
      <c r="S958" s="23">
        <v>45.83</v>
      </c>
      <c r="U958" s="47">
        <f>VLOOKUP(AU958,[1]expiry_dates!$B$2:$C$2894,2,FALSE)</f>
        <v>44224</v>
      </c>
      <c r="V958" s="23" t="s">
        <v>105</v>
      </c>
      <c r="W958" s="23" t="s">
        <v>23</v>
      </c>
      <c r="X958" s="49">
        <v>44214.5625</v>
      </c>
      <c r="Y958" s="23">
        <v>2.4500000000000002</v>
      </c>
      <c r="Z958" s="23">
        <v>44214.635416666664</v>
      </c>
      <c r="AA958" s="23">
        <v>2.75</v>
      </c>
      <c r="AB958" s="23">
        <v>0.12239999999999999</v>
      </c>
      <c r="AC958" s="23">
        <v>-8014.45</v>
      </c>
      <c r="AD958" s="23">
        <v>-0.12239999999999999</v>
      </c>
      <c r="AE958" s="23">
        <v>26714.83</v>
      </c>
      <c r="AF958" s="23">
        <v>65451.34</v>
      </c>
      <c r="AG958" s="23">
        <v>3080944.24</v>
      </c>
      <c r="AH958" s="23">
        <v>8</v>
      </c>
      <c r="AI958" s="23">
        <v>-1001.81</v>
      </c>
      <c r="AJ958" s="23">
        <v>-0.12239999999999999</v>
      </c>
      <c r="AK958" s="23">
        <v>0.12239999999999999</v>
      </c>
      <c r="AL958" s="23" t="s">
        <v>24</v>
      </c>
      <c r="AM958" s="23">
        <v>47.2</v>
      </c>
      <c r="AN958" s="23">
        <v>32017.85</v>
      </c>
      <c r="AO958" s="23">
        <v>45.83</v>
      </c>
      <c r="AP958" s="23">
        <v>0</v>
      </c>
      <c r="AR958" s="46"/>
      <c r="AS958" s="44"/>
      <c r="AT958" s="45"/>
      <c r="AU958" s="2">
        <v>44214</v>
      </c>
      <c r="AV958" s="52">
        <v>6.25E-2</v>
      </c>
      <c r="AW958" s="2" t="s">
        <v>213</v>
      </c>
      <c r="AY958" s="3"/>
      <c r="BA958" s="3"/>
      <c r="BG958" s="3"/>
      <c r="BH958" s="3"/>
    </row>
    <row r="959" spans="1:60">
      <c r="A959" s="23" t="s">
        <v>22</v>
      </c>
      <c r="B959" s="23" t="s">
        <v>23</v>
      </c>
      <c r="C959" s="27">
        <v>44214.635416666664</v>
      </c>
      <c r="D959" s="23">
        <v>46.45</v>
      </c>
      <c r="E959" s="27">
        <v>44215.385416666664</v>
      </c>
      <c r="F959" s="23">
        <v>47.7</v>
      </c>
      <c r="G959" s="31">
        <v>2.69E-2</v>
      </c>
      <c r="H959" s="23">
        <v>-1358.1</v>
      </c>
      <c r="I959" s="31">
        <v>-2.69E-2</v>
      </c>
      <c r="J959" s="23">
        <v>1086.4780000000001</v>
      </c>
      <c r="K959" s="23">
        <v>50466.92</v>
      </c>
      <c r="L959" s="23">
        <v>91811.63</v>
      </c>
      <c r="M959" s="23">
        <v>5</v>
      </c>
      <c r="N959" s="23">
        <v>-271.62</v>
      </c>
      <c r="O959" s="31">
        <v>-2.69E-2</v>
      </c>
      <c r="P959" s="31">
        <v>4.3E-3</v>
      </c>
      <c r="Q959" s="23" t="s">
        <v>24</v>
      </c>
      <c r="R959" s="23">
        <v>0</v>
      </c>
      <c r="S959" s="23">
        <v>47.67</v>
      </c>
      <c r="U959" s="47">
        <f>VLOOKUP(AU959,[1]expiry_dates!$B$2:$C$2894,2,FALSE)</f>
        <v>44224</v>
      </c>
      <c r="V959" s="23" t="s">
        <v>110</v>
      </c>
      <c r="W959" s="23" t="s">
        <v>23</v>
      </c>
      <c r="X959" s="49">
        <v>44214.635416666664</v>
      </c>
      <c r="Y959" s="23">
        <v>2.4</v>
      </c>
      <c r="Z959" s="23">
        <v>44215.385416666664</v>
      </c>
      <c r="AA959" s="23">
        <v>3.05</v>
      </c>
      <c r="AB959" s="23">
        <v>0.27079999999999999</v>
      </c>
      <c r="AC959" s="23">
        <v>-17719.2</v>
      </c>
      <c r="AD959" s="23">
        <v>-0.27079999999999999</v>
      </c>
      <c r="AE959" s="23">
        <v>27260.31</v>
      </c>
      <c r="AF959" s="23">
        <v>65424.76</v>
      </c>
      <c r="AG959" s="23">
        <v>3063225.04</v>
      </c>
      <c r="AH959" s="23">
        <v>5</v>
      </c>
      <c r="AI959" s="23">
        <v>-3543.84</v>
      </c>
      <c r="AJ959" s="23">
        <v>-0.27079999999999999</v>
      </c>
      <c r="AK959" s="23">
        <v>0</v>
      </c>
      <c r="AL959" s="23" t="s">
        <v>24</v>
      </c>
      <c r="AM959" s="23">
        <v>46.45</v>
      </c>
      <c r="AN959" s="23">
        <v>31678.55</v>
      </c>
      <c r="AO959" s="23">
        <v>47.67</v>
      </c>
      <c r="AP959" s="23">
        <v>0</v>
      </c>
      <c r="AR959" s="46"/>
      <c r="AS959" s="44"/>
      <c r="AT959" s="45"/>
      <c r="AU959" s="2">
        <v>44214</v>
      </c>
      <c r="AV959" s="52">
        <v>0.13541666666666666</v>
      </c>
      <c r="AW959" s="2" t="s">
        <v>213</v>
      </c>
      <c r="AY959" s="3"/>
      <c r="BA959" s="3"/>
      <c r="BG959" s="3"/>
      <c r="BH959" s="3"/>
    </row>
    <row r="960" spans="1:60">
      <c r="A960" s="23" t="s">
        <v>22</v>
      </c>
      <c r="B960" s="23" t="s">
        <v>25</v>
      </c>
      <c r="C960" s="27">
        <v>44215.385416666664</v>
      </c>
      <c r="D960" s="23">
        <v>47.7</v>
      </c>
      <c r="E960" s="27">
        <v>44217.385416666664</v>
      </c>
      <c r="F960" s="23">
        <v>51.4</v>
      </c>
      <c r="G960" s="31">
        <v>7.7600000000000002E-2</v>
      </c>
      <c r="H960" s="23">
        <v>3914.27</v>
      </c>
      <c r="I960" s="31">
        <v>7.7600000000000002E-2</v>
      </c>
      <c r="J960" s="23">
        <v>1057.9100000000001</v>
      </c>
      <c r="K960" s="23">
        <v>50462.32</v>
      </c>
      <c r="L960" s="23">
        <v>95725.89</v>
      </c>
      <c r="M960" s="23">
        <v>57</v>
      </c>
      <c r="N960" s="23">
        <v>68.67</v>
      </c>
      <c r="O960" s="31">
        <v>-1.0500000000000001E-2</v>
      </c>
      <c r="P960" s="31">
        <v>9.9599999999999994E-2</v>
      </c>
      <c r="Q960" s="23" t="s">
        <v>24</v>
      </c>
      <c r="R960" s="23">
        <v>0</v>
      </c>
      <c r="S960" s="23">
        <v>46.31</v>
      </c>
      <c r="U960" s="47">
        <f>VLOOKUP(AU960,[1]expiry_dates!$B$2:$C$2894,2,FALSE)</f>
        <v>44224</v>
      </c>
      <c r="V960" s="23" t="s">
        <v>108</v>
      </c>
      <c r="W960" s="23" t="s">
        <v>23</v>
      </c>
      <c r="X960" s="49">
        <v>44215.385416666664</v>
      </c>
      <c r="Y960" s="23">
        <v>2.6</v>
      </c>
      <c r="Z960" s="23">
        <v>44217.385416666664</v>
      </c>
      <c r="AA960" s="23">
        <v>0.75</v>
      </c>
      <c r="AB960" s="23">
        <v>-0.71150000000000002</v>
      </c>
      <c r="AC960" s="23">
        <v>46537.97</v>
      </c>
      <c r="AD960" s="23">
        <v>0.71150000000000002</v>
      </c>
      <c r="AE960" s="23">
        <v>25155.66</v>
      </c>
      <c r="AF960" s="23">
        <v>65404.72</v>
      </c>
      <c r="AG960" s="23">
        <v>3109763.01</v>
      </c>
      <c r="AH960" s="23">
        <v>57</v>
      </c>
      <c r="AI960" s="23">
        <v>816.46</v>
      </c>
      <c r="AJ960" s="23">
        <v>-5.7700000000000001E-2</v>
      </c>
      <c r="AK960" s="23">
        <v>0.76919999999999999</v>
      </c>
      <c r="AL960" s="23" t="s">
        <v>24</v>
      </c>
      <c r="AM960" s="23">
        <v>47.7</v>
      </c>
      <c r="AN960" s="23">
        <v>32052.05</v>
      </c>
      <c r="AO960" s="23">
        <v>46.31</v>
      </c>
      <c r="AP960" s="23">
        <v>0</v>
      </c>
      <c r="AR960" s="46"/>
      <c r="AS960" s="44"/>
      <c r="AT960" s="45"/>
      <c r="AU960" s="2">
        <v>44215</v>
      </c>
      <c r="AV960" s="52">
        <v>0.38541666666666669</v>
      </c>
      <c r="AW960" s="2" t="s">
        <v>212</v>
      </c>
      <c r="AY960" s="3"/>
      <c r="BA960" s="3"/>
      <c r="BG960" s="3"/>
      <c r="BH960" s="3"/>
    </row>
    <row r="961" spans="1:60">
      <c r="A961" s="23" t="s">
        <v>22</v>
      </c>
      <c r="B961" s="23" t="s">
        <v>23</v>
      </c>
      <c r="C961" s="27">
        <v>44217.385416666664</v>
      </c>
      <c r="D961" s="23">
        <v>51.4</v>
      </c>
      <c r="E961" s="27">
        <v>44217.510416666664</v>
      </c>
      <c r="F961" s="23">
        <v>51.6</v>
      </c>
      <c r="G961" s="31">
        <v>3.8999999999999998E-3</v>
      </c>
      <c r="H961" s="23">
        <v>-196.43</v>
      </c>
      <c r="I961" s="31">
        <v>-3.8999999999999998E-3</v>
      </c>
      <c r="J961" s="23">
        <v>982.13109999999995</v>
      </c>
      <c r="K961" s="23">
        <v>50481.54</v>
      </c>
      <c r="L961" s="23">
        <v>95529.47</v>
      </c>
      <c r="M961" s="23">
        <v>13</v>
      </c>
      <c r="N961" s="23">
        <v>-15.11</v>
      </c>
      <c r="O961" s="31">
        <v>-1.17E-2</v>
      </c>
      <c r="P961" s="31">
        <v>1.17E-2</v>
      </c>
      <c r="Q961" s="23" t="s">
        <v>24</v>
      </c>
      <c r="R961" s="23">
        <v>0</v>
      </c>
      <c r="S961" s="23">
        <v>52.42</v>
      </c>
      <c r="U961" s="47">
        <f>VLOOKUP(AU961,[1]expiry_dates!$B$2:$C$2894,2,FALSE)</f>
        <v>44224</v>
      </c>
      <c r="V961" s="23" t="s">
        <v>119</v>
      </c>
      <c r="W961" s="23" t="s">
        <v>23</v>
      </c>
      <c r="X961" s="49">
        <v>44217.385416666664</v>
      </c>
      <c r="Y961" s="23">
        <v>2.25</v>
      </c>
      <c r="Z961" s="23">
        <v>44217.510416666664</v>
      </c>
      <c r="AA961" s="23">
        <v>2.2999999999999998</v>
      </c>
      <c r="AB961" s="23">
        <v>2.2200000000000001E-2</v>
      </c>
      <c r="AC961" s="23">
        <v>-1456.36</v>
      </c>
      <c r="AD961" s="23">
        <v>-2.2200000000000001E-2</v>
      </c>
      <c r="AE961" s="23">
        <v>29127.22</v>
      </c>
      <c r="AF961" s="23">
        <v>65536.23</v>
      </c>
      <c r="AG961" s="23">
        <v>3108306.65</v>
      </c>
      <c r="AH961" s="23">
        <v>13</v>
      </c>
      <c r="AI961" s="23">
        <v>-112.03</v>
      </c>
      <c r="AJ961" s="23">
        <v>-0.1111</v>
      </c>
      <c r="AK961" s="23">
        <v>0.15559999999999999</v>
      </c>
      <c r="AL961" s="23" t="s">
        <v>24</v>
      </c>
      <c r="AM961" s="23">
        <v>51.4</v>
      </c>
      <c r="AN961" s="23">
        <v>32704.2</v>
      </c>
      <c r="AO961" s="23">
        <v>52.42</v>
      </c>
      <c r="AP961" s="23">
        <v>0</v>
      </c>
      <c r="AR961" s="46"/>
      <c r="AS961" s="44"/>
      <c r="AT961" s="45"/>
      <c r="AU961" s="2">
        <v>44217</v>
      </c>
      <c r="AV961" s="52">
        <v>0.38541666666666669</v>
      </c>
      <c r="AW961" s="2" t="s">
        <v>212</v>
      </c>
      <c r="AY961" s="3"/>
      <c r="BA961" s="3"/>
      <c r="BG961" s="3"/>
      <c r="BH961" s="3"/>
    </row>
    <row r="962" spans="1:60">
      <c r="A962" s="23" t="s">
        <v>22</v>
      </c>
      <c r="B962" s="23" t="s">
        <v>25</v>
      </c>
      <c r="C962" s="27">
        <v>44217.510416666664</v>
      </c>
      <c r="D962" s="23">
        <v>51.6</v>
      </c>
      <c r="E962" s="27">
        <v>44217.5625</v>
      </c>
      <c r="F962" s="23">
        <v>51.2</v>
      </c>
      <c r="G962" s="31">
        <v>-7.7999999999999996E-3</v>
      </c>
      <c r="H962" s="23">
        <v>-391.31</v>
      </c>
      <c r="I962" s="31">
        <v>-7.7999999999999996E-3</v>
      </c>
      <c r="J962" s="23">
        <v>978.2681</v>
      </c>
      <c r="K962" s="23">
        <v>50478.63</v>
      </c>
      <c r="L962" s="23">
        <v>95138.16</v>
      </c>
      <c r="M962" s="23">
        <v>6</v>
      </c>
      <c r="N962" s="23">
        <v>-65.22</v>
      </c>
      <c r="O962" s="31">
        <v>-8.6999999999999994E-3</v>
      </c>
      <c r="P962" s="31">
        <v>1E-3</v>
      </c>
      <c r="Q962" s="23" t="s">
        <v>24</v>
      </c>
      <c r="R962" s="23">
        <v>0</v>
      </c>
      <c r="S962" s="23">
        <v>50.82</v>
      </c>
      <c r="U962" s="47">
        <f>VLOOKUP(AU962,[1]expiry_dates!$B$2:$C$2894,2,FALSE)</f>
        <v>44224</v>
      </c>
      <c r="V962" s="23" t="s">
        <v>124</v>
      </c>
      <c r="W962" s="23" t="s">
        <v>23</v>
      </c>
      <c r="X962" s="49">
        <v>44217.510416666664</v>
      </c>
      <c r="Y962" s="23">
        <v>1.25</v>
      </c>
      <c r="Z962" s="23">
        <v>44217.5625</v>
      </c>
      <c r="AA962" s="23">
        <v>1.4</v>
      </c>
      <c r="AB962" s="23">
        <v>0.12</v>
      </c>
      <c r="AC962" s="23">
        <v>-7867.61</v>
      </c>
      <c r="AD962" s="23">
        <v>-0.12</v>
      </c>
      <c r="AE962" s="23">
        <v>52450.7</v>
      </c>
      <c r="AF962" s="23">
        <v>65563.38</v>
      </c>
      <c r="AG962" s="23">
        <v>3100439.05</v>
      </c>
      <c r="AH962" s="23">
        <v>6</v>
      </c>
      <c r="AI962" s="23">
        <v>-1311.27</v>
      </c>
      <c r="AJ962" s="23">
        <v>-0.12</v>
      </c>
      <c r="AK962" s="23">
        <v>0.04</v>
      </c>
      <c r="AL962" s="23" t="s">
        <v>24</v>
      </c>
      <c r="AM962" s="23">
        <v>51.6</v>
      </c>
      <c r="AN962" s="23">
        <v>32799.75</v>
      </c>
      <c r="AO962" s="23">
        <v>50.82</v>
      </c>
      <c r="AP962" s="23">
        <v>0</v>
      </c>
      <c r="AR962" s="46"/>
      <c r="AS962" s="44"/>
      <c r="AT962" s="45"/>
      <c r="AU962" s="2">
        <v>44217</v>
      </c>
      <c r="AV962" s="52">
        <v>0.51041666666666663</v>
      </c>
      <c r="AW962" s="2" t="s">
        <v>213</v>
      </c>
      <c r="AY962" s="3"/>
      <c r="BA962" s="3"/>
      <c r="BG962" s="3"/>
      <c r="BH962" s="3"/>
    </row>
    <row r="963" spans="1:60">
      <c r="A963" s="23" t="s">
        <v>22</v>
      </c>
      <c r="B963" s="23" t="s">
        <v>23</v>
      </c>
      <c r="C963" s="27">
        <v>44217.5625</v>
      </c>
      <c r="D963" s="23">
        <v>51.2</v>
      </c>
      <c r="E963" s="27">
        <v>44218.385416666664</v>
      </c>
      <c r="F963" s="23">
        <v>49.5</v>
      </c>
      <c r="G963" s="31">
        <v>-3.32E-2</v>
      </c>
      <c r="H963" s="23">
        <v>1675.96</v>
      </c>
      <c r="I963" s="31">
        <v>3.32E-2</v>
      </c>
      <c r="J963" s="23">
        <v>985.85810000000004</v>
      </c>
      <c r="K963" s="23">
        <v>50475.93</v>
      </c>
      <c r="L963" s="23">
        <v>96814.12</v>
      </c>
      <c r="M963" s="23">
        <v>12</v>
      </c>
      <c r="N963" s="23">
        <v>139.66</v>
      </c>
      <c r="O963" s="31">
        <v>-2E-3</v>
      </c>
      <c r="P963" s="31">
        <v>4.6899999999999997E-2</v>
      </c>
      <c r="Q963" s="23" t="s">
        <v>24</v>
      </c>
      <c r="R963" s="23">
        <v>0</v>
      </c>
      <c r="S963" s="23">
        <v>51.64</v>
      </c>
      <c r="U963" s="47">
        <f>VLOOKUP(AU963,[1]expiry_dates!$B$2:$C$2894,2,FALSE)</f>
        <v>44224</v>
      </c>
      <c r="V963" s="23" t="s">
        <v>119</v>
      </c>
      <c r="W963" s="23" t="s">
        <v>23</v>
      </c>
      <c r="X963" s="49">
        <v>44217.5625</v>
      </c>
      <c r="Y963" s="23">
        <v>1.95</v>
      </c>
      <c r="Z963" s="23">
        <v>44218.385416666664</v>
      </c>
      <c r="AA963" s="23">
        <v>1.2</v>
      </c>
      <c r="AB963" s="23">
        <v>-0.3846</v>
      </c>
      <c r="AC963" s="23">
        <v>25193.15</v>
      </c>
      <c r="AD963" s="23">
        <v>0.3846</v>
      </c>
      <c r="AE963" s="23">
        <v>33590.870000000003</v>
      </c>
      <c r="AF963" s="23">
        <v>65502.19</v>
      </c>
      <c r="AG963" s="23">
        <v>3125632.2</v>
      </c>
      <c r="AH963" s="23">
        <v>12</v>
      </c>
      <c r="AI963" s="23">
        <v>2099.4299999999998</v>
      </c>
      <c r="AJ963" s="23">
        <v>-2.5600000000000001E-2</v>
      </c>
      <c r="AK963" s="23">
        <v>0.53849999999999998</v>
      </c>
      <c r="AL963" s="23" t="s">
        <v>24</v>
      </c>
      <c r="AM963" s="23">
        <v>51.2</v>
      </c>
      <c r="AN963" s="23">
        <v>32763.3</v>
      </c>
      <c r="AO963" s="23">
        <v>51.64</v>
      </c>
      <c r="AP963" s="23">
        <v>0</v>
      </c>
      <c r="AR963" s="46"/>
      <c r="AS963" s="44"/>
      <c r="AT963" s="45"/>
      <c r="AU963" s="2">
        <v>44217</v>
      </c>
      <c r="AV963" s="52">
        <v>6.25E-2</v>
      </c>
      <c r="AW963" s="2" t="s">
        <v>213</v>
      </c>
      <c r="AY963" s="3"/>
      <c r="BA963" s="3"/>
      <c r="BG963" s="3"/>
      <c r="BH963" s="3"/>
    </row>
    <row r="964" spans="1:60">
      <c r="A964" s="23" t="s">
        <v>22</v>
      </c>
      <c r="B964" s="23" t="s">
        <v>25</v>
      </c>
      <c r="C964" s="27">
        <v>44218.385416666664</v>
      </c>
      <c r="D964" s="23">
        <v>49.5</v>
      </c>
      <c r="E964" s="27">
        <v>44218.458333333336</v>
      </c>
      <c r="F964" s="23">
        <v>49.5</v>
      </c>
      <c r="G964" s="31">
        <v>0</v>
      </c>
      <c r="H964" s="23">
        <v>0</v>
      </c>
      <c r="I964" s="31">
        <v>0</v>
      </c>
      <c r="J964" s="23">
        <v>1019.83</v>
      </c>
      <c r="K964" s="23">
        <v>50481.61</v>
      </c>
      <c r="L964" s="23">
        <v>96814.12</v>
      </c>
      <c r="M964" s="23">
        <v>8</v>
      </c>
      <c r="N964" s="23">
        <v>0</v>
      </c>
      <c r="O964" s="31">
        <v>-6.1000000000000004E-3</v>
      </c>
      <c r="P964" s="31">
        <v>2.53E-2</v>
      </c>
      <c r="Q964" s="23" t="s">
        <v>24</v>
      </c>
      <c r="R964" s="23">
        <v>0</v>
      </c>
      <c r="S964" s="23">
        <v>48.8</v>
      </c>
      <c r="U964" s="47">
        <f>VLOOKUP(AU964,[1]expiry_dates!$B$2:$C$2894,2,FALSE)</f>
        <v>44224</v>
      </c>
      <c r="V964" s="23" t="s">
        <v>124</v>
      </c>
      <c r="W964" s="23" t="s">
        <v>23</v>
      </c>
      <c r="X964" s="49">
        <v>44218.385416666664</v>
      </c>
      <c r="Y964" s="23">
        <v>2.15</v>
      </c>
      <c r="Z964" s="23">
        <v>44218.458333333336</v>
      </c>
      <c r="AA964" s="23">
        <v>2.0499999999999998</v>
      </c>
      <c r="AB964" s="23">
        <v>-4.65E-2</v>
      </c>
      <c r="AC964" s="23">
        <v>3050.52</v>
      </c>
      <c r="AD964" s="23">
        <v>4.65E-2</v>
      </c>
      <c r="AE964" s="23">
        <v>30505.200000000001</v>
      </c>
      <c r="AF964" s="23">
        <v>65586.17</v>
      </c>
      <c r="AG964" s="23">
        <v>3128682.72</v>
      </c>
      <c r="AH964" s="23">
        <v>8</v>
      </c>
      <c r="AI964" s="23">
        <v>381.31</v>
      </c>
      <c r="AJ964" s="23">
        <v>-4.65E-2</v>
      </c>
      <c r="AK964" s="23">
        <v>0.30230000000000001</v>
      </c>
      <c r="AL964" s="23" t="s">
        <v>24</v>
      </c>
      <c r="AM964" s="23">
        <v>49.5</v>
      </c>
      <c r="AN964" s="23">
        <v>31892.35</v>
      </c>
      <c r="AO964" s="23">
        <v>48.8</v>
      </c>
      <c r="AP964" s="23">
        <v>0</v>
      </c>
      <c r="AR964" s="46"/>
      <c r="AS964" s="44"/>
      <c r="AT964" s="45"/>
      <c r="AU964" s="2">
        <v>44218</v>
      </c>
      <c r="AV964" s="52">
        <v>0.38541666666666669</v>
      </c>
      <c r="AW964" s="2" t="s">
        <v>212</v>
      </c>
      <c r="AY964" s="3"/>
      <c r="BA964" s="3"/>
      <c r="BG964" s="3"/>
      <c r="BH964" s="3"/>
    </row>
    <row r="965" spans="1:60">
      <c r="A965" s="23" t="s">
        <v>22</v>
      </c>
      <c r="B965" s="23" t="s">
        <v>23</v>
      </c>
      <c r="C965" s="27">
        <v>44218.458333333336</v>
      </c>
      <c r="D965" s="23">
        <v>49.5</v>
      </c>
      <c r="E965" s="27">
        <v>44218.604166666664</v>
      </c>
      <c r="F965" s="23">
        <v>49.6</v>
      </c>
      <c r="G965" s="31">
        <v>2E-3</v>
      </c>
      <c r="H965" s="23">
        <v>-101.99</v>
      </c>
      <c r="I965" s="31">
        <v>-2E-3</v>
      </c>
      <c r="J965" s="23">
        <v>1019.9160000000001</v>
      </c>
      <c r="K965" s="23">
        <v>50485.86</v>
      </c>
      <c r="L965" s="23">
        <v>96712.13</v>
      </c>
      <c r="M965" s="23">
        <v>15</v>
      </c>
      <c r="N965" s="23">
        <v>-6.8</v>
      </c>
      <c r="O965" s="31">
        <v>-1.11E-2</v>
      </c>
      <c r="P965" s="31">
        <v>2.4199999999999999E-2</v>
      </c>
      <c r="Q965" s="23" t="s">
        <v>24</v>
      </c>
      <c r="R965" s="23">
        <v>0</v>
      </c>
      <c r="S965" s="23">
        <v>50.72</v>
      </c>
      <c r="U965" s="47">
        <f>VLOOKUP(AU965,[1]expiry_dates!$B$2:$C$2894,2,FALSE)</f>
        <v>44224</v>
      </c>
      <c r="V965" s="23" t="s">
        <v>121</v>
      </c>
      <c r="W965" s="23" t="s">
        <v>23</v>
      </c>
      <c r="X965" s="49">
        <v>44218.458333333336</v>
      </c>
      <c r="Y965" s="23">
        <v>1.4</v>
      </c>
      <c r="Z965" s="23">
        <v>44218.604166666664</v>
      </c>
      <c r="AA965" s="23">
        <v>1.35</v>
      </c>
      <c r="AB965" s="23">
        <v>-3.5700000000000003E-2</v>
      </c>
      <c r="AC965" s="23">
        <v>2346.31</v>
      </c>
      <c r="AD965" s="23">
        <v>3.5700000000000003E-2</v>
      </c>
      <c r="AE965" s="23">
        <v>46926.29</v>
      </c>
      <c r="AF965" s="23">
        <v>65696.800000000003</v>
      </c>
      <c r="AG965" s="23">
        <v>3131029.03</v>
      </c>
      <c r="AH965" s="23">
        <v>15</v>
      </c>
      <c r="AI965" s="23">
        <v>156.41999999999999</v>
      </c>
      <c r="AJ965" s="23">
        <v>-0.21429999999999999</v>
      </c>
      <c r="AK965" s="23">
        <v>0.28570000000000001</v>
      </c>
      <c r="AL965" s="23" t="s">
        <v>24</v>
      </c>
      <c r="AM965" s="23">
        <v>49.5</v>
      </c>
      <c r="AN965" s="23">
        <v>31743.5</v>
      </c>
      <c r="AO965" s="23">
        <v>50.72</v>
      </c>
      <c r="AP965" s="23">
        <v>0</v>
      </c>
      <c r="AR965" s="46"/>
      <c r="AS965" s="44"/>
      <c r="AT965" s="45"/>
      <c r="AU965" s="2">
        <v>44218</v>
      </c>
      <c r="AV965" s="52">
        <v>0.45833333333333331</v>
      </c>
      <c r="AW965" s="2" t="s">
        <v>212</v>
      </c>
      <c r="AY965" s="3"/>
      <c r="BA965" s="3"/>
      <c r="BG965" s="3"/>
      <c r="BH965" s="3"/>
    </row>
    <row r="966" spans="1:60">
      <c r="A966" s="23" t="s">
        <v>22</v>
      </c>
      <c r="B966" s="23" t="s">
        <v>25</v>
      </c>
      <c r="C966" s="27">
        <v>44218.604166666664</v>
      </c>
      <c r="D966" s="23">
        <v>49.6</v>
      </c>
      <c r="E966" s="27">
        <v>44221.395833333336</v>
      </c>
      <c r="F966" s="23">
        <v>48.1</v>
      </c>
      <c r="G966" s="31">
        <v>-3.0200000000000001E-2</v>
      </c>
      <c r="H966" s="23">
        <v>-1526.76</v>
      </c>
      <c r="I966" s="31">
        <v>-3.0200000000000001E-2</v>
      </c>
      <c r="J966" s="23">
        <v>1017.8390000000001</v>
      </c>
      <c r="K966" s="23">
        <v>50484.84</v>
      </c>
      <c r="L966" s="23">
        <v>95185.37</v>
      </c>
      <c r="M966" s="23">
        <v>9</v>
      </c>
      <c r="N966" s="23">
        <v>-169.64</v>
      </c>
      <c r="O966" s="31">
        <v>-3.0200000000000001E-2</v>
      </c>
      <c r="P966" s="31">
        <v>2.12E-2</v>
      </c>
      <c r="Q966" s="23" t="s">
        <v>24</v>
      </c>
      <c r="R966" s="23">
        <v>0</v>
      </c>
      <c r="S966" s="23">
        <v>48.35</v>
      </c>
      <c r="U966" s="47">
        <f>VLOOKUP(AU966,[1]expiry_dates!$B$2:$C$2894,2,FALSE)</f>
        <v>44224</v>
      </c>
      <c r="V966" s="23" t="s">
        <v>124</v>
      </c>
      <c r="W966" s="23" t="s">
        <v>23</v>
      </c>
      <c r="X966" s="49">
        <v>44218.604166666664</v>
      </c>
      <c r="Y966" s="23">
        <v>1.9</v>
      </c>
      <c r="Z966" s="23">
        <v>44221.395833333336</v>
      </c>
      <c r="AA966" s="23">
        <v>2.6</v>
      </c>
      <c r="AB966" s="23">
        <v>0.36840000000000001</v>
      </c>
      <c r="AC966" s="23">
        <v>-24193.06</v>
      </c>
      <c r="AD966" s="23">
        <v>-0.36840000000000001</v>
      </c>
      <c r="AE966" s="23">
        <v>34561.519999999997</v>
      </c>
      <c r="AF966" s="23">
        <v>65666.880000000005</v>
      </c>
      <c r="AG966" s="23">
        <v>3106835.97</v>
      </c>
      <c r="AH966" s="23">
        <v>9</v>
      </c>
      <c r="AI966" s="23">
        <v>-2688.12</v>
      </c>
      <c r="AJ966" s="23">
        <v>-0.36840000000000001</v>
      </c>
      <c r="AK966" s="23">
        <v>0.28949999999999998</v>
      </c>
      <c r="AL966" s="23" t="s">
        <v>24</v>
      </c>
      <c r="AM966" s="23">
        <v>49.6</v>
      </c>
      <c r="AN966" s="23">
        <v>31213.9</v>
      </c>
      <c r="AO966" s="23">
        <v>48.35</v>
      </c>
      <c r="AP966" s="23">
        <v>0</v>
      </c>
      <c r="AR966" s="46"/>
      <c r="AS966" s="44"/>
      <c r="AT966" s="45"/>
      <c r="AU966" s="2">
        <v>44218</v>
      </c>
      <c r="AV966" s="52">
        <v>0.10416666666666667</v>
      </c>
      <c r="AW966" s="2" t="s">
        <v>213</v>
      </c>
      <c r="AY966" s="3"/>
      <c r="BA966" s="3"/>
      <c r="BG966" s="3"/>
      <c r="BH966" s="3"/>
    </row>
    <row r="967" spans="1:60">
      <c r="A967" s="23" t="s">
        <v>22</v>
      </c>
      <c r="B967" s="23" t="s">
        <v>23</v>
      </c>
      <c r="C967" s="27">
        <v>44221.395833333336</v>
      </c>
      <c r="D967" s="23">
        <v>48.1</v>
      </c>
      <c r="E967" s="27">
        <v>44221.53125</v>
      </c>
      <c r="F967" s="23">
        <v>49.15</v>
      </c>
      <c r="G967" s="31">
        <v>2.18E-2</v>
      </c>
      <c r="H967" s="23">
        <v>-1102.02</v>
      </c>
      <c r="I967" s="31">
        <v>-2.18E-2</v>
      </c>
      <c r="J967" s="23">
        <v>1049.538</v>
      </c>
      <c r="K967" s="23">
        <v>50482.8</v>
      </c>
      <c r="L967" s="23">
        <v>94083.35</v>
      </c>
      <c r="M967" s="23">
        <v>14</v>
      </c>
      <c r="N967" s="23">
        <v>-78.72</v>
      </c>
      <c r="O967" s="31">
        <v>-3.3300000000000003E-2</v>
      </c>
      <c r="P967" s="31">
        <v>1.14E-2</v>
      </c>
      <c r="Q967" s="23" t="s">
        <v>24</v>
      </c>
      <c r="R967" s="23">
        <v>0</v>
      </c>
      <c r="S967" s="23">
        <v>50.61</v>
      </c>
      <c r="U967" s="47">
        <f>VLOOKUP(AU967,[1]expiry_dates!$B$2:$C$2894,2,FALSE)</f>
        <v>44224</v>
      </c>
      <c r="V967" s="23" t="s">
        <v>106</v>
      </c>
      <c r="W967" s="23" t="s">
        <v>23</v>
      </c>
      <c r="X967" s="49">
        <v>44221.395833333336</v>
      </c>
      <c r="Y967" s="23">
        <v>1.05</v>
      </c>
      <c r="Z967" s="23">
        <v>44221.53125</v>
      </c>
      <c r="AA967" s="23">
        <v>1.75</v>
      </c>
      <c r="AB967" s="23">
        <v>0.66669999999999996</v>
      </c>
      <c r="AC967" s="23">
        <v>-43798.9</v>
      </c>
      <c r="AD967" s="23">
        <v>-0.66669999999999996</v>
      </c>
      <c r="AE967" s="23">
        <v>62569.86</v>
      </c>
      <c r="AF967" s="23">
        <v>65698.34</v>
      </c>
      <c r="AG967" s="23">
        <v>3063037.07</v>
      </c>
      <c r="AH967" s="23">
        <v>14</v>
      </c>
      <c r="AI967" s="23">
        <v>-3128.49</v>
      </c>
      <c r="AJ967" s="23">
        <v>-1.3332999999999999</v>
      </c>
      <c r="AK967" s="23">
        <v>0.1905</v>
      </c>
      <c r="AL967" s="23" t="s">
        <v>24</v>
      </c>
      <c r="AM967" s="23">
        <v>48.1</v>
      </c>
      <c r="AN967" s="23">
        <v>31204.5</v>
      </c>
      <c r="AO967" s="23">
        <v>50.61</v>
      </c>
      <c r="AP967" s="23">
        <v>0</v>
      </c>
      <c r="AR967" s="46"/>
      <c r="AS967" s="44"/>
      <c r="AT967" s="45"/>
      <c r="AU967" s="2">
        <v>44221</v>
      </c>
      <c r="AV967" s="52">
        <v>0.39583333333333331</v>
      </c>
      <c r="AW967" s="2" t="s">
        <v>212</v>
      </c>
      <c r="AY967" s="3"/>
      <c r="BA967" s="3"/>
      <c r="BG967" s="3"/>
      <c r="BH967" s="3"/>
    </row>
    <row r="968" spans="1:60">
      <c r="A968" s="23" t="s">
        <v>22</v>
      </c>
      <c r="B968" s="23" t="s">
        <v>25</v>
      </c>
      <c r="C968" s="27">
        <v>44221.53125</v>
      </c>
      <c r="D968" s="23">
        <v>49.15</v>
      </c>
      <c r="E968" s="27">
        <v>44221.59375</v>
      </c>
      <c r="F968" s="23">
        <v>48</v>
      </c>
      <c r="G968" s="31">
        <v>-2.3400000000000001E-2</v>
      </c>
      <c r="H968" s="23">
        <v>-1180.93</v>
      </c>
      <c r="I968" s="31">
        <v>-2.3400000000000001E-2</v>
      </c>
      <c r="J968" s="23">
        <v>1026.8920000000001</v>
      </c>
      <c r="K968" s="23">
        <v>50471.73</v>
      </c>
      <c r="L968" s="23">
        <v>92902.43</v>
      </c>
      <c r="M968" s="23">
        <v>7</v>
      </c>
      <c r="N968" s="23">
        <v>-168.7</v>
      </c>
      <c r="O968" s="31">
        <v>-2.3400000000000001E-2</v>
      </c>
      <c r="P968" s="31">
        <v>2E-3</v>
      </c>
      <c r="Q968" s="23" t="s">
        <v>24</v>
      </c>
      <c r="R968" s="23">
        <v>0</v>
      </c>
      <c r="S968" s="23">
        <v>47.62</v>
      </c>
      <c r="U968" s="47">
        <f>VLOOKUP(AU968,[1]expiry_dates!$B$2:$C$2894,2,FALSE)</f>
        <v>44224</v>
      </c>
      <c r="V968" s="23" t="s">
        <v>122</v>
      </c>
      <c r="W968" s="23" t="s">
        <v>23</v>
      </c>
      <c r="X968" s="49">
        <v>44221.53125</v>
      </c>
      <c r="Y968" s="23">
        <v>1.05</v>
      </c>
      <c r="Z968" s="23">
        <v>44221.59375</v>
      </c>
      <c r="AA968" s="23">
        <v>1.7</v>
      </c>
      <c r="AB968" s="23">
        <v>0.61899999999999999</v>
      </c>
      <c r="AC968" s="23">
        <v>-40442.9</v>
      </c>
      <c r="AD968" s="23">
        <v>-0.61899999999999999</v>
      </c>
      <c r="AE968" s="23">
        <v>62219.839999999997</v>
      </c>
      <c r="AF968" s="23">
        <v>65330.83</v>
      </c>
      <c r="AG968" s="23">
        <v>3022594.18</v>
      </c>
      <c r="AH968" s="23">
        <v>7</v>
      </c>
      <c r="AI968" s="23">
        <v>-5777.56</v>
      </c>
      <c r="AJ968" s="23">
        <v>-0.61899999999999999</v>
      </c>
      <c r="AK968" s="23">
        <v>4.7600000000000003E-2</v>
      </c>
      <c r="AL968" s="23" t="s">
        <v>24</v>
      </c>
      <c r="AM968" s="23">
        <v>49.15</v>
      </c>
      <c r="AN968" s="23">
        <v>31529.85</v>
      </c>
      <c r="AO968" s="23">
        <v>47.62</v>
      </c>
      <c r="AP968" s="23">
        <v>0</v>
      </c>
      <c r="AR968" s="46"/>
      <c r="AS968" s="44"/>
      <c r="AT968" s="45"/>
      <c r="AU968" s="2">
        <v>44221</v>
      </c>
      <c r="AV968" s="52">
        <v>0.53125</v>
      </c>
      <c r="AW968" s="2" t="s">
        <v>213</v>
      </c>
      <c r="AY968" s="3"/>
      <c r="BA968" s="3"/>
      <c r="BG968" s="3"/>
      <c r="BH968" s="3"/>
    </row>
    <row r="969" spans="1:60">
      <c r="A969" s="23" t="s">
        <v>22</v>
      </c>
      <c r="B969" s="23" t="s">
        <v>23</v>
      </c>
      <c r="C969" s="27">
        <v>44221.59375</v>
      </c>
      <c r="D969" s="23">
        <v>48</v>
      </c>
      <c r="E969" s="27">
        <v>44223.447916666664</v>
      </c>
      <c r="F969" s="23">
        <v>48.15</v>
      </c>
      <c r="G969" s="31">
        <v>3.0999999999999999E-3</v>
      </c>
      <c r="H969" s="23">
        <v>-157.71</v>
      </c>
      <c r="I969" s="31">
        <v>-3.0999999999999999E-3</v>
      </c>
      <c r="J969" s="23">
        <v>1051.3920000000001</v>
      </c>
      <c r="K969" s="23">
        <v>50466.82</v>
      </c>
      <c r="L969" s="23">
        <v>92744.72</v>
      </c>
      <c r="M969" s="23">
        <v>15</v>
      </c>
      <c r="N969" s="23">
        <v>-10.51</v>
      </c>
      <c r="O969" s="31">
        <v>-1.04E-2</v>
      </c>
      <c r="P969" s="31">
        <v>2.29E-2</v>
      </c>
      <c r="Q969" s="23" t="s">
        <v>24</v>
      </c>
      <c r="R969" s="23">
        <v>0</v>
      </c>
      <c r="S969" s="23">
        <v>49.25</v>
      </c>
      <c r="U969" s="47">
        <f>VLOOKUP(AU969,[1]expiry_dates!$B$2:$C$2894,2,FALSE)</f>
        <v>44224</v>
      </c>
      <c r="V969" s="23" t="s">
        <v>106</v>
      </c>
      <c r="W969" s="23" t="s">
        <v>23</v>
      </c>
      <c r="X969" s="49">
        <v>44221.59375</v>
      </c>
      <c r="Y969" s="23">
        <v>0.95</v>
      </c>
      <c r="Z969" s="23">
        <v>44223.447916666664</v>
      </c>
      <c r="AA969" s="23">
        <v>0.8</v>
      </c>
      <c r="AB969" s="23">
        <v>-0.15790000000000001</v>
      </c>
      <c r="AC969" s="23">
        <v>10293.280000000001</v>
      </c>
      <c r="AD969" s="23">
        <v>0.15790000000000001</v>
      </c>
      <c r="AE969" s="23">
        <v>68621.84</v>
      </c>
      <c r="AF969" s="23">
        <v>65190.74</v>
      </c>
      <c r="AG969" s="23">
        <v>3032887.45</v>
      </c>
      <c r="AH969" s="23">
        <v>15</v>
      </c>
      <c r="AI969" s="23">
        <v>686.22</v>
      </c>
      <c r="AJ969" s="23">
        <v>-0.31580000000000003</v>
      </c>
      <c r="AK969" s="23">
        <v>0.68420000000000003</v>
      </c>
      <c r="AL969" s="23" t="s">
        <v>24</v>
      </c>
      <c r="AM969" s="23">
        <v>48</v>
      </c>
      <c r="AN969" s="23">
        <v>31086.400000000001</v>
      </c>
      <c r="AO969" s="23">
        <v>49.25</v>
      </c>
      <c r="AP969" s="23">
        <v>0</v>
      </c>
      <c r="AR969" s="46"/>
      <c r="AS969" s="44"/>
      <c r="AT969" s="45"/>
      <c r="AU969" s="2">
        <v>44221</v>
      </c>
      <c r="AV969" s="52">
        <v>9.375E-2</v>
      </c>
      <c r="AW969" s="2" t="s">
        <v>213</v>
      </c>
      <c r="AY969" s="3"/>
      <c r="BA969" s="3"/>
      <c r="BG969" s="3"/>
      <c r="BH969" s="3"/>
    </row>
    <row r="970" spans="1:60">
      <c r="A970" s="23" t="s">
        <v>22</v>
      </c>
      <c r="B970" s="23" t="s">
        <v>25</v>
      </c>
      <c r="C970" s="27">
        <v>44223.447916666664</v>
      </c>
      <c r="D970" s="23">
        <v>48.15</v>
      </c>
      <c r="E970" s="27">
        <v>44223.5625</v>
      </c>
      <c r="F970" s="23">
        <v>47.85</v>
      </c>
      <c r="G970" s="31">
        <v>-6.1999999999999998E-3</v>
      </c>
      <c r="H970" s="23">
        <v>-314.42</v>
      </c>
      <c r="I970" s="31">
        <v>-6.1999999999999998E-3</v>
      </c>
      <c r="J970" s="23">
        <v>1048.069</v>
      </c>
      <c r="K970" s="23">
        <v>50464.51</v>
      </c>
      <c r="L970" s="23">
        <v>92430.3</v>
      </c>
      <c r="M970" s="23">
        <v>12</v>
      </c>
      <c r="N970" s="23">
        <v>-26.2</v>
      </c>
      <c r="O970" s="31">
        <v>-6.1999999999999998E-3</v>
      </c>
      <c r="P970" s="31">
        <v>2.18E-2</v>
      </c>
      <c r="Q970" s="23" t="s">
        <v>24</v>
      </c>
      <c r="R970" s="23">
        <v>0</v>
      </c>
      <c r="S970" s="23">
        <v>46.9</v>
      </c>
      <c r="U970" s="47">
        <f>VLOOKUP(AU970,[1]expiry_dates!$B$2:$C$2894,2,FALSE)</f>
        <v>44224</v>
      </c>
      <c r="V970" s="23" t="s">
        <v>111</v>
      </c>
      <c r="W970" s="23" t="s">
        <v>23</v>
      </c>
      <c r="X970" s="49">
        <v>44223.447916666664</v>
      </c>
      <c r="Y970" s="23">
        <v>0.05</v>
      </c>
      <c r="Z970" s="23">
        <v>44223.5625</v>
      </c>
      <c r="AA970" s="23">
        <v>0.05</v>
      </c>
      <c r="AB970" s="23">
        <v>0</v>
      </c>
      <c r="AC970" s="23">
        <v>0</v>
      </c>
      <c r="AD970" s="23">
        <v>0</v>
      </c>
      <c r="AE970" s="23">
        <v>1304318</v>
      </c>
      <c r="AF970" s="23">
        <v>65215.9</v>
      </c>
      <c r="AG970" s="23">
        <v>3032887.45</v>
      </c>
      <c r="AH970" s="23">
        <v>12</v>
      </c>
      <c r="AI970" s="23">
        <v>0</v>
      </c>
      <c r="AJ970" s="23">
        <v>-1</v>
      </c>
      <c r="AK970" s="23">
        <v>0</v>
      </c>
      <c r="AL970" s="23" t="s">
        <v>24</v>
      </c>
      <c r="AM970" s="23">
        <v>48.15</v>
      </c>
      <c r="AN970" s="23">
        <v>30978.7</v>
      </c>
      <c r="AO970" s="23">
        <v>46.9</v>
      </c>
      <c r="AP970" s="23">
        <v>0</v>
      </c>
      <c r="AR970" s="46"/>
      <c r="AS970" s="44"/>
      <c r="AT970" s="45"/>
      <c r="AU970" s="2">
        <v>44223</v>
      </c>
      <c r="AV970" s="52">
        <v>0.44791666666666669</v>
      </c>
      <c r="AW970" s="2" t="s">
        <v>212</v>
      </c>
      <c r="AY970" s="3"/>
      <c r="BA970" s="3"/>
      <c r="BG970" s="3"/>
      <c r="BH970" s="3"/>
    </row>
    <row r="971" spans="1:60">
      <c r="A971" s="23" t="s">
        <v>22</v>
      </c>
      <c r="B971" s="23" t="s">
        <v>23</v>
      </c>
      <c r="C971" s="27">
        <v>44223.5625</v>
      </c>
      <c r="D971" s="23">
        <v>47.85</v>
      </c>
      <c r="E971" s="27">
        <v>44224.416666666664</v>
      </c>
      <c r="F971" s="23">
        <v>48.4</v>
      </c>
      <c r="G971" s="31">
        <v>1.15E-2</v>
      </c>
      <c r="H971" s="23">
        <v>-580.04999999999995</v>
      </c>
      <c r="I971" s="31">
        <v>-1.15E-2</v>
      </c>
      <c r="J971" s="23">
        <v>1054.634</v>
      </c>
      <c r="K971" s="23">
        <v>50464.25</v>
      </c>
      <c r="L971" s="23">
        <v>91850.25</v>
      </c>
      <c r="M971" s="23">
        <v>15</v>
      </c>
      <c r="N971" s="23">
        <v>-38.67</v>
      </c>
      <c r="O971" s="31">
        <v>-1.15E-2</v>
      </c>
      <c r="P971" s="31">
        <v>1.8800000000000001E-2</v>
      </c>
      <c r="Q971" s="23" t="s">
        <v>24</v>
      </c>
      <c r="R971" s="23">
        <v>0</v>
      </c>
      <c r="S971" s="23">
        <v>49.14</v>
      </c>
      <c r="U971" s="47">
        <f>VLOOKUP(AU971,[1]expiry_dates!$B$2:$C$2894,2,FALSE)</f>
        <v>44224</v>
      </c>
      <c r="V971" s="23" t="s">
        <v>106</v>
      </c>
      <c r="W971" s="23" t="s">
        <v>23</v>
      </c>
      <c r="X971" s="49">
        <v>44223.5625</v>
      </c>
      <c r="Y971" s="23">
        <v>0.6</v>
      </c>
      <c r="Z971" s="23">
        <v>44224.416666666664</v>
      </c>
      <c r="AA971" s="23">
        <v>0.7</v>
      </c>
      <c r="AB971" s="23">
        <v>0.16669999999999999</v>
      </c>
      <c r="AC971" s="23">
        <v>-10860.74</v>
      </c>
      <c r="AD971" s="23">
        <v>-0.16669999999999999</v>
      </c>
      <c r="AE971" s="23">
        <v>108607.4</v>
      </c>
      <c r="AF971" s="23">
        <v>65164.44</v>
      </c>
      <c r="AG971" s="23">
        <v>3022026.71</v>
      </c>
      <c r="AH971" s="23">
        <v>15</v>
      </c>
      <c r="AI971" s="23">
        <v>-724.05</v>
      </c>
      <c r="AJ971" s="23">
        <v>-0.5</v>
      </c>
      <c r="AK971" s="23">
        <v>0.66669999999999996</v>
      </c>
      <c r="AL971" s="23" t="s">
        <v>24</v>
      </c>
      <c r="AM971" s="23">
        <v>47.85</v>
      </c>
      <c r="AN971" s="23">
        <v>30419.05</v>
      </c>
      <c r="AO971" s="23">
        <v>49.14</v>
      </c>
      <c r="AP971" s="23">
        <v>0</v>
      </c>
      <c r="AR971" s="46"/>
      <c r="AS971" s="44"/>
      <c r="AT971" s="45"/>
      <c r="AU971" s="2">
        <v>44223</v>
      </c>
      <c r="AV971" s="52">
        <v>6.25E-2</v>
      </c>
      <c r="AW971" s="2" t="s">
        <v>213</v>
      </c>
      <c r="AY971" s="3"/>
      <c r="BA971" s="3"/>
      <c r="BG971" s="3"/>
      <c r="BH971" s="3"/>
    </row>
    <row r="972" spans="1:60">
      <c r="A972" s="23" t="s">
        <v>22</v>
      </c>
      <c r="B972" s="23" t="s">
        <v>25</v>
      </c>
      <c r="C972" s="27">
        <v>44224.416666666664</v>
      </c>
      <c r="D972" s="23">
        <v>48.4</v>
      </c>
      <c r="E972" s="27">
        <v>44224.541666666664</v>
      </c>
      <c r="F972" s="23">
        <v>47.8</v>
      </c>
      <c r="G972" s="31">
        <v>-1.24E-2</v>
      </c>
      <c r="H972" s="23">
        <v>-625.54999999999995</v>
      </c>
      <c r="I972" s="31">
        <v>-1.24E-2</v>
      </c>
      <c r="J972" s="23">
        <v>1042.5899999999999</v>
      </c>
      <c r="K972" s="23">
        <v>50461.36</v>
      </c>
      <c r="L972" s="23">
        <v>91224.7</v>
      </c>
      <c r="M972" s="23">
        <v>13</v>
      </c>
      <c r="N972" s="23">
        <v>-48.12</v>
      </c>
      <c r="O972" s="31">
        <v>-1.24E-2</v>
      </c>
      <c r="P972" s="31">
        <v>1.55E-2</v>
      </c>
      <c r="Q972" s="23" t="s">
        <v>24</v>
      </c>
      <c r="R972" s="23">
        <v>0</v>
      </c>
      <c r="S972" s="23">
        <v>47.01</v>
      </c>
      <c r="U972" s="47">
        <f>VLOOKUP(AU972,[1]expiry_dates!$B$2:$C$2894,2,FALSE)</f>
        <v>44224</v>
      </c>
      <c r="V972" s="23" t="s">
        <v>108</v>
      </c>
      <c r="W972" s="23" t="s">
        <v>23</v>
      </c>
      <c r="X972" s="49">
        <v>44224.416666666664</v>
      </c>
      <c r="Y972" s="23">
        <v>0.3</v>
      </c>
      <c r="Z972" s="23">
        <v>44224.541666666664</v>
      </c>
      <c r="AA972" s="23">
        <v>0.4</v>
      </c>
      <c r="AB972" s="23">
        <v>0.33329999999999999</v>
      </c>
      <c r="AC972" s="23">
        <v>-21748.63</v>
      </c>
      <c r="AD972" s="23">
        <v>-0.33329999999999999</v>
      </c>
      <c r="AE972" s="23">
        <v>217486.3</v>
      </c>
      <c r="AF972" s="23">
        <v>65245.89</v>
      </c>
      <c r="AG972" s="23">
        <v>3000278.08</v>
      </c>
      <c r="AH972" s="23">
        <v>13</v>
      </c>
      <c r="AI972" s="23">
        <v>-1672.97</v>
      </c>
      <c r="AJ972" s="23">
        <v>-0.83330000000000004</v>
      </c>
      <c r="AK972" s="23">
        <v>0.5</v>
      </c>
      <c r="AL972" s="23" t="s">
        <v>24</v>
      </c>
      <c r="AM972" s="23">
        <v>48.4</v>
      </c>
      <c r="AN972" s="23">
        <v>29965.35</v>
      </c>
      <c r="AO972" s="23">
        <v>47.01</v>
      </c>
      <c r="AP972" s="23">
        <v>0</v>
      </c>
      <c r="AR972" s="46"/>
      <c r="AS972" s="44"/>
      <c r="AT972" s="45"/>
      <c r="AU972" s="2">
        <v>44224</v>
      </c>
      <c r="AV972" s="52">
        <v>0.41666666666666669</v>
      </c>
      <c r="AW972" s="2" t="s">
        <v>212</v>
      </c>
      <c r="AY972" s="3"/>
      <c r="BA972" s="3"/>
      <c r="BG972" s="3"/>
      <c r="BH972" s="3"/>
    </row>
    <row r="973" spans="1:60">
      <c r="A973" s="23" t="s">
        <v>22</v>
      </c>
      <c r="B973" s="23" t="s">
        <v>23</v>
      </c>
      <c r="C973" s="27">
        <v>44224.541666666664</v>
      </c>
      <c r="D973" s="23">
        <v>47.8</v>
      </c>
      <c r="E973" s="27">
        <v>44224.697916666664</v>
      </c>
      <c r="F973" s="23">
        <v>47.9</v>
      </c>
      <c r="G973" s="31">
        <v>2.0999999999999999E-3</v>
      </c>
      <c r="H973" s="23">
        <v>-105.56</v>
      </c>
      <c r="I973" s="31">
        <v>-2.0999999999999999E-3</v>
      </c>
      <c r="J973" s="23">
        <v>1055.606</v>
      </c>
      <c r="K973" s="23">
        <v>50457.95</v>
      </c>
      <c r="L973" s="23">
        <v>91119.14</v>
      </c>
      <c r="M973" s="23">
        <v>12</v>
      </c>
      <c r="N973" s="23">
        <v>-8.8000000000000007</v>
      </c>
      <c r="O973" s="31">
        <v>-1.67E-2</v>
      </c>
      <c r="P973" s="31">
        <v>1.0500000000000001E-2</v>
      </c>
      <c r="Q973" s="23" t="s">
        <v>24</v>
      </c>
      <c r="R973" s="23">
        <v>0</v>
      </c>
      <c r="S973" s="23">
        <v>49.09</v>
      </c>
      <c r="U973" s="47">
        <f>VLOOKUP(AU973,[1]expiry_dates!$B$2:$C$2894,2,FALSE)</f>
        <v>44224</v>
      </c>
      <c r="V973" s="23" t="s">
        <v>106</v>
      </c>
      <c r="W973" s="23" t="s">
        <v>23</v>
      </c>
      <c r="X973" s="49">
        <v>44224.541666666664</v>
      </c>
      <c r="Y973" s="23">
        <v>0.2</v>
      </c>
      <c r="Z973" s="23">
        <v>44224.697916666664</v>
      </c>
      <c r="AA973" s="23">
        <v>0.05</v>
      </c>
      <c r="AB973" s="23">
        <v>-0.75</v>
      </c>
      <c r="AC973" s="23">
        <v>48873.38</v>
      </c>
      <c r="AD973" s="23">
        <v>0.75</v>
      </c>
      <c r="AE973" s="23">
        <v>325822.5</v>
      </c>
      <c r="AF973" s="23">
        <v>65164.51</v>
      </c>
      <c r="AG973" s="23">
        <v>3049151.46</v>
      </c>
      <c r="AH973" s="23">
        <v>12</v>
      </c>
      <c r="AI973" s="23">
        <v>4072.78</v>
      </c>
      <c r="AJ973" s="23">
        <v>-2</v>
      </c>
      <c r="AK973" s="23">
        <v>0.75</v>
      </c>
      <c r="AL973" s="23" t="s">
        <v>24</v>
      </c>
      <c r="AM973" s="23">
        <v>47.8</v>
      </c>
      <c r="AN973" s="23">
        <v>29753.599999999999</v>
      </c>
      <c r="AO973" s="23">
        <v>49.09</v>
      </c>
      <c r="AP973" s="23">
        <v>0</v>
      </c>
      <c r="AR973" s="46"/>
      <c r="AS973" s="44"/>
      <c r="AT973" s="45"/>
      <c r="AU973" s="2">
        <v>44224</v>
      </c>
      <c r="AV973" s="52">
        <v>4.1666666666666664E-2</v>
      </c>
      <c r="AW973" s="2" t="s">
        <v>213</v>
      </c>
      <c r="AY973" s="3"/>
      <c r="BA973" s="3"/>
      <c r="BG973" s="3"/>
      <c r="BH973" s="3"/>
    </row>
    <row r="974" spans="1:60">
      <c r="A974" s="23" t="s">
        <v>22</v>
      </c>
      <c r="B974" s="23" t="s">
        <v>25</v>
      </c>
      <c r="C974" s="27">
        <v>44225.385416666664</v>
      </c>
      <c r="D974" s="23">
        <v>48.35</v>
      </c>
      <c r="E974" s="27">
        <v>44225.427083333336</v>
      </c>
      <c r="F974" s="23">
        <v>47.55</v>
      </c>
      <c r="G974" s="31">
        <v>-1.6500000000000001E-2</v>
      </c>
      <c r="H974" s="23">
        <v>-834.84</v>
      </c>
      <c r="I974" s="31">
        <v>-1.6500000000000001E-2</v>
      </c>
      <c r="J974" s="23">
        <v>1043.549</v>
      </c>
      <c r="K974" s="23">
        <v>50455.6</v>
      </c>
      <c r="L974" s="23">
        <v>90284.3</v>
      </c>
      <c r="M974" s="23">
        <v>5</v>
      </c>
      <c r="N974" s="23">
        <v>-166.97</v>
      </c>
      <c r="O974" s="31">
        <v>-1.6500000000000001E-2</v>
      </c>
      <c r="P974" s="31">
        <v>1.9599999999999999E-2</v>
      </c>
      <c r="Q974" s="23" t="s">
        <v>24</v>
      </c>
      <c r="R974" s="23">
        <v>0</v>
      </c>
      <c r="S974" s="23">
        <v>47.4</v>
      </c>
      <c r="U974" s="47">
        <f>VLOOKUP(AU974,[1]expiry_dates!$B$2:$C$2894,2,FALSE)</f>
        <v>44252</v>
      </c>
      <c r="V974" s="23" t="s">
        <v>108</v>
      </c>
      <c r="W974" s="23" t="s">
        <v>23</v>
      </c>
      <c r="X974" s="49">
        <v>44225.385416666664</v>
      </c>
      <c r="Y974" s="23">
        <v>3.55</v>
      </c>
      <c r="Z974" s="23">
        <v>44225.427083333336</v>
      </c>
      <c r="AA974" s="23">
        <v>3.9</v>
      </c>
      <c r="AB974" s="23">
        <v>9.8599999999999993E-2</v>
      </c>
      <c r="AC974" s="23">
        <v>-6432.68</v>
      </c>
      <c r="AD974" s="23">
        <v>-9.8599999999999993E-2</v>
      </c>
      <c r="AE974" s="23">
        <v>18379.09</v>
      </c>
      <c r="AF974" s="23">
        <v>65245.75</v>
      </c>
      <c r="AG974" s="23">
        <v>3042718.78</v>
      </c>
      <c r="AH974" s="23">
        <v>5</v>
      </c>
      <c r="AI974" s="23">
        <v>-1286.54</v>
      </c>
      <c r="AJ974" s="23">
        <v>-0.11269999999999999</v>
      </c>
      <c r="AK974" s="23">
        <v>5.6300000000000003E-2</v>
      </c>
      <c r="AL974" s="23" t="s">
        <v>24</v>
      </c>
      <c r="AM974" s="23">
        <v>48.35</v>
      </c>
      <c r="AN974" s="23">
        <v>30595.65</v>
      </c>
      <c r="AO974" s="23">
        <v>47.4</v>
      </c>
      <c r="AP974" s="23">
        <v>0</v>
      </c>
      <c r="AR974" s="46"/>
      <c r="AS974" s="44"/>
      <c r="AT974" s="45"/>
      <c r="AU974" s="2">
        <v>44225</v>
      </c>
      <c r="AV974" s="52">
        <v>0.38541666666666669</v>
      </c>
      <c r="AW974" s="2" t="s">
        <v>212</v>
      </c>
      <c r="AY974" s="3"/>
      <c r="BA974" s="3"/>
      <c r="BG974" s="3"/>
      <c r="BH974" s="3"/>
    </row>
    <row r="975" spans="1:60">
      <c r="A975" s="23" t="s">
        <v>22</v>
      </c>
      <c r="B975" s="23" t="s">
        <v>23</v>
      </c>
      <c r="C975" s="27">
        <v>44225.427083333336</v>
      </c>
      <c r="D975" s="23">
        <v>47.55</v>
      </c>
      <c r="E975" s="27">
        <v>44225.59375</v>
      </c>
      <c r="F975" s="23">
        <v>48.05</v>
      </c>
      <c r="G975" s="31">
        <v>1.0500000000000001E-2</v>
      </c>
      <c r="H975" s="23">
        <v>-530.54</v>
      </c>
      <c r="I975" s="31">
        <v>-1.0500000000000001E-2</v>
      </c>
      <c r="J975" s="23">
        <v>1061.0730000000001</v>
      </c>
      <c r="K975" s="23">
        <v>50454.03</v>
      </c>
      <c r="L975" s="23">
        <v>89753.76</v>
      </c>
      <c r="M975" s="23">
        <v>17</v>
      </c>
      <c r="N975" s="23">
        <v>-31.21</v>
      </c>
      <c r="O975" s="31">
        <v>-1.5800000000000002E-2</v>
      </c>
      <c r="P975" s="31">
        <v>8.3999999999999995E-3</v>
      </c>
      <c r="Q975" s="23" t="s">
        <v>24</v>
      </c>
      <c r="R975" s="23">
        <v>0</v>
      </c>
      <c r="S975" s="23">
        <v>49.27</v>
      </c>
      <c r="U975" s="47">
        <f>VLOOKUP(AU975,[1]expiry_dates!$B$2:$C$2894,2,FALSE)</f>
        <v>44252</v>
      </c>
      <c r="V975" s="23" t="s">
        <v>106</v>
      </c>
      <c r="W975" s="23" t="s">
        <v>23</v>
      </c>
      <c r="X975" s="49">
        <v>44225.427083333336</v>
      </c>
      <c r="Y975" s="23">
        <v>3.25</v>
      </c>
      <c r="Z975" s="23">
        <v>44225.59375</v>
      </c>
      <c r="AA975" s="23">
        <v>3.65</v>
      </c>
      <c r="AB975" s="23">
        <v>0.1231</v>
      </c>
      <c r="AC975" s="23">
        <v>-8028.55</v>
      </c>
      <c r="AD975" s="23">
        <v>-0.1231</v>
      </c>
      <c r="AE975" s="23">
        <v>20071.38</v>
      </c>
      <c r="AF975" s="23">
        <v>65231.98</v>
      </c>
      <c r="AG975" s="23">
        <v>3034690.23</v>
      </c>
      <c r="AH975" s="23">
        <v>17</v>
      </c>
      <c r="AI975" s="23">
        <v>-472.27</v>
      </c>
      <c r="AJ975" s="23">
        <v>-0.1231</v>
      </c>
      <c r="AK975" s="23">
        <v>4.6199999999999998E-2</v>
      </c>
      <c r="AL975" s="23" t="s">
        <v>24</v>
      </c>
      <c r="AM975" s="23">
        <v>47.55</v>
      </c>
      <c r="AN975" s="23">
        <v>30326.75</v>
      </c>
      <c r="AO975" s="23">
        <v>49.27</v>
      </c>
      <c r="AP975" s="23">
        <v>0</v>
      </c>
      <c r="AR975" s="46"/>
      <c r="AS975" s="44"/>
      <c r="AT975" s="45"/>
      <c r="AU975" s="2">
        <v>44225</v>
      </c>
      <c r="AV975" s="52">
        <v>0.42708333333333331</v>
      </c>
      <c r="AW975" s="2" t="s">
        <v>212</v>
      </c>
      <c r="AY975" s="3"/>
      <c r="BA975" s="3"/>
      <c r="BG975" s="3"/>
      <c r="BH975" s="3"/>
    </row>
    <row r="976" spans="1:60">
      <c r="A976" s="23" t="s">
        <v>22</v>
      </c>
      <c r="B976" s="23" t="s">
        <v>25</v>
      </c>
      <c r="C976" s="27">
        <v>44225.59375</v>
      </c>
      <c r="D976" s="23">
        <v>48.05</v>
      </c>
      <c r="E976" s="27">
        <v>44225.625</v>
      </c>
      <c r="F976" s="23">
        <v>47.2</v>
      </c>
      <c r="G976" s="31">
        <v>-1.77E-2</v>
      </c>
      <c r="H976" s="23">
        <v>-892.47</v>
      </c>
      <c r="I976" s="31">
        <v>-1.77E-2</v>
      </c>
      <c r="J976" s="23">
        <v>1049.961</v>
      </c>
      <c r="K976" s="23">
        <v>50450.63</v>
      </c>
      <c r="L976" s="23">
        <v>88861.29</v>
      </c>
      <c r="M976" s="23">
        <v>4</v>
      </c>
      <c r="N976" s="23">
        <v>-223.12</v>
      </c>
      <c r="O976" s="31">
        <v>-1.77E-2</v>
      </c>
      <c r="P976" s="31">
        <v>9.4000000000000004E-3</v>
      </c>
      <c r="Q976" s="23" t="s">
        <v>24</v>
      </c>
      <c r="R976" s="23">
        <v>0</v>
      </c>
      <c r="S976" s="23">
        <v>47.15</v>
      </c>
      <c r="U976" s="47">
        <f>VLOOKUP(AU976,[1]expiry_dates!$B$2:$C$2894,2,FALSE)</f>
        <v>44252</v>
      </c>
      <c r="V976" s="23" t="s">
        <v>105</v>
      </c>
      <c r="W976" s="23" t="s">
        <v>23</v>
      </c>
      <c r="X976" s="49">
        <v>44225.59375</v>
      </c>
      <c r="Y976" s="23">
        <v>3.25</v>
      </c>
      <c r="Z976" s="23">
        <v>44225.625</v>
      </c>
      <c r="AA976" s="23">
        <v>3.7</v>
      </c>
      <c r="AB976" s="23">
        <v>0.13850000000000001</v>
      </c>
      <c r="AC976" s="23">
        <v>-9028.8799999999992</v>
      </c>
      <c r="AD976" s="23">
        <v>-0.13850000000000001</v>
      </c>
      <c r="AE976" s="23">
        <v>20064.18</v>
      </c>
      <c r="AF976" s="23">
        <v>65208.58</v>
      </c>
      <c r="AG976" s="23">
        <v>3025661.35</v>
      </c>
      <c r="AH976" s="23">
        <v>4</v>
      </c>
      <c r="AI976" s="23">
        <v>-2257.2199999999998</v>
      </c>
      <c r="AJ976" s="23">
        <v>-0.13850000000000001</v>
      </c>
      <c r="AK976" s="23">
        <v>7.6899999999999996E-2</v>
      </c>
      <c r="AL976" s="23" t="s">
        <v>24</v>
      </c>
      <c r="AM976" s="23">
        <v>48.05</v>
      </c>
      <c r="AN976" s="23">
        <v>30913.7</v>
      </c>
      <c r="AO976" s="23">
        <v>47.15</v>
      </c>
      <c r="AP976" s="23">
        <v>0</v>
      </c>
      <c r="AR976" s="46"/>
      <c r="AS976" s="44"/>
      <c r="AT976" s="45"/>
      <c r="AU976" s="2">
        <v>44225</v>
      </c>
      <c r="AV976" s="52">
        <v>9.375E-2</v>
      </c>
      <c r="AW976" s="2" t="s">
        <v>213</v>
      </c>
      <c r="AY976" s="3"/>
      <c r="BA976" s="3"/>
      <c r="BG976" s="3"/>
      <c r="BH976" s="3"/>
    </row>
    <row r="977" spans="1:60">
      <c r="A977" s="23" t="s">
        <v>22</v>
      </c>
      <c r="B977" s="23" t="s">
        <v>23</v>
      </c>
      <c r="C977" s="27">
        <v>44225.625</v>
      </c>
      <c r="D977" s="23">
        <v>47.2</v>
      </c>
      <c r="E977" s="27">
        <v>44228.541666666664</v>
      </c>
      <c r="F977" s="23">
        <v>44.9</v>
      </c>
      <c r="G977" s="31">
        <v>-4.87E-2</v>
      </c>
      <c r="H977" s="23">
        <v>2458.21</v>
      </c>
      <c r="I977" s="31">
        <v>4.87E-2</v>
      </c>
      <c r="J977" s="23">
        <v>1068.7850000000001</v>
      </c>
      <c r="K977" s="23">
        <v>50446.67</v>
      </c>
      <c r="L977" s="23">
        <v>91319.5</v>
      </c>
      <c r="M977" s="23">
        <v>21</v>
      </c>
      <c r="N977" s="23">
        <v>117.06</v>
      </c>
      <c r="O977" s="31">
        <v>-1.06E-2</v>
      </c>
      <c r="P977" s="31">
        <v>7.3099999999999998E-2</v>
      </c>
      <c r="Q977" s="23" t="s">
        <v>24</v>
      </c>
      <c r="R977" s="23">
        <v>0</v>
      </c>
      <c r="S977" s="23">
        <v>48.45</v>
      </c>
      <c r="U977" s="47">
        <f>VLOOKUP(AU977,[1]expiry_dates!$B$2:$C$2894,2,FALSE)</f>
        <v>44252</v>
      </c>
      <c r="V977" s="23" t="s">
        <v>104</v>
      </c>
      <c r="W977" s="23" t="s">
        <v>23</v>
      </c>
      <c r="X977" s="49">
        <v>44225.625</v>
      </c>
      <c r="Y977" s="23">
        <v>3.6</v>
      </c>
      <c r="Z977" s="23">
        <v>44228.541666666664</v>
      </c>
      <c r="AA977" s="23">
        <v>2</v>
      </c>
      <c r="AB977" s="23">
        <v>-0.44440000000000002</v>
      </c>
      <c r="AC977" s="23">
        <v>28959.29</v>
      </c>
      <c r="AD977" s="23">
        <v>0.44440000000000002</v>
      </c>
      <c r="AE977" s="23">
        <v>18099.560000000001</v>
      </c>
      <c r="AF977" s="23">
        <v>65158.400000000001</v>
      </c>
      <c r="AG977" s="23">
        <v>3054620.64</v>
      </c>
      <c r="AH977" s="23">
        <v>21</v>
      </c>
      <c r="AI977" s="23">
        <v>1379.01</v>
      </c>
      <c r="AJ977" s="23">
        <v>-5.5599999999999997E-2</v>
      </c>
      <c r="AK977" s="23">
        <v>0.51390000000000002</v>
      </c>
      <c r="AL977" s="23" t="s">
        <v>24</v>
      </c>
      <c r="AM977" s="23">
        <v>47.2</v>
      </c>
      <c r="AN977" s="23">
        <v>30571.9</v>
      </c>
      <c r="AO977" s="23">
        <v>48.45</v>
      </c>
      <c r="AP977" s="23">
        <v>0</v>
      </c>
      <c r="AR977" s="46"/>
      <c r="AS977" s="44"/>
      <c r="AT977" s="45"/>
      <c r="AU977" s="2">
        <v>44225</v>
      </c>
      <c r="AV977" s="52">
        <v>0.125</v>
      </c>
      <c r="AW977" s="2" t="s">
        <v>213</v>
      </c>
      <c r="AY977" s="3"/>
      <c r="BA977" s="3"/>
      <c r="BG977" s="3"/>
      <c r="BH977" s="3"/>
    </row>
    <row r="978" spans="1:60">
      <c r="A978" s="23" t="s">
        <v>22</v>
      </c>
      <c r="B978" s="23" t="s">
        <v>25</v>
      </c>
      <c r="C978" s="27">
        <v>44228.541666666664</v>
      </c>
      <c r="D978" s="23">
        <v>44.9</v>
      </c>
      <c r="E978" s="27">
        <v>44229.489583333336</v>
      </c>
      <c r="F978" s="23">
        <v>46.95</v>
      </c>
      <c r="G978" s="31">
        <v>4.5699999999999998E-2</v>
      </c>
      <c r="H978" s="23">
        <v>2303.56</v>
      </c>
      <c r="I978" s="31">
        <v>4.5699999999999998E-2</v>
      </c>
      <c r="J978" s="23">
        <v>1123.6890000000001</v>
      </c>
      <c r="K978" s="23">
        <v>50453.66</v>
      </c>
      <c r="L978" s="23">
        <v>93623.06</v>
      </c>
      <c r="M978" s="23">
        <v>24</v>
      </c>
      <c r="N978" s="23">
        <v>95.98</v>
      </c>
      <c r="O978" s="31">
        <v>-6.7000000000000002E-3</v>
      </c>
      <c r="P978" s="31">
        <v>9.0200000000000002E-2</v>
      </c>
      <c r="Q978" s="23" t="s">
        <v>24</v>
      </c>
      <c r="R978" s="23">
        <v>0</v>
      </c>
      <c r="S978" s="23">
        <v>43.83</v>
      </c>
      <c r="U978" s="47">
        <f>VLOOKUP(AU978,[1]expiry_dates!$B$2:$C$2894,2,FALSE)</f>
        <v>44252</v>
      </c>
      <c r="V978" s="23" t="s">
        <v>109</v>
      </c>
      <c r="W978" s="23" t="s">
        <v>23</v>
      </c>
      <c r="X978" s="49">
        <v>44228.541666666664</v>
      </c>
      <c r="Y978" s="23">
        <v>3.6</v>
      </c>
      <c r="Z978" s="23">
        <v>44229.489583333336</v>
      </c>
      <c r="AA978" s="23">
        <v>2.5</v>
      </c>
      <c r="AB978" s="23">
        <v>-0.30559999999999998</v>
      </c>
      <c r="AC978" s="23">
        <v>19939.03</v>
      </c>
      <c r="AD978" s="23">
        <v>0.30559999999999998</v>
      </c>
      <c r="AE978" s="23">
        <v>18126.39</v>
      </c>
      <c r="AF978" s="23">
        <v>65255</v>
      </c>
      <c r="AG978" s="23">
        <v>3074559.67</v>
      </c>
      <c r="AH978" s="23">
        <v>24</v>
      </c>
      <c r="AI978" s="23">
        <v>830.79</v>
      </c>
      <c r="AJ978" s="23">
        <v>-2.7799999999999998E-2</v>
      </c>
      <c r="AK978" s="23">
        <v>0.51390000000000002</v>
      </c>
      <c r="AL978" s="23" t="s">
        <v>24</v>
      </c>
      <c r="AM978" s="23">
        <v>44.9</v>
      </c>
      <c r="AN978" s="23">
        <v>32303.95</v>
      </c>
      <c r="AO978" s="23">
        <v>43.83</v>
      </c>
      <c r="AP978" s="23">
        <v>0</v>
      </c>
      <c r="AR978" s="46"/>
      <c r="AS978" s="44"/>
      <c r="AT978" s="45"/>
      <c r="AU978" s="2">
        <v>44228</v>
      </c>
      <c r="AV978" s="52">
        <v>4.1666666666666664E-2</v>
      </c>
      <c r="AW978" s="2" t="s">
        <v>213</v>
      </c>
      <c r="AY978" s="3"/>
      <c r="BA978" s="3"/>
      <c r="BG978" s="3"/>
      <c r="BH978" s="3"/>
    </row>
    <row r="979" spans="1:60">
      <c r="A979" s="23" t="s">
        <v>22</v>
      </c>
      <c r="B979" s="23" t="s">
        <v>23</v>
      </c>
      <c r="C979" s="27">
        <v>44229.489583333336</v>
      </c>
      <c r="D979" s="23">
        <v>46.95</v>
      </c>
      <c r="E979" s="27">
        <v>44229.604166666664</v>
      </c>
      <c r="F979" s="23">
        <v>47.65</v>
      </c>
      <c r="G979" s="31">
        <v>1.49E-2</v>
      </c>
      <c r="H979" s="23">
        <v>-752.47</v>
      </c>
      <c r="I979" s="31">
        <v>-1.49E-2</v>
      </c>
      <c r="J979" s="23">
        <v>1074.951</v>
      </c>
      <c r="K979" s="23">
        <v>50468.959999999999</v>
      </c>
      <c r="L979" s="23">
        <v>92870.6</v>
      </c>
      <c r="M979" s="23">
        <v>12</v>
      </c>
      <c r="N979" s="23">
        <v>-62.71</v>
      </c>
      <c r="O979" s="31">
        <v>-1.9199999999999998E-2</v>
      </c>
      <c r="P979" s="31">
        <v>4.3E-3</v>
      </c>
      <c r="Q979" s="23" t="s">
        <v>24</v>
      </c>
      <c r="R979" s="23">
        <v>0</v>
      </c>
      <c r="S979" s="23">
        <v>48.87</v>
      </c>
      <c r="U979" s="47">
        <f>VLOOKUP(AU979,[1]expiry_dates!$B$2:$C$2894,2,FALSE)</f>
        <v>44252</v>
      </c>
      <c r="V979" s="23" t="s">
        <v>110</v>
      </c>
      <c r="W979" s="23" t="s">
        <v>23</v>
      </c>
      <c r="X979" s="49">
        <v>44229.489583333336</v>
      </c>
      <c r="Y979" s="23">
        <v>3.2</v>
      </c>
      <c r="Z979" s="23">
        <v>44229.604166666664</v>
      </c>
      <c r="AA979" s="23">
        <v>3.7</v>
      </c>
      <c r="AB979" s="23">
        <v>0.15629999999999999</v>
      </c>
      <c r="AC979" s="23">
        <v>-10214.5</v>
      </c>
      <c r="AD979" s="23">
        <v>-0.15620000000000001</v>
      </c>
      <c r="AE979" s="23">
        <v>20429</v>
      </c>
      <c r="AF979" s="23">
        <v>65372.800000000003</v>
      </c>
      <c r="AG979" s="23">
        <v>3064345.17</v>
      </c>
      <c r="AH979" s="23">
        <v>12</v>
      </c>
      <c r="AI979" s="23">
        <v>-851.21</v>
      </c>
      <c r="AJ979" s="23">
        <v>-0.1719</v>
      </c>
      <c r="AK979" s="23">
        <v>0</v>
      </c>
      <c r="AL979" s="23" t="s">
        <v>24</v>
      </c>
      <c r="AM979" s="23">
        <v>46.95</v>
      </c>
      <c r="AN979" s="23">
        <v>33783.699999999997</v>
      </c>
      <c r="AO979" s="23">
        <v>48.87</v>
      </c>
      <c r="AP979" s="23">
        <v>0</v>
      </c>
      <c r="AR979" s="46"/>
      <c r="AS979" s="44"/>
      <c r="AT979" s="45"/>
      <c r="AU979" s="2">
        <v>44229</v>
      </c>
      <c r="AV979" s="52">
        <v>0.48958333333333331</v>
      </c>
      <c r="AW979" s="2" t="s">
        <v>212</v>
      </c>
      <c r="AY979" s="3"/>
      <c r="BA979" s="3"/>
      <c r="BG979" s="3"/>
      <c r="BH979" s="3"/>
    </row>
    <row r="980" spans="1:60">
      <c r="A980" s="23" t="s">
        <v>22</v>
      </c>
      <c r="B980" s="23" t="s">
        <v>25</v>
      </c>
      <c r="C980" s="27">
        <v>44229.604166666664</v>
      </c>
      <c r="D980" s="23">
        <v>47.65</v>
      </c>
      <c r="E980" s="27">
        <v>44230.385416666664</v>
      </c>
      <c r="F980" s="23">
        <v>47.95</v>
      </c>
      <c r="G980" s="31">
        <v>6.3E-3</v>
      </c>
      <c r="H980" s="23">
        <v>317.70999999999998</v>
      </c>
      <c r="I980" s="31">
        <v>6.3E-3</v>
      </c>
      <c r="J980" s="23">
        <v>1059.046</v>
      </c>
      <c r="K980" s="23">
        <v>50463.54</v>
      </c>
      <c r="L980" s="23">
        <v>93188.31</v>
      </c>
      <c r="M980" s="23">
        <v>8</v>
      </c>
      <c r="N980" s="23">
        <v>39.71</v>
      </c>
      <c r="O980" s="31">
        <v>-3.0999999999999999E-3</v>
      </c>
      <c r="P980" s="31">
        <v>1.26E-2</v>
      </c>
      <c r="Q980" s="23" t="s">
        <v>24</v>
      </c>
      <c r="R980" s="23">
        <v>0</v>
      </c>
      <c r="S980" s="23">
        <v>46.8</v>
      </c>
      <c r="U980" s="47">
        <f>VLOOKUP(AU980,[1]expiry_dates!$B$2:$C$2894,2,FALSE)</f>
        <v>44252</v>
      </c>
      <c r="V980" s="23" t="s">
        <v>115</v>
      </c>
      <c r="W980" s="23" t="s">
        <v>23</v>
      </c>
      <c r="X980" s="49">
        <v>44229.604166666664</v>
      </c>
      <c r="Y980" s="23">
        <v>1</v>
      </c>
      <c r="Z980" s="23">
        <v>44230.385416666664</v>
      </c>
      <c r="AA980" s="23">
        <v>1</v>
      </c>
      <c r="AB980" s="23">
        <v>0</v>
      </c>
      <c r="AC980" s="23">
        <v>0</v>
      </c>
      <c r="AD980" s="23">
        <v>0</v>
      </c>
      <c r="AE980" s="23">
        <v>65316.62</v>
      </c>
      <c r="AF980" s="23">
        <v>65316.62</v>
      </c>
      <c r="AG980" s="23">
        <v>3064345.17</v>
      </c>
      <c r="AH980" s="23">
        <v>8</v>
      </c>
      <c r="AI980" s="23">
        <v>0</v>
      </c>
      <c r="AJ980" s="23">
        <v>-0.15</v>
      </c>
      <c r="AK980" s="23">
        <v>0</v>
      </c>
      <c r="AL980" s="23" t="s">
        <v>24</v>
      </c>
      <c r="AM980" s="23">
        <v>47.65</v>
      </c>
      <c r="AN980" s="23">
        <v>34329.800000000003</v>
      </c>
      <c r="AO980" s="23">
        <v>46.8</v>
      </c>
      <c r="AP980" s="23">
        <v>0</v>
      </c>
      <c r="AR980" s="46"/>
      <c r="AS980" s="44"/>
      <c r="AT980" s="45"/>
      <c r="AU980" s="2">
        <v>44229</v>
      </c>
      <c r="AV980" s="52">
        <v>0.10416666666666667</v>
      </c>
      <c r="AW980" s="2" t="s">
        <v>213</v>
      </c>
      <c r="AY980" s="3"/>
      <c r="BA980" s="3"/>
      <c r="BG980" s="3"/>
      <c r="BH980" s="3"/>
    </row>
    <row r="981" spans="1:60">
      <c r="A981" s="23" t="s">
        <v>22</v>
      </c>
      <c r="B981" s="23" t="s">
        <v>23</v>
      </c>
      <c r="C981" s="27">
        <v>44230.385416666664</v>
      </c>
      <c r="D981" s="23">
        <v>47.95</v>
      </c>
      <c r="E981" s="27">
        <v>44230.4375</v>
      </c>
      <c r="F981" s="23">
        <v>48.1</v>
      </c>
      <c r="G981" s="31">
        <v>3.0999999999999999E-3</v>
      </c>
      <c r="H981" s="23">
        <v>-157.87</v>
      </c>
      <c r="I981" s="31">
        <v>-3.0999999999999999E-3</v>
      </c>
      <c r="J981" s="23">
        <v>1052.498</v>
      </c>
      <c r="K981" s="23">
        <v>50467.27</v>
      </c>
      <c r="L981" s="23">
        <v>93030.44</v>
      </c>
      <c r="M981" s="23">
        <v>6</v>
      </c>
      <c r="N981" s="23">
        <v>-26.31</v>
      </c>
      <c r="O981" s="31">
        <v>-7.3000000000000001E-3</v>
      </c>
      <c r="P981" s="31">
        <v>1.77E-2</v>
      </c>
      <c r="Q981" s="23" t="s">
        <v>24</v>
      </c>
      <c r="R981" s="23">
        <v>0</v>
      </c>
      <c r="S981" s="23">
        <v>48.3</v>
      </c>
      <c r="U981" s="47">
        <f>VLOOKUP(AU981,[1]expiry_dates!$B$2:$C$2894,2,FALSE)</f>
        <v>44252</v>
      </c>
      <c r="V981" s="23" t="s">
        <v>106</v>
      </c>
      <c r="W981" s="23" t="s">
        <v>23</v>
      </c>
      <c r="X981" s="49">
        <v>44230.385416666664</v>
      </c>
      <c r="Y981" s="23">
        <v>2.9</v>
      </c>
      <c r="Z981" s="23">
        <v>44230.4375</v>
      </c>
      <c r="AA981" s="23">
        <v>2.95</v>
      </c>
      <c r="AB981" s="23">
        <v>1.72E-2</v>
      </c>
      <c r="AC981" s="23">
        <v>-1125.96</v>
      </c>
      <c r="AD981" s="23">
        <v>-1.72E-2</v>
      </c>
      <c r="AE981" s="23">
        <v>22519.1</v>
      </c>
      <c r="AF981" s="23">
        <v>65305.4</v>
      </c>
      <c r="AG981" s="23">
        <v>3063219.22</v>
      </c>
      <c r="AH981" s="23">
        <v>6</v>
      </c>
      <c r="AI981" s="23">
        <v>-187.66</v>
      </c>
      <c r="AJ981" s="23">
        <v>-3.4500000000000003E-2</v>
      </c>
      <c r="AK981" s="23">
        <v>0.13789999999999999</v>
      </c>
      <c r="AL981" s="23" t="s">
        <v>24</v>
      </c>
      <c r="AM981" s="23">
        <v>47.95</v>
      </c>
      <c r="AN981" s="23">
        <v>34279.4</v>
      </c>
      <c r="AO981" s="23">
        <v>48.3</v>
      </c>
      <c r="AP981" s="23">
        <v>0</v>
      </c>
      <c r="AR981" s="46"/>
      <c r="AS981" s="44"/>
      <c r="AT981" s="45"/>
      <c r="AU981" s="2">
        <v>44230</v>
      </c>
      <c r="AV981" s="52">
        <v>0.38541666666666669</v>
      </c>
      <c r="AW981" s="2" t="s">
        <v>212</v>
      </c>
      <c r="AY981" s="3"/>
      <c r="BA981" s="3"/>
      <c r="BG981" s="3"/>
      <c r="BH981" s="3"/>
    </row>
    <row r="982" spans="1:60">
      <c r="A982" s="23" t="s">
        <v>22</v>
      </c>
      <c r="B982" s="23" t="s">
        <v>25</v>
      </c>
      <c r="C982" s="27">
        <v>44230.4375</v>
      </c>
      <c r="D982" s="23">
        <v>48.1</v>
      </c>
      <c r="E982" s="27">
        <v>44230.583333333336</v>
      </c>
      <c r="F982" s="23">
        <v>47.75</v>
      </c>
      <c r="G982" s="31">
        <v>-7.3000000000000001E-3</v>
      </c>
      <c r="H982" s="23">
        <v>-367.22</v>
      </c>
      <c r="I982" s="31">
        <v>-7.3000000000000001E-3</v>
      </c>
      <c r="J982" s="23">
        <v>1049.1880000000001</v>
      </c>
      <c r="K982" s="23">
        <v>50465.94</v>
      </c>
      <c r="L982" s="23">
        <v>92663.22</v>
      </c>
      <c r="M982" s="23">
        <v>15</v>
      </c>
      <c r="N982" s="23">
        <v>-24.48</v>
      </c>
      <c r="O982" s="31">
        <v>-7.3000000000000001E-3</v>
      </c>
      <c r="P982" s="31">
        <v>4.1999999999999997E-3</v>
      </c>
      <c r="Q982" s="23" t="s">
        <v>24</v>
      </c>
      <c r="R982" s="23">
        <v>0</v>
      </c>
      <c r="S982" s="23">
        <v>47.14</v>
      </c>
      <c r="U982" s="47">
        <f>VLOOKUP(AU982,[1]expiry_dates!$B$2:$C$2894,2,FALSE)</f>
        <v>44252</v>
      </c>
      <c r="V982" s="23" t="s">
        <v>108</v>
      </c>
      <c r="W982" s="23" t="s">
        <v>23</v>
      </c>
      <c r="X982" s="49">
        <v>44230.4375</v>
      </c>
      <c r="Y982" s="23">
        <v>3.45</v>
      </c>
      <c r="Z982" s="23">
        <v>44230.583333333336</v>
      </c>
      <c r="AA982" s="23">
        <v>3.35</v>
      </c>
      <c r="AB982" s="23">
        <v>-2.9000000000000001E-2</v>
      </c>
      <c r="AC982" s="23">
        <v>1893.38</v>
      </c>
      <c r="AD982" s="23">
        <v>2.9000000000000001E-2</v>
      </c>
      <c r="AE982" s="23">
        <v>18933.830000000002</v>
      </c>
      <c r="AF982" s="23">
        <v>65321.73</v>
      </c>
      <c r="AG982" s="23">
        <v>3065112.6</v>
      </c>
      <c r="AH982" s="23">
        <v>15</v>
      </c>
      <c r="AI982" s="23">
        <v>126.23</v>
      </c>
      <c r="AJ982" s="23">
        <v>-1.4500000000000001E-2</v>
      </c>
      <c r="AK982" s="23">
        <v>5.8000000000000003E-2</v>
      </c>
      <c r="AL982" s="23" t="s">
        <v>24</v>
      </c>
      <c r="AM982" s="23">
        <v>48.1</v>
      </c>
      <c r="AN982" s="23">
        <v>34643.65</v>
      </c>
      <c r="AO982" s="23">
        <v>47.14</v>
      </c>
      <c r="AP982" s="23">
        <v>0</v>
      </c>
      <c r="AR982" s="46"/>
      <c r="AS982" s="44"/>
      <c r="AT982" s="45"/>
      <c r="AU982" s="2">
        <v>44230</v>
      </c>
      <c r="AV982" s="52">
        <v>0.4375</v>
      </c>
      <c r="AW982" s="2" t="s">
        <v>212</v>
      </c>
      <c r="AY982" s="3"/>
      <c r="BA982" s="3"/>
      <c r="BG982" s="3"/>
      <c r="BH982" s="3"/>
    </row>
    <row r="983" spans="1:60">
      <c r="A983" s="23" t="s">
        <v>22</v>
      </c>
      <c r="B983" s="23" t="s">
        <v>23</v>
      </c>
      <c r="C983" s="27">
        <v>44230.583333333336</v>
      </c>
      <c r="D983" s="23">
        <v>47.75</v>
      </c>
      <c r="E983" s="27">
        <v>44231.385416666664</v>
      </c>
      <c r="F983" s="23">
        <v>47.65</v>
      </c>
      <c r="G983" s="31">
        <v>-2.0999999999999999E-3</v>
      </c>
      <c r="H983" s="23">
        <v>105.68</v>
      </c>
      <c r="I983" s="31">
        <v>2.0999999999999999E-3</v>
      </c>
      <c r="J983" s="23">
        <v>1056.845</v>
      </c>
      <c r="K983" s="23">
        <v>50464.36</v>
      </c>
      <c r="L983" s="23">
        <v>92768.9</v>
      </c>
      <c r="M983" s="23">
        <v>10</v>
      </c>
      <c r="N983" s="23">
        <v>10.57</v>
      </c>
      <c r="O983" s="31">
        <v>-7.3000000000000001E-3</v>
      </c>
      <c r="P983" s="31">
        <v>3.0999999999999999E-3</v>
      </c>
      <c r="Q983" s="23" t="s">
        <v>24</v>
      </c>
      <c r="R983" s="23">
        <v>0</v>
      </c>
      <c r="S983" s="23">
        <v>48.3</v>
      </c>
      <c r="U983" s="47">
        <f>VLOOKUP(AU983,[1]expiry_dates!$B$2:$C$2894,2,FALSE)</f>
        <v>44252</v>
      </c>
      <c r="V983" s="23" t="s">
        <v>106</v>
      </c>
      <c r="W983" s="23" t="s">
        <v>23</v>
      </c>
      <c r="X983" s="49">
        <v>44230.583333333336</v>
      </c>
      <c r="Y983" s="23">
        <v>2.7</v>
      </c>
      <c r="Z983" s="23">
        <v>44231.385416666664</v>
      </c>
      <c r="AA983" s="23">
        <v>2.75</v>
      </c>
      <c r="AB983" s="23">
        <v>1.8499999999999999E-2</v>
      </c>
      <c r="AC983" s="23">
        <v>-1209.9100000000001</v>
      </c>
      <c r="AD983" s="23">
        <v>-1.8499999999999999E-2</v>
      </c>
      <c r="AE983" s="23">
        <v>24198.16</v>
      </c>
      <c r="AF983" s="23">
        <v>65335.03</v>
      </c>
      <c r="AG983" s="23">
        <v>3063902.69</v>
      </c>
      <c r="AH983" s="23">
        <v>10</v>
      </c>
      <c r="AI983" s="23">
        <v>-120.99</v>
      </c>
      <c r="AJ983" s="23">
        <v>-9.2600000000000002E-2</v>
      </c>
      <c r="AK983" s="23">
        <v>3.6999999999999998E-2</v>
      </c>
      <c r="AL983" s="23" t="s">
        <v>24</v>
      </c>
      <c r="AM983" s="23">
        <v>47.75</v>
      </c>
      <c r="AN983" s="23">
        <v>34640.15</v>
      </c>
      <c r="AO983" s="23">
        <v>48.3</v>
      </c>
      <c r="AP983" s="23">
        <v>0</v>
      </c>
      <c r="AR983" s="46"/>
      <c r="AS983" s="44"/>
      <c r="AT983" s="45"/>
      <c r="AU983" s="2">
        <v>44230</v>
      </c>
      <c r="AV983" s="52">
        <v>8.3333333333333329E-2</v>
      </c>
      <c r="AW983" s="2" t="s">
        <v>213</v>
      </c>
      <c r="AY983" s="3"/>
      <c r="BA983" s="3"/>
      <c r="BG983" s="3"/>
      <c r="BH983" s="3"/>
    </row>
    <row r="984" spans="1:60">
      <c r="A984" s="23" t="s">
        <v>22</v>
      </c>
      <c r="B984" s="23" t="s">
        <v>25</v>
      </c>
      <c r="C984" s="27">
        <v>44231.385416666664</v>
      </c>
      <c r="D984" s="23">
        <v>47.65</v>
      </c>
      <c r="E984" s="27">
        <v>44231.5625</v>
      </c>
      <c r="F984" s="23">
        <v>48.25</v>
      </c>
      <c r="G984" s="31">
        <v>1.26E-2</v>
      </c>
      <c r="H984" s="23">
        <v>635.42999999999995</v>
      </c>
      <c r="I984" s="31">
        <v>1.26E-2</v>
      </c>
      <c r="J984" s="23">
        <v>1059.047</v>
      </c>
      <c r="K984" s="23">
        <v>50463.58</v>
      </c>
      <c r="L984" s="23">
        <v>93404.33</v>
      </c>
      <c r="M984" s="23">
        <v>18</v>
      </c>
      <c r="N984" s="23">
        <v>35.299999999999997</v>
      </c>
      <c r="O984" s="31">
        <v>-6.3E-3</v>
      </c>
      <c r="P984" s="31">
        <v>2.9399999999999999E-2</v>
      </c>
      <c r="Q984" s="23" t="s">
        <v>24</v>
      </c>
      <c r="R984" s="23">
        <v>0</v>
      </c>
      <c r="S984" s="23">
        <v>47.35</v>
      </c>
      <c r="U984" s="47">
        <f>VLOOKUP(AU984,[1]expiry_dates!$B$2:$C$2894,2,FALSE)</f>
        <v>44252</v>
      </c>
      <c r="V984" s="23" t="s">
        <v>108</v>
      </c>
      <c r="W984" s="23" t="s">
        <v>23</v>
      </c>
      <c r="X984" s="49">
        <v>44231.385416666664</v>
      </c>
      <c r="Y984" s="23">
        <v>3.35</v>
      </c>
      <c r="Z984" s="23">
        <v>44231.5625</v>
      </c>
      <c r="AA984" s="23">
        <v>2.75</v>
      </c>
      <c r="AB984" s="23">
        <v>-0.17910000000000001</v>
      </c>
      <c r="AC984" s="23">
        <v>11701.18</v>
      </c>
      <c r="AD984" s="23">
        <v>0.17910000000000001</v>
      </c>
      <c r="AE984" s="23">
        <v>19501.97</v>
      </c>
      <c r="AF984" s="23">
        <v>65331.61</v>
      </c>
      <c r="AG984" s="23">
        <v>3075603.88</v>
      </c>
      <c r="AH984" s="23">
        <v>18</v>
      </c>
      <c r="AI984" s="23">
        <v>650.07000000000005</v>
      </c>
      <c r="AJ984" s="23">
        <v>0</v>
      </c>
      <c r="AK984" s="23">
        <v>0.22389999999999999</v>
      </c>
      <c r="AL984" s="23" t="s">
        <v>24</v>
      </c>
      <c r="AM984" s="23">
        <v>47.65</v>
      </c>
      <c r="AN984" s="23">
        <v>34357.699999999997</v>
      </c>
      <c r="AO984" s="23">
        <v>47.35</v>
      </c>
      <c r="AP984" s="23">
        <v>0</v>
      </c>
      <c r="AR984" s="46"/>
      <c r="AS984" s="44"/>
      <c r="AT984" s="45"/>
      <c r="AU984" s="2">
        <v>44231</v>
      </c>
      <c r="AV984" s="52">
        <v>0.38541666666666669</v>
      </c>
      <c r="AW984" s="2" t="s">
        <v>212</v>
      </c>
      <c r="AY984" s="3"/>
      <c r="BA984" s="3"/>
      <c r="BG984" s="3"/>
      <c r="BH984" s="3"/>
    </row>
    <row r="985" spans="1:60">
      <c r="A985" s="23" t="s">
        <v>22</v>
      </c>
      <c r="B985" s="23" t="s">
        <v>23</v>
      </c>
      <c r="C985" s="27">
        <v>44231.5625</v>
      </c>
      <c r="D985" s="23">
        <v>48.25</v>
      </c>
      <c r="E985" s="27">
        <v>44231.614583333336</v>
      </c>
      <c r="F985" s="23">
        <v>48.8</v>
      </c>
      <c r="G985" s="31">
        <v>1.14E-2</v>
      </c>
      <c r="H985" s="23">
        <v>-575.28</v>
      </c>
      <c r="I985" s="31">
        <v>-1.14E-2</v>
      </c>
      <c r="J985" s="23">
        <v>1045.9649999999999</v>
      </c>
      <c r="K985" s="23">
        <v>50467.82</v>
      </c>
      <c r="L985" s="23">
        <v>92829.05</v>
      </c>
      <c r="M985" s="23">
        <v>6</v>
      </c>
      <c r="N985" s="23">
        <v>-95.88</v>
      </c>
      <c r="O985" s="31">
        <v>-1.14E-2</v>
      </c>
      <c r="P985" s="31">
        <v>2.0999999999999999E-3</v>
      </c>
      <c r="Q985" s="23" t="s">
        <v>24</v>
      </c>
      <c r="R985" s="23">
        <v>0</v>
      </c>
      <c r="S985" s="23">
        <v>49.03</v>
      </c>
      <c r="U985" s="47">
        <f>VLOOKUP(AU985,[1]expiry_dates!$B$2:$C$2894,2,FALSE)</f>
        <v>44252</v>
      </c>
      <c r="V985" s="23" t="s">
        <v>106</v>
      </c>
      <c r="W985" s="23" t="s">
        <v>23</v>
      </c>
      <c r="X985" s="49">
        <v>44231.5625</v>
      </c>
      <c r="Y985" s="23">
        <v>3.05</v>
      </c>
      <c r="Z985" s="23">
        <v>44231.614583333336</v>
      </c>
      <c r="AA985" s="23">
        <v>3.3</v>
      </c>
      <c r="AB985" s="23">
        <v>8.2000000000000003E-2</v>
      </c>
      <c r="AC985" s="23">
        <v>-5358.45</v>
      </c>
      <c r="AD985" s="23">
        <v>-8.2000000000000003E-2</v>
      </c>
      <c r="AE985" s="23">
        <v>21433.82</v>
      </c>
      <c r="AF985" s="23">
        <v>65373.14</v>
      </c>
      <c r="AG985" s="23">
        <v>3070245.42</v>
      </c>
      <c r="AH985" s="23">
        <v>6</v>
      </c>
      <c r="AI985" s="23">
        <v>-893.08</v>
      </c>
      <c r="AJ985" s="23">
        <v>-8.2000000000000003E-2</v>
      </c>
      <c r="AK985" s="23">
        <v>3.2800000000000003E-2</v>
      </c>
      <c r="AL985" s="23" t="s">
        <v>24</v>
      </c>
      <c r="AM985" s="23">
        <v>48.25</v>
      </c>
      <c r="AN985" s="23">
        <v>34941.1</v>
      </c>
      <c r="AO985" s="23">
        <v>49.03</v>
      </c>
      <c r="AP985" s="23">
        <v>0</v>
      </c>
      <c r="AR985" s="46"/>
      <c r="AS985" s="44"/>
      <c r="AT985" s="45"/>
      <c r="AU985" s="2">
        <v>44231</v>
      </c>
      <c r="AV985" s="52">
        <v>6.25E-2</v>
      </c>
      <c r="AW985" s="2" t="s">
        <v>213</v>
      </c>
      <c r="AY985" s="3"/>
      <c r="BA985" s="3"/>
      <c r="BG985" s="3"/>
      <c r="BH985" s="3"/>
    </row>
    <row r="986" spans="1:60">
      <c r="A986" s="23" t="s">
        <v>22</v>
      </c>
      <c r="B986" s="23" t="s">
        <v>25</v>
      </c>
      <c r="C986" s="27">
        <v>44231.614583333336</v>
      </c>
      <c r="D986" s="23">
        <v>48.8</v>
      </c>
      <c r="E986" s="27">
        <v>44232.427083333336</v>
      </c>
      <c r="F986" s="23">
        <v>49.2</v>
      </c>
      <c r="G986" s="31">
        <v>8.2000000000000007E-3</v>
      </c>
      <c r="H986" s="23">
        <v>413.66</v>
      </c>
      <c r="I986" s="31">
        <v>8.2000000000000007E-3</v>
      </c>
      <c r="J986" s="23">
        <v>1034.1389999999999</v>
      </c>
      <c r="K986" s="23">
        <v>50465.98</v>
      </c>
      <c r="L986" s="23">
        <v>93242.71</v>
      </c>
      <c r="M986" s="23">
        <v>11</v>
      </c>
      <c r="N986" s="23">
        <v>37.61</v>
      </c>
      <c r="O986" s="31">
        <v>-8.2000000000000007E-3</v>
      </c>
      <c r="P986" s="31">
        <v>4.1000000000000002E-2</v>
      </c>
      <c r="Q986" s="23" t="s">
        <v>24</v>
      </c>
      <c r="R986" s="23">
        <v>0</v>
      </c>
      <c r="S986" s="23">
        <v>48.18</v>
      </c>
      <c r="U986" s="47">
        <f>VLOOKUP(AU986,[1]expiry_dates!$B$2:$C$2894,2,FALSE)</f>
        <v>44252</v>
      </c>
      <c r="V986" s="23" t="s">
        <v>108</v>
      </c>
      <c r="W986" s="23" t="s">
        <v>23</v>
      </c>
      <c r="X986" s="49">
        <v>44231.614583333336</v>
      </c>
      <c r="Y986" s="23">
        <v>2.65</v>
      </c>
      <c r="Z986" s="23">
        <v>44232.427083333336</v>
      </c>
      <c r="AA986" s="23">
        <v>2.9</v>
      </c>
      <c r="AB986" s="23">
        <v>9.4299999999999995E-2</v>
      </c>
      <c r="AC986" s="23">
        <v>-6167.23</v>
      </c>
      <c r="AD986" s="23">
        <v>-9.4299999999999995E-2</v>
      </c>
      <c r="AE986" s="23">
        <v>24668.93</v>
      </c>
      <c r="AF986" s="23">
        <v>65372.66</v>
      </c>
      <c r="AG986" s="23">
        <v>3064078.19</v>
      </c>
      <c r="AH986" s="23">
        <v>11</v>
      </c>
      <c r="AI986" s="23">
        <v>-560.66</v>
      </c>
      <c r="AJ986" s="23">
        <v>-9.4299999999999995E-2</v>
      </c>
      <c r="AK986" s="23">
        <v>0.26419999999999999</v>
      </c>
      <c r="AL986" s="23" t="s">
        <v>24</v>
      </c>
      <c r="AM986" s="23">
        <v>48.8</v>
      </c>
      <c r="AN986" s="23">
        <v>35339.1</v>
      </c>
      <c r="AO986" s="23">
        <v>48.18</v>
      </c>
      <c r="AP986" s="23">
        <v>0</v>
      </c>
      <c r="AR986" s="46"/>
      <c r="AS986" s="44"/>
      <c r="AT986" s="45"/>
      <c r="AU986" s="2">
        <v>44231</v>
      </c>
      <c r="AV986" s="52">
        <v>0.11458333333333333</v>
      </c>
      <c r="AW986" s="2" t="s">
        <v>213</v>
      </c>
      <c r="AY986" s="3"/>
      <c r="BA986" s="3"/>
      <c r="BG986" s="3"/>
      <c r="BH986" s="3"/>
    </row>
    <row r="987" spans="1:60">
      <c r="A987" s="23" t="s">
        <v>22</v>
      </c>
      <c r="B987" s="23" t="s">
        <v>23</v>
      </c>
      <c r="C987" s="27">
        <v>44232.427083333336</v>
      </c>
      <c r="D987" s="23">
        <v>49.2</v>
      </c>
      <c r="E987" s="27">
        <v>44235.385416666664</v>
      </c>
      <c r="F987" s="23">
        <v>49</v>
      </c>
      <c r="G987" s="31">
        <v>-4.1000000000000003E-3</v>
      </c>
      <c r="H987" s="23">
        <v>205.15</v>
      </c>
      <c r="I987" s="31">
        <v>4.1000000000000003E-3</v>
      </c>
      <c r="J987" s="23">
        <v>1025.7570000000001</v>
      </c>
      <c r="K987" s="23">
        <v>50467.25</v>
      </c>
      <c r="L987" s="23">
        <v>93447.86</v>
      </c>
      <c r="M987" s="23">
        <v>25</v>
      </c>
      <c r="N987" s="23">
        <v>8.2100000000000009</v>
      </c>
      <c r="O987" s="31">
        <v>-1.32E-2</v>
      </c>
      <c r="P987" s="31">
        <v>2.3400000000000001E-2</v>
      </c>
      <c r="Q987" s="23" t="s">
        <v>24</v>
      </c>
      <c r="R987" s="23">
        <v>0</v>
      </c>
      <c r="S987" s="23">
        <v>50.76</v>
      </c>
      <c r="U987" s="47">
        <f>VLOOKUP(AU987,[1]expiry_dates!$B$2:$C$2894,2,FALSE)</f>
        <v>44252</v>
      </c>
      <c r="V987" s="23" t="s">
        <v>123</v>
      </c>
      <c r="W987" s="23" t="s">
        <v>23</v>
      </c>
      <c r="X987" s="49">
        <v>44232.427083333336</v>
      </c>
      <c r="Y987" s="23">
        <v>3</v>
      </c>
      <c r="Z987" s="23">
        <v>44235.385416666664</v>
      </c>
      <c r="AA987" s="23">
        <v>2.9</v>
      </c>
      <c r="AB987" s="23">
        <v>-3.3300000000000003E-2</v>
      </c>
      <c r="AC987" s="23">
        <v>2177.96</v>
      </c>
      <c r="AD987" s="23">
        <v>3.3300000000000003E-2</v>
      </c>
      <c r="AE987" s="23">
        <v>21779.63</v>
      </c>
      <c r="AF987" s="23">
        <v>65338.89</v>
      </c>
      <c r="AG987" s="23">
        <v>3066256.15</v>
      </c>
      <c r="AH987" s="23">
        <v>25</v>
      </c>
      <c r="AI987" s="23">
        <v>87.12</v>
      </c>
      <c r="AJ987" s="23">
        <v>-0.1333</v>
      </c>
      <c r="AK987" s="23">
        <v>0.16669999999999999</v>
      </c>
      <c r="AL987" s="23" t="s">
        <v>24</v>
      </c>
      <c r="AM987" s="23">
        <v>49.2</v>
      </c>
      <c r="AN987" s="23">
        <v>36212.300000000003</v>
      </c>
      <c r="AO987" s="23">
        <v>50.76</v>
      </c>
      <c r="AP987" s="23">
        <v>0</v>
      </c>
      <c r="AR987" s="46"/>
      <c r="AS987" s="44"/>
      <c r="AT987" s="45"/>
      <c r="AU987" s="2">
        <v>44232</v>
      </c>
      <c r="AV987" s="52">
        <v>0.42708333333333331</v>
      </c>
      <c r="AW987" s="2" t="s">
        <v>212</v>
      </c>
      <c r="AY987" s="3"/>
      <c r="BA987" s="3"/>
      <c r="BG987" s="3"/>
      <c r="BH987" s="3"/>
    </row>
    <row r="988" spans="1:60">
      <c r="A988" s="23" t="s">
        <v>22</v>
      </c>
      <c r="B988" s="23" t="s">
        <v>25</v>
      </c>
      <c r="C988" s="27">
        <v>44235.385416666664</v>
      </c>
      <c r="D988" s="23">
        <v>49</v>
      </c>
      <c r="E988" s="27">
        <v>44235.510416666664</v>
      </c>
      <c r="F988" s="23">
        <v>48.75</v>
      </c>
      <c r="G988" s="31">
        <v>-5.1000000000000004E-3</v>
      </c>
      <c r="H988" s="23">
        <v>-257.49</v>
      </c>
      <c r="I988" s="31">
        <v>-5.1000000000000004E-3</v>
      </c>
      <c r="J988" s="23">
        <v>1029.9490000000001</v>
      </c>
      <c r="K988" s="23">
        <v>50467.49</v>
      </c>
      <c r="L988" s="23">
        <v>93190.37</v>
      </c>
      <c r="M988" s="23">
        <v>13</v>
      </c>
      <c r="N988" s="23">
        <v>-19.809999999999999</v>
      </c>
      <c r="O988" s="31">
        <v>-6.1000000000000004E-3</v>
      </c>
      <c r="P988" s="31">
        <v>8.2000000000000007E-3</v>
      </c>
      <c r="Q988" s="23" t="s">
        <v>24</v>
      </c>
      <c r="R988" s="23">
        <v>0</v>
      </c>
      <c r="S988" s="23">
        <v>48.1</v>
      </c>
      <c r="U988" s="47">
        <f>VLOOKUP(AU988,[1]expiry_dates!$B$2:$C$2894,2,FALSE)</f>
        <v>44252</v>
      </c>
      <c r="V988" s="23" t="s">
        <v>124</v>
      </c>
      <c r="W988" s="23" t="s">
        <v>23</v>
      </c>
      <c r="X988" s="49">
        <v>44235.385416666664</v>
      </c>
      <c r="Y988" s="23">
        <v>4.05</v>
      </c>
      <c r="Z988" s="23">
        <v>44235.510416666664</v>
      </c>
      <c r="AA988" s="23">
        <v>3.9</v>
      </c>
      <c r="AB988" s="23">
        <v>-3.6999999999999998E-2</v>
      </c>
      <c r="AC988" s="23">
        <v>2420.89</v>
      </c>
      <c r="AD988" s="23">
        <v>3.6999999999999998E-2</v>
      </c>
      <c r="AE988" s="23">
        <v>16139.25</v>
      </c>
      <c r="AF988" s="23">
        <v>65363.95</v>
      </c>
      <c r="AG988" s="23">
        <v>3068677.04</v>
      </c>
      <c r="AH988" s="23">
        <v>13</v>
      </c>
      <c r="AI988" s="23">
        <v>186.22</v>
      </c>
      <c r="AJ988" s="23">
        <v>-1.23E-2</v>
      </c>
      <c r="AK988" s="23">
        <v>7.4099999999999999E-2</v>
      </c>
      <c r="AL988" s="23" t="s">
        <v>24</v>
      </c>
      <c r="AM988" s="23">
        <v>49</v>
      </c>
      <c r="AN988" s="23">
        <v>36399</v>
      </c>
      <c r="AO988" s="23">
        <v>48.1</v>
      </c>
      <c r="AP988" s="23">
        <v>0</v>
      </c>
      <c r="AR988" s="46"/>
      <c r="AS988" s="44"/>
      <c r="AT988" s="45"/>
      <c r="AU988" s="2">
        <v>44235</v>
      </c>
      <c r="AV988" s="52">
        <v>0.38541666666666669</v>
      </c>
      <c r="AW988" s="2" t="s">
        <v>212</v>
      </c>
      <c r="AY988" s="3"/>
      <c r="BA988" s="3"/>
      <c r="BG988" s="3"/>
      <c r="BH988" s="3"/>
    </row>
    <row r="989" spans="1:60">
      <c r="A989" s="23" t="s">
        <v>22</v>
      </c>
      <c r="B989" s="23" t="s">
        <v>23</v>
      </c>
      <c r="C989" s="27">
        <v>44235.510416666664</v>
      </c>
      <c r="D989" s="23">
        <v>48.75</v>
      </c>
      <c r="E989" s="27">
        <v>44235.572916666664</v>
      </c>
      <c r="F989" s="23">
        <v>49.2</v>
      </c>
      <c r="G989" s="31">
        <v>9.1999999999999998E-3</v>
      </c>
      <c r="H989" s="23">
        <v>-465.84</v>
      </c>
      <c r="I989" s="31">
        <v>-9.1999999999999998E-3</v>
      </c>
      <c r="J989" s="23">
        <v>1035.21</v>
      </c>
      <c r="K989" s="23">
        <v>50466.47</v>
      </c>
      <c r="L989" s="23">
        <v>92724.53</v>
      </c>
      <c r="M989" s="23">
        <v>7</v>
      </c>
      <c r="N989" s="23">
        <v>-66.55</v>
      </c>
      <c r="O989" s="31">
        <v>-9.1999999999999998E-3</v>
      </c>
      <c r="P989" s="31">
        <v>3.0999999999999999E-3</v>
      </c>
      <c r="Q989" s="23" t="s">
        <v>24</v>
      </c>
      <c r="R989" s="23">
        <v>0</v>
      </c>
      <c r="S989" s="23">
        <v>49.37</v>
      </c>
      <c r="U989" s="47">
        <f>VLOOKUP(AU989,[1]expiry_dates!$B$2:$C$2894,2,FALSE)</f>
        <v>44252</v>
      </c>
      <c r="V989" s="23" t="s">
        <v>123</v>
      </c>
      <c r="W989" s="23" t="s">
        <v>23</v>
      </c>
      <c r="X989" s="49">
        <v>44235.510416666664</v>
      </c>
      <c r="Y989" s="23">
        <v>2.65</v>
      </c>
      <c r="Z989" s="23">
        <v>44235.572916666664</v>
      </c>
      <c r="AA989" s="23">
        <v>3</v>
      </c>
      <c r="AB989" s="23">
        <v>0.1321</v>
      </c>
      <c r="AC989" s="23">
        <v>-8630.26</v>
      </c>
      <c r="AD989" s="23">
        <v>-0.1321</v>
      </c>
      <c r="AE989" s="23">
        <v>24657.88</v>
      </c>
      <c r="AF989" s="23">
        <v>65343.39</v>
      </c>
      <c r="AG989" s="23">
        <v>3060046.78</v>
      </c>
      <c r="AH989" s="23">
        <v>7</v>
      </c>
      <c r="AI989" s="23">
        <v>-1232.8900000000001</v>
      </c>
      <c r="AJ989" s="23">
        <v>-0.1321</v>
      </c>
      <c r="AK989" s="23">
        <v>0</v>
      </c>
      <c r="AL989" s="23" t="s">
        <v>24</v>
      </c>
      <c r="AM989" s="23">
        <v>48.75</v>
      </c>
      <c r="AN989" s="23">
        <v>35949.15</v>
      </c>
      <c r="AO989" s="23">
        <v>49.37</v>
      </c>
      <c r="AP989" s="23">
        <v>0</v>
      </c>
      <c r="AR989" s="46"/>
      <c r="AS989" s="44"/>
      <c r="AT989" s="45"/>
      <c r="AU989" s="2">
        <v>44235</v>
      </c>
      <c r="AV989" s="52">
        <v>0.51041666666666663</v>
      </c>
      <c r="AW989" s="2" t="s">
        <v>213</v>
      </c>
      <c r="AY989" s="3"/>
      <c r="BA989" s="3"/>
      <c r="BG989" s="3"/>
      <c r="BH989" s="3"/>
    </row>
    <row r="990" spans="1:60">
      <c r="A990" s="23" t="s">
        <v>22</v>
      </c>
      <c r="B990" s="23" t="s">
        <v>25</v>
      </c>
      <c r="C990" s="27">
        <v>44235.572916666664</v>
      </c>
      <c r="D990" s="23">
        <v>49.2</v>
      </c>
      <c r="E990" s="27">
        <v>44236.385416666664</v>
      </c>
      <c r="F990" s="23">
        <v>48.7</v>
      </c>
      <c r="G990" s="31">
        <v>-1.0200000000000001E-2</v>
      </c>
      <c r="H990" s="23">
        <v>-512.85</v>
      </c>
      <c r="I990" s="31">
        <v>-1.0200000000000001E-2</v>
      </c>
      <c r="J990" s="23">
        <v>1025.71</v>
      </c>
      <c r="K990" s="23">
        <v>50464.92</v>
      </c>
      <c r="L990" s="23">
        <v>92211.67</v>
      </c>
      <c r="M990" s="23">
        <v>11</v>
      </c>
      <c r="N990" s="23">
        <v>-46.62</v>
      </c>
      <c r="O990" s="31">
        <v>-1.0200000000000001E-2</v>
      </c>
      <c r="P990" s="31">
        <v>4.1000000000000003E-3</v>
      </c>
      <c r="Q990" s="23" t="s">
        <v>24</v>
      </c>
      <c r="R990" s="23">
        <v>0</v>
      </c>
      <c r="S990" s="23">
        <v>48.6</v>
      </c>
      <c r="U990" s="47">
        <f>VLOOKUP(AU990,[1]expiry_dates!$B$2:$C$2894,2,FALSE)</f>
        <v>44252</v>
      </c>
      <c r="V990" s="23" t="s">
        <v>122</v>
      </c>
      <c r="W990" s="23" t="s">
        <v>23</v>
      </c>
      <c r="X990" s="49">
        <v>44235.572916666664</v>
      </c>
      <c r="Y990" s="23">
        <v>2.9</v>
      </c>
      <c r="Z990" s="23">
        <v>44236.385416666664</v>
      </c>
      <c r="AA990" s="23">
        <v>3.15</v>
      </c>
      <c r="AB990" s="23">
        <v>8.6199999999999999E-2</v>
      </c>
      <c r="AC990" s="23">
        <v>-5631.46</v>
      </c>
      <c r="AD990" s="23">
        <v>-8.6199999999999999E-2</v>
      </c>
      <c r="AE990" s="23">
        <v>22525.82</v>
      </c>
      <c r="AF990" s="23">
        <v>65324.89</v>
      </c>
      <c r="AG990" s="23">
        <v>3054415.33</v>
      </c>
      <c r="AH990" s="23">
        <v>11</v>
      </c>
      <c r="AI990" s="23">
        <v>-511.95</v>
      </c>
      <c r="AJ990" s="23">
        <v>-8.6199999999999999E-2</v>
      </c>
      <c r="AK990" s="23">
        <v>1.72E-2</v>
      </c>
      <c r="AL990" s="23" t="s">
        <v>24</v>
      </c>
      <c r="AM990" s="23">
        <v>49.2</v>
      </c>
      <c r="AN990" s="23">
        <v>36202.5</v>
      </c>
      <c r="AO990" s="23">
        <v>48.6</v>
      </c>
      <c r="AP990" s="23">
        <v>0</v>
      </c>
      <c r="AR990" s="46"/>
      <c r="AS990" s="44"/>
      <c r="AT990" s="45"/>
      <c r="AU990" s="2">
        <v>44235</v>
      </c>
      <c r="AV990" s="52">
        <v>7.2916666666666671E-2</v>
      </c>
      <c r="AW990" s="2" t="s">
        <v>213</v>
      </c>
      <c r="AY990" s="3"/>
      <c r="BA990" s="3"/>
      <c r="BG990" s="3"/>
      <c r="BH990" s="3"/>
    </row>
    <row r="991" spans="1:60">
      <c r="A991" s="23" t="s">
        <v>22</v>
      </c>
      <c r="B991" s="23" t="s">
        <v>23</v>
      </c>
      <c r="C991" s="27">
        <v>44236.385416666664</v>
      </c>
      <c r="D991" s="23">
        <v>48.7</v>
      </c>
      <c r="E991" s="27">
        <v>44236.427083333336</v>
      </c>
      <c r="F991" s="23">
        <v>49.2</v>
      </c>
      <c r="G991" s="31">
        <v>1.03E-2</v>
      </c>
      <c r="H991" s="23">
        <v>-518.12</v>
      </c>
      <c r="I991" s="31">
        <v>-1.03E-2</v>
      </c>
      <c r="J991" s="23">
        <v>1036.2349999999999</v>
      </c>
      <c r="K991" s="23">
        <v>50464.65</v>
      </c>
      <c r="L991" s="23">
        <v>91693.55</v>
      </c>
      <c r="M991" s="23">
        <v>5</v>
      </c>
      <c r="N991" s="23">
        <v>-103.62</v>
      </c>
      <c r="O991" s="31">
        <v>-1.44E-2</v>
      </c>
      <c r="P991" s="31">
        <v>8.2000000000000007E-3</v>
      </c>
      <c r="Q991" s="23" t="s">
        <v>24</v>
      </c>
      <c r="R991" s="23">
        <v>0</v>
      </c>
      <c r="S991" s="23">
        <v>49.4</v>
      </c>
      <c r="U991" s="47">
        <f>VLOOKUP(AU991,[1]expiry_dates!$B$2:$C$2894,2,FALSE)</f>
        <v>44252</v>
      </c>
      <c r="V991" s="23" t="s">
        <v>123</v>
      </c>
      <c r="W991" s="23" t="s">
        <v>23</v>
      </c>
      <c r="X991" s="49">
        <v>44236.385416666664</v>
      </c>
      <c r="Y991" s="23">
        <v>2.5499999999999998</v>
      </c>
      <c r="Z991" s="23">
        <v>44236.427083333336</v>
      </c>
      <c r="AA991" s="23">
        <v>2.9</v>
      </c>
      <c r="AB991" s="23">
        <v>0.13730000000000001</v>
      </c>
      <c r="AC991" s="23">
        <v>-8962.7800000000007</v>
      </c>
      <c r="AD991" s="23">
        <v>-0.13730000000000001</v>
      </c>
      <c r="AE991" s="23">
        <v>25607.94</v>
      </c>
      <c r="AF991" s="23">
        <v>65300.23</v>
      </c>
      <c r="AG991" s="23">
        <v>3045452.55</v>
      </c>
      <c r="AH991" s="23">
        <v>5</v>
      </c>
      <c r="AI991" s="23">
        <v>-1792.56</v>
      </c>
      <c r="AJ991" s="23">
        <v>-0.13730000000000001</v>
      </c>
      <c r="AK991" s="23">
        <v>1.9599999999999999E-2</v>
      </c>
      <c r="AL991" s="23" t="s">
        <v>24</v>
      </c>
      <c r="AM991" s="23">
        <v>48.7</v>
      </c>
      <c r="AN991" s="23">
        <v>35794.050000000003</v>
      </c>
      <c r="AO991" s="23">
        <v>49.4</v>
      </c>
      <c r="AP991" s="23">
        <v>0</v>
      </c>
      <c r="AR991" s="46"/>
      <c r="AS991" s="44"/>
      <c r="AT991" s="45"/>
      <c r="AU991" s="2">
        <v>44236</v>
      </c>
      <c r="AV991" s="52">
        <v>0.38541666666666669</v>
      </c>
      <c r="AW991" s="2" t="s">
        <v>212</v>
      </c>
      <c r="AY991" s="3"/>
      <c r="BA991" s="3"/>
      <c r="BG991" s="3"/>
      <c r="BH991" s="3"/>
    </row>
    <row r="992" spans="1:60">
      <c r="A992" s="23" t="s">
        <v>22</v>
      </c>
      <c r="B992" s="23" t="s">
        <v>25</v>
      </c>
      <c r="C992" s="27">
        <v>44236.427083333336</v>
      </c>
      <c r="D992" s="23">
        <v>49.2</v>
      </c>
      <c r="E992" s="27">
        <v>44236.614583333336</v>
      </c>
      <c r="F992" s="23">
        <v>49.95</v>
      </c>
      <c r="G992" s="31">
        <v>1.52E-2</v>
      </c>
      <c r="H992" s="23">
        <v>769.21</v>
      </c>
      <c r="I992" s="31">
        <v>1.52E-2</v>
      </c>
      <c r="J992" s="23">
        <v>1025.6099999999999</v>
      </c>
      <c r="K992" s="23">
        <v>50460.02</v>
      </c>
      <c r="L992" s="23">
        <v>92462.76</v>
      </c>
      <c r="M992" s="23">
        <v>19</v>
      </c>
      <c r="N992" s="23">
        <v>40.479999999999997</v>
      </c>
      <c r="O992" s="31">
        <v>-1.0200000000000001E-2</v>
      </c>
      <c r="P992" s="31">
        <v>6.0999999999999999E-2</v>
      </c>
      <c r="Q992" s="23" t="s">
        <v>24</v>
      </c>
      <c r="R992" s="23">
        <v>0</v>
      </c>
      <c r="S992" s="23">
        <v>48.3</v>
      </c>
      <c r="U992" s="47">
        <f>VLOOKUP(AU992,[1]expiry_dates!$B$2:$C$2894,2,FALSE)</f>
        <v>44252</v>
      </c>
      <c r="V992" s="23" t="s">
        <v>122</v>
      </c>
      <c r="W992" s="23" t="s">
        <v>23</v>
      </c>
      <c r="X992" s="49">
        <v>44236.427083333336</v>
      </c>
      <c r="Y992" s="23">
        <v>2.9</v>
      </c>
      <c r="Z992" s="23">
        <v>44236.614583333336</v>
      </c>
      <c r="AA992" s="23">
        <v>2.4</v>
      </c>
      <c r="AB992" s="23">
        <v>-0.1724</v>
      </c>
      <c r="AC992" s="23">
        <v>11249.39</v>
      </c>
      <c r="AD992" s="23">
        <v>0.1724</v>
      </c>
      <c r="AE992" s="23">
        <v>22498.78</v>
      </c>
      <c r="AF992" s="23">
        <v>65246.47</v>
      </c>
      <c r="AG992" s="23">
        <v>3056701.94</v>
      </c>
      <c r="AH992" s="23">
        <v>19</v>
      </c>
      <c r="AI992" s="23">
        <v>592.07000000000005</v>
      </c>
      <c r="AJ992" s="23">
        <v>-5.1700000000000003E-2</v>
      </c>
      <c r="AK992" s="23">
        <v>0.44829999999999998</v>
      </c>
      <c r="AL992" s="23" t="s">
        <v>24</v>
      </c>
      <c r="AM992" s="23">
        <v>49.2</v>
      </c>
      <c r="AN992" s="23">
        <v>36046.699999999997</v>
      </c>
      <c r="AO992" s="23">
        <v>48.3</v>
      </c>
      <c r="AP992" s="23">
        <v>0</v>
      </c>
      <c r="AR992" s="46"/>
      <c r="AS992" s="44"/>
      <c r="AT992" s="45"/>
      <c r="AU992" s="2">
        <v>44236</v>
      </c>
      <c r="AV992" s="52">
        <v>0.42708333333333331</v>
      </c>
      <c r="AW992" s="2" t="s">
        <v>212</v>
      </c>
      <c r="AY992" s="3"/>
      <c r="BA992" s="3"/>
      <c r="BG992" s="3"/>
      <c r="BH992" s="3"/>
    </row>
    <row r="993" spans="1:60">
      <c r="A993" s="23" t="s">
        <v>22</v>
      </c>
      <c r="B993" s="23" t="s">
        <v>23</v>
      </c>
      <c r="C993" s="27">
        <v>44236.614583333336</v>
      </c>
      <c r="D993" s="23">
        <v>49.95</v>
      </c>
      <c r="E993" s="27">
        <v>44237.510416666664</v>
      </c>
      <c r="F993" s="23">
        <v>50.6</v>
      </c>
      <c r="G993" s="31">
        <v>1.2999999999999999E-2</v>
      </c>
      <c r="H993" s="23">
        <v>-656.74</v>
      </c>
      <c r="I993" s="31">
        <v>-1.2999999999999999E-2</v>
      </c>
      <c r="J993" s="23">
        <v>1010.375</v>
      </c>
      <c r="K993" s="23">
        <v>50468.21</v>
      </c>
      <c r="L993" s="23">
        <v>91806.02</v>
      </c>
      <c r="M993" s="23">
        <v>19</v>
      </c>
      <c r="N993" s="23">
        <v>-34.57</v>
      </c>
      <c r="O993" s="31">
        <v>-2.1999999999999999E-2</v>
      </c>
      <c r="P993" s="31">
        <v>8.9999999999999993E-3</v>
      </c>
      <c r="Q993" s="23" t="s">
        <v>24</v>
      </c>
      <c r="R993" s="23">
        <v>0</v>
      </c>
      <c r="S993" s="23">
        <v>52.2</v>
      </c>
      <c r="U993" s="47">
        <f>VLOOKUP(AU993,[1]expiry_dates!$B$2:$C$2894,2,FALSE)</f>
        <v>44252</v>
      </c>
      <c r="V993" s="23" t="s">
        <v>121</v>
      </c>
      <c r="W993" s="23" t="s">
        <v>23</v>
      </c>
      <c r="X993" s="49">
        <v>44236.614583333336</v>
      </c>
      <c r="Y993" s="23">
        <v>2.85</v>
      </c>
      <c r="Z993" s="23">
        <v>44237.510416666664</v>
      </c>
      <c r="AA993" s="23">
        <v>3.1</v>
      </c>
      <c r="AB993" s="23">
        <v>8.77E-2</v>
      </c>
      <c r="AC993" s="23">
        <v>-5730.57</v>
      </c>
      <c r="AD993" s="23">
        <v>-8.77E-2</v>
      </c>
      <c r="AE993" s="23">
        <v>22922.28</v>
      </c>
      <c r="AF993" s="23">
        <v>65328.5</v>
      </c>
      <c r="AG993" s="23">
        <v>3050971.37</v>
      </c>
      <c r="AH993" s="23">
        <v>19</v>
      </c>
      <c r="AI993" s="23">
        <v>-301.61</v>
      </c>
      <c r="AJ993" s="23">
        <v>-0.2281</v>
      </c>
      <c r="AK993" s="23">
        <v>0.1053</v>
      </c>
      <c r="AL993" s="23" t="s">
        <v>24</v>
      </c>
      <c r="AM993" s="23">
        <v>49.95</v>
      </c>
      <c r="AN993" s="23">
        <v>36160.5</v>
      </c>
      <c r="AO993" s="23">
        <v>52.2</v>
      </c>
      <c r="AP993" s="23">
        <v>0</v>
      </c>
      <c r="AR993" s="46"/>
      <c r="AS993" s="44"/>
      <c r="AT993" s="45"/>
      <c r="AU993" s="2">
        <v>44236</v>
      </c>
      <c r="AV993" s="52">
        <v>0.11458333333333333</v>
      </c>
      <c r="AW993" s="2" t="s">
        <v>213</v>
      </c>
      <c r="AY993" s="3"/>
      <c r="BA993" s="3"/>
      <c r="BG993" s="3"/>
      <c r="BH993" s="3"/>
    </row>
    <row r="994" spans="1:60">
      <c r="A994" s="23" t="s">
        <v>22</v>
      </c>
      <c r="B994" s="23" t="s">
        <v>25</v>
      </c>
      <c r="C994" s="27">
        <v>44237.510416666664</v>
      </c>
      <c r="D994" s="23">
        <v>50.6</v>
      </c>
      <c r="E994" s="27">
        <v>44237.5625</v>
      </c>
      <c r="F994" s="23">
        <v>49.85</v>
      </c>
      <c r="G994" s="31">
        <v>-1.4800000000000001E-2</v>
      </c>
      <c r="H994" s="23">
        <v>-747.92</v>
      </c>
      <c r="I994" s="31">
        <v>-1.4800000000000001E-2</v>
      </c>
      <c r="J994" s="23">
        <v>997.22910000000002</v>
      </c>
      <c r="K994" s="23">
        <v>50459.79</v>
      </c>
      <c r="L994" s="23">
        <v>91058.1</v>
      </c>
      <c r="M994" s="23">
        <v>6</v>
      </c>
      <c r="N994" s="23">
        <v>-124.65</v>
      </c>
      <c r="O994" s="31">
        <v>-1.4800000000000001E-2</v>
      </c>
      <c r="P994" s="31">
        <v>3.0000000000000001E-3</v>
      </c>
      <c r="Q994" s="23" t="s">
        <v>24</v>
      </c>
      <c r="R994" s="23">
        <v>0</v>
      </c>
      <c r="S994" s="23">
        <v>49.52</v>
      </c>
      <c r="U994" s="47">
        <f>VLOOKUP(AU994,[1]expiry_dates!$B$2:$C$2894,2,FALSE)</f>
        <v>44252</v>
      </c>
      <c r="V994" s="23" t="s">
        <v>124</v>
      </c>
      <c r="W994" s="23" t="s">
        <v>23</v>
      </c>
      <c r="X994" s="49">
        <v>44237.510416666664</v>
      </c>
      <c r="Y994" s="23">
        <v>2.65</v>
      </c>
      <c r="Z994" s="23">
        <v>44237.5625</v>
      </c>
      <c r="AA994" s="23">
        <v>3</v>
      </c>
      <c r="AB994" s="23">
        <v>0.1321</v>
      </c>
      <c r="AC994" s="23">
        <v>-8620.08</v>
      </c>
      <c r="AD994" s="23">
        <v>-0.1321</v>
      </c>
      <c r="AE994" s="23">
        <v>24628.799999999999</v>
      </c>
      <c r="AF994" s="23">
        <v>65266.32</v>
      </c>
      <c r="AG994" s="23">
        <v>3042351.29</v>
      </c>
      <c r="AH994" s="23">
        <v>6</v>
      </c>
      <c r="AI994" s="23">
        <v>-1436.68</v>
      </c>
      <c r="AJ994" s="23">
        <v>-0.1321</v>
      </c>
      <c r="AK994" s="23">
        <v>3.7699999999999997E-2</v>
      </c>
      <c r="AL994" s="23" t="s">
        <v>24</v>
      </c>
      <c r="AM994" s="23">
        <v>50.6</v>
      </c>
      <c r="AN994" s="23">
        <v>35908.400000000001</v>
      </c>
      <c r="AO994" s="23">
        <v>49.52</v>
      </c>
      <c r="AP994" s="23">
        <v>0</v>
      </c>
      <c r="AR994" s="46"/>
      <c r="AS994" s="44"/>
      <c r="AT994" s="45"/>
      <c r="AU994" s="2">
        <v>44237</v>
      </c>
      <c r="AV994" s="52">
        <v>0.51041666666666663</v>
      </c>
      <c r="AW994" s="2" t="s">
        <v>213</v>
      </c>
      <c r="AY994" s="3"/>
      <c r="BA994" s="3"/>
      <c r="BG994" s="3"/>
      <c r="BH994" s="3"/>
    </row>
    <row r="995" spans="1:60">
      <c r="A995" s="23" t="s">
        <v>22</v>
      </c>
      <c r="B995" s="23" t="s">
        <v>23</v>
      </c>
      <c r="C995" s="27">
        <v>44237.5625</v>
      </c>
      <c r="D995" s="23">
        <v>49.85</v>
      </c>
      <c r="E995" s="27">
        <v>44237.625</v>
      </c>
      <c r="F995" s="23">
        <v>50.55</v>
      </c>
      <c r="G995" s="31">
        <v>1.4E-2</v>
      </c>
      <c r="H995" s="23">
        <v>-708.51</v>
      </c>
      <c r="I995" s="31">
        <v>-1.4E-2</v>
      </c>
      <c r="J995" s="23">
        <v>1012.162</v>
      </c>
      <c r="K995" s="23">
        <v>50456.29</v>
      </c>
      <c r="L995" s="23">
        <v>90349.58</v>
      </c>
      <c r="M995" s="23">
        <v>7</v>
      </c>
      <c r="N995" s="23">
        <v>-101.22</v>
      </c>
      <c r="O995" s="31">
        <v>-1.4E-2</v>
      </c>
      <c r="P995" s="31">
        <v>3.0000000000000001E-3</v>
      </c>
      <c r="Q995" s="23" t="s">
        <v>24</v>
      </c>
      <c r="R995" s="23">
        <v>0</v>
      </c>
      <c r="S995" s="23">
        <v>50.75</v>
      </c>
      <c r="U995" s="47">
        <f>VLOOKUP(AU995,[1]expiry_dates!$B$2:$C$2894,2,FALSE)</f>
        <v>44252</v>
      </c>
      <c r="V995" s="23" t="s">
        <v>121</v>
      </c>
      <c r="W995" s="23" t="s">
        <v>23</v>
      </c>
      <c r="X995" s="49">
        <v>44237.5625</v>
      </c>
      <c r="Y995" s="23">
        <v>2.7</v>
      </c>
      <c r="Z995" s="23">
        <v>44237.625</v>
      </c>
      <c r="AA995" s="23">
        <v>3.05</v>
      </c>
      <c r="AB995" s="23">
        <v>0.12959999999999999</v>
      </c>
      <c r="AC995" s="23">
        <v>-8457.3700000000008</v>
      </c>
      <c r="AD995" s="23">
        <v>-0.12959999999999999</v>
      </c>
      <c r="AE995" s="23">
        <v>24163.9</v>
      </c>
      <c r="AF995" s="23">
        <v>65242.54</v>
      </c>
      <c r="AG995" s="23">
        <v>3033893.92</v>
      </c>
      <c r="AH995" s="23">
        <v>7</v>
      </c>
      <c r="AI995" s="23">
        <v>-1208.2</v>
      </c>
      <c r="AJ995" s="23">
        <v>-0.12959999999999999</v>
      </c>
      <c r="AK995" s="23">
        <v>1.8499999999999999E-2</v>
      </c>
      <c r="AL995" s="23" t="s">
        <v>24</v>
      </c>
      <c r="AM995" s="23">
        <v>49.85</v>
      </c>
      <c r="AN995" s="23">
        <v>35635.5</v>
      </c>
      <c r="AO995" s="23">
        <v>50.75</v>
      </c>
      <c r="AP995" s="23">
        <v>0</v>
      </c>
      <c r="AR995" s="46"/>
      <c r="AS995" s="44"/>
      <c r="AT995" s="45"/>
      <c r="AU995" s="2">
        <v>44237</v>
      </c>
      <c r="AV995" s="52">
        <v>6.25E-2</v>
      </c>
      <c r="AW995" s="2" t="s">
        <v>213</v>
      </c>
      <c r="AY995" s="3"/>
      <c r="BA995" s="3"/>
      <c r="BG995" s="3"/>
      <c r="BH995" s="3"/>
    </row>
    <row r="996" spans="1:60">
      <c r="A996" s="23" t="s">
        <v>22</v>
      </c>
      <c r="B996" s="23" t="s">
        <v>25</v>
      </c>
      <c r="C996" s="27">
        <v>44237.625</v>
      </c>
      <c r="D996" s="23">
        <v>50.55</v>
      </c>
      <c r="E996" s="27">
        <v>44239.385416666664</v>
      </c>
      <c r="F996" s="23">
        <v>51.9</v>
      </c>
      <c r="G996" s="31">
        <v>2.6700000000000002E-2</v>
      </c>
      <c r="H996" s="23">
        <v>1347.43</v>
      </c>
      <c r="I996" s="31">
        <v>2.6700000000000002E-2</v>
      </c>
      <c r="J996" s="23">
        <v>998.09640000000002</v>
      </c>
      <c r="K996" s="23">
        <v>50453.77</v>
      </c>
      <c r="L996" s="23">
        <v>91697.01</v>
      </c>
      <c r="M996" s="23">
        <v>34</v>
      </c>
      <c r="N996" s="23">
        <v>39.630000000000003</v>
      </c>
      <c r="O996" s="31">
        <v>-8.8999999999999999E-3</v>
      </c>
      <c r="P996" s="31">
        <v>4.8500000000000001E-2</v>
      </c>
      <c r="Q996" s="23" t="s">
        <v>24</v>
      </c>
      <c r="R996" s="23">
        <v>0</v>
      </c>
      <c r="S996" s="23">
        <v>49.72</v>
      </c>
      <c r="U996" s="47">
        <f>VLOOKUP(AU996,[1]expiry_dates!$B$2:$C$2894,2,FALSE)</f>
        <v>44252</v>
      </c>
      <c r="V996" s="23" t="s">
        <v>124</v>
      </c>
      <c r="W996" s="23" t="s">
        <v>23</v>
      </c>
      <c r="X996" s="49">
        <v>44237.625</v>
      </c>
      <c r="Y996" s="23">
        <v>2.6</v>
      </c>
      <c r="Z996" s="23">
        <v>44239.385416666664</v>
      </c>
      <c r="AA996" s="23">
        <v>1.9</v>
      </c>
      <c r="AB996" s="23">
        <v>-0.26919999999999999</v>
      </c>
      <c r="AC996" s="23">
        <v>17553.759999999998</v>
      </c>
      <c r="AD996" s="23">
        <v>0.26919999999999999</v>
      </c>
      <c r="AE996" s="23">
        <v>25076.799999999999</v>
      </c>
      <c r="AF996" s="23">
        <v>65199.68</v>
      </c>
      <c r="AG996" s="23">
        <v>3051447.68</v>
      </c>
      <c r="AH996" s="23">
        <v>34</v>
      </c>
      <c r="AI996" s="23">
        <v>516.29</v>
      </c>
      <c r="AJ996" s="23">
        <v>-1.9199999999999998E-2</v>
      </c>
      <c r="AK996" s="23">
        <v>0.42309999999999998</v>
      </c>
      <c r="AL996" s="23" t="s">
        <v>24</v>
      </c>
      <c r="AM996" s="23">
        <v>50.55</v>
      </c>
      <c r="AN996" s="23">
        <v>35774.25</v>
      </c>
      <c r="AO996" s="23">
        <v>49.72</v>
      </c>
      <c r="AP996" s="23">
        <v>0</v>
      </c>
      <c r="AR996" s="46"/>
      <c r="AS996" s="44"/>
      <c r="AT996" s="45"/>
      <c r="AU996" s="2">
        <v>44237</v>
      </c>
      <c r="AV996" s="52">
        <v>0.125</v>
      </c>
      <c r="AW996" s="2" t="s">
        <v>213</v>
      </c>
      <c r="AY996" s="3"/>
      <c r="BA996" s="3"/>
      <c r="BG996" s="3"/>
      <c r="BH996" s="3"/>
    </row>
    <row r="997" spans="1:60">
      <c r="A997" s="23" t="s">
        <v>22</v>
      </c>
      <c r="B997" s="23" t="s">
        <v>23</v>
      </c>
      <c r="C997" s="27">
        <v>44239.385416666664</v>
      </c>
      <c r="D997" s="23">
        <v>51.9</v>
      </c>
      <c r="E997" s="27">
        <v>44239.46875</v>
      </c>
      <c r="F997" s="23">
        <v>52.8</v>
      </c>
      <c r="G997" s="31">
        <v>1.7299999999999999E-2</v>
      </c>
      <c r="H997" s="23">
        <v>-875.08</v>
      </c>
      <c r="I997" s="31">
        <v>-1.7299999999999999E-2</v>
      </c>
      <c r="J997" s="23">
        <v>972.31650000000002</v>
      </c>
      <c r="K997" s="23">
        <v>50463.23</v>
      </c>
      <c r="L997" s="23">
        <v>90821.93</v>
      </c>
      <c r="M997" s="23">
        <v>9</v>
      </c>
      <c r="N997" s="23">
        <v>-97.23</v>
      </c>
      <c r="O997" s="31">
        <v>-2.0199999999999999E-2</v>
      </c>
      <c r="P997" s="31">
        <v>2.8999999999999998E-3</v>
      </c>
      <c r="Q997" s="23" t="s">
        <v>24</v>
      </c>
      <c r="R997" s="23">
        <v>0</v>
      </c>
      <c r="S997" s="23">
        <v>53</v>
      </c>
      <c r="U997" s="47">
        <f>VLOOKUP(AU997,[1]expiry_dates!$B$2:$C$2894,2,FALSE)</f>
        <v>44252</v>
      </c>
      <c r="V997" s="23" t="s">
        <v>125</v>
      </c>
      <c r="W997" s="23" t="s">
        <v>23</v>
      </c>
      <c r="X997" s="49">
        <v>44239.385416666664</v>
      </c>
      <c r="Y997" s="23">
        <v>2.6</v>
      </c>
      <c r="Z997" s="23">
        <v>44239.46875</v>
      </c>
      <c r="AA997" s="23">
        <v>3.05</v>
      </c>
      <c r="AB997" s="23">
        <v>0.1731</v>
      </c>
      <c r="AC997" s="23">
        <v>-11299.95</v>
      </c>
      <c r="AD997" s="23">
        <v>-0.1731</v>
      </c>
      <c r="AE997" s="23">
        <v>25110.99</v>
      </c>
      <c r="AF997" s="23">
        <v>65288.58</v>
      </c>
      <c r="AG997" s="23">
        <v>3040147.73</v>
      </c>
      <c r="AH997" s="23">
        <v>9</v>
      </c>
      <c r="AI997" s="23">
        <v>-1255.55</v>
      </c>
      <c r="AJ997" s="23">
        <v>-0.23080000000000001</v>
      </c>
      <c r="AK997" s="23">
        <v>3.85E-2</v>
      </c>
      <c r="AL997" s="23" t="s">
        <v>24</v>
      </c>
      <c r="AM997" s="23">
        <v>51.9</v>
      </c>
      <c r="AN997" s="23">
        <v>35745.300000000003</v>
      </c>
      <c r="AO997" s="23">
        <v>53</v>
      </c>
      <c r="AP997" s="23">
        <v>0</v>
      </c>
      <c r="AR997" s="46"/>
      <c r="AS997" s="44"/>
      <c r="AT997" s="45"/>
      <c r="AU997" s="2">
        <v>44239</v>
      </c>
      <c r="AV997" s="52">
        <v>0.38541666666666669</v>
      </c>
      <c r="AW997" s="2" t="s">
        <v>212</v>
      </c>
      <c r="AY997" s="3"/>
      <c r="BA997" s="3"/>
      <c r="BG997" s="3"/>
      <c r="BH997" s="3"/>
    </row>
    <row r="998" spans="1:60">
      <c r="A998" s="23" t="s">
        <v>22</v>
      </c>
      <c r="B998" s="23" t="s">
        <v>25</v>
      </c>
      <c r="C998" s="27">
        <v>44239.46875</v>
      </c>
      <c r="D998" s="23">
        <v>52.8</v>
      </c>
      <c r="E998" s="27">
        <v>44239.5625</v>
      </c>
      <c r="F998" s="23">
        <v>52.35</v>
      </c>
      <c r="G998" s="31">
        <v>-8.5000000000000006E-3</v>
      </c>
      <c r="H998" s="23">
        <v>-430.02</v>
      </c>
      <c r="I998" s="31">
        <v>-8.5000000000000006E-3</v>
      </c>
      <c r="J998" s="23">
        <v>955.59789999999998</v>
      </c>
      <c r="K998" s="23">
        <v>50455.57</v>
      </c>
      <c r="L998" s="23">
        <v>90391.91</v>
      </c>
      <c r="M998" s="23">
        <v>10</v>
      </c>
      <c r="N998" s="23">
        <v>-43</v>
      </c>
      <c r="O998" s="31">
        <v>-1.23E-2</v>
      </c>
      <c r="P998" s="31">
        <v>1.9E-3</v>
      </c>
      <c r="Q998" s="23" t="s">
        <v>24</v>
      </c>
      <c r="R998" s="23">
        <v>0</v>
      </c>
      <c r="S998" s="23">
        <v>51.77</v>
      </c>
      <c r="U998" s="47">
        <f>VLOOKUP(AU998,[1]expiry_dates!$B$2:$C$2894,2,FALSE)</f>
        <v>44252</v>
      </c>
      <c r="V998" s="23" t="s">
        <v>129</v>
      </c>
      <c r="W998" s="23" t="s">
        <v>23</v>
      </c>
      <c r="X998" s="49">
        <v>44239.46875</v>
      </c>
      <c r="Y998" s="23">
        <v>3</v>
      </c>
      <c r="Z998" s="23">
        <v>44239.5625</v>
      </c>
      <c r="AA998" s="23">
        <v>3.2</v>
      </c>
      <c r="AB998" s="23">
        <v>6.6699999999999995E-2</v>
      </c>
      <c r="AC998" s="23">
        <v>-4348.3900000000003</v>
      </c>
      <c r="AD998" s="23">
        <v>-6.6699999999999995E-2</v>
      </c>
      <c r="AE998" s="23">
        <v>21741.95</v>
      </c>
      <c r="AF998" s="23">
        <v>65225.85</v>
      </c>
      <c r="AG998" s="23">
        <v>3035799.34</v>
      </c>
      <c r="AH998" s="23">
        <v>10</v>
      </c>
      <c r="AI998" s="23">
        <v>-434.84</v>
      </c>
      <c r="AJ998" s="23">
        <v>-8.3299999999999999E-2</v>
      </c>
      <c r="AK998" s="23">
        <v>3.3300000000000003E-2</v>
      </c>
      <c r="AL998" s="23" t="s">
        <v>24</v>
      </c>
      <c r="AM998" s="23">
        <v>52.8</v>
      </c>
      <c r="AN998" s="23">
        <v>36157.599999999999</v>
      </c>
      <c r="AO998" s="23">
        <v>51.77</v>
      </c>
      <c r="AP998" s="23">
        <v>0</v>
      </c>
      <c r="AR998" s="46"/>
      <c r="AS998" s="44"/>
      <c r="AT998" s="45"/>
      <c r="AU998" s="2">
        <v>44239</v>
      </c>
      <c r="AV998" s="52">
        <v>0.46875</v>
      </c>
      <c r="AW998" s="2" t="s">
        <v>212</v>
      </c>
      <c r="AY998" s="3"/>
      <c r="BA998" s="3"/>
      <c r="BG998" s="3"/>
      <c r="BH998" s="3"/>
    </row>
    <row r="999" spans="1:60">
      <c r="A999" s="23" t="s">
        <v>22</v>
      </c>
      <c r="B999" s="23" t="s">
        <v>23</v>
      </c>
      <c r="C999" s="27">
        <v>44239.5625</v>
      </c>
      <c r="D999" s="23">
        <v>52.35</v>
      </c>
      <c r="E999" s="27">
        <v>44242.385416666664</v>
      </c>
      <c r="F999" s="23">
        <v>52.5</v>
      </c>
      <c r="G999" s="31">
        <v>2.8999999999999998E-3</v>
      </c>
      <c r="H999" s="23">
        <v>-144.56</v>
      </c>
      <c r="I999" s="31">
        <v>-2.8999999999999998E-3</v>
      </c>
      <c r="J999" s="23">
        <v>963.75699999999995</v>
      </c>
      <c r="K999" s="23">
        <v>50452.68</v>
      </c>
      <c r="L999" s="23">
        <v>90247.35</v>
      </c>
      <c r="M999" s="23">
        <v>12</v>
      </c>
      <c r="N999" s="23">
        <v>-12.05</v>
      </c>
      <c r="O999" s="31">
        <v>-4.7999999999999996E-3</v>
      </c>
      <c r="P999" s="31">
        <v>1.72E-2</v>
      </c>
      <c r="Q999" s="23" t="s">
        <v>24</v>
      </c>
      <c r="R999" s="23">
        <v>0</v>
      </c>
      <c r="S999" s="23">
        <v>52.9</v>
      </c>
      <c r="U999" s="47">
        <f>VLOOKUP(AU999,[1]expiry_dates!$B$2:$C$2894,2,FALSE)</f>
        <v>44252</v>
      </c>
      <c r="V999" s="23" t="s">
        <v>125</v>
      </c>
      <c r="W999" s="23" t="s">
        <v>23</v>
      </c>
      <c r="X999" s="49">
        <v>44239.5625</v>
      </c>
      <c r="Y999" s="23">
        <v>2.75</v>
      </c>
      <c r="Z999" s="23">
        <v>44242.385416666664</v>
      </c>
      <c r="AA999" s="23">
        <v>2.75</v>
      </c>
      <c r="AB999" s="23">
        <v>0</v>
      </c>
      <c r="AC999" s="23">
        <v>0</v>
      </c>
      <c r="AD999" s="23">
        <v>0</v>
      </c>
      <c r="AE999" s="23">
        <v>23707.38</v>
      </c>
      <c r="AF999" s="23">
        <v>65195.3</v>
      </c>
      <c r="AG999" s="23">
        <v>3035799.34</v>
      </c>
      <c r="AH999" s="23">
        <v>12</v>
      </c>
      <c r="AI999" s="23">
        <v>0</v>
      </c>
      <c r="AJ999" s="23">
        <v>-3.6400000000000002E-2</v>
      </c>
      <c r="AK999" s="23">
        <v>0.14549999999999999</v>
      </c>
      <c r="AL999" s="23" t="s">
        <v>24</v>
      </c>
      <c r="AM999" s="23">
        <v>52.35</v>
      </c>
      <c r="AN999" s="23">
        <v>36155.800000000003</v>
      </c>
      <c r="AO999" s="23">
        <v>52.9</v>
      </c>
      <c r="AP999" s="23">
        <v>0</v>
      </c>
      <c r="AR999" s="46"/>
      <c r="AS999" s="44"/>
      <c r="AT999" s="45"/>
      <c r="AU999" s="2">
        <v>44239</v>
      </c>
      <c r="AV999" s="52">
        <v>6.25E-2</v>
      </c>
      <c r="AW999" s="2" t="s">
        <v>213</v>
      </c>
      <c r="AY999" s="3"/>
      <c r="BA999" s="3"/>
      <c r="BG999" s="3"/>
      <c r="BH999" s="3"/>
    </row>
    <row r="1000" spans="1:60">
      <c r="A1000" s="23" t="s">
        <v>22</v>
      </c>
      <c r="B1000" s="23" t="s">
        <v>25</v>
      </c>
      <c r="C1000" s="27">
        <v>44242.385416666664</v>
      </c>
      <c r="D1000" s="23">
        <v>52.5</v>
      </c>
      <c r="E1000" s="27">
        <v>44243.40625</v>
      </c>
      <c r="F1000" s="23">
        <v>53.3</v>
      </c>
      <c r="G1000" s="31">
        <v>1.52E-2</v>
      </c>
      <c r="H1000" s="23">
        <v>768.77</v>
      </c>
      <c r="I1000" s="31">
        <v>1.52E-2</v>
      </c>
      <c r="J1000" s="23">
        <v>960.96669999999995</v>
      </c>
      <c r="K1000" s="23">
        <v>50450.75</v>
      </c>
      <c r="L1000" s="23">
        <v>91016.12</v>
      </c>
      <c r="M1000" s="23">
        <v>31</v>
      </c>
      <c r="N1000" s="23">
        <v>24.8</v>
      </c>
      <c r="O1000" s="31">
        <v>-9.4999999999999998E-3</v>
      </c>
      <c r="P1000" s="31">
        <v>0.04</v>
      </c>
      <c r="Q1000" s="23" t="s">
        <v>24</v>
      </c>
      <c r="R1000" s="23">
        <v>0</v>
      </c>
      <c r="S1000" s="23">
        <v>51.52</v>
      </c>
      <c r="U1000" s="47">
        <f>VLOOKUP(AU1000,[1]expiry_dates!$B$2:$C$2894,2,FALSE)</f>
        <v>44252</v>
      </c>
      <c r="V1000" s="23" t="s">
        <v>129</v>
      </c>
      <c r="W1000" s="23" t="s">
        <v>23</v>
      </c>
      <c r="X1000" s="49">
        <v>44242.385416666664</v>
      </c>
      <c r="Y1000" s="23">
        <v>2.85</v>
      </c>
      <c r="Z1000" s="23">
        <v>44243.40625</v>
      </c>
      <c r="AA1000" s="23">
        <v>2.25</v>
      </c>
      <c r="AB1000" s="23">
        <v>-0.21049999999999999</v>
      </c>
      <c r="AC1000" s="23">
        <v>13726.89</v>
      </c>
      <c r="AD1000" s="23">
        <v>0.21049999999999999</v>
      </c>
      <c r="AE1000" s="23">
        <v>22878.14</v>
      </c>
      <c r="AF1000" s="23">
        <v>65202.7</v>
      </c>
      <c r="AG1000" s="23">
        <v>3049526.23</v>
      </c>
      <c r="AH1000" s="23">
        <v>31</v>
      </c>
      <c r="AI1000" s="23">
        <v>442.8</v>
      </c>
      <c r="AJ1000" s="23">
        <v>-0.1053</v>
      </c>
      <c r="AK1000" s="23">
        <v>0.38600000000000001</v>
      </c>
      <c r="AL1000" s="23" t="s">
        <v>24</v>
      </c>
      <c r="AM1000" s="23">
        <v>52.5</v>
      </c>
      <c r="AN1000" s="23">
        <v>36814.550000000003</v>
      </c>
      <c r="AO1000" s="23">
        <v>51.52</v>
      </c>
      <c r="AP1000" s="23">
        <v>0</v>
      </c>
      <c r="AR1000" s="46"/>
      <c r="AS1000" s="44"/>
      <c r="AT1000" s="45"/>
      <c r="AU1000" s="2">
        <v>44242</v>
      </c>
      <c r="AV1000" s="52">
        <v>0.38541666666666669</v>
      </c>
      <c r="AW1000" s="2" t="s">
        <v>212</v>
      </c>
      <c r="AY1000" s="3"/>
      <c r="BA1000" s="3"/>
      <c r="BG1000" s="3"/>
      <c r="BH1000" s="3"/>
    </row>
    <row r="1001" spans="1:60">
      <c r="A1001" s="23" t="s">
        <v>22</v>
      </c>
      <c r="B1001" s="23" t="s">
        <v>23</v>
      </c>
      <c r="C1001" s="27">
        <v>44243.40625</v>
      </c>
      <c r="D1001" s="23">
        <v>53.3</v>
      </c>
      <c r="E1001" s="27">
        <v>44243.604166666664</v>
      </c>
      <c r="F1001" s="23">
        <v>53.8</v>
      </c>
      <c r="G1001" s="31">
        <v>9.4000000000000004E-3</v>
      </c>
      <c r="H1001" s="23">
        <v>-473.35</v>
      </c>
      <c r="I1001" s="31">
        <v>-9.4000000000000004E-3</v>
      </c>
      <c r="J1001" s="23">
        <v>946.7056</v>
      </c>
      <c r="K1001" s="23">
        <v>50459.41</v>
      </c>
      <c r="L1001" s="23">
        <v>90542.77</v>
      </c>
      <c r="M1001" s="23">
        <v>20</v>
      </c>
      <c r="N1001" s="23">
        <v>-23.67</v>
      </c>
      <c r="O1001" s="31">
        <v>-1.6899999999999998E-2</v>
      </c>
      <c r="P1001" s="31">
        <v>1.1299999999999999E-2</v>
      </c>
      <c r="Q1001" s="23" t="s">
        <v>24</v>
      </c>
      <c r="R1001" s="23">
        <v>0</v>
      </c>
      <c r="S1001" s="23">
        <v>54.57</v>
      </c>
      <c r="U1001" s="47">
        <f>VLOOKUP(AU1001,[1]expiry_dates!$B$2:$C$2894,2,FALSE)</f>
        <v>44252</v>
      </c>
      <c r="V1001" s="23" t="s">
        <v>127</v>
      </c>
      <c r="W1001" s="23" t="s">
        <v>23</v>
      </c>
      <c r="X1001" s="49">
        <v>44243.40625</v>
      </c>
      <c r="Y1001" s="23">
        <v>2.4</v>
      </c>
      <c r="Z1001" s="23">
        <v>44243.604166666664</v>
      </c>
      <c r="AA1001" s="23">
        <v>2.5499999999999998</v>
      </c>
      <c r="AB1001" s="23">
        <v>6.25E-2</v>
      </c>
      <c r="AC1001" s="23">
        <v>-4080.84</v>
      </c>
      <c r="AD1001" s="23">
        <v>-6.25E-2</v>
      </c>
      <c r="AE1001" s="23">
        <v>27205.58</v>
      </c>
      <c r="AF1001" s="23">
        <v>65293.39</v>
      </c>
      <c r="AG1001" s="23">
        <v>3045445.39</v>
      </c>
      <c r="AH1001" s="23">
        <v>20</v>
      </c>
      <c r="AI1001" s="23">
        <v>-204.04</v>
      </c>
      <c r="AJ1001" s="23">
        <v>-0.20830000000000001</v>
      </c>
      <c r="AK1001" s="23">
        <v>0.14580000000000001</v>
      </c>
      <c r="AL1001" s="23" t="s">
        <v>24</v>
      </c>
      <c r="AM1001" s="23">
        <v>53.3</v>
      </c>
      <c r="AN1001" s="23">
        <v>37296</v>
      </c>
      <c r="AO1001" s="23">
        <v>54.57</v>
      </c>
      <c r="AP1001" s="23">
        <v>0</v>
      </c>
      <c r="AR1001" s="46"/>
      <c r="AS1001" s="44"/>
      <c r="AT1001" s="45"/>
      <c r="AU1001" s="2">
        <v>44243</v>
      </c>
      <c r="AV1001" s="52">
        <v>0.40625</v>
      </c>
      <c r="AW1001" s="2" t="s">
        <v>212</v>
      </c>
      <c r="AY1001" s="3"/>
      <c r="BA1001" s="3"/>
      <c r="BG1001" s="3"/>
      <c r="BH1001" s="3"/>
    </row>
    <row r="1002" spans="1:60">
      <c r="A1002" s="23" t="s">
        <v>22</v>
      </c>
      <c r="B1002" s="23" t="s">
        <v>25</v>
      </c>
      <c r="C1002" s="27">
        <v>44243.604166666664</v>
      </c>
      <c r="D1002" s="23">
        <v>53.8</v>
      </c>
      <c r="E1002" s="27">
        <v>44245.385416666664</v>
      </c>
      <c r="F1002" s="23">
        <v>56.25</v>
      </c>
      <c r="G1002" s="31">
        <v>4.5499999999999999E-2</v>
      </c>
      <c r="H1002" s="23">
        <v>2297.66</v>
      </c>
      <c r="I1002" s="31">
        <v>4.5499999999999999E-2</v>
      </c>
      <c r="J1002" s="23">
        <v>937.82240000000002</v>
      </c>
      <c r="K1002" s="23">
        <v>50454.84</v>
      </c>
      <c r="L1002" s="23">
        <v>92840.43</v>
      </c>
      <c r="M1002" s="23">
        <v>36</v>
      </c>
      <c r="N1002" s="23">
        <v>63.82</v>
      </c>
      <c r="O1002" s="31">
        <v>-1.67E-2</v>
      </c>
      <c r="P1002" s="31">
        <v>6.88E-2</v>
      </c>
      <c r="Q1002" s="23" t="s">
        <v>24</v>
      </c>
      <c r="R1002" s="23">
        <v>0</v>
      </c>
      <c r="S1002" s="23">
        <v>52.75</v>
      </c>
      <c r="U1002" s="47">
        <f>VLOOKUP(AU1002,[1]expiry_dates!$B$2:$C$2894,2,FALSE)</f>
        <v>44252</v>
      </c>
      <c r="V1002" s="23" t="s">
        <v>133</v>
      </c>
      <c r="W1002" s="23" t="s">
        <v>23</v>
      </c>
      <c r="X1002" s="49">
        <v>44243.604166666664</v>
      </c>
      <c r="Y1002" s="23">
        <v>2.4500000000000002</v>
      </c>
      <c r="Z1002" s="23">
        <v>44245.385416666664</v>
      </c>
      <c r="AA1002" s="23">
        <v>1.05</v>
      </c>
      <c r="AB1002" s="23">
        <v>-0.57140000000000002</v>
      </c>
      <c r="AC1002" s="23">
        <v>37284.36</v>
      </c>
      <c r="AD1002" s="23">
        <v>0.57140000000000002</v>
      </c>
      <c r="AE1002" s="23">
        <v>26631.69</v>
      </c>
      <c r="AF1002" s="23">
        <v>65247.63</v>
      </c>
      <c r="AG1002" s="23">
        <v>3082729.75</v>
      </c>
      <c r="AH1002" s="23">
        <v>36</v>
      </c>
      <c r="AI1002" s="23">
        <v>1035.68</v>
      </c>
      <c r="AJ1002" s="23">
        <v>-2.0400000000000001E-2</v>
      </c>
      <c r="AK1002" s="23">
        <v>0.69389999999999996</v>
      </c>
      <c r="AL1002" s="23" t="s">
        <v>24</v>
      </c>
      <c r="AM1002" s="23">
        <v>53.8</v>
      </c>
      <c r="AN1002" s="23">
        <v>37044</v>
      </c>
      <c r="AO1002" s="23">
        <v>52.75</v>
      </c>
      <c r="AP1002" s="23">
        <v>0</v>
      </c>
      <c r="AR1002" s="46"/>
      <c r="AS1002" s="44"/>
      <c r="AT1002" s="45"/>
      <c r="AU1002" s="2">
        <v>44243</v>
      </c>
      <c r="AV1002" s="52">
        <v>0.10416666666666667</v>
      </c>
      <c r="AW1002" s="2" t="s">
        <v>213</v>
      </c>
      <c r="AY1002" s="3"/>
      <c r="BA1002" s="3"/>
      <c r="BG1002" s="3"/>
      <c r="BH1002" s="3"/>
    </row>
    <row r="1003" spans="1:60">
      <c r="A1003" s="23" t="s">
        <v>22</v>
      </c>
      <c r="B1003" s="23" t="s">
        <v>23</v>
      </c>
      <c r="C1003" s="27">
        <v>44245.385416666664</v>
      </c>
      <c r="D1003" s="23">
        <v>56.25</v>
      </c>
      <c r="E1003" s="27">
        <v>44245.40625</v>
      </c>
      <c r="F1003" s="23">
        <v>57.2</v>
      </c>
      <c r="G1003" s="31">
        <v>1.6899999999999998E-2</v>
      </c>
      <c r="H1003" s="23">
        <v>-852.33</v>
      </c>
      <c r="I1003" s="31">
        <v>-1.6899999999999998E-2</v>
      </c>
      <c r="J1003" s="23">
        <v>897.18719999999996</v>
      </c>
      <c r="K1003" s="23">
        <v>50466.78</v>
      </c>
      <c r="L1003" s="23">
        <v>91988.1</v>
      </c>
      <c r="M1003" s="23">
        <v>3</v>
      </c>
      <c r="N1003" s="23">
        <v>-284.11</v>
      </c>
      <c r="O1003" s="31">
        <v>-1.6899999999999998E-2</v>
      </c>
      <c r="P1003" s="31">
        <v>6.1999999999999998E-3</v>
      </c>
      <c r="Q1003" s="23" t="s">
        <v>24</v>
      </c>
      <c r="R1003" s="23">
        <v>0</v>
      </c>
      <c r="S1003" s="23">
        <v>57.5</v>
      </c>
      <c r="U1003" s="47">
        <f>VLOOKUP(AU1003,[1]expiry_dates!$B$2:$C$2894,2,FALSE)</f>
        <v>44252</v>
      </c>
      <c r="V1003" s="23" t="s">
        <v>132</v>
      </c>
      <c r="W1003" s="23" t="s">
        <v>23</v>
      </c>
      <c r="X1003" s="49">
        <v>44245.385416666664</v>
      </c>
      <c r="Y1003" s="23">
        <v>2.0499999999999998</v>
      </c>
      <c r="Z1003" s="23">
        <v>44245.40625</v>
      </c>
      <c r="AA1003" s="23">
        <v>2.5</v>
      </c>
      <c r="AB1003" s="23">
        <v>0.2195</v>
      </c>
      <c r="AC1003" s="23">
        <v>-14362.02</v>
      </c>
      <c r="AD1003" s="23">
        <v>-0.2195</v>
      </c>
      <c r="AE1003" s="23">
        <v>31915.59</v>
      </c>
      <c r="AF1003" s="23">
        <v>65426.96</v>
      </c>
      <c r="AG1003" s="23">
        <v>3068367.74</v>
      </c>
      <c r="AH1003" s="23">
        <v>3</v>
      </c>
      <c r="AI1003" s="23">
        <v>-4787.34</v>
      </c>
      <c r="AJ1003" s="23">
        <v>-0.26829999999999998</v>
      </c>
      <c r="AK1003" s="23">
        <v>7.3200000000000001E-2</v>
      </c>
      <c r="AL1003" s="23" t="s">
        <v>24</v>
      </c>
      <c r="AM1003" s="23">
        <v>56.25</v>
      </c>
      <c r="AN1003" s="23">
        <v>36837.199999999997</v>
      </c>
      <c r="AO1003" s="23">
        <v>57.5</v>
      </c>
      <c r="AP1003" s="23">
        <v>0</v>
      </c>
      <c r="AR1003" s="46"/>
      <c r="AS1003" s="44"/>
      <c r="AT1003" s="45"/>
      <c r="AU1003" s="2">
        <v>44245</v>
      </c>
      <c r="AV1003" s="52">
        <v>0.38541666666666669</v>
      </c>
      <c r="AW1003" s="2" t="s">
        <v>212</v>
      </c>
      <c r="AY1003" s="3"/>
      <c r="BA1003" s="3"/>
      <c r="BG1003" s="3"/>
      <c r="BH1003" s="3"/>
    </row>
    <row r="1004" spans="1:60">
      <c r="A1004" s="23" t="s">
        <v>22</v>
      </c>
      <c r="B1004" s="23" t="s">
        <v>25</v>
      </c>
      <c r="C1004" s="27">
        <v>44245.40625</v>
      </c>
      <c r="D1004" s="23">
        <v>57.2</v>
      </c>
      <c r="E1004" s="27">
        <v>44245.572916666664</v>
      </c>
      <c r="F1004" s="23">
        <v>57.7</v>
      </c>
      <c r="G1004" s="31">
        <v>8.6999999999999994E-3</v>
      </c>
      <c r="H1004" s="23">
        <v>441.09</v>
      </c>
      <c r="I1004" s="31">
        <v>8.6999999999999994E-3</v>
      </c>
      <c r="J1004" s="23">
        <v>882.17849999999999</v>
      </c>
      <c r="K1004" s="23">
        <v>50460.61</v>
      </c>
      <c r="L1004" s="23">
        <v>92429.19</v>
      </c>
      <c r="M1004" s="23">
        <v>17</v>
      </c>
      <c r="N1004" s="23">
        <v>25.95</v>
      </c>
      <c r="O1004" s="31">
        <v>-5.1999999999999998E-3</v>
      </c>
      <c r="P1004" s="31">
        <v>2.9700000000000001E-2</v>
      </c>
      <c r="Q1004" s="23" t="s">
        <v>24</v>
      </c>
      <c r="R1004" s="23">
        <v>0</v>
      </c>
      <c r="S1004" s="23">
        <v>55.96</v>
      </c>
      <c r="U1004" s="47">
        <f>VLOOKUP(AU1004,[1]expiry_dates!$B$2:$C$2894,2,FALSE)</f>
        <v>44252</v>
      </c>
      <c r="V1004" s="23" t="s">
        <v>183</v>
      </c>
      <c r="W1004" s="23" t="s">
        <v>23</v>
      </c>
      <c r="X1004" s="49">
        <v>44245.40625</v>
      </c>
      <c r="Y1004" s="23">
        <v>2.0499999999999998</v>
      </c>
      <c r="Z1004" s="23">
        <v>44245.572916666664</v>
      </c>
      <c r="AA1004" s="23">
        <v>1.8</v>
      </c>
      <c r="AB1004" s="23">
        <v>-0.122</v>
      </c>
      <c r="AC1004" s="23">
        <v>7968.52</v>
      </c>
      <c r="AD1004" s="23">
        <v>0.122</v>
      </c>
      <c r="AE1004" s="23">
        <v>31874.07</v>
      </c>
      <c r="AF1004" s="23">
        <v>65341.84</v>
      </c>
      <c r="AG1004" s="23">
        <v>3076336.25</v>
      </c>
      <c r="AH1004" s="23">
        <v>17</v>
      </c>
      <c r="AI1004" s="23">
        <v>468.74</v>
      </c>
      <c r="AJ1004" s="23">
        <v>-2.4400000000000002E-2</v>
      </c>
      <c r="AK1004" s="23">
        <v>0.3659</v>
      </c>
      <c r="AL1004" s="23" t="s">
        <v>24</v>
      </c>
      <c r="AM1004" s="23">
        <v>57.2</v>
      </c>
      <c r="AN1004" s="23">
        <v>36900.9</v>
      </c>
      <c r="AO1004" s="23">
        <v>55.96</v>
      </c>
      <c r="AP1004" s="23">
        <v>0</v>
      </c>
      <c r="AR1004" s="46"/>
      <c r="AS1004" s="44"/>
      <c r="AT1004" s="45"/>
      <c r="AU1004" s="2">
        <v>44245</v>
      </c>
      <c r="AV1004" s="52">
        <v>0.40625</v>
      </c>
      <c r="AW1004" s="2" t="s">
        <v>212</v>
      </c>
      <c r="AY1004" s="3"/>
      <c r="BA1004" s="3"/>
      <c r="BG1004" s="3"/>
      <c r="BH1004" s="3"/>
    </row>
    <row r="1005" spans="1:60">
      <c r="A1005" s="23" t="s">
        <v>22</v>
      </c>
      <c r="B1005" s="23" t="s">
        <v>23</v>
      </c>
      <c r="C1005" s="27">
        <v>44245.572916666664</v>
      </c>
      <c r="D1005" s="23">
        <v>57.7</v>
      </c>
      <c r="E1005" s="27">
        <v>44246.385416666664</v>
      </c>
      <c r="F1005" s="23">
        <v>57.7</v>
      </c>
      <c r="G1005" s="31">
        <v>0</v>
      </c>
      <c r="H1005" s="23">
        <v>0</v>
      </c>
      <c r="I1005" s="31">
        <v>0</v>
      </c>
      <c r="J1005" s="23">
        <v>874.5797</v>
      </c>
      <c r="K1005" s="23">
        <v>50463.25</v>
      </c>
      <c r="L1005" s="23">
        <v>92429.19</v>
      </c>
      <c r="M1005" s="23">
        <v>11</v>
      </c>
      <c r="N1005" s="23">
        <v>0</v>
      </c>
      <c r="O1005" s="31">
        <v>-1.5599999999999999E-2</v>
      </c>
      <c r="P1005" s="31">
        <v>2.5999999999999999E-3</v>
      </c>
      <c r="Q1005" s="23" t="s">
        <v>24</v>
      </c>
      <c r="R1005" s="23">
        <v>0</v>
      </c>
      <c r="S1005" s="23">
        <v>58.85</v>
      </c>
      <c r="U1005" s="47">
        <f>VLOOKUP(AU1005,[1]expiry_dates!$B$2:$C$2894,2,FALSE)</f>
        <v>44252</v>
      </c>
      <c r="V1005" s="23" t="s">
        <v>184</v>
      </c>
      <c r="W1005" s="23" t="s">
        <v>23</v>
      </c>
      <c r="X1005" s="49">
        <v>44245.572916666664</v>
      </c>
      <c r="Y1005" s="23">
        <v>1.95</v>
      </c>
      <c r="Z1005" s="23">
        <v>44246.385416666664</v>
      </c>
      <c r="AA1005" s="23">
        <v>1.7</v>
      </c>
      <c r="AB1005" s="23">
        <v>-0.12820000000000001</v>
      </c>
      <c r="AC1005" s="23">
        <v>8385.33</v>
      </c>
      <c r="AD1005" s="23">
        <v>0.12820000000000001</v>
      </c>
      <c r="AE1005" s="23">
        <v>33541.32</v>
      </c>
      <c r="AF1005" s="23">
        <v>65405.58</v>
      </c>
      <c r="AG1005" s="23">
        <v>3084721.58</v>
      </c>
      <c r="AH1005" s="23">
        <v>11</v>
      </c>
      <c r="AI1005" s="23">
        <v>762.3</v>
      </c>
      <c r="AJ1005" s="23">
        <v>-0.17949999999999999</v>
      </c>
      <c r="AK1005" s="23">
        <v>0.12820000000000001</v>
      </c>
      <c r="AL1005" s="23" t="s">
        <v>24</v>
      </c>
      <c r="AM1005" s="23">
        <v>57.7</v>
      </c>
      <c r="AN1005" s="23">
        <v>36414.300000000003</v>
      </c>
      <c r="AO1005" s="23">
        <v>58.85</v>
      </c>
      <c r="AP1005" s="23">
        <v>0</v>
      </c>
      <c r="AR1005" s="46"/>
      <c r="AS1005" s="44"/>
      <c r="AT1005" s="45"/>
      <c r="AU1005" s="2">
        <v>44245</v>
      </c>
      <c r="AV1005" s="52">
        <v>7.2916666666666671E-2</v>
      </c>
      <c r="AW1005" s="2" t="s">
        <v>213</v>
      </c>
      <c r="AY1005" s="3"/>
      <c r="BA1005" s="3"/>
      <c r="BG1005" s="3"/>
      <c r="BH1005" s="3"/>
    </row>
    <row r="1006" spans="1:60">
      <c r="A1006" s="23" t="s">
        <v>22</v>
      </c>
      <c r="B1006" s="23" t="s">
        <v>25</v>
      </c>
      <c r="C1006" s="27">
        <v>44246.385416666664</v>
      </c>
      <c r="D1006" s="23">
        <v>57.7</v>
      </c>
      <c r="E1006" s="27">
        <v>44246.583333333336</v>
      </c>
      <c r="F1006" s="23">
        <v>60.8</v>
      </c>
      <c r="G1006" s="31">
        <v>5.3699999999999998E-2</v>
      </c>
      <c r="H1006" s="23">
        <v>2710.95</v>
      </c>
      <c r="I1006" s="31">
        <v>5.3699999999999998E-2</v>
      </c>
      <c r="J1006" s="23">
        <v>874.49990000000003</v>
      </c>
      <c r="K1006" s="23">
        <v>50458.65</v>
      </c>
      <c r="L1006" s="23">
        <v>95140.14</v>
      </c>
      <c r="M1006" s="23">
        <v>20</v>
      </c>
      <c r="N1006" s="23">
        <v>135.55000000000001</v>
      </c>
      <c r="O1006" s="31">
        <v>-1.6999999999999999E-3</v>
      </c>
      <c r="P1006" s="31">
        <v>0.15770000000000001</v>
      </c>
      <c r="Q1006" s="23" t="s">
        <v>24</v>
      </c>
      <c r="R1006" s="23">
        <v>0</v>
      </c>
      <c r="S1006" s="23">
        <v>57.63</v>
      </c>
      <c r="U1006" s="47">
        <f>VLOOKUP(AU1006,[1]expiry_dates!$B$2:$C$2894,2,FALSE)</f>
        <v>44252</v>
      </c>
      <c r="V1006" s="23" t="s">
        <v>185</v>
      </c>
      <c r="W1006" s="23" t="s">
        <v>23</v>
      </c>
      <c r="X1006" s="49">
        <v>44246.385416666664</v>
      </c>
      <c r="Y1006" s="23">
        <v>2.15</v>
      </c>
      <c r="Z1006" s="23">
        <v>44246.583333333336</v>
      </c>
      <c r="AA1006" s="23">
        <v>0.8</v>
      </c>
      <c r="AB1006" s="23">
        <v>-0.62790000000000001</v>
      </c>
      <c r="AC1006" s="23">
        <v>41069.410000000003</v>
      </c>
      <c r="AD1006" s="23">
        <v>0.62790000000000001</v>
      </c>
      <c r="AE1006" s="23">
        <v>30421.78</v>
      </c>
      <c r="AF1006" s="23">
        <v>65406.84</v>
      </c>
      <c r="AG1006" s="23">
        <v>3125790.99</v>
      </c>
      <c r="AH1006" s="23">
        <v>20</v>
      </c>
      <c r="AI1006" s="23">
        <v>2053.4699999999998</v>
      </c>
      <c r="AJ1006" s="23">
        <v>-0.39529999999999998</v>
      </c>
      <c r="AK1006" s="23">
        <v>0.88370000000000004</v>
      </c>
      <c r="AL1006" s="23" t="s">
        <v>24</v>
      </c>
      <c r="AM1006" s="23">
        <v>57.7</v>
      </c>
      <c r="AN1006" s="23">
        <v>36151.1</v>
      </c>
      <c r="AO1006" s="23">
        <v>57.63</v>
      </c>
      <c r="AP1006" s="23">
        <v>0</v>
      </c>
      <c r="AR1006" s="46"/>
      <c r="AS1006" s="44"/>
      <c r="AT1006" s="45"/>
      <c r="AU1006" s="2">
        <v>44246</v>
      </c>
      <c r="AV1006" s="52">
        <v>0.38541666666666669</v>
      </c>
      <c r="AW1006" s="2" t="s">
        <v>212</v>
      </c>
      <c r="AY1006" s="3"/>
      <c r="BA1006" s="3"/>
      <c r="BG1006" s="3"/>
      <c r="BH1006" s="3"/>
    </row>
    <row r="1007" spans="1:60">
      <c r="A1007" s="23" t="s">
        <v>22</v>
      </c>
      <c r="B1007" s="23" t="s">
        <v>23</v>
      </c>
      <c r="C1007" s="27">
        <v>44246.583333333336</v>
      </c>
      <c r="D1007" s="23">
        <v>60.8</v>
      </c>
      <c r="E1007" s="27">
        <v>44249.4375</v>
      </c>
      <c r="F1007" s="23">
        <v>62.8</v>
      </c>
      <c r="G1007" s="31">
        <v>3.2899999999999999E-2</v>
      </c>
      <c r="H1007" s="23">
        <v>-1660.68</v>
      </c>
      <c r="I1007" s="31">
        <v>-3.2899999999999999E-2</v>
      </c>
      <c r="J1007" s="23">
        <v>830.33989999999994</v>
      </c>
      <c r="K1007" s="23">
        <v>50484.66</v>
      </c>
      <c r="L1007" s="23">
        <v>93479.46</v>
      </c>
      <c r="M1007" s="23">
        <v>15</v>
      </c>
      <c r="N1007" s="23">
        <v>-110.71</v>
      </c>
      <c r="O1007" s="31">
        <v>-5.0200000000000002E-2</v>
      </c>
      <c r="P1007" s="31">
        <v>1.6000000000000001E-3</v>
      </c>
      <c r="Q1007" s="23" t="s">
        <v>24</v>
      </c>
      <c r="R1007" s="23">
        <v>0</v>
      </c>
      <c r="S1007" s="23">
        <v>66.58</v>
      </c>
      <c r="U1007" s="47">
        <f>VLOOKUP(AU1007,[1]expiry_dates!$B$2:$C$2894,2,FALSE)</f>
        <v>44252</v>
      </c>
      <c r="V1007" s="23" t="s">
        <v>186</v>
      </c>
      <c r="W1007" s="23" t="s">
        <v>23</v>
      </c>
      <c r="X1007" s="49">
        <v>44246.583333333336</v>
      </c>
      <c r="Y1007" s="23">
        <v>2</v>
      </c>
      <c r="Z1007" s="23">
        <v>44249.4375</v>
      </c>
      <c r="AA1007" s="23">
        <v>3.05</v>
      </c>
      <c r="AB1007" s="23">
        <v>0.52500000000000002</v>
      </c>
      <c r="AC1007" s="23">
        <v>-34479.160000000003</v>
      </c>
      <c r="AD1007" s="23">
        <v>-0.52500000000000002</v>
      </c>
      <c r="AE1007" s="23">
        <v>32837.29</v>
      </c>
      <c r="AF1007" s="23">
        <v>65674.59</v>
      </c>
      <c r="AG1007" s="23">
        <v>3091311.83</v>
      </c>
      <c r="AH1007" s="23">
        <v>15</v>
      </c>
      <c r="AI1007" s="23">
        <v>-2298.61</v>
      </c>
      <c r="AJ1007" s="23">
        <v>-0.875</v>
      </c>
      <c r="AK1007" s="23">
        <v>2.5000000000000001E-2</v>
      </c>
      <c r="AL1007" s="23" t="s">
        <v>24</v>
      </c>
      <c r="AM1007" s="23">
        <v>60.8</v>
      </c>
      <c r="AN1007" s="23">
        <v>35683.5</v>
      </c>
      <c r="AO1007" s="23">
        <v>66.58</v>
      </c>
      <c r="AP1007" s="23">
        <v>0</v>
      </c>
      <c r="AR1007" s="46"/>
      <c r="AS1007" s="44"/>
      <c r="AT1007" s="45"/>
      <c r="AU1007" s="2">
        <v>44246</v>
      </c>
      <c r="AV1007" s="52">
        <v>8.3333333333333329E-2</v>
      </c>
      <c r="AW1007" s="2" t="s">
        <v>213</v>
      </c>
      <c r="AY1007" s="3"/>
      <c r="BA1007" s="3"/>
      <c r="BG1007" s="3"/>
      <c r="BH1007" s="3"/>
    </row>
    <row r="1008" spans="1:60">
      <c r="A1008" s="23" t="s">
        <v>22</v>
      </c>
      <c r="B1008" s="23" t="s">
        <v>25</v>
      </c>
      <c r="C1008" s="27">
        <v>44249.4375</v>
      </c>
      <c r="D1008" s="23">
        <v>62.8</v>
      </c>
      <c r="E1008" s="27">
        <v>44249.510416666664</v>
      </c>
      <c r="F1008" s="23">
        <v>62.25</v>
      </c>
      <c r="G1008" s="31">
        <v>-8.8000000000000005E-3</v>
      </c>
      <c r="H1008" s="23">
        <v>-441.98</v>
      </c>
      <c r="I1008" s="31">
        <v>-8.8000000000000005E-3</v>
      </c>
      <c r="J1008" s="23">
        <v>803.60440000000006</v>
      </c>
      <c r="K1008" s="23">
        <v>50466.36</v>
      </c>
      <c r="L1008" s="23">
        <v>93037.48</v>
      </c>
      <c r="M1008" s="23">
        <v>8</v>
      </c>
      <c r="N1008" s="23">
        <v>-55.25</v>
      </c>
      <c r="O1008" s="31">
        <v>-9.5999999999999992E-3</v>
      </c>
      <c r="P1008" s="31">
        <v>1.35E-2</v>
      </c>
      <c r="Q1008" s="23" t="s">
        <v>24</v>
      </c>
      <c r="R1008" s="23">
        <v>0</v>
      </c>
      <c r="S1008" s="23">
        <v>60.76</v>
      </c>
      <c r="U1008" s="47">
        <f>VLOOKUP(AU1008,[1]expiry_dates!$B$2:$C$2894,2,FALSE)</f>
        <v>44252</v>
      </c>
      <c r="V1008" s="23" t="s">
        <v>187</v>
      </c>
      <c r="W1008" s="23" t="s">
        <v>23</v>
      </c>
      <c r="X1008" s="49">
        <v>44249.4375</v>
      </c>
      <c r="Y1008" s="23">
        <v>2.25</v>
      </c>
      <c r="Z1008" s="23">
        <v>44249.510416666664</v>
      </c>
      <c r="AA1008" s="23">
        <v>2.7</v>
      </c>
      <c r="AB1008" s="23">
        <v>0.2</v>
      </c>
      <c r="AC1008" s="23">
        <v>-13089.67</v>
      </c>
      <c r="AD1008" s="23">
        <v>-0.2</v>
      </c>
      <c r="AE1008" s="23">
        <v>29088.16</v>
      </c>
      <c r="AF1008" s="23">
        <v>65448.35</v>
      </c>
      <c r="AG1008" s="23">
        <v>3078222.16</v>
      </c>
      <c r="AH1008" s="23">
        <v>8</v>
      </c>
      <c r="AI1008" s="23">
        <v>-1636.21</v>
      </c>
      <c r="AJ1008" s="23">
        <v>-0.2</v>
      </c>
      <c r="AK1008" s="23">
        <v>0.15559999999999999</v>
      </c>
      <c r="AL1008" s="23" t="s">
        <v>24</v>
      </c>
      <c r="AM1008" s="23">
        <v>62.8</v>
      </c>
      <c r="AN1008" s="23">
        <v>35805.199999999997</v>
      </c>
      <c r="AO1008" s="23">
        <v>60.76</v>
      </c>
      <c r="AP1008" s="23">
        <v>0</v>
      </c>
      <c r="AR1008" s="46"/>
      <c r="AS1008" s="44"/>
      <c r="AT1008" s="45"/>
      <c r="AU1008" s="2">
        <v>44249</v>
      </c>
      <c r="AV1008" s="52">
        <v>0.4375</v>
      </c>
      <c r="AW1008" s="2" t="s">
        <v>212</v>
      </c>
      <c r="AY1008" s="3"/>
      <c r="BA1008" s="3"/>
      <c r="BG1008" s="3"/>
      <c r="BH1008" s="3"/>
    </row>
    <row r="1009" spans="1:60">
      <c r="A1009" s="23" t="s">
        <v>22</v>
      </c>
      <c r="B1009" s="23" t="s">
        <v>23</v>
      </c>
      <c r="C1009" s="27">
        <v>44249.510416666664</v>
      </c>
      <c r="D1009" s="23">
        <v>62.25</v>
      </c>
      <c r="E1009" s="27">
        <v>44250.385416666664</v>
      </c>
      <c r="F1009" s="23">
        <v>62.55</v>
      </c>
      <c r="G1009" s="31">
        <v>4.7999999999999996E-3</v>
      </c>
      <c r="H1009" s="23">
        <v>-243.21</v>
      </c>
      <c r="I1009" s="31">
        <v>-4.7999999999999996E-3</v>
      </c>
      <c r="J1009" s="23">
        <v>810.68899999999996</v>
      </c>
      <c r="K1009" s="23">
        <v>50465.39</v>
      </c>
      <c r="L1009" s="23">
        <v>92794.27</v>
      </c>
      <c r="M1009" s="23">
        <v>17</v>
      </c>
      <c r="N1009" s="23">
        <v>-14.31</v>
      </c>
      <c r="O1009" s="31">
        <v>-7.1999999999999998E-3</v>
      </c>
      <c r="P1009" s="31">
        <v>2.4899999999999999E-2</v>
      </c>
      <c r="Q1009" s="23" t="s">
        <v>24</v>
      </c>
      <c r="R1009" s="23">
        <v>0</v>
      </c>
      <c r="S1009" s="23">
        <v>63.65</v>
      </c>
      <c r="U1009" s="47">
        <f>VLOOKUP(AU1009,[1]expiry_dates!$B$2:$C$2894,2,FALSE)</f>
        <v>44252</v>
      </c>
      <c r="V1009" s="23" t="s">
        <v>188</v>
      </c>
      <c r="W1009" s="23" t="s">
        <v>23</v>
      </c>
      <c r="X1009" s="49">
        <v>44249.510416666664</v>
      </c>
      <c r="Y1009" s="23">
        <v>2.15</v>
      </c>
      <c r="Z1009" s="23">
        <v>44250.385416666664</v>
      </c>
      <c r="AA1009" s="23">
        <v>1.85</v>
      </c>
      <c r="AB1009" s="23">
        <v>-0.13950000000000001</v>
      </c>
      <c r="AC1009" s="23">
        <v>9128.4</v>
      </c>
      <c r="AD1009" s="23">
        <v>0.13950000000000001</v>
      </c>
      <c r="AE1009" s="23">
        <v>30428</v>
      </c>
      <c r="AF1009" s="23">
        <v>65420.2</v>
      </c>
      <c r="AG1009" s="23">
        <v>3087350.56</v>
      </c>
      <c r="AH1009" s="23">
        <v>17</v>
      </c>
      <c r="AI1009" s="23">
        <v>536.96</v>
      </c>
      <c r="AJ1009" s="23">
        <v>-0.1163</v>
      </c>
      <c r="AK1009" s="23">
        <v>0.39529999999999998</v>
      </c>
      <c r="AL1009" s="23" t="s">
        <v>24</v>
      </c>
      <c r="AM1009" s="23">
        <v>62.25</v>
      </c>
      <c r="AN1009" s="23">
        <v>35560.699999999997</v>
      </c>
      <c r="AO1009" s="23">
        <v>63.65</v>
      </c>
      <c r="AP1009" s="23">
        <v>0</v>
      </c>
      <c r="AR1009" s="46"/>
      <c r="AS1009" s="44"/>
      <c r="AT1009" s="45"/>
      <c r="AU1009" s="2">
        <v>44249</v>
      </c>
      <c r="AV1009" s="52">
        <v>0.51041666666666663</v>
      </c>
      <c r="AW1009" s="2" t="s">
        <v>213</v>
      </c>
      <c r="AY1009" s="3"/>
      <c r="BA1009" s="3"/>
      <c r="BG1009" s="3"/>
      <c r="BH1009" s="3"/>
    </row>
    <row r="1010" spans="1:60">
      <c r="A1010" s="23" t="s">
        <v>22</v>
      </c>
      <c r="B1010" s="23" t="s">
        <v>25</v>
      </c>
      <c r="C1010" s="27">
        <v>44250.385416666664</v>
      </c>
      <c r="D1010" s="23">
        <v>62.55</v>
      </c>
      <c r="E1010" s="27">
        <v>44250.489583333336</v>
      </c>
      <c r="F1010" s="23">
        <v>62.4</v>
      </c>
      <c r="G1010" s="31">
        <v>-2.3999999999999998E-3</v>
      </c>
      <c r="H1010" s="23">
        <v>-121.03</v>
      </c>
      <c r="I1010" s="31">
        <v>-2.3999999999999998E-3</v>
      </c>
      <c r="J1010" s="23">
        <v>806.85270000000003</v>
      </c>
      <c r="K1010" s="23">
        <v>50468.63</v>
      </c>
      <c r="L1010" s="23">
        <v>92673.25</v>
      </c>
      <c r="M1010" s="23">
        <v>11</v>
      </c>
      <c r="N1010" s="23">
        <v>-11</v>
      </c>
      <c r="O1010" s="31">
        <v>-1.44E-2</v>
      </c>
      <c r="P1010" s="31">
        <v>1.2800000000000001E-2</v>
      </c>
      <c r="Q1010" s="23" t="s">
        <v>24</v>
      </c>
      <c r="R1010" s="23">
        <v>0</v>
      </c>
      <c r="S1010" s="23">
        <v>60.78</v>
      </c>
      <c r="U1010" s="47">
        <f>VLOOKUP(AU1010,[1]expiry_dates!$B$2:$C$2894,2,FALSE)</f>
        <v>44252</v>
      </c>
      <c r="V1010" s="23" t="s">
        <v>187</v>
      </c>
      <c r="W1010" s="23" t="s">
        <v>23</v>
      </c>
      <c r="X1010" s="49">
        <v>44250.385416666664</v>
      </c>
      <c r="Y1010" s="23">
        <v>2.0499999999999998</v>
      </c>
      <c r="Z1010" s="23">
        <v>44250.489583333336</v>
      </c>
      <c r="AA1010" s="23">
        <v>2</v>
      </c>
      <c r="AB1010" s="23">
        <v>-2.4400000000000002E-2</v>
      </c>
      <c r="AC1010" s="23">
        <v>1598.06</v>
      </c>
      <c r="AD1010" s="23">
        <v>2.4400000000000002E-2</v>
      </c>
      <c r="AE1010" s="23">
        <v>31961.19</v>
      </c>
      <c r="AF1010" s="23">
        <v>65520.43</v>
      </c>
      <c r="AG1010" s="23">
        <v>3088948.62</v>
      </c>
      <c r="AH1010" s="23">
        <v>11</v>
      </c>
      <c r="AI1010" s="23">
        <v>145.28</v>
      </c>
      <c r="AJ1010" s="23">
        <v>-0.17069999999999999</v>
      </c>
      <c r="AK1010" s="23">
        <v>0.24390000000000001</v>
      </c>
      <c r="AL1010" s="23" t="s">
        <v>24</v>
      </c>
      <c r="AM1010" s="23">
        <v>62.55</v>
      </c>
      <c r="AN1010" s="23">
        <v>35406.449999999997</v>
      </c>
      <c r="AO1010" s="23">
        <v>60.78</v>
      </c>
      <c r="AP1010" s="23">
        <v>0</v>
      </c>
      <c r="AR1010" s="46"/>
      <c r="AS1010" s="44"/>
      <c r="AT1010" s="45"/>
      <c r="AU1010" s="2">
        <v>44250</v>
      </c>
      <c r="AV1010" s="52">
        <v>0.38541666666666669</v>
      </c>
      <c r="AW1010" s="2" t="s">
        <v>212</v>
      </c>
      <c r="AY1010" s="3"/>
      <c r="BA1010" s="3"/>
      <c r="BG1010" s="3"/>
      <c r="BH1010" s="3"/>
    </row>
    <row r="1011" spans="1:60">
      <c r="A1011" s="23" t="s">
        <v>22</v>
      </c>
      <c r="B1011" s="23" t="s">
        <v>23</v>
      </c>
      <c r="C1011" s="27">
        <v>44250.489583333336</v>
      </c>
      <c r="D1011" s="23">
        <v>62.4</v>
      </c>
      <c r="E1011" s="27">
        <v>44251.40625</v>
      </c>
      <c r="F1011" s="23">
        <v>62.05</v>
      </c>
      <c r="G1011" s="31">
        <v>-5.5999999999999999E-3</v>
      </c>
      <c r="H1011" s="23">
        <v>283.04000000000002</v>
      </c>
      <c r="I1011" s="31">
        <v>5.5999999999999999E-3</v>
      </c>
      <c r="J1011" s="23">
        <v>808.67219999999998</v>
      </c>
      <c r="K1011" s="23">
        <v>50461.15</v>
      </c>
      <c r="L1011" s="23">
        <v>92956.28</v>
      </c>
      <c r="M1011" s="23">
        <v>21</v>
      </c>
      <c r="N1011" s="23">
        <v>13.48</v>
      </c>
      <c r="O1011" s="31">
        <v>-8.0000000000000004E-4</v>
      </c>
      <c r="P1011" s="31">
        <v>2.0799999999999999E-2</v>
      </c>
      <c r="Q1011" s="23" t="s">
        <v>24</v>
      </c>
      <c r="R1011" s="23">
        <v>0</v>
      </c>
      <c r="S1011" s="23">
        <v>63.29</v>
      </c>
      <c r="U1011" s="47">
        <f>VLOOKUP(AU1011,[1]expiry_dates!$B$2:$C$2894,2,FALSE)</f>
        <v>44252</v>
      </c>
      <c r="V1011" s="23" t="s">
        <v>188</v>
      </c>
      <c r="W1011" s="23" t="s">
        <v>23</v>
      </c>
      <c r="X1011" s="49">
        <v>44250.489583333336</v>
      </c>
      <c r="Y1011" s="23">
        <v>1.7</v>
      </c>
      <c r="Z1011" s="23">
        <v>44251.40625</v>
      </c>
      <c r="AA1011" s="23">
        <v>1.05</v>
      </c>
      <c r="AB1011" s="23">
        <v>-0.38240000000000002</v>
      </c>
      <c r="AC1011" s="23">
        <v>25004.66</v>
      </c>
      <c r="AD1011" s="23">
        <v>0.38240000000000002</v>
      </c>
      <c r="AE1011" s="23">
        <v>38468.71</v>
      </c>
      <c r="AF1011" s="23">
        <v>65396.800000000003</v>
      </c>
      <c r="AG1011" s="23">
        <v>3113953.2799999998</v>
      </c>
      <c r="AH1011" s="23">
        <v>21</v>
      </c>
      <c r="AI1011" s="23">
        <v>1190.7</v>
      </c>
      <c r="AJ1011" s="23">
        <v>0</v>
      </c>
      <c r="AK1011" s="23">
        <v>0.55879999999999996</v>
      </c>
      <c r="AL1011" s="23" t="s">
        <v>24</v>
      </c>
      <c r="AM1011" s="23">
        <v>62.4</v>
      </c>
      <c r="AN1011" s="23">
        <v>35276.1</v>
      </c>
      <c r="AO1011" s="23">
        <v>63.29</v>
      </c>
      <c r="AP1011" s="23">
        <v>0</v>
      </c>
      <c r="AR1011" s="46"/>
      <c r="AS1011" s="44"/>
      <c r="AT1011" s="45"/>
      <c r="AU1011" s="2">
        <v>44250</v>
      </c>
      <c r="AV1011" s="52">
        <v>0.48958333333333331</v>
      </c>
      <c r="AW1011" s="2" t="s">
        <v>212</v>
      </c>
      <c r="AY1011" s="3"/>
      <c r="BA1011" s="3"/>
      <c r="BG1011" s="3"/>
      <c r="BH1011" s="3"/>
    </row>
    <row r="1012" spans="1:60">
      <c r="A1012" s="23" t="s">
        <v>22</v>
      </c>
      <c r="B1012" s="23" t="s">
        <v>25</v>
      </c>
      <c r="C1012" s="27">
        <v>44251.40625</v>
      </c>
      <c r="D1012" s="23">
        <v>62.05</v>
      </c>
      <c r="E1012" s="27">
        <v>44251.5625</v>
      </c>
      <c r="F1012" s="23">
        <v>61.400010000000002</v>
      </c>
      <c r="G1012" s="31">
        <v>-1.0500000000000001E-2</v>
      </c>
      <c r="H1012" s="23">
        <v>-528.65</v>
      </c>
      <c r="I1012" s="31">
        <v>-1.0500000000000001E-2</v>
      </c>
      <c r="J1012" s="23">
        <v>813.30200000000002</v>
      </c>
      <c r="K1012" s="23">
        <v>50465.39</v>
      </c>
      <c r="L1012" s="23">
        <v>92427.64</v>
      </c>
      <c r="M1012" s="23">
        <v>9</v>
      </c>
      <c r="N1012" s="23">
        <v>-58.74</v>
      </c>
      <c r="O1012" s="31">
        <v>-1.0500000000000001E-2</v>
      </c>
      <c r="P1012" s="31">
        <v>1.1299999999999999E-2</v>
      </c>
      <c r="Q1012" s="23" t="s">
        <v>24</v>
      </c>
      <c r="R1012" s="23">
        <v>0</v>
      </c>
      <c r="S1012" s="23">
        <v>61.15</v>
      </c>
      <c r="U1012" s="47">
        <f>VLOOKUP(AU1012,[1]expiry_dates!$B$2:$C$2894,2,FALSE)</f>
        <v>44252</v>
      </c>
      <c r="V1012" s="23" t="s">
        <v>189</v>
      </c>
      <c r="W1012" s="23" t="s">
        <v>23</v>
      </c>
      <c r="X1012" s="49">
        <v>44251.40625</v>
      </c>
      <c r="Y1012" s="23">
        <v>1.25</v>
      </c>
      <c r="Z1012" s="23">
        <v>44251.5625</v>
      </c>
      <c r="AA1012" s="23">
        <v>0.9</v>
      </c>
      <c r="AB1012" s="23">
        <v>-0.28000000000000003</v>
      </c>
      <c r="AC1012" s="23">
        <v>18359.53</v>
      </c>
      <c r="AD1012" s="23">
        <v>0.28000000000000003</v>
      </c>
      <c r="AE1012" s="23">
        <v>52455.81</v>
      </c>
      <c r="AF1012" s="23">
        <v>65569.77</v>
      </c>
      <c r="AG1012" s="23">
        <v>3132312.82</v>
      </c>
      <c r="AH1012" s="23">
        <v>9</v>
      </c>
      <c r="AI1012" s="23">
        <v>2039.95</v>
      </c>
      <c r="AJ1012" s="23">
        <v>-0.04</v>
      </c>
      <c r="AK1012" s="23">
        <v>0.36</v>
      </c>
      <c r="AL1012" s="23" t="s">
        <v>24</v>
      </c>
      <c r="AM1012" s="23">
        <v>62.05</v>
      </c>
      <c r="AN1012" s="23">
        <v>35471.25</v>
      </c>
      <c r="AO1012" s="23">
        <v>61.15</v>
      </c>
      <c r="AP1012" s="23">
        <v>0</v>
      </c>
      <c r="AR1012" s="46"/>
      <c r="AS1012" s="44"/>
      <c r="AT1012" s="45"/>
      <c r="AU1012" s="2">
        <v>44251</v>
      </c>
      <c r="AV1012" s="52">
        <v>0.40625</v>
      </c>
      <c r="AW1012" s="2" t="s">
        <v>212</v>
      </c>
      <c r="AY1012" s="3"/>
      <c r="BA1012" s="3"/>
      <c r="BG1012" s="3"/>
      <c r="BH1012" s="3"/>
    </row>
    <row r="1013" spans="1:60" s="17" customFormat="1">
      <c r="A1013" s="24" t="s">
        <v>22</v>
      </c>
      <c r="B1013" s="24" t="s">
        <v>23</v>
      </c>
      <c r="C1013" s="28">
        <v>44251.5625</v>
      </c>
      <c r="D1013" s="24">
        <v>61.4</v>
      </c>
      <c r="E1013" s="28">
        <v>44252.385416666664</v>
      </c>
      <c r="F1013" s="24">
        <v>65.45</v>
      </c>
      <c r="G1013" s="32">
        <v>6.6000000000000003E-2</v>
      </c>
      <c r="H1013" s="24">
        <v>-3328.74</v>
      </c>
      <c r="I1013" s="32">
        <v>-6.6000000000000003E-2</v>
      </c>
      <c r="J1013" s="24">
        <v>821.91189999999995</v>
      </c>
      <c r="K1013" s="24">
        <v>50465.39</v>
      </c>
      <c r="L1013" s="24">
        <v>89098.89</v>
      </c>
      <c r="M1013" s="24">
        <v>11</v>
      </c>
      <c r="N1013" s="24">
        <v>-302.61</v>
      </c>
      <c r="O1013" s="32">
        <v>-6.6000000000000003E-2</v>
      </c>
      <c r="P1013" s="32">
        <v>0</v>
      </c>
      <c r="Q1013" s="24" t="s">
        <v>24</v>
      </c>
      <c r="R1013" s="24">
        <v>0</v>
      </c>
      <c r="S1013" s="24">
        <v>62.75</v>
      </c>
      <c r="U1013" s="47" t="e">
        <f>VLOOKUP(AU1013,[1]expiry_dates!$B$2:$C$2894,2,FALSE)</f>
        <v>#N/A</v>
      </c>
      <c r="V1013" s="24"/>
      <c r="W1013" s="24"/>
      <c r="X1013" s="50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/>
      <c r="AK1013" s="24"/>
      <c r="AL1013" s="24"/>
      <c r="AM1013" s="24"/>
      <c r="AN1013" s="24"/>
      <c r="AO1013" s="24"/>
      <c r="AP1013" s="24"/>
      <c r="AR1013" s="46"/>
      <c r="AS1013" s="44"/>
      <c r="AT1013" s="45"/>
      <c r="AU1013" s="18"/>
      <c r="AW1013" s="18"/>
      <c r="AY1013" s="19"/>
      <c r="BA1013" s="19"/>
      <c r="BG1013" s="19"/>
      <c r="BH1013" s="19"/>
    </row>
    <row r="1014" spans="1:60">
      <c r="A1014" s="23" t="s">
        <v>22</v>
      </c>
      <c r="B1014" s="23" t="s">
        <v>25</v>
      </c>
      <c r="C1014" s="27">
        <v>44252.385416666664</v>
      </c>
      <c r="D1014" s="23">
        <v>65.45</v>
      </c>
      <c r="E1014" s="27">
        <v>44252.583333333336</v>
      </c>
      <c r="F1014" s="23">
        <v>64.650000000000006</v>
      </c>
      <c r="G1014" s="31">
        <v>-1.2200000000000001E-2</v>
      </c>
      <c r="H1014" s="23">
        <v>-616.62</v>
      </c>
      <c r="I1014" s="31">
        <v>-1.2200000000000001E-2</v>
      </c>
      <c r="J1014" s="23">
        <v>770.78</v>
      </c>
      <c r="K1014" s="23">
        <v>50447.55</v>
      </c>
      <c r="L1014" s="23">
        <v>88482.27</v>
      </c>
      <c r="M1014" s="23">
        <v>20</v>
      </c>
      <c r="N1014" s="23">
        <v>-30.83</v>
      </c>
      <c r="O1014" s="31">
        <v>-1.6E-2</v>
      </c>
      <c r="P1014" s="31">
        <v>5.3E-3</v>
      </c>
      <c r="Q1014" s="23" t="s">
        <v>24</v>
      </c>
      <c r="R1014" s="23">
        <v>0</v>
      </c>
      <c r="S1014" s="23">
        <v>62.28</v>
      </c>
      <c r="U1014" s="47">
        <f>VLOOKUP(AU1014,[1]expiry_dates!$B$2:$C$2894,2,FALSE)</f>
        <v>44252</v>
      </c>
      <c r="V1014" s="23" t="s">
        <v>190</v>
      </c>
      <c r="W1014" s="23" t="s">
        <v>23</v>
      </c>
      <c r="X1014" s="49">
        <v>44252.385416666664</v>
      </c>
      <c r="Y1014" s="23">
        <v>0.35</v>
      </c>
      <c r="Z1014" s="23">
        <v>44252.583333333336</v>
      </c>
      <c r="AA1014" s="23">
        <v>0.15</v>
      </c>
      <c r="AB1014" s="23">
        <v>-0.57140000000000002</v>
      </c>
      <c r="AC1014" s="23">
        <v>37520.89</v>
      </c>
      <c r="AD1014" s="23">
        <v>0.57140000000000002</v>
      </c>
      <c r="AE1014" s="23">
        <v>187604.5</v>
      </c>
      <c r="AF1014" s="23">
        <v>65661.56</v>
      </c>
      <c r="AG1014" s="23">
        <v>3169833.71</v>
      </c>
      <c r="AH1014" s="23">
        <v>20</v>
      </c>
      <c r="AI1014" s="23">
        <v>1876.04</v>
      </c>
      <c r="AJ1014" s="23">
        <v>-0.71430000000000005</v>
      </c>
      <c r="AK1014" s="23">
        <v>0.57140000000000002</v>
      </c>
      <c r="AL1014" s="23" t="s">
        <v>24</v>
      </c>
      <c r="AM1014" s="23">
        <v>65.45</v>
      </c>
      <c r="AN1014" s="23">
        <v>37141.699999999997</v>
      </c>
      <c r="AO1014" s="23">
        <v>62.28</v>
      </c>
      <c r="AP1014" s="23">
        <v>0</v>
      </c>
      <c r="AR1014" s="46"/>
      <c r="AS1014" s="44"/>
      <c r="AT1014" s="45"/>
      <c r="AU1014" s="2">
        <v>44252</v>
      </c>
      <c r="AV1014" s="52">
        <v>0.38541666666666669</v>
      </c>
      <c r="AW1014" s="2" t="s">
        <v>212</v>
      </c>
      <c r="AY1014" s="3"/>
      <c r="BA1014" s="3"/>
      <c r="BG1014" s="3"/>
      <c r="BH1014" s="3"/>
    </row>
    <row r="1015" spans="1:60">
      <c r="A1015" s="23" t="s">
        <v>22</v>
      </c>
      <c r="B1015" s="23" t="s">
        <v>23</v>
      </c>
      <c r="C1015" s="27">
        <v>44252.583333333336</v>
      </c>
      <c r="D1015" s="23">
        <v>64.650000000000006</v>
      </c>
      <c r="E1015" s="27">
        <v>44252.6875</v>
      </c>
      <c r="F1015" s="23">
        <v>64.7</v>
      </c>
      <c r="G1015" s="31">
        <v>8.0000000000000004E-4</v>
      </c>
      <c r="H1015" s="23">
        <v>-39.01</v>
      </c>
      <c r="I1015" s="31">
        <v>-8.0000000000000004E-4</v>
      </c>
      <c r="J1015" s="23">
        <v>780.24130000000002</v>
      </c>
      <c r="K1015" s="23">
        <v>50442.6</v>
      </c>
      <c r="L1015" s="23">
        <v>88443.26</v>
      </c>
      <c r="M1015" s="23">
        <v>8</v>
      </c>
      <c r="N1015" s="23">
        <v>-4.88</v>
      </c>
      <c r="O1015" s="31">
        <v>-5.4000000000000003E-3</v>
      </c>
      <c r="P1015" s="31">
        <v>3.0999999999999999E-3</v>
      </c>
      <c r="Q1015" s="23" t="s">
        <v>24</v>
      </c>
      <c r="R1015" s="23">
        <v>0</v>
      </c>
      <c r="S1015" s="23">
        <v>65.75</v>
      </c>
      <c r="U1015" s="47">
        <f>VLOOKUP(AU1015,[1]expiry_dates!$B$2:$C$2894,2,FALSE)</f>
        <v>44252</v>
      </c>
      <c r="V1015" s="23" t="s">
        <v>191</v>
      </c>
      <c r="W1015" s="23" t="s">
        <v>23</v>
      </c>
      <c r="X1015" s="49">
        <v>44252.583333333336</v>
      </c>
      <c r="Y1015" s="23">
        <v>0.25</v>
      </c>
      <c r="Z1015" s="23">
        <v>44252.6875</v>
      </c>
      <c r="AA1015" s="23">
        <v>0.05</v>
      </c>
      <c r="AB1015" s="23">
        <v>-0.8</v>
      </c>
      <c r="AC1015" s="23">
        <v>52641.81</v>
      </c>
      <c r="AD1015" s="23">
        <v>0.8</v>
      </c>
      <c r="AE1015" s="23">
        <v>263209.09999999998</v>
      </c>
      <c r="AF1015" s="23">
        <v>65802.27</v>
      </c>
      <c r="AG1015" s="23">
        <v>3222475.52</v>
      </c>
      <c r="AH1015" s="23">
        <v>8</v>
      </c>
      <c r="AI1015" s="23">
        <v>6580.23</v>
      </c>
      <c r="AJ1015" s="23">
        <v>-0.6</v>
      </c>
      <c r="AK1015" s="23">
        <v>0.8</v>
      </c>
      <c r="AL1015" s="23" t="s">
        <v>24</v>
      </c>
      <c r="AM1015" s="23">
        <v>64.650000000000006</v>
      </c>
      <c r="AN1015" s="23">
        <v>36704.699999999997</v>
      </c>
      <c r="AO1015" s="23">
        <v>65.75</v>
      </c>
      <c r="AP1015" s="23">
        <v>0</v>
      </c>
      <c r="AR1015" s="46"/>
      <c r="AS1015" s="44"/>
      <c r="AT1015" s="45"/>
      <c r="AU1015" s="2">
        <v>44252</v>
      </c>
      <c r="AV1015" s="52">
        <v>8.3333333333333329E-2</v>
      </c>
      <c r="AW1015" s="2" t="s">
        <v>213</v>
      </c>
      <c r="AY1015" s="3"/>
      <c r="BA1015" s="3"/>
      <c r="BG1015" s="3"/>
      <c r="BH1015" s="3"/>
    </row>
    <row r="1016" spans="1:60">
      <c r="A1016" s="23" t="s">
        <v>22</v>
      </c>
      <c r="B1016" s="23" t="s">
        <v>23</v>
      </c>
      <c r="C1016" s="27">
        <v>44253.385416666664</v>
      </c>
      <c r="D1016" s="23">
        <v>63.55</v>
      </c>
      <c r="E1016" s="27">
        <v>44253.5625</v>
      </c>
      <c r="F1016" s="23">
        <v>63.5</v>
      </c>
      <c r="G1016" s="31">
        <v>-8.0000000000000004E-4</v>
      </c>
      <c r="H1016" s="23">
        <v>39.69</v>
      </c>
      <c r="I1016" s="31">
        <v>8.0000000000000004E-4</v>
      </c>
      <c r="J1016" s="23">
        <v>793.74059999999997</v>
      </c>
      <c r="K1016" s="23">
        <v>50442.21</v>
      </c>
      <c r="L1016" s="23">
        <v>88482.94</v>
      </c>
      <c r="M1016" s="23">
        <v>18</v>
      </c>
      <c r="N1016" s="23">
        <v>2.2000000000000002</v>
      </c>
      <c r="O1016" s="31">
        <v>-9.4000000000000004E-3</v>
      </c>
      <c r="P1016" s="31">
        <v>1.8100000000000002E-2</v>
      </c>
      <c r="Q1016" s="23" t="s">
        <v>24</v>
      </c>
      <c r="R1016" s="23">
        <v>0</v>
      </c>
      <c r="S1016" s="23">
        <v>65.19</v>
      </c>
      <c r="U1016" s="47">
        <f>VLOOKUP(AU1016,[1]expiry_dates!$B$2:$C$2894,2,FALSE)</f>
        <v>44280</v>
      </c>
      <c r="V1016" s="23" t="s">
        <v>192</v>
      </c>
      <c r="W1016" s="23" t="s">
        <v>23</v>
      </c>
      <c r="X1016" s="49">
        <v>44253.385416666664</v>
      </c>
      <c r="Y1016" s="23">
        <v>4.05</v>
      </c>
      <c r="Z1016" s="23">
        <v>44253.5625</v>
      </c>
      <c r="AA1016" s="23">
        <v>3.9</v>
      </c>
      <c r="AB1016" s="23">
        <v>-3.6999999999999998E-2</v>
      </c>
      <c r="AC1016" s="23">
        <v>2448.61</v>
      </c>
      <c r="AD1016" s="23">
        <v>3.6999999999999998E-2</v>
      </c>
      <c r="AE1016" s="23">
        <v>16324.04</v>
      </c>
      <c r="AF1016" s="23">
        <v>66112.38</v>
      </c>
      <c r="AG1016" s="23">
        <v>3224924.13</v>
      </c>
      <c r="AH1016" s="23">
        <v>18</v>
      </c>
      <c r="AI1016" s="23">
        <v>136.03</v>
      </c>
      <c r="AJ1016" s="23">
        <v>-7.4099999999999999E-2</v>
      </c>
      <c r="AK1016" s="23">
        <v>0.1358</v>
      </c>
      <c r="AL1016" s="23" t="s">
        <v>24</v>
      </c>
      <c r="AM1016" s="23">
        <v>63.55</v>
      </c>
      <c r="AN1016" s="23">
        <v>35686.400000000001</v>
      </c>
      <c r="AO1016" s="23">
        <v>65.19</v>
      </c>
      <c r="AP1016" s="23">
        <v>0</v>
      </c>
      <c r="AR1016" s="46"/>
      <c r="AS1016" s="44"/>
      <c r="AT1016" s="45"/>
      <c r="AU1016" s="2">
        <v>44253</v>
      </c>
      <c r="AV1016" s="52">
        <v>0.38541666666666669</v>
      </c>
      <c r="AW1016" s="2" t="s">
        <v>212</v>
      </c>
      <c r="AY1016" s="3"/>
      <c r="BA1016" s="3"/>
      <c r="BG1016" s="3"/>
      <c r="BH1016" s="3"/>
    </row>
    <row r="1017" spans="1:60">
      <c r="A1017" s="23" t="s">
        <v>22</v>
      </c>
      <c r="B1017" s="23" t="s">
        <v>25</v>
      </c>
      <c r="C1017" s="27">
        <v>44253.5625</v>
      </c>
      <c r="D1017" s="23">
        <v>63.5</v>
      </c>
      <c r="E1017" s="27">
        <v>44256.416666666664</v>
      </c>
      <c r="F1017" s="23">
        <v>63.4</v>
      </c>
      <c r="G1017" s="31">
        <v>-1.6000000000000001E-3</v>
      </c>
      <c r="H1017" s="23">
        <v>-79.44</v>
      </c>
      <c r="I1017" s="31">
        <v>-1.6000000000000001E-3</v>
      </c>
      <c r="J1017" s="23">
        <v>794.38750000000005</v>
      </c>
      <c r="K1017" s="23">
        <v>50443.61</v>
      </c>
      <c r="L1017" s="23">
        <v>88403.5</v>
      </c>
      <c r="M1017" s="23">
        <v>15</v>
      </c>
      <c r="N1017" s="23">
        <v>-5.3</v>
      </c>
      <c r="O1017" s="31">
        <v>-7.1000000000000004E-3</v>
      </c>
      <c r="P1017" s="31">
        <v>1.5699999999999999E-2</v>
      </c>
      <c r="Q1017" s="23" t="s">
        <v>24</v>
      </c>
      <c r="R1017" s="23">
        <v>0</v>
      </c>
      <c r="S1017" s="23">
        <v>62.42</v>
      </c>
      <c r="U1017" s="47">
        <f>VLOOKUP(AU1017,[1]expiry_dates!$B$2:$C$2894,2,FALSE)</f>
        <v>44280</v>
      </c>
      <c r="V1017" s="23" t="s">
        <v>187</v>
      </c>
      <c r="W1017" s="23" t="s">
        <v>23</v>
      </c>
      <c r="X1017" s="49">
        <v>44253.5625</v>
      </c>
      <c r="Y1017" s="23">
        <v>4.6500000000000004</v>
      </c>
      <c r="Z1017" s="23">
        <v>44256.416666666664</v>
      </c>
      <c r="AA1017" s="23">
        <v>4.5</v>
      </c>
      <c r="AB1017" s="23">
        <v>-3.2300000000000002E-2</v>
      </c>
      <c r="AC1017" s="23">
        <v>2133.84</v>
      </c>
      <c r="AD1017" s="23">
        <v>3.2300000000000002E-2</v>
      </c>
      <c r="AE1017" s="23">
        <v>14225.61</v>
      </c>
      <c r="AF1017" s="23">
        <v>66149.11</v>
      </c>
      <c r="AG1017" s="23">
        <v>3227057.97</v>
      </c>
      <c r="AH1017" s="23">
        <v>15</v>
      </c>
      <c r="AI1017" s="23">
        <v>142.26</v>
      </c>
      <c r="AJ1017" s="23">
        <v>-2.1499999999999998E-2</v>
      </c>
      <c r="AK1017" s="23">
        <v>0.129</v>
      </c>
      <c r="AL1017" s="23" t="s">
        <v>24</v>
      </c>
      <c r="AM1017" s="23">
        <v>63.5</v>
      </c>
      <c r="AN1017" s="23">
        <v>34936.800000000003</v>
      </c>
      <c r="AO1017" s="23">
        <v>62.42</v>
      </c>
      <c r="AP1017" s="23">
        <v>0</v>
      </c>
      <c r="AR1017" s="46"/>
      <c r="AS1017" s="44"/>
      <c r="AT1017" s="45"/>
      <c r="AU1017" s="2">
        <v>44253</v>
      </c>
      <c r="AV1017" s="52">
        <v>6.25E-2</v>
      </c>
      <c r="AW1017" s="2" t="s">
        <v>213</v>
      </c>
      <c r="AY1017" s="3"/>
      <c r="BA1017" s="3"/>
      <c r="BG1017" s="3"/>
      <c r="BH1017" s="3"/>
    </row>
    <row r="1018" spans="1:60">
      <c r="A1018" s="23" t="s">
        <v>22</v>
      </c>
      <c r="B1018" s="23" t="s">
        <v>23</v>
      </c>
      <c r="C1018" s="27">
        <v>44256.416666666664</v>
      </c>
      <c r="D1018" s="23">
        <v>63.4</v>
      </c>
      <c r="E1018" s="27">
        <v>44256.583333333336</v>
      </c>
      <c r="F1018" s="23">
        <v>63.5</v>
      </c>
      <c r="G1018" s="31">
        <v>1.6000000000000001E-3</v>
      </c>
      <c r="H1018" s="23">
        <v>-79.56</v>
      </c>
      <c r="I1018" s="31">
        <v>-1.6000000000000001E-3</v>
      </c>
      <c r="J1018" s="23">
        <v>795.63729999999998</v>
      </c>
      <c r="K1018" s="23">
        <v>50443.41</v>
      </c>
      <c r="L1018" s="23">
        <v>88323.94</v>
      </c>
      <c r="M1018" s="23">
        <v>17</v>
      </c>
      <c r="N1018" s="23">
        <v>-4.68</v>
      </c>
      <c r="O1018" s="31">
        <v>-7.9000000000000008E-3</v>
      </c>
      <c r="P1018" s="31">
        <v>1.0999999999999999E-2</v>
      </c>
      <c r="Q1018" s="23" t="s">
        <v>24</v>
      </c>
      <c r="R1018" s="23">
        <v>0</v>
      </c>
      <c r="S1018" s="23">
        <v>64.47</v>
      </c>
      <c r="U1018" s="47">
        <f>VLOOKUP(AU1018,[1]expiry_dates!$B$2:$C$2894,2,FALSE)</f>
        <v>44280</v>
      </c>
      <c r="V1018" s="23" t="s">
        <v>193</v>
      </c>
      <c r="W1018" s="23" t="s">
        <v>23</v>
      </c>
      <c r="X1018" s="49">
        <v>44256.416666666664</v>
      </c>
      <c r="Y1018" s="23">
        <v>4.0999999999999996</v>
      </c>
      <c r="Z1018" s="23">
        <v>44256.583333333336</v>
      </c>
      <c r="AA1018" s="23">
        <v>4.1500000000000004</v>
      </c>
      <c r="AB1018" s="23">
        <v>1.2200000000000001E-2</v>
      </c>
      <c r="AC1018" s="23">
        <v>-806.74</v>
      </c>
      <c r="AD1018" s="23">
        <v>-1.2200000000000001E-2</v>
      </c>
      <c r="AE1018" s="23">
        <v>16134.9</v>
      </c>
      <c r="AF1018" s="23">
        <v>66153.070000000007</v>
      </c>
      <c r="AG1018" s="23">
        <v>3226251.23</v>
      </c>
      <c r="AH1018" s="23">
        <v>17</v>
      </c>
      <c r="AI1018" s="23">
        <v>-47.46</v>
      </c>
      <c r="AJ1018" s="23">
        <v>-4.8800000000000003E-2</v>
      </c>
      <c r="AK1018" s="23">
        <v>4.8800000000000003E-2</v>
      </c>
      <c r="AL1018" s="23" t="s">
        <v>24</v>
      </c>
      <c r="AM1018" s="23">
        <v>63.4</v>
      </c>
      <c r="AN1018" s="23">
        <v>35321.9</v>
      </c>
      <c r="AO1018" s="23">
        <v>64.47</v>
      </c>
      <c r="AP1018" s="23">
        <v>0</v>
      </c>
      <c r="AR1018" s="46"/>
      <c r="AS1018" s="44"/>
      <c r="AT1018" s="45"/>
      <c r="AU1018" s="2">
        <v>44256</v>
      </c>
      <c r="AV1018" s="52">
        <v>0.41666666666666669</v>
      </c>
      <c r="AW1018" s="2" t="s">
        <v>212</v>
      </c>
      <c r="AY1018" s="3"/>
      <c r="BA1018" s="3"/>
      <c r="BG1018" s="3"/>
      <c r="BH1018" s="3"/>
    </row>
    <row r="1019" spans="1:60">
      <c r="A1019" s="23" t="s">
        <v>22</v>
      </c>
      <c r="B1019" s="23" t="s">
        <v>25</v>
      </c>
      <c r="C1019" s="27">
        <v>44256.583333333336</v>
      </c>
      <c r="D1019" s="23">
        <v>63.5</v>
      </c>
      <c r="E1019" s="27">
        <v>44257.53125</v>
      </c>
      <c r="F1019" s="23">
        <v>64.150000000000006</v>
      </c>
      <c r="G1019" s="31">
        <v>1.0200000000000001E-2</v>
      </c>
      <c r="H1019" s="23">
        <v>516.35</v>
      </c>
      <c r="I1019" s="31">
        <v>1.0200000000000001E-2</v>
      </c>
      <c r="J1019" s="23">
        <v>794.37810000000002</v>
      </c>
      <c r="K1019" s="23">
        <v>50443.01</v>
      </c>
      <c r="L1019" s="23">
        <v>88840.29</v>
      </c>
      <c r="M1019" s="23">
        <v>24</v>
      </c>
      <c r="N1019" s="23">
        <v>21.51</v>
      </c>
      <c r="O1019" s="31">
        <v>-6.3E-3</v>
      </c>
      <c r="P1019" s="31">
        <v>2.52E-2</v>
      </c>
      <c r="Q1019" s="23" t="s">
        <v>24</v>
      </c>
      <c r="R1019" s="23">
        <v>0</v>
      </c>
      <c r="S1019" s="23">
        <v>62.72</v>
      </c>
      <c r="U1019" s="47">
        <f>VLOOKUP(AU1019,[1]expiry_dates!$B$2:$C$2894,2,FALSE)</f>
        <v>44280</v>
      </c>
      <c r="V1019" s="23" t="s">
        <v>187</v>
      </c>
      <c r="W1019" s="23" t="s">
        <v>23</v>
      </c>
      <c r="X1019" s="49">
        <v>44256.583333333336</v>
      </c>
      <c r="Y1019" s="23">
        <v>4.3499999999999996</v>
      </c>
      <c r="Z1019" s="23">
        <v>44257.53125</v>
      </c>
      <c r="AA1019" s="23">
        <v>3.6</v>
      </c>
      <c r="AB1019" s="23">
        <v>-0.1724</v>
      </c>
      <c r="AC1019" s="23">
        <v>11404.72</v>
      </c>
      <c r="AD1019" s="23">
        <v>0.1724</v>
      </c>
      <c r="AE1019" s="23">
        <v>15206.3</v>
      </c>
      <c r="AF1019" s="23">
        <v>66147.39</v>
      </c>
      <c r="AG1019" s="23">
        <v>3237655.95</v>
      </c>
      <c r="AH1019" s="23">
        <v>24</v>
      </c>
      <c r="AI1019" s="23">
        <v>475.2</v>
      </c>
      <c r="AJ1019" s="23">
        <v>-4.5999999999999999E-2</v>
      </c>
      <c r="AK1019" s="23">
        <v>0.27589999999999998</v>
      </c>
      <c r="AL1019" s="23" t="s">
        <v>24</v>
      </c>
      <c r="AM1019" s="23">
        <v>63.5</v>
      </c>
      <c r="AN1019" s="23">
        <v>35357.199999999997</v>
      </c>
      <c r="AO1019" s="23">
        <v>62.72</v>
      </c>
      <c r="AP1019" s="23">
        <v>0</v>
      </c>
      <c r="AR1019" s="46"/>
      <c r="AS1019" s="44"/>
      <c r="AT1019" s="45"/>
      <c r="AU1019" s="2">
        <v>44256</v>
      </c>
      <c r="AV1019" s="52">
        <v>8.3333333333333329E-2</v>
      </c>
      <c r="AW1019" s="2" t="s">
        <v>213</v>
      </c>
      <c r="AY1019" s="3"/>
      <c r="BA1019" s="3"/>
      <c r="BG1019" s="3"/>
      <c r="BH1019" s="3"/>
    </row>
    <row r="1020" spans="1:60">
      <c r="A1020" s="23" t="s">
        <v>22</v>
      </c>
      <c r="B1020" s="23" t="s">
        <v>23</v>
      </c>
      <c r="C1020" s="27">
        <v>44257.53125</v>
      </c>
      <c r="D1020" s="23">
        <v>64.150000000000006</v>
      </c>
      <c r="E1020" s="27">
        <v>44257.625</v>
      </c>
      <c r="F1020" s="23">
        <v>64.599999999999994</v>
      </c>
      <c r="G1020" s="31">
        <v>7.0000000000000001E-3</v>
      </c>
      <c r="H1020" s="23">
        <v>-353.86</v>
      </c>
      <c r="I1020" s="31">
        <v>-7.0000000000000001E-3</v>
      </c>
      <c r="J1020" s="23">
        <v>786.3569</v>
      </c>
      <c r="K1020" s="23">
        <v>50444.800000000003</v>
      </c>
      <c r="L1020" s="23">
        <v>88486.43</v>
      </c>
      <c r="M1020" s="23">
        <v>10</v>
      </c>
      <c r="N1020" s="23">
        <v>-35.39</v>
      </c>
      <c r="O1020" s="31">
        <v>-7.0000000000000001E-3</v>
      </c>
      <c r="P1020" s="31">
        <v>4.7000000000000002E-3</v>
      </c>
      <c r="Q1020" s="23" t="s">
        <v>24</v>
      </c>
      <c r="R1020" s="23">
        <v>0</v>
      </c>
      <c r="S1020" s="23">
        <v>65.05</v>
      </c>
      <c r="U1020" s="47">
        <f>VLOOKUP(AU1020,[1]expiry_dates!$B$2:$C$2894,2,FALSE)</f>
        <v>44280</v>
      </c>
      <c r="V1020" s="23" t="s">
        <v>192</v>
      </c>
      <c r="W1020" s="23" t="s">
        <v>23</v>
      </c>
      <c r="X1020" s="49">
        <v>44257.53125</v>
      </c>
      <c r="Y1020" s="23">
        <v>4</v>
      </c>
      <c r="Z1020" s="23">
        <v>44257.625</v>
      </c>
      <c r="AA1020" s="23">
        <v>4.2</v>
      </c>
      <c r="AB1020" s="23">
        <v>0.05</v>
      </c>
      <c r="AC1020" s="23">
        <v>-3309.79</v>
      </c>
      <c r="AD1020" s="23">
        <v>-0.05</v>
      </c>
      <c r="AE1020" s="23">
        <v>16548.97</v>
      </c>
      <c r="AF1020" s="23">
        <v>66195.88</v>
      </c>
      <c r="AG1020" s="23">
        <v>3234346.15</v>
      </c>
      <c r="AH1020" s="23">
        <v>10</v>
      </c>
      <c r="AI1020" s="23">
        <v>-330.98</v>
      </c>
      <c r="AJ1020" s="23">
        <v>-6.25E-2</v>
      </c>
      <c r="AK1020" s="23">
        <v>2.5000000000000001E-2</v>
      </c>
      <c r="AL1020" s="23" t="s">
        <v>24</v>
      </c>
      <c r="AM1020" s="23">
        <v>64.150000000000006</v>
      </c>
      <c r="AN1020" s="23">
        <v>35166</v>
      </c>
      <c r="AO1020" s="23">
        <v>65.05</v>
      </c>
      <c r="AP1020" s="23">
        <v>0</v>
      </c>
      <c r="AR1020" s="46"/>
      <c r="AS1020" s="44"/>
      <c r="AT1020" s="45"/>
      <c r="AU1020" s="2">
        <v>44257</v>
      </c>
      <c r="AV1020" s="52">
        <v>0.53125</v>
      </c>
      <c r="AW1020" s="2" t="s">
        <v>213</v>
      </c>
      <c r="AY1020" s="3"/>
      <c r="BA1020" s="3"/>
      <c r="BG1020" s="3"/>
      <c r="BH1020" s="3"/>
    </row>
    <row r="1021" spans="1:60">
      <c r="A1021" s="23" t="s">
        <v>22</v>
      </c>
      <c r="B1021" s="23" t="s">
        <v>25</v>
      </c>
      <c r="C1021" s="27">
        <v>44257.625</v>
      </c>
      <c r="D1021" s="23">
        <v>64.599999999999994</v>
      </c>
      <c r="E1021" s="27">
        <v>44259.385416666664</v>
      </c>
      <c r="F1021" s="23">
        <v>66.95</v>
      </c>
      <c r="G1021" s="31">
        <v>3.6400000000000002E-2</v>
      </c>
      <c r="H1021" s="23">
        <v>1835.02</v>
      </c>
      <c r="I1021" s="31">
        <v>3.6400000000000002E-2</v>
      </c>
      <c r="J1021" s="23">
        <v>780.8578</v>
      </c>
      <c r="K1021" s="23">
        <v>50443.41</v>
      </c>
      <c r="L1021" s="23">
        <v>90321.44</v>
      </c>
      <c r="M1021" s="23">
        <v>34</v>
      </c>
      <c r="N1021" s="23">
        <v>53.97</v>
      </c>
      <c r="O1021" s="31">
        <v>-3.8999999999999998E-3</v>
      </c>
      <c r="P1021" s="31">
        <v>5.5E-2</v>
      </c>
      <c r="Q1021" s="23" t="s">
        <v>24</v>
      </c>
      <c r="R1021" s="23">
        <v>0</v>
      </c>
      <c r="S1021" s="23">
        <v>63.85</v>
      </c>
      <c r="U1021" s="47">
        <f>VLOOKUP(AU1021,[1]expiry_dates!$B$2:$C$2894,2,FALSE)</f>
        <v>44280</v>
      </c>
      <c r="V1021" s="23" t="s">
        <v>194</v>
      </c>
      <c r="W1021" s="23" t="s">
        <v>23</v>
      </c>
      <c r="X1021" s="49">
        <v>44257.625</v>
      </c>
      <c r="Y1021" s="23">
        <v>4.45</v>
      </c>
      <c r="Z1021" s="23">
        <v>44259.385416666664</v>
      </c>
      <c r="AA1021" s="23">
        <v>3.2</v>
      </c>
      <c r="AB1021" s="23">
        <v>-0.28089999999999998</v>
      </c>
      <c r="AC1021" s="23">
        <v>18591.05</v>
      </c>
      <c r="AD1021" s="23">
        <v>0.28089999999999998</v>
      </c>
      <c r="AE1021" s="23">
        <v>14872.84</v>
      </c>
      <c r="AF1021" s="23">
        <v>66184.14</v>
      </c>
      <c r="AG1021" s="23">
        <v>3252937.21</v>
      </c>
      <c r="AH1021" s="23">
        <v>34</v>
      </c>
      <c r="AI1021" s="23">
        <v>546.79999999999995</v>
      </c>
      <c r="AJ1021" s="23">
        <v>-4.4900000000000002E-2</v>
      </c>
      <c r="AK1021" s="23">
        <v>0.41570000000000001</v>
      </c>
      <c r="AL1021" s="23" t="s">
        <v>24</v>
      </c>
      <c r="AM1021" s="23">
        <v>64.599999999999994</v>
      </c>
      <c r="AN1021" s="23">
        <v>35503.75</v>
      </c>
      <c r="AO1021" s="23">
        <v>63.85</v>
      </c>
      <c r="AP1021" s="23">
        <v>0</v>
      </c>
      <c r="AR1021" s="46"/>
      <c r="AS1021" s="44"/>
      <c r="AT1021" s="45"/>
      <c r="AU1021" s="2">
        <v>44257</v>
      </c>
      <c r="AV1021" s="52">
        <v>0.125</v>
      </c>
      <c r="AW1021" s="2" t="s">
        <v>213</v>
      </c>
      <c r="AY1021" s="3"/>
      <c r="BA1021" s="3"/>
      <c r="BG1021" s="3"/>
      <c r="BH1021" s="3"/>
    </row>
    <row r="1022" spans="1:60">
      <c r="A1022" s="23" t="s">
        <v>22</v>
      </c>
      <c r="B1022" s="23" t="s">
        <v>23</v>
      </c>
      <c r="C1022" s="27">
        <v>44259.385416666664</v>
      </c>
      <c r="D1022" s="23">
        <v>66.95</v>
      </c>
      <c r="E1022" s="27">
        <v>44259.4375</v>
      </c>
      <c r="F1022" s="23">
        <v>67.95</v>
      </c>
      <c r="G1022" s="31">
        <v>1.49E-2</v>
      </c>
      <c r="H1022" s="23">
        <v>-753.51</v>
      </c>
      <c r="I1022" s="31">
        <v>-1.49E-2</v>
      </c>
      <c r="J1022" s="23">
        <v>753.51310000000001</v>
      </c>
      <c r="K1022" s="23">
        <v>50447.7</v>
      </c>
      <c r="L1022" s="23">
        <v>89567.93</v>
      </c>
      <c r="M1022" s="23">
        <v>6</v>
      </c>
      <c r="N1022" s="23">
        <v>-125.59</v>
      </c>
      <c r="O1022" s="31">
        <v>-1.49E-2</v>
      </c>
      <c r="P1022" s="31">
        <v>2.0199999999999999E-2</v>
      </c>
      <c r="Q1022" s="23" t="s">
        <v>24</v>
      </c>
      <c r="R1022" s="23">
        <v>0</v>
      </c>
      <c r="S1022" s="23">
        <v>68.010000000000005</v>
      </c>
      <c r="U1022" s="47">
        <f>VLOOKUP(AU1022,[1]expiry_dates!$B$2:$C$2894,2,FALSE)</f>
        <v>44280</v>
      </c>
      <c r="V1022" s="23" t="s">
        <v>195</v>
      </c>
      <c r="W1022" s="23" t="s">
        <v>23</v>
      </c>
      <c r="X1022" s="49">
        <v>44259.385416666664</v>
      </c>
      <c r="Y1022" s="23">
        <v>3.95</v>
      </c>
      <c r="Z1022" s="23">
        <v>44259.4375</v>
      </c>
      <c r="AA1022" s="23">
        <v>4.45</v>
      </c>
      <c r="AB1022" s="23">
        <v>0.12659999999999999</v>
      </c>
      <c r="AC1022" s="23">
        <v>-8390.76</v>
      </c>
      <c r="AD1022" s="23">
        <v>-0.12659999999999999</v>
      </c>
      <c r="AE1022" s="23">
        <v>16781.52</v>
      </c>
      <c r="AF1022" s="23">
        <v>66286.990000000005</v>
      </c>
      <c r="AG1022" s="23">
        <v>3244546.45</v>
      </c>
      <c r="AH1022" s="23">
        <v>6</v>
      </c>
      <c r="AI1022" s="23">
        <v>-1398.46</v>
      </c>
      <c r="AJ1022" s="23">
        <v>-0.12659999999999999</v>
      </c>
      <c r="AK1022" s="23">
        <v>0.1646</v>
      </c>
      <c r="AL1022" s="23" t="s">
        <v>24</v>
      </c>
      <c r="AM1022" s="23">
        <v>66.95</v>
      </c>
      <c r="AN1022" s="23">
        <v>35737.25</v>
      </c>
      <c r="AO1022" s="23">
        <v>68.010000000000005</v>
      </c>
      <c r="AP1022" s="23">
        <v>0</v>
      </c>
      <c r="AR1022" s="46"/>
      <c r="AS1022" s="44"/>
      <c r="AT1022" s="45"/>
      <c r="AU1022" s="2">
        <v>44259</v>
      </c>
      <c r="AV1022" s="52">
        <v>0.38541666666666669</v>
      </c>
      <c r="AW1022" s="2" t="s">
        <v>212</v>
      </c>
      <c r="AY1022" s="3"/>
      <c r="BA1022" s="3"/>
      <c r="BG1022" s="3"/>
      <c r="BH1022" s="3"/>
    </row>
    <row r="1023" spans="1:60">
      <c r="A1023" s="23" t="s">
        <v>22</v>
      </c>
      <c r="B1023" s="23" t="s">
        <v>25</v>
      </c>
      <c r="C1023" s="27">
        <v>44259.4375</v>
      </c>
      <c r="D1023" s="23">
        <v>67.95</v>
      </c>
      <c r="E1023" s="27">
        <v>44260.385416666664</v>
      </c>
      <c r="F1023" s="23">
        <v>67.650000000000006</v>
      </c>
      <c r="G1023" s="31">
        <v>-4.4000000000000003E-3</v>
      </c>
      <c r="H1023" s="23">
        <v>-222.74</v>
      </c>
      <c r="I1023" s="31">
        <v>-4.4000000000000003E-3</v>
      </c>
      <c r="J1023" s="23">
        <v>742.46749999999997</v>
      </c>
      <c r="K1023" s="23">
        <v>50450.67</v>
      </c>
      <c r="L1023" s="23">
        <v>89345.19</v>
      </c>
      <c r="M1023" s="23">
        <v>24</v>
      </c>
      <c r="N1023" s="23">
        <v>-9.2799999999999994</v>
      </c>
      <c r="O1023" s="31">
        <v>-1.0999999999999999E-2</v>
      </c>
      <c r="P1023" s="31">
        <v>1.9900000000000001E-2</v>
      </c>
      <c r="Q1023" s="23" t="s">
        <v>24</v>
      </c>
      <c r="R1023" s="23">
        <v>0</v>
      </c>
      <c r="S1023" s="23">
        <v>65.69</v>
      </c>
      <c r="U1023" s="47">
        <f>VLOOKUP(AU1023,[1]expiry_dates!$B$2:$C$2894,2,FALSE)</f>
        <v>44280</v>
      </c>
      <c r="V1023" s="23" t="s">
        <v>196</v>
      </c>
      <c r="W1023" s="23" t="s">
        <v>23</v>
      </c>
      <c r="X1023" s="49">
        <v>44259.4375</v>
      </c>
      <c r="Y1023" s="23">
        <v>4.0999999999999996</v>
      </c>
      <c r="Z1023" s="23">
        <v>44260.385416666664</v>
      </c>
      <c r="AA1023" s="23">
        <v>4.5</v>
      </c>
      <c r="AB1023" s="23">
        <v>9.7600000000000006E-2</v>
      </c>
      <c r="AC1023" s="23">
        <v>-6464.44</v>
      </c>
      <c r="AD1023" s="23">
        <v>-9.7600000000000006E-2</v>
      </c>
      <c r="AE1023" s="23">
        <v>16161.1</v>
      </c>
      <c r="AF1023" s="23">
        <v>66260.490000000005</v>
      </c>
      <c r="AG1023" s="23">
        <v>3238082.01</v>
      </c>
      <c r="AH1023" s="23">
        <v>24</v>
      </c>
      <c r="AI1023" s="23">
        <v>-269.35000000000002</v>
      </c>
      <c r="AJ1023" s="23">
        <v>-0.2195</v>
      </c>
      <c r="AK1023" s="23">
        <v>0.14630000000000001</v>
      </c>
      <c r="AL1023" s="23" t="s">
        <v>24</v>
      </c>
      <c r="AM1023" s="23">
        <v>67.95</v>
      </c>
      <c r="AN1023" s="23">
        <v>35658.050000000003</v>
      </c>
      <c r="AO1023" s="23">
        <v>65.69</v>
      </c>
      <c r="AP1023" s="23">
        <v>0</v>
      </c>
      <c r="AR1023" s="46"/>
      <c r="AS1023" s="44"/>
      <c r="AT1023" s="45"/>
      <c r="AU1023" s="2">
        <v>44259</v>
      </c>
      <c r="AV1023" s="52">
        <v>0.4375</v>
      </c>
      <c r="AW1023" s="2" t="s">
        <v>212</v>
      </c>
      <c r="AY1023" s="3"/>
      <c r="BA1023" s="3"/>
      <c r="BG1023" s="3"/>
      <c r="BH1023" s="3"/>
    </row>
    <row r="1024" spans="1:60">
      <c r="A1024" s="23" t="s">
        <v>22</v>
      </c>
      <c r="B1024" s="23" t="s">
        <v>23</v>
      </c>
      <c r="C1024" s="27">
        <v>44260.385416666664</v>
      </c>
      <c r="D1024" s="23">
        <v>67.650000000000006</v>
      </c>
      <c r="E1024" s="27">
        <v>44260.416666666664</v>
      </c>
      <c r="F1024" s="23">
        <v>68.650000000000006</v>
      </c>
      <c r="G1024" s="31">
        <v>1.4800000000000001E-2</v>
      </c>
      <c r="H1024" s="23">
        <v>-745.72</v>
      </c>
      <c r="I1024" s="31">
        <v>-1.4800000000000001E-2</v>
      </c>
      <c r="J1024" s="23">
        <v>745.72090000000003</v>
      </c>
      <c r="K1024" s="23">
        <v>50448.02</v>
      </c>
      <c r="L1024" s="23">
        <v>88599.47</v>
      </c>
      <c r="M1024" s="23">
        <v>4</v>
      </c>
      <c r="N1024" s="23">
        <v>-186.43</v>
      </c>
      <c r="O1024" s="31">
        <v>-1.4800000000000001E-2</v>
      </c>
      <c r="P1024" s="31">
        <v>1.11E-2</v>
      </c>
      <c r="Q1024" s="23" t="s">
        <v>24</v>
      </c>
      <c r="R1024" s="23">
        <v>0</v>
      </c>
      <c r="S1024" s="23">
        <v>69.22</v>
      </c>
      <c r="U1024" s="47">
        <f>VLOOKUP(AU1024,[1]expiry_dates!$B$2:$C$2894,2,FALSE)</f>
        <v>44280</v>
      </c>
      <c r="V1024" s="23" t="s">
        <v>197</v>
      </c>
      <c r="W1024" s="23" t="s">
        <v>23</v>
      </c>
      <c r="X1024" s="49">
        <v>44260.385416666664</v>
      </c>
      <c r="Y1024" s="23">
        <v>3.7</v>
      </c>
      <c r="Z1024" s="23">
        <v>44260.416666666664</v>
      </c>
      <c r="AA1024" s="23">
        <v>4.25</v>
      </c>
      <c r="AB1024" s="23">
        <v>0.14860000000000001</v>
      </c>
      <c r="AC1024" s="23">
        <v>-9843.92</v>
      </c>
      <c r="AD1024" s="23">
        <v>-0.14860000000000001</v>
      </c>
      <c r="AE1024" s="23">
        <v>17898.04</v>
      </c>
      <c r="AF1024" s="23">
        <v>66222.73</v>
      </c>
      <c r="AG1024" s="23">
        <v>3228238.09</v>
      </c>
      <c r="AH1024" s="23">
        <v>4</v>
      </c>
      <c r="AI1024" s="23">
        <v>-2460.98</v>
      </c>
      <c r="AJ1024" s="23">
        <v>-0.14860000000000001</v>
      </c>
      <c r="AK1024" s="23">
        <v>9.4600000000000004E-2</v>
      </c>
      <c r="AL1024" s="23" t="s">
        <v>24</v>
      </c>
      <c r="AM1024" s="23">
        <v>67.650000000000006</v>
      </c>
      <c r="AN1024" s="23">
        <v>35331.4</v>
      </c>
      <c r="AO1024" s="23">
        <v>69.22</v>
      </c>
      <c r="AP1024" s="23">
        <v>0</v>
      </c>
      <c r="AR1024" s="46"/>
      <c r="AS1024" s="44"/>
      <c r="AT1024" s="45"/>
      <c r="AU1024" s="2">
        <v>44260</v>
      </c>
      <c r="AV1024" s="52">
        <v>0.38541666666666669</v>
      </c>
      <c r="AW1024" s="2" t="s">
        <v>212</v>
      </c>
      <c r="AY1024" s="3"/>
      <c r="BA1024" s="3"/>
      <c r="BG1024" s="3"/>
      <c r="BH1024" s="3"/>
    </row>
    <row r="1025" spans="1:60">
      <c r="A1025" s="23" t="s">
        <v>22</v>
      </c>
      <c r="B1025" s="23" t="s">
        <v>25</v>
      </c>
      <c r="C1025" s="27">
        <v>44260.416666666664</v>
      </c>
      <c r="D1025" s="23">
        <v>68.650000000000006</v>
      </c>
      <c r="E1025" s="27">
        <v>44260.447916666664</v>
      </c>
      <c r="F1025" s="23">
        <v>67.25</v>
      </c>
      <c r="G1025" s="31">
        <v>-2.0400000000000001E-2</v>
      </c>
      <c r="H1025" s="23">
        <v>-1028.7</v>
      </c>
      <c r="I1025" s="31">
        <v>-2.0400000000000001E-2</v>
      </c>
      <c r="J1025" s="23">
        <v>734.78510000000006</v>
      </c>
      <c r="K1025" s="23">
        <v>50443</v>
      </c>
      <c r="L1025" s="23">
        <v>87570.77</v>
      </c>
      <c r="M1025" s="23">
        <v>4</v>
      </c>
      <c r="N1025" s="23">
        <v>-257.17</v>
      </c>
      <c r="O1025" s="31">
        <v>-2.0400000000000001E-2</v>
      </c>
      <c r="P1025" s="31">
        <v>2.8999999999999998E-3</v>
      </c>
      <c r="Q1025" s="23" t="s">
        <v>24</v>
      </c>
      <c r="R1025" s="23">
        <v>0</v>
      </c>
      <c r="S1025" s="23">
        <v>66.900000000000006</v>
      </c>
      <c r="U1025" s="47">
        <f>VLOOKUP(AU1025,[1]expiry_dates!$B$2:$C$2894,2,FALSE)</f>
        <v>44280</v>
      </c>
      <c r="V1025" s="23" t="s">
        <v>198</v>
      </c>
      <c r="W1025" s="23" t="s">
        <v>23</v>
      </c>
      <c r="X1025" s="49">
        <v>44260.416666666664</v>
      </c>
      <c r="Y1025" s="23">
        <v>4.4000000000000004</v>
      </c>
      <c r="Z1025" s="23">
        <v>44260.447916666664</v>
      </c>
      <c r="AA1025" s="23">
        <v>5.3</v>
      </c>
      <c r="AB1025" s="23">
        <v>0.20449999999999999</v>
      </c>
      <c r="AC1025" s="23">
        <v>-13530.71</v>
      </c>
      <c r="AD1025" s="23">
        <v>-0.20449999999999999</v>
      </c>
      <c r="AE1025" s="23">
        <v>15034.12</v>
      </c>
      <c r="AF1025" s="23">
        <v>66150.14</v>
      </c>
      <c r="AG1025" s="23">
        <v>3214707.38</v>
      </c>
      <c r="AH1025" s="23">
        <v>4</v>
      </c>
      <c r="AI1025" s="23">
        <v>-3382.68</v>
      </c>
      <c r="AJ1025" s="23">
        <v>-0.20449999999999999</v>
      </c>
      <c r="AK1025" s="23">
        <v>0</v>
      </c>
      <c r="AL1025" s="23" t="s">
        <v>24</v>
      </c>
      <c r="AM1025" s="23">
        <v>68.650000000000006</v>
      </c>
      <c r="AN1025" s="23">
        <v>35560.300000000003</v>
      </c>
      <c r="AO1025" s="23">
        <v>66.900000000000006</v>
      </c>
      <c r="AP1025" s="23">
        <v>0</v>
      </c>
      <c r="AR1025" s="46"/>
      <c r="AS1025" s="44"/>
      <c r="AT1025" s="45"/>
      <c r="AU1025" s="2">
        <v>44260</v>
      </c>
      <c r="AV1025" s="52">
        <v>0.41666666666666669</v>
      </c>
      <c r="AW1025" s="2" t="s">
        <v>212</v>
      </c>
      <c r="AY1025" s="3"/>
      <c r="BA1025" s="3"/>
      <c r="BG1025" s="3"/>
      <c r="BH1025" s="3"/>
    </row>
    <row r="1026" spans="1:60">
      <c r="A1026" s="23" t="s">
        <v>22</v>
      </c>
      <c r="B1026" s="23" t="s">
        <v>23</v>
      </c>
      <c r="C1026" s="27">
        <v>44260.447916666664</v>
      </c>
      <c r="D1026" s="23">
        <v>67.25</v>
      </c>
      <c r="E1026" s="27">
        <v>44260.5625</v>
      </c>
      <c r="F1026" s="23">
        <v>67.25</v>
      </c>
      <c r="G1026" s="31">
        <v>0</v>
      </c>
      <c r="H1026" s="23">
        <v>0</v>
      </c>
      <c r="I1026" s="31">
        <v>0</v>
      </c>
      <c r="J1026" s="23">
        <v>750.0326</v>
      </c>
      <c r="K1026" s="23">
        <v>50439.69</v>
      </c>
      <c r="L1026" s="23">
        <v>87570.77</v>
      </c>
      <c r="M1026" s="23">
        <v>12</v>
      </c>
      <c r="N1026" s="23">
        <v>0</v>
      </c>
      <c r="O1026" s="31">
        <v>-1.12E-2</v>
      </c>
      <c r="P1026" s="31">
        <v>5.8999999999999999E-3</v>
      </c>
      <c r="Q1026" s="23" t="s">
        <v>24</v>
      </c>
      <c r="R1026" s="23">
        <v>0</v>
      </c>
      <c r="S1026" s="23">
        <v>68.849999999999994</v>
      </c>
      <c r="U1026" s="47">
        <f>VLOOKUP(AU1026,[1]expiry_dates!$B$2:$C$2894,2,FALSE)</f>
        <v>44280</v>
      </c>
      <c r="V1026" s="23" t="s">
        <v>195</v>
      </c>
      <c r="W1026" s="23" t="s">
        <v>23</v>
      </c>
      <c r="X1026" s="49">
        <v>44260.447916666664</v>
      </c>
      <c r="Y1026" s="23">
        <v>4.1500000000000004</v>
      </c>
      <c r="Z1026" s="23">
        <v>44260.5625</v>
      </c>
      <c r="AA1026" s="23">
        <v>3.95</v>
      </c>
      <c r="AB1026" s="23">
        <v>-4.82E-2</v>
      </c>
      <c r="AC1026" s="23">
        <v>3185.35</v>
      </c>
      <c r="AD1026" s="23">
        <v>4.82E-2</v>
      </c>
      <c r="AE1026" s="23">
        <v>15926.77</v>
      </c>
      <c r="AF1026" s="23">
        <v>66096.09</v>
      </c>
      <c r="AG1026" s="23">
        <v>3217892.73</v>
      </c>
      <c r="AH1026" s="23">
        <v>12</v>
      </c>
      <c r="AI1026" s="23">
        <v>265.45</v>
      </c>
      <c r="AJ1026" s="23">
        <v>-4.82E-2</v>
      </c>
      <c r="AK1026" s="23">
        <v>8.43E-2</v>
      </c>
      <c r="AL1026" s="23" t="s">
        <v>24</v>
      </c>
      <c r="AM1026" s="23">
        <v>67.25</v>
      </c>
      <c r="AN1026" s="23">
        <v>35172.65</v>
      </c>
      <c r="AO1026" s="23">
        <v>68.849999999999994</v>
      </c>
      <c r="AP1026" s="23">
        <v>0</v>
      </c>
      <c r="AR1026" s="46"/>
      <c r="AS1026" s="44"/>
      <c r="AT1026" s="45"/>
      <c r="AU1026" s="2">
        <v>44260</v>
      </c>
      <c r="AV1026" s="52">
        <v>0.44791666666666669</v>
      </c>
      <c r="AW1026" s="2" t="s">
        <v>212</v>
      </c>
      <c r="AY1026" s="3"/>
      <c r="BA1026" s="3"/>
      <c r="BG1026" s="3"/>
      <c r="BH1026" s="3"/>
    </row>
    <row r="1027" spans="1:60">
      <c r="A1027" s="23" t="s">
        <v>22</v>
      </c>
      <c r="B1027" s="23" t="s">
        <v>25</v>
      </c>
      <c r="C1027" s="27">
        <v>44260.5625</v>
      </c>
      <c r="D1027" s="23">
        <v>67.25</v>
      </c>
      <c r="E1027" s="27">
        <v>44260.572916666664</v>
      </c>
      <c r="F1027" s="23">
        <v>67</v>
      </c>
      <c r="G1027" s="31">
        <v>-3.7000000000000002E-3</v>
      </c>
      <c r="H1027" s="23">
        <v>-187.49</v>
      </c>
      <c r="I1027" s="31">
        <v>-3.7000000000000002E-3</v>
      </c>
      <c r="J1027" s="23">
        <v>749.97180000000003</v>
      </c>
      <c r="K1027" s="23">
        <v>50435.61</v>
      </c>
      <c r="L1027" s="23">
        <v>87383.28</v>
      </c>
      <c r="M1027" s="23">
        <v>2</v>
      </c>
      <c r="N1027" s="23">
        <v>-93.75</v>
      </c>
      <c r="O1027" s="31">
        <v>-3.7000000000000002E-3</v>
      </c>
      <c r="P1027" s="31">
        <v>1.04E-2</v>
      </c>
      <c r="Q1027" s="23" t="s">
        <v>24</v>
      </c>
      <c r="R1027" s="23">
        <v>0</v>
      </c>
      <c r="S1027" s="23">
        <v>66.89</v>
      </c>
      <c r="U1027" s="47">
        <f>VLOOKUP(AU1027,[1]expiry_dates!$B$2:$C$2894,2,FALSE)</f>
        <v>44280</v>
      </c>
      <c r="V1027" s="23" t="s">
        <v>190</v>
      </c>
      <c r="W1027" s="23" t="s">
        <v>23</v>
      </c>
      <c r="X1027" s="49">
        <v>44260.5625</v>
      </c>
      <c r="Y1027" s="23">
        <v>2.5</v>
      </c>
      <c r="Z1027" s="23">
        <v>44260.572916666664</v>
      </c>
      <c r="AA1027" s="23">
        <v>2.85</v>
      </c>
      <c r="AB1027" s="23">
        <v>0.14000000000000001</v>
      </c>
      <c r="AC1027" s="23">
        <v>-9250.2900000000009</v>
      </c>
      <c r="AD1027" s="23">
        <v>-0.14000000000000001</v>
      </c>
      <c r="AE1027" s="23">
        <v>26429.41</v>
      </c>
      <c r="AF1027" s="23">
        <v>66073.53</v>
      </c>
      <c r="AG1027" s="23">
        <v>3208642.44</v>
      </c>
      <c r="AH1027" s="23">
        <v>2</v>
      </c>
      <c r="AI1027" s="23">
        <v>-4625.1499999999996</v>
      </c>
      <c r="AJ1027" s="23">
        <v>-0.14000000000000001</v>
      </c>
      <c r="AK1027" s="23">
        <v>0.04</v>
      </c>
      <c r="AL1027" s="23" t="s">
        <v>24</v>
      </c>
      <c r="AM1027" s="23">
        <v>67.25</v>
      </c>
      <c r="AN1027" s="23">
        <v>35208.050000000003</v>
      </c>
      <c r="AO1027" s="23">
        <v>66.89</v>
      </c>
      <c r="AP1027" s="23">
        <v>0</v>
      </c>
      <c r="AR1027" s="46"/>
      <c r="AS1027" s="44"/>
      <c r="AT1027" s="45"/>
      <c r="AU1027" s="2">
        <v>44260</v>
      </c>
      <c r="AV1027" s="52">
        <v>6.25E-2</v>
      </c>
      <c r="AW1027" s="2" t="s">
        <v>213</v>
      </c>
      <c r="AY1027" s="3"/>
      <c r="BA1027" s="3"/>
      <c r="BG1027" s="3"/>
      <c r="BH1027" s="3"/>
    </row>
    <row r="1028" spans="1:60">
      <c r="A1028" s="23" t="s">
        <v>22</v>
      </c>
      <c r="B1028" s="23" t="s">
        <v>23</v>
      </c>
      <c r="C1028" s="27">
        <v>44260.572916666664</v>
      </c>
      <c r="D1028" s="23">
        <v>67</v>
      </c>
      <c r="E1028" s="27">
        <v>44263.385416666664</v>
      </c>
      <c r="F1028" s="23">
        <v>67.75</v>
      </c>
      <c r="G1028" s="31">
        <v>1.12E-2</v>
      </c>
      <c r="H1028" s="23">
        <v>-564.6</v>
      </c>
      <c r="I1028" s="31">
        <v>-1.12E-2</v>
      </c>
      <c r="J1028" s="23">
        <v>752.80380000000002</v>
      </c>
      <c r="K1028" s="23">
        <v>50437.85</v>
      </c>
      <c r="L1028" s="23">
        <v>86818.67</v>
      </c>
      <c r="M1028" s="23">
        <v>11</v>
      </c>
      <c r="N1028" s="23">
        <v>-51.33</v>
      </c>
      <c r="O1028" s="31">
        <v>-1.12E-2</v>
      </c>
      <c r="P1028" s="31">
        <v>1.5699999999999999E-2</v>
      </c>
      <c r="Q1028" s="23" t="s">
        <v>24</v>
      </c>
      <c r="R1028" s="23">
        <v>0</v>
      </c>
      <c r="S1028" s="23">
        <v>67.900000000000006</v>
      </c>
      <c r="U1028" s="47">
        <f>VLOOKUP(AU1028,[1]expiry_dates!$B$2:$C$2894,2,FALSE)</f>
        <v>44280</v>
      </c>
      <c r="V1028" s="23" t="s">
        <v>195</v>
      </c>
      <c r="W1028" s="23" t="s">
        <v>23</v>
      </c>
      <c r="X1028" s="49">
        <v>44260.572916666664</v>
      </c>
      <c r="Y1028" s="23">
        <v>3.6</v>
      </c>
      <c r="Z1028" s="23">
        <v>44263.385416666664</v>
      </c>
      <c r="AA1028" s="23">
        <v>3.75</v>
      </c>
      <c r="AB1028" s="23">
        <v>4.1700000000000001E-2</v>
      </c>
      <c r="AC1028" s="23">
        <v>-2753.73</v>
      </c>
      <c r="AD1028" s="23">
        <v>-4.1700000000000001E-2</v>
      </c>
      <c r="AE1028" s="23">
        <v>18358.189999999999</v>
      </c>
      <c r="AF1028" s="23">
        <v>66089.47</v>
      </c>
      <c r="AG1028" s="23">
        <v>3205888.71</v>
      </c>
      <c r="AH1028" s="23">
        <v>11</v>
      </c>
      <c r="AI1028" s="23">
        <v>-250.34</v>
      </c>
      <c r="AJ1028" s="23">
        <v>-0.29170000000000001</v>
      </c>
      <c r="AK1028" s="23">
        <v>0.1389</v>
      </c>
      <c r="AL1028" s="23" t="s">
        <v>24</v>
      </c>
      <c r="AM1028" s="23">
        <v>67</v>
      </c>
      <c r="AN1028" s="23">
        <v>35120.800000000003</v>
      </c>
      <c r="AO1028" s="23">
        <v>67.900000000000006</v>
      </c>
      <c r="AP1028" s="23">
        <v>0</v>
      </c>
      <c r="AR1028" s="46"/>
      <c r="AS1028" s="44"/>
      <c r="AT1028" s="45"/>
      <c r="AU1028" s="2">
        <v>44260</v>
      </c>
      <c r="AV1028" s="52">
        <v>7.2916666666666671E-2</v>
      </c>
      <c r="AW1028" s="2" t="s">
        <v>213</v>
      </c>
      <c r="AY1028" s="3"/>
      <c r="BA1028" s="3"/>
      <c r="BG1028" s="3"/>
      <c r="BH1028" s="3"/>
    </row>
    <row r="1029" spans="1:60">
      <c r="A1029" s="23" t="s">
        <v>22</v>
      </c>
      <c r="B1029" s="23" t="s">
        <v>25</v>
      </c>
      <c r="C1029" s="27">
        <v>44263.385416666664</v>
      </c>
      <c r="D1029" s="23">
        <v>67.75</v>
      </c>
      <c r="E1029" s="27">
        <v>44263.520833333336</v>
      </c>
      <c r="F1029" s="23">
        <v>67.45</v>
      </c>
      <c r="G1029" s="31">
        <v>-4.4000000000000003E-3</v>
      </c>
      <c r="H1029" s="23">
        <v>-223.33</v>
      </c>
      <c r="I1029" s="31">
        <v>-4.4000000000000003E-3</v>
      </c>
      <c r="J1029" s="23">
        <v>744.43409999999994</v>
      </c>
      <c r="K1029" s="23">
        <v>50435.41</v>
      </c>
      <c r="L1029" s="23">
        <v>86595.34</v>
      </c>
      <c r="M1029" s="23">
        <v>14</v>
      </c>
      <c r="N1029" s="23">
        <v>-15.95</v>
      </c>
      <c r="O1029" s="31">
        <v>-9.5999999999999992E-3</v>
      </c>
      <c r="P1029" s="31">
        <v>1.4E-2</v>
      </c>
      <c r="Q1029" s="23" t="s">
        <v>24</v>
      </c>
      <c r="R1029" s="23">
        <v>0</v>
      </c>
      <c r="S1029" s="23">
        <v>66.05</v>
      </c>
      <c r="U1029" s="47">
        <f>VLOOKUP(AU1029,[1]expiry_dates!$B$2:$C$2894,2,FALSE)</f>
        <v>44280</v>
      </c>
      <c r="V1029" s="23" t="s">
        <v>196</v>
      </c>
      <c r="W1029" s="23" t="s">
        <v>23</v>
      </c>
      <c r="X1029" s="49">
        <v>44263.385416666664</v>
      </c>
      <c r="Y1029" s="23">
        <v>4.25</v>
      </c>
      <c r="Z1029" s="23">
        <v>44263.520833333336</v>
      </c>
      <c r="AA1029" s="23">
        <v>4.3</v>
      </c>
      <c r="AB1029" s="23">
        <v>1.18E-2</v>
      </c>
      <c r="AC1029" s="23">
        <v>-777.19</v>
      </c>
      <c r="AD1029" s="23">
        <v>-1.18E-2</v>
      </c>
      <c r="AE1029" s="23">
        <v>15543.9</v>
      </c>
      <c r="AF1029" s="23">
        <v>66061.570000000007</v>
      </c>
      <c r="AG1029" s="23">
        <v>3205111.52</v>
      </c>
      <c r="AH1029" s="23">
        <v>14</v>
      </c>
      <c r="AI1029" s="23">
        <v>-55.51</v>
      </c>
      <c r="AJ1029" s="23">
        <v>-8.2400000000000001E-2</v>
      </c>
      <c r="AK1029" s="23">
        <v>0.10589999999999999</v>
      </c>
      <c r="AL1029" s="23" t="s">
        <v>24</v>
      </c>
      <c r="AM1029" s="23">
        <v>67.75</v>
      </c>
      <c r="AN1029" s="23">
        <v>35653.800000000003</v>
      </c>
      <c r="AO1029" s="23">
        <v>66.05</v>
      </c>
      <c r="AP1029" s="23">
        <v>0</v>
      </c>
      <c r="AR1029" s="46"/>
      <c r="AS1029" s="44"/>
      <c r="AT1029" s="45"/>
      <c r="AU1029" s="2">
        <v>44263</v>
      </c>
      <c r="AV1029" s="52">
        <v>0.38541666666666669</v>
      </c>
      <c r="AW1029" s="2" t="s">
        <v>212</v>
      </c>
      <c r="AY1029" s="3"/>
      <c r="BA1029" s="3"/>
      <c r="BG1029" s="3"/>
      <c r="BH1029" s="3"/>
    </row>
    <row r="1030" spans="1:60">
      <c r="A1030" s="23" t="s">
        <v>22</v>
      </c>
      <c r="B1030" s="23" t="s">
        <v>23</v>
      </c>
      <c r="C1030" s="27">
        <v>44263.520833333336</v>
      </c>
      <c r="D1030" s="23">
        <v>67.45</v>
      </c>
      <c r="E1030" s="27">
        <v>44264.385416666664</v>
      </c>
      <c r="F1030" s="23">
        <v>67.650000000000006</v>
      </c>
      <c r="G1030" s="31">
        <v>3.0000000000000001E-3</v>
      </c>
      <c r="H1030" s="23">
        <v>-149.54</v>
      </c>
      <c r="I1030" s="31">
        <v>-3.0000000000000001E-3</v>
      </c>
      <c r="J1030" s="23">
        <v>747.72019999999998</v>
      </c>
      <c r="K1030" s="23">
        <v>50433.72</v>
      </c>
      <c r="L1030" s="23">
        <v>86445.8</v>
      </c>
      <c r="M1030" s="23">
        <v>16</v>
      </c>
      <c r="N1030" s="23">
        <v>-9.35</v>
      </c>
      <c r="O1030" s="31">
        <v>-7.4000000000000003E-3</v>
      </c>
      <c r="P1030" s="31">
        <v>6.7000000000000002E-3</v>
      </c>
      <c r="Q1030" s="23" t="s">
        <v>24</v>
      </c>
      <c r="R1030" s="23">
        <v>0</v>
      </c>
      <c r="S1030" s="23">
        <v>68.7</v>
      </c>
      <c r="U1030" s="47">
        <f>VLOOKUP(AU1030,[1]expiry_dates!$B$2:$C$2894,2,FALSE)</f>
        <v>44280</v>
      </c>
      <c r="V1030" s="23" t="s">
        <v>197</v>
      </c>
      <c r="W1030" s="23" t="s">
        <v>23</v>
      </c>
      <c r="X1030" s="49">
        <v>44263.520833333336</v>
      </c>
      <c r="Y1030" s="23">
        <v>3.3</v>
      </c>
      <c r="Z1030" s="23">
        <v>44264.385416666664</v>
      </c>
      <c r="AA1030" s="23">
        <v>3.4</v>
      </c>
      <c r="AB1030" s="23">
        <v>3.0300000000000001E-2</v>
      </c>
      <c r="AC1030" s="23">
        <v>-2000.77</v>
      </c>
      <c r="AD1030" s="23">
        <v>-3.0300000000000001E-2</v>
      </c>
      <c r="AE1030" s="23">
        <v>20007.740000000002</v>
      </c>
      <c r="AF1030" s="23">
        <v>66025.55</v>
      </c>
      <c r="AG1030" s="23">
        <v>3203110.74</v>
      </c>
      <c r="AH1030" s="23">
        <v>16</v>
      </c>
      <c r="AI1030" s="23">
        <v>-125.05</v>
      </c>
      <c r="AJ1030" s="23">
        <v>-0.13639999999999999</v>
      </c>
      <c r="AK1030" s="23">
        <v>4.5499999999999999E-2</v>
      </c>
      <c r="AL1030" s="23" t="s">
        <v>24</v>
      </c>
      <c r="AM1030" s="23">
        <v>67.45</v>
      </c>
      <c r="AN1030" s="23">
        <v>35231.300000000003</v>
      </c>
      <c r="AO1030" s="23">
        <v>68.7</v>
      </c>
      <c r="AP1030" s="23">
        <v>0</v>
      </c>
      <c r="AR1030" s="46"/>
      <c r="AS1030" s="44"/>
      <c r="AT1030" s="45"/>
      <c r="AU1030" s="2">
        <v>44263</v>
      </c>
      <c r="AV1030" s="52">
        <v>0.52083333333333337</v>
      </c>
      <c r="AW1030" s="2" t="s">
        <v>213</v>
      </c>
      <c r="AY1030" s="3"/>
      <c r="BA1030" s="3"/>
      <c r="BG1030" s="3"/>
      <c r="BH1030" s="3"/>
    </row>
    <row r="1031" spans="1:60">
      <c r="A1031" s="23" t="s">
        <v>22</v>
      </c>
      <c r="B1031" s="23" t="s">
        <v>25</v>
      </c>
      <c r="C1031" s="27">
        <v>44264.385416666664</v>
      </c>
      <c r="D1031" s="23">
        <v>67.650000000000006</v>
      </c>
      <c r="E1031" s="27">
        <v>44264.4375</v>
      </c>
      <c r="F1031" s="23">
        <v>67.400000000000006</v>
      </c>
      <c r="G1031" s="31">
        <v>-3.7000000000000002E-3</v>
      </c>
      <c r="H1031" s="23">
        <v>-186.37</v>
      </c>
      <c r="I1031" s="31">
        <v>-3.7000000000000002E-3</v>
      </c>
      <c r="J1031" s="23">
        <v>745.4819</v>
      </c>
      <c r="K1031" s="23">
        <v>50431.86</v>
      </c>
      <c r="L1031" s="23">
        <v>86259.43</v>
      </c>
      <c r="M1031" s="23">
        <v>6</v>
      </c>
      <c r="N1031" s="23">
        <v>-31.06</v>
      </c>
      <c r="O1031" s="31">
        <v>-3.7000000000000002E-3</v>
      </c>
      <c r="P1031" s="31">
        <v>1.03E-2</v>
      </c>
      <c r="Q1031" s="23" t="s">
        <v>24</v>
      </c>
      <c r="R1031" s="23">
        <v>0</v>
      </c>
      <c r="S1031" s="23">
        <v>67.05</v>
      </c>
      <c r="U1031" s="47">
        <f>VLOOKUP(AU1031,[1]expiry_dates!$B$2:$C$2894,2,FALSE)</f>
        <v>44280</v>
      </c>
      <c r="V1031" s="23" t="s">
        <v>196</v>
      </c>
      <c r="W1031" s="23" t="s">
        <v>23</v>
      </c>
      <c r="X1031" s="49">
        <v>44264.385416666664</v>
      </c>
      <c r="Y1031" s="23">
        <v>3.9</v>
      </c>
      <c r="Z1031" s="23">
        <v>44264.4375</v>
      </c>
      <c r="AA1031" s="23">
        <v>4.05</v>
      </c>
      <c r="AB1031" s="23">
        <v>3.85E-2</v>
      </c>
      <c r="AC1031" s="23">
        <v>-2539.06</v>
      </c>
      <c r="AD1031" s="23">
        <v>-3.85E-2</v>
      </c>
      <c r="AE1031" s="23">
        <v>16927.060000000001</v>
      </c>
      <c r="AF1031" s="23">
        <v>66015.55</v>
      </c>
      <c r="AG1031" s="23">
        <v>3200571.68</v>
      </c>
      <c r="AH1031" s="23">
        <v>6</v>
      </c>
      <c r="AI1031" s="23">
        <v>-423.18</v>
      </c>
      <c r="AJ1031" s="23">
        <v>-3.85E-2</v>
      </c>
      <c r="AK1031" s="23">
        <v>0.44869999999999999</v>
      </c>
      <c r="AL1031" s="23" t="s">
        <v>24</v>
      </c>
      <c r="AM1031" s="23">
        <v>67.650000000000006</v>
      </c>
      <c r="AN1031" s="23">
        <v>35709.85</v>
      </c>
      <c r="AO1031" s="23">
        <v>67.05</v>
      </c>
      <c r="AP1031" s="23">
        <v>0</v>
      </c>
      <c r="AR1031" s="46"/>
      <c r="AS1031" s="44"/>
      <c r="AT1031" s="45"/>
      <c r="AU1031" s="2">
        <v>44264</v>
      </c>
      <c r="AV1031" s="52">
        <v>0.38541666666666669</v>
      </c>
      <c r="AW1031" s="2" t="s">
        <v>212</v>
      </c>
      <c r="AY1031" s="3"/>
      <c r="BA1031" s="3"/>
      <c r="BG1031" s="3"/>
      <c r="BH1031" s="3"/>
    </row>
    <row r="1032" spans="1:60">
      <c r="A1032" s="23" t="s">
        <v>22</v>
      </c>
      <c r="B1032" s="23" t="s">
        <v>23</v>
      </c>
      <c r="C1032" s="27">
        <v>44264.4375</v>
      </c>
      <c r="D1032" s="23">
        <v>67.400000000000006</v>
      </c>
      <c r="E1032" s="27">
        <v>44265.385416666664</v>
      </c>
      <c r="F1032" s="23">
        <v>67.150000000000006</v>
      </c>
      <c r="G1032" s="31">
        <v>-3.7000000000000002E-3</v>
      </c>
      <c r="H1032" s="23">
        <v>187.06</v>
      </c>
      <c r="I1032" s="31">
        <v>3.7000000000000002E-3</v>
      </c>
      <c r="J1032" s="23">
        <v>748.25540000000001</v>
      </c>
      <c r="K1032" s="23">
        <v>50432.42</v>
      </c>
      <c r="L1032" s="23">
        <v>86446.49</v>
      </c>
      <c r="M1032" s="23">
        <v>24</v>
      </c>
      <c r="N1032" s="23">
        <v>7.79</v>
      </c>
      <c r="O1032" s="31">
        <v>-4.4999999999999997E-3</v>
      </c>
      <c r="P1032" s="31">
        <v>2.6700000000000002E-2</v>
      </c>
      <c r="Q1032" s="23" t="s">
        <v>24</v>
      </c>
      <c r="R1032" s="23">
        <v>0</v>
      </c>
      <c r="S1032" s="23">
        <v>68.349999999999994</v>
      </c>
      <c r="U1032" s="47">
        <f>VLOOKUP(AU1032,[1]expiry_dates!$B$2:$C$2894,2,FALSE)</f>
        <v>44280</v>
      </c>
      <c r="V1032" s="23" t="s">
        <v>197</v>
      </c>
      <c r="W1032" s="23" t="s">
        <v>23</v>
      </c>
      <c r="X1032" s="49">
        <v>44264.4375</v>
      </c>
      <c r="Y1032" s="23">
        <v>3.3</v>
      </c>
      <c r="Z1032" s="23">
        <v>44265.385416666664</v>
      </c>
      <c r="AA1032" s="23">
        <v>2.9</v>
      </c>
      <c r="AB1032" s="23">
        <v>-0.1212</v>
      </c>
      <c r="AC1032" s="23">
        <v>8001.89</v>
      </c>
      <c r="AD1032" s="23">
        <v>0.1212</v>
      </c>
      <c r="AE1032" s="23">
        <v>20004.71</v>
      </c>
      <c r="AF1032" s="23">
        <v>66015.55</v>
      </c>
      <c r="AG1032" s="23">
        <v>3208573.57</v>
      </c>
      <c r="AH1032" s="23">
        <v>24</v>
      </c>
      <c r="AI1032" s="23">
        <v>333.41</v>
      </c>
      <c r="AJ1032" s="23">
        <v>-3.0300000000000001E-2</v>
      </c>
      <c r="AK1032" s="23">
        <v>0.2727</v>
      </c>
      <c r="AL1032" s="23" t="s">
        <v>24</v>
      </c>
      <c r="AM1032" s="23">
        <v>67.400000000000006</v>
      </c>
      <c r="AN1032" s="23">
        <v>35731.35</v>
      </c>
      <c r="AO1032" s="23">
        <v>68.349999999999994</v>
      </c>
      <c r="AP1032" s="23">
        <v>0</v>
      </c>
      <c r="AR1032" s="46"/>
      <c r="AS1032" s="44"/>
      <c r="AT1032" s="45"/>
      <c r="AU1032" s="2">
        <v>44264</v>
      </c>
      <c r="AV1032" s="52">
        <v>0.4375</v>
      </c>
      <c r="AW1032" s="2" t="s">
        <v>212</v>
      </c>
      <c r="AY1032" s="3"/>
      <c r="BA1032" s="3"/>
      <c r="BG1032" s="3"/>
      <c r="BH1032" s="3"/>
    </row>
    <row r="1033" spans="1:60">
      <c r="A1033" s="23" t="s">
        <v>22</v>
      </c>
      <c r="B1033" s="23" t="s">
        <v>25</v>
      </c>
      <c r="C1033" s="27">
        <v>44265.385416666664</v>
      </c>
      <c r="D1033" s="23">
        <v>67.150000000000006</v>
      </c>
      <c r="E1033" s="27">
        <v>44265.5</v>
      </c>
      <c r="F1033" s="23">
        <v>66.599999999999994</v>
      </c>
      <c r="G1033" s="31">
        <v>-8.2000000000000007E-3</v>
      </c>
      <c r="H1033" s="23">
        <v>-413.07</v>
      </c>
      <c r="I1033" s="31">
        <v>-8.2000000000000007E-3</v>
      </c>
      <c r="J1033" s="23">
        <v>751.03290000000004</v>
      </c>
      <c r="K1033" s="23">
        <v>50431.86</v>
      </c>
      <c r="L1033" s="23">
        <v>86033.42</v>
      </c>
      <c r="M1033" s="23">
        <v>12</v>
      </c>
      <c r="N1033" s="23">
        <v>-34.42</v>
      </c>
      <c r="O1033" s="31">
        <v>-1.04E-2</v>
      </c>
      <c r="P1033" s="31">
        <v>8.2000000000000007E-3</v>
      </c>
      <c r="Q1033" s="23" t="s">
        <v>24</v>
      </c>
      <c r="R1033" s="23">
        <v>0</v>
      </c>
      <c r="S1033" s="23">
        <v>65.709999999999994</v>
      </c>
      <c r="U1033" s="47">
        <f>VLOOKUP(AU1033,[1]expiry_dates!$B$2:$C$2894,2,FALSE)</f>
        <v>44280</v>
      </c>
      <c r="V1033" s="23" t="s">
        <v>199</v>
      </c>
      <c r="W1033" s="23" t="s">
        <v>23</v>
      </c>
      <c r="X1033" s="49">
        <v>44265.385416666664</v>
      </c>
      <c r="Y1033" s="23">
        <v>3.45</v>
      </c>
      <c r="Z1033" s="23">
        <v>44265.5</v>
      </c>
      <c r="AA1033" s="23">
        <v>3.65</v>
      </c>
      <c r="AB1033" s="23">
        <v>5.8000000000000003E-2</v>
      </c>
      <c r="AC1033" s="23">
        <v>-3828.86</v>
      </c>
      <c r="AD1033" s="23">
        <v>-5.8000000000000003E-2</v>
      </c>
      <c r="AE1033" s="23">
        <v>19144.310000000001</v>
      </c>
      <c r="AF1033" s="23">
        <v>66047.88</v>
      </c>
      <c r="AG1033" s="23">
        <v>3204744.71</v>
      </c>
      <c r="AH1033" s="23">
        <v>12</v>
      </c>
      <c r="AI1033" s="23">
        <v>-319.07</v>
      </c>
      <c r="AJ1033" s="23">
        <v>-5.8000000000000003E-2</v>
      </c>
      <c r="AK1033" s="23">
        <v>5.8000000000000003E-2</v>
      </c>
      <c r="AL1033" s="23" t="s">
        <v>24</v>
      </c>
      <c r="AM1033" s="23">
        <v>67.150000000000006</v>
      </c>
      <c r="AN1033" s="23">
        <v>36081.550000000003</v>
      </c>
      <c r="AO1033" s="23">
        <v>65.709999999999994</v>
      </c>
      <c r="AP1033" s="23">
        <v>0</v>
      </c>
      <c r="AR1033" s="46"/>
      <c r="AS1033" s="44"/>
      <c r="AT1033" s="45"/>
      <c r="AU1033" s="2">
        <v>44265</v>
      </c>
      <c r="AV1033" s="52">
        <v>0.38541666666666669</v>
      </c>
      <c r="AW1033" s="2" t="s">
        <v>212</v>
      </c>
      <c r="AY1033" s="3"/>
      <c r="BA1033" s="3"/>
      <c r="BG1033" s="3"/>
      <c r="BH1033" s="3"/>
    </row>
    <row r="1034" spans="1:60">
      <c r="A1034" s="23" t="s">
        <v>22</v>
      </c>
      <c r="B1034" s="23" t="s">
        <v>23</v>
      </c>
      <c r="C1034" s="27">
        <v>44265.5</v>
      </c>
      <c r="D1034" s="23">
        <v>66.599999999999994</v>
      </c>
      <c r="E1034" s="27">
        <v>44265.625</v>
      </c>
      <c r="F1034" s="23">
        <v>66.95</v>
      </c>
      <c r="G1034" s="31">
        <v>5.3E-3</v>
      </c>
      <c r="H1034" s="23">
        <v>-265.02999999999997</v>
      </c>
      <c r="I1034" s="31">
        <v>-5.3E-3</v>
      </c>
      <c r="J1034" s="23">
        <v>757.22950000000003</v>
      </c>
      <c r="K1034" s="23">
        <v>50431.48</v>
      </c>
      <c r="L1034" s="23">
        <v>85768.39</v>
      </c>
      <c r="M1034" s="23">
        <v>13</v>
      </c>
      <c r="N1034" s="23">
        <v>-20.39</v>
      </c>
      <c r="O1034" s="31">
        <v>-8.3000000000000001E-3</v>
      </c>
      <c r="P1034" s="31">
        <v>3.8E-3</v>
      </c>
      <c r="Q1034" s="23" t="s">
        <v>24</v>
      </c>
      <c r="R1034" s="23">
        <v>0</v>
      </c>
      <c r="S1034" s="23">
        <v>67.680000000000007</v>
      </c>
      <c r="U1034" s="47">
        <f>VLOOKUP(AU1034,[1]expiry_dates!$B$2:$C$2894,2,FALSE)</f>
        <v>44280</v>
      </c>
      <c r="V1034" s="23" t="s">
        <v>195</v>
      </c>
      <c r="W1034" s="23" t="s">
        <v>23</v>
      </c>
      <c r="X1034" s="49">
        <v>44265.5</v>
      </c>
      <c r="Y1034" s="23">
        <v>3</v>
      </c>
      <c r="Z1034" s="23">
        <v>44265.625</v>
      </c>
      <c r="AA1034" s="23">
        <v>3.15</v>
      </c>
      <c r="AB1034" s="23">
        <v>0.05</v>
      </c>
      <c r="AC1034" s="23">
        <v>-3302.14</v>
      </c>
      <c r="AD1034" s="23">
        <v>-0.05</v>
      </c>
      <c r="AE1034" s="23">
        <v>22014.29</v>
      </c>
      <c r="AF1034" s="23">
        <v>66042.87</v>
      </c>
      <c r="AG1034" s="23">
        <v>3201442.56</v>
      </c>
      <c r="AH1034" s="23">
        <v>13</v>
      </c>
      <c r="AI1034" s="23">
        <v>-254.01</v>
      </c>
      <c r="AJ1034" s="23">
        <v>-8.3299999999999999E-2</v>
      </c>
      <c r="AK1034" s="23">
        <v>3.3300000000000003E-2</v>
      </c>
      <c r="AL1034" s="23" t="s">
        <v>24</v>
      </c>
      <c r="AM1034" s="23">
        <v>66.599999999999994</v>
      </c>
      <c r="AN1034" s="23">
        <v>35842.9</v>
      </c>
      <c r="AO1034" s="23">
        <v>67.680000000000007</v>
      </c>
      <c r="AP1034" s="23">
        <v>0</v>
      </c>
      <c r="AR1034" s="46"/>
      <c r="AS1034" s="44"/>
      <c r="AT1034" s="45"/>
      <c r="AU1034" s="2">
        <v>44265</v>
      </c>
      <c r="AV1034" s="52">
        <v>0.5</v>
      </c>
      <c r="AW1034" s="2" t="s">
        <v>213</v>
      </c>
      <c r="AY1034" s="3"/>
      <c r="BA1034" s="3"/>
      <c r="BG1034" s="3"/>
      <c r="BH1034" s="3"/>
    </row>
    <row r="1035" spans="1:60">
      <c r="A1035" s="23" t="s">
        <v>22</v>
      </c>
      <c r="B1035" s="23" t="s">
        <v>25</v>
      </c>
      <c r="C1035" s="27">
        <v>44265.625</v>
      </c>
      <c r="D1035" s="23">
        <v>66.95</v>
      </c>
      <c r="E1035" s="27">
        <v>44267.479166666664</v>
      </c>
      <c r="F1035" s="23">
        <v>67.2</v>
      </c>
      <c r="G1035" s="31">
        <v>3.7000000000000002E-3</v>
      </c>
      <c r="H1035" s="23">
        <v>188.31</v>
      </c>
      <c r="I1035" s="31">
        <v>3.7000000000000002E-3</v>
      </c>
      <c r="J1035" s="23">
        <v>753.23990000000003</v>
      </c>
      <c r="K1035" s="23">
        <v>50429.41</v>
      </c>
      <c r="L1035" s="23">
        <v>85956.7</v>
      </c>
      <c r="M1035" s="23">
        <v>15</v>
      </c>
      <c r="N1035" s="23">
        <v>12.55</v>
      </c>
      <c r="O1035" s="31">
        <v>-3.7000000000000002E-3</v>
      </c>
      <c r="P1035" s="31">
        <v>1.72E-2</v>
      </c>
      <c r="Q1035" s="23" t="s">
        <v>24</v>
      </c>
      <c r="R1035" s="23">
        <v>0</v>
      </c>
      <c r="S1035" s="23">
        <v>66.349999999999994</v>
      </c>
      <c r="U1035" s="47">
        <f>VLOOKUP(AU1035,[1]expiry_dates!$B$2:$C$2894,2,FALSE)</f>
        <v>44280</v>
      </c>
      <c r="V1035" s="23" t="s">
        <v>200</v>
      </c>
      <c r="W1035" s="23" t="s">
        <v>23</v>
      </c>
      <c r="X1035" s="49">
        <v>44265.625</v>
      </c>
      <c r="Y1035" s="23">
        <v>2.75</v>
      </c>
      <c r="Z1035" s="23">
        <v>44267.479166666664</v>
      </c>
      <c r="AA1035" s="23">
        <v>2.4</v>
      </c>
      <c r="AB1035" s="23">
        <v>-0.1273</v>
      </c>
      <c r="AC1035" s="23">
        <v>8401.6200000000008</v>
      </c>
      <c r="AD1035" s="23">
        <v>0.1273</v>
      </c>
      <c r="AE1035" s="23">
        <v>24004.63</v>
      </c>
      <c r="AF1035" s="23">
        <v>66012.72</v>
      </c>
      <c r="AG1035" s="23">
        <v>3209844.18</v>
      </c>
      <c r="AH1035" s="23">
        <v>15</v>
      </c>
      <c r="AI1035" s="23">
        <v>560.11</v>
      </c>
      <c r="AJ1035" s="23">
        <v>-5.45E-2</v>
      </c>
      <c r="AK1035" s="23">
        <v>0.2364</v>
      </c>
      <c r="AL1035" s="23" t="s">
        <v>24</v>
      </c>
      <c r="AM1035" s="23">
        <v>66.95</v>
      </c>
      <c r="AN1035" s="23">
        <v>35927.599999999999</v>
      </c>
      <c r="AO1035" s="23">
        <v>66.349999999999994</v>
      </c>
      <c r="AP1035" s="23">
        <v>0</v>
      </c>
      <c r="AR1035" s="46"/>
      <c r="AS1035" s="44"/>
      <c r="AT1035" s="45"/>
      <c r="AU1035" s="2">
        <v>44265</v>
      </c>
      <c r="AV1035" s="52">
        <v>0.125</v>
      </c>
      <c r="AW1035" s="2" t="s">
        <v>213</v>
      </c>
      <c r="AY1035" s="3"/>
      <c r="BA1035" s="3"/>
      <c r="BG1035" s="3"/>
      <c r="BH1035" s="3"/>
    </row>
    <row r="1036" spans="1:60">
      <c r="A1036" s="23" t="s">
        <v>22</v>
      </c>
      <c r="B1036" s="23" t="s">
        <v>23</v>
      </c>
      <c r="C1036" s="27">
        <v>44267.479166666664</v>
      </c>
      <c r="D1036" s="23">
        <v>67.2</v>
      </c>
      <c r="E1036" s="27">
        <v>44267.625</v>
      </c>
      <c r="F1036" s="23">
        <v>67</v>
      </c>
      <c r="G1036" s="31">
        <v>-3.0000000000000001E-3</v>
      </c>
      <c r="H1036" s="23">
        <v>150.09</v>
      </c>
      <c r="I1036" s="31">
        <v>3.0000000000000001E-3</v>
      </c>
      <c r="J1036" s="23">
        <v>750.45169999999996</v>
      </c>
      <c r="K1036" s="23">
        <v>50430.35</v>
      </c>
      <c r="L1036" s="23">
        <v>86106.79</v>
      </c>
      <c r="M1036" s="23">
        <v>15</v>
      </c>
      <c r="N1036" s="23">
        <v>10.01</v>
      </c>
      <c r="O1036" s="31">
        <v>-3.0000000000000001E-3</v>
      </c>
      <c r="P1036" s="31">
        <v>2.8299999999999999E-2</v>
      </c>
      <c r="Q1036" s="23" t="s">
        <v>24</v>
      </c>
      <c r="R1036" s="23">
        <v>0</v>
      </c>
      <c r="S1036" s="23">
        <v>68.099999999999994</v>
      </c>
      <c r="U1036" s="47">
        <f>VLOOKUP(AU1036,[1]expiry_dates!$B$2:$C$2894,2,FALSE)</f>
        <v>44280</v>
      </c>
      <c r="V1036" s="23" t="s">
        <v>195</v>
      </c>
      <c r="W1036" s="23" t="s">
        <v>23</v>
      </c>
      <c r="X1036" s="49">
        <v>44267.479166666664</v>
      </c>
      <c r="Y1036" s="23">
        <v>3.05</v>
      </c>
      <c r="Z1036" s="23">
        <v>44267.625</v>
      </c>
      <c r="AA1036" s="23">
        <v>3.15</v>
      </c>
      <c r="AB1036" s="23">
        <v>3.2800000000000003E-2</v>
      </c>
      <c r="AC1036" s="23">
        <v>-2165.94</v>
      </c>
      <c r="AD1036" s="23">
        <v>-3.2800000000000003E-2</v>
      </c>
      <c r="AE1036" s="23">
        <v>21659.42</v>
      </c>
      <c r="AF1036" s="23">
        <v>66061.23</v>
      </c>
      <c r="AG1036" s="23">
        <v>3207678.24</v>
      </c>
      <c r="AH1036" s="23">
        <v>15</v>
      </c>
      <c r="AI1036" s="23">
        <v>-144.4</v>
      </c>
      <c r="AJ1036" s="23">
        <v>-3.2800000000000003E-2</v>
      </c>
      <c r="AK1036" s="23">
        <v>0.24590000000000001</v>
      </c>
      <c r="AL1036" s="23" t="s">
        <v>24</v>
      </c>
      <c r="AM1036" s="23">
        <v>67.2</v>
      </c>
      <c r="AN1036" s="23">
        <v>36246.400000000001</v>
      </c>
      <c r="AO1036" s="23">
        <v>68.099999999999994</v>
      </c>
      <c r="AP1036" s="23">
        <v>0</v>
      </c>
      <c r="AR1036" s="46"/>
      <c r="AS1036" s="44"/>
      <c r="AT1036" s="45"/>
      <c r="AU1036" s="2">
        <v>44267</v>
      </c>
      <c r="AV1036" s="52">
        <v>0.47916666666666669</v>
      </c>
      <c r="AW1036" s="2" t="s">
        <v>212</v>
      </c>
      <c r="AY1036" s="3"/>
      <c r="BA1036" s="3"/>
      <c r="BG1036" s="3"/>
      <c r="BH1036" s="3"/>
    </row>
    <row r="1037" spans="1:60">
      <c r="A1037" s="23" t="s">
        <v>22</v>
      </c>
      <c r="B1037" s="23" t="s">
        <v>25</v>
      </c>
      <c r="C1037" s="27">
        <v>44267.625</v>
      </c>
      <c r="D1037" s="23">
        <v>67</v>
      </c>
      <c r="E1037" s="27">
        <v>44270.395833333336</v>
      </c>
      <c r="F1037" s="23">
        <v>64.900000000000006</v>
      </c>
      <c r="G1037" s="31">
        <v>-3.1300000000000001E-2</v>
      </c>
      <c r="H1037" s="23">
        <v>-1580.73</v>
      </c>
      <c r="I1037" s="31">
        <v>-3.1300000000000001E-2</v>
      </c>
      <c r="J1037" s="23">
        <v>752.72810000000004</v>
      </c>
      <c r="K1037" s="23">
        <v>50432.79</v>
      </c>
      <c r="L1037" s="23">
        <v>84526.06</v>
      </c>
      <c r="M1037" s="23">
        <v>7</v>
      </c>
      <c r="N1037" s="23">
        <v>-225.82</v>
      </c>
      <c r="O1037" s="31">
        <v>-3.1300000000000001E-2</v>
      </c>
      <c r="P1037" s="31">
        <v>4.4999999999999997E-3</v>
      </c>
      <c r="Q1037" s="23" t="s">
        <v>24</v>
      </c>
      <c r="R1037" s="23">
        <v>0</v>
      </c>
      <c r="S1037" s="23">
        <v>65.34</v>
      </c>
      <c r="U1037" s="47">
        <f>VLOOKUP(AU1037,[1]expiry_dates!$B$2:$C$2894,2,FALSE)</f>
        <v>44280</v>
      </c>
      <c r="V1037" s="23" t="s">
        <v>199</v>
      </c>
      <c r="W1037" s="23" t="s">
        <v>23</v>
      </c>
      <c r="X1037" s="49">
        <v>44267.625</v>
      </c>
      <c r="Y1037" s="23">
        <v>3.15</v>
      </c>
      <c r="Z1037" s="23">
        <v>44270.395833333336</v>
      </c>
      <c r="AA1037" s="23">
        <v>3.9</v>
      </c>
      <c r="AB1037" s="23">
        <v>0.23810000000000001</v>
      </c>
      <c r="AC1037" s="23">
        <v>-15733.74</v>
      </c>
      <c r="AD1037" s="23">
        <v>-0.23810000000000001</v>
      </c>
      <c r="AE1037" s="23">
        <v>20978.32</v>
      </c>
      <c r="AF1037" s="23">
        <v>66081.710000000006</v>
      </c>
      <c r="AG1037" s="23">
        <v>3191944.5</v>
      </c>
      <c r="AH1037" s="23">
        <v>7</v>
      </c>
      <c r="AI1037" s="23">
        <v>-2247.6799999999998</v>
      </c>
      <c r="AJ1037" s="23">
        <v>-0.23810000000000001</v>
      </c>
      <c r="AK1037" s="23">
        <v>7.9399999999999998E-2</v>
      </c>
      <c r="AL1037" s="23" t="s">
        <v>24</v>
      </c>
      <c r="AM1037" s="23">
        <v>67</v>
      </c>
      <c r="AN1037" s="23">
        <v>35520.35</v>
      </c>
      <c r="AO1037" s="23">
        <v>65.34</v>
      </c>
      <c r="AP1037" s="23">
        <v>0</v>
      </c>
      <c r="AR1037" s="46"/>
      <c r="AS1037" s="44"/>
      <c r="AT1037" s="45"/>
      <c r="AU1037" s="2">
        <v>44267</v>
      </c>
      <c r="AV1037" s="52">
        <v>0.125</v>
      </c>
      <c r="AW1037" s="2" t="s">
        <v>213</v>
      </c>
      <c r="AY1037" s="3"/>
      <c r="BA1037" s="3"/>
      <c r="BG1037" s="3"/>
      <c r="BH1037" s="3"/>
    </row>
    <row r="1038" spans="1:60">
      <c r="A1038" s="23" t="s">
        <v>22</v>
      </c>
      <c r="B1038" s="23" t="s">
        <v>23</v>
      </c>
      <c r="C1038" s="27">
        <v>44270.395833333336</v>
      </c>
      <c r="D1038" s="23">
        <v>64.900000000000006</v>
      </c>
      <c r="E1038" s="27">
        <v>44270.604166666664</v>
      </c>
      <c r="F1038" s="23">
        <v>65.2</v>
      </c>
      <c r="G1038" s="31">
        <v>4.5999999999999999E-3</v>
      </c>
      <c r="H1038" s="23">
        <v>-233.1</v>
      </c>
      <c r="I1038" s="31">
        <v>-4.5999999999999999E-3</v>
      </c>
      <c r="J1038" s="23">
        <v>776.98889999999994</v>
      </c>
      <c r="K1038" s="23">
        <v>50426.58</v>
      </c>
      <c r="L1038" s="23">
        <v>84292.97</v>
      </c>
      <c r="M1038" s="23">
        <v>21</v>
      </c>
      <c r="N1038" s="23">
        <v>-11.1</v>
      </c>
      <c r="O1038" s="31">
        <v>-1.6199999999999999E-2</v>
      </c>
      <c r="P1038" s="31">
        <v>1.8499999999999999E-2</v>
      </c>
      <c r="Q1038" s="23" t="s">
        <v>24</v>
      </c>
      <c r="R1038" s="23">
        <v>0</v>
      </c>
      <c r="S1038" s="23">
        <v>67.22</v>
      </c>
      <c r="U1038" s="47">
        <f>VLOOKUP(AU1038,[1]expiry_dates!$B$2:$C$2894,2,FALSE)</f>
        <v>44280</v>
      </c>
      <c r="V1038" s="23" t="s">
        <v>191</v>
      </c>
      <c r="W1038" s="23" t="s">
        <v>23</v>
      </c>
      <c r="X1038" s="49">
        <v>44270.395833333336</v>
      </c>
      <c r="Y1038" s="23">
        <v>2.75</v>
      </c>
      <c r="Z1038" s="23">
        <v>44270.604166666664</v>
      </c>
      <c r="AA1038" s="23">
        <v>2.7</v>
      </c>
      <c r="AB1038" s="23">
        <v>-1.8200000000000001E-2</v>
      </c>
      <c r="AC1038" s="23">
        <v>1200.22</v>
      </c>
      <c r="AD1038" s="23">
        <v>1.8200000000000001E-2</v>
      </c>
      <c r="AE1038" s="23">
        <v>24004.43</v>
      </c>
      <c r="AF1038" s="23">
        <v>66012.17</v>
      </c>
      <c r="AG1038" s="23">
        <v>3193144.72</v>
      </c>
      <c r="AH1038" s="23">
        <v>21</v>
      </c>
      <c r="AI1038" s="23">
        <v>57.15</v>
      </c>
      <c r="AJ1038" s="23">
        <v>-0.18179999999999999</v>
      </c>
      <c r="AK1038" s="23">
        <v>0.32729999999999998</v>
      </c>
      <c r="AL1038" s="23" t="s">
        <v>24</v>
      </c>
      <c r="AM1038" s="23">
        <v>64.900000000000006</v>
      </c>
      <c r="AN1038" s="23">
        <v>34836.550000000003</v>
      </c>
      <c r="AO1038" s="23">
        <v>67.22</v>
      </c>
      <c r="AP1038" s="23">
        <v>0</v>
      </c>
      <c r="AR1038" s="46"/>
      <c r="AS1038" s="44"/>
      <c r="AT1038" s="45"/>
      <c r="AU1038" s="2">
        <v>44270</v>
      </c>
      <c r="AV1038" s="52">
        <v>0.39583333333333331</v>
      </c>
      <c r="AW1038" s="2" t="s">
        <v>212</v>
      </c>
      <c r="AY1038" s="3"/>
      <c r="BA1038" s="3"/>
      <c r="BG1038" s="3"/>
      <c r="BH1038" s="3"/>
    </row>
    <row r="1039" spans="1:60">
      <c r="A1039" s="23" t="s">
        <v>22</v>
      </c>
      <c r="B1039" s="23" t="s">
        <v>25</v>
      </c>
      <c r="C1039" s="27">
        <v>44270.604166666664</v>
      </c>
      <c r="D1039" s="23">
        <v>65.2</v>
      </c>
      <c r="E1039" s="27">
        <v>44271.40625</v>
      </c>
      <c r="F1039" s="23">
        <v>64.55</v>
      </c>
      <c r="G1039" s="31">
        <v>-0.01</v>
      </c>
      <c r="H1039" s="23">
        <v>-502.68</v>
      </c>
      <c r="I1039" s="31">
        <v>-0.01</v>
      </c>
      <c r="J1039" s="23">
        <v>773.35329999999999</v>
      </c>
      <c r="K1039" s="23">
        <v>50422.63</v>
      </c>
      <c r="L1039" s="23">
        <v>83790.289999999994</v>
      </c>
      <c r="M1039" s="23">
        <v>10</v>
      </c>
      <c r="N1039" s="23">
        <v>-50.27</v>
      </c>
      <c r="O1039" s="31">
        <v>-1.38E-2</v>
      </c>
      <c r="P1039" s="31">
        <v>0.01</v>
      </c>
      <c r="Q1039" s="23" t="s">
        <v>24</v>
      </c>
      <c r="R1039" s="23">
        <v>0</v>
      </c>
      <c r="S1039" s="23">
        <v>63.73</v>
      </c>
      <c r="U1039" s="47">
        <f>VLOOKUP(AU1039,[1]expiry_dates!$B$2:$C$2894,2,FALSE)</f>
        <v>44280</v>
      </c>
      <c r="V1039" s="23" t="s">
        <v>194</v>
      </c>
      <c r="W1039" s="23" t="s">
        <v>23</v>
      </c>
      <c r="X1039" s="49">
        <v>44270.604166666664</v>
      </c>
      <c r="Y1039" s="23">
        <v>2.5</v>
      </c>
      <c r="Z1039" s="23">
        <v>44271.40625</v>
      </c>
      <c r="AA1039" s="23">
        <v>2.75</v>
      </c>
      <c r="AB1039" s="23">
        <v>0.1</v>
      </c>
      <c r="AC1039" s="23">
        <v>-6597.77</v>
      </c>
      <c r="AD1039" s="23">
        <v>-0.1</v>
      </c>
      <c r="AE1039" s="23">
        <v>26391.09</v>
      </c>
      <c r="AF1039" s="23">
        <v>65977.73</v>
      </c>
      <c r="AG1039" s="23">
        <v>3186546.95</v>
      </c>
      <c r="AH1039" s="23">
        <v>10</v>
      </c>
      <c r="AI1039" s="23">
        <v>-659.78</v>
      </c>
      <c r="AJ1039" s="23">
        <v>-0.14000000000000001</v>
      </c>
      <c r="AK1039" s="23">
        <v>0.14000000000000001</v>
      </c>
      <c r="AL1039" s="23" t="s">
        <v>24</v>
      </c>
      <c r="AM1039" s="23">
        <v>65.2</v>
      </c>
      <c r="AN1039" s="23">
        <v>34908.400000000001</v>
      </c>
      <c r="AO1039" s="23">
        <v>63.73</v>
      </c>
      <c r="AP1039" s="23">
        <v>0</v>
      </c>
      <c r="AR1039" s="46"/>
      <c r="AS1039" s="44"/>
      <c r="AT1039" s="45"/>
      <c r="AU1039" s="2">
        <v>44270</v>
      </c>
      <c r="AV1039" s="52">
        <v>0.10416666666666667</v>
      </c>
      <c r="AW1039" s="2" t="s">
        <v>213</v>
      </c>
      <c r="AY1039" s="3"/>
      <c r="BA1039" s="3"/>
      <c r="BG1039" s="3"/>
      <c r="BH1039" s="3"/>
    </row>
    <row r="1040" spans="1:60">
      <c r="A1040" s="23" t="s">
        <v>22</v>
      </c>
      <c r="B1040" s="23" t="s">
        <v>23</v>
      </c>
      <c r="C1040" s="27">
        <v>44271.40625</v>
      </c>
      <c r="D1040" s="23">
        <v>64.55</v>
      </c>
      <c r="E1040" s="27">
        <v>44273.385416666664</v>
      </c>
      <c r="F1040" s="23">
        <v>61.8</v>
      </c>
      <c r="G1040" s="31">
        <v>-4.2599999999999999E-2</v>
      </c>
      <c r="H1040" s="23">
        <v>2147.96</v>
      </c>
      <c r="I1040" s="31">
        <v>4.2599999999999999E-2</v>
      </c>
      <c r="J1040" s="23">
        <v>781.07759999999996</v>
      </c>
      <c r="K1040" s="23">
        <v>50418.559999999998</v>
      </c>
      <c r="L1040" s="23">
        <v>85938.25</v>
      </c>
      <c r="M1040" s="23">
        <v>55</v>
      </c>
      <c r="N1040" s="23">
        <v>39.049999999999997</v>
      </c>
      <c r="O1040" s="31">
        <v>-3.0999999999999999E-3</v>
      </c>
      <c r="P1040" s="31">
        <v>6.0400000000000002E-2</v>
      </c>
      <c r="Q1040" s="23" t="s">
        <v>24</v>
      </c>
      <c r="R1040" s="23">
        <v>0</v>
      </c>
      <c r="S1040" s="23">
        <v>65.81</v>
      </c>
      <c r="U1040" s="47">
        <f>VLOOKUP(AU1040,[1]expiry_dates!$B$2:$C$2894,2,FALSE)</f>
        <v>44280</v>
      </c>
      <c r="V1040" s="23" t="s">
        <v>191</v>
      </c>
      <c r="W1040" s="23" t="s">
        <v>23</v>
      </c>
      <c r="X1040" s="49">
        <v>44271.40625</v>
      </c>
      <c r="Y1040" s="23">
        <v>2.2000000000000002</v>
      </c>
      <c r="Z1040" s="23">
        <v>44273.385416666664</v>
      </c>
      <c r="AA1040" s="23">
        <v>0.75</v>
      </c>
      <c r="AB1040" s="23">
        <v>-0.65910000000000002</v>
      </c>
      <c r="AC1040" s="23">
        <v>43460.01</v>
      </c>
      <c r="AD1040" s="23">
        <v>0.65910000000000002</v>
      </c>
      <c r="AE1040" s="23">
        <v>29972.42</v>
      </c>
      <c r="AF1040" s="23">
        <v>65939.34</v>
      </c>
      <c r="AG1040" s="23">
        <v>3230006.96</v>
      </c>
      <c r="AH1040" s="23">
        <v>55</v>
      </c>
      <c r="AI1040" s="23">
        <v>790.18</v>
      </c>
      <c r="AJ1040" s="23">
        <v>-2.2700000000000001E-2</v>
      </c>
      <c r="AK1040" s="23">
        <v>0.72729999999999995</v>
      </c>
      <c r="AL1040" s="23" t="s">
        <v>24</v>
      </c>
      <c r="AM1040" s="23">
        <v>64.55</v>
      </c>
      <c r="AN1040" s="23">
        <v>35109.9</v>
      </c>
      <c r="AO1040" s="23">
        <v>65.81</v>
      </c>
      <c r="AP1040" s="23">
        <v>0</v>
      </c>
      <c r="AR1040" s="46"/>
      <c r="AS1040" s="44"/>
      <c r="AT1040" s="45"/>
      <c r="AU1040" s="2">
        <v>44271</v>
      </c>
      <c r="AV1040" s="52">
        <v>0.40625</v>
      </c>
      <c r="AW1040" s="2" t="s">
        <v>212</v>
      </c>
      <c r="AY1040" s="3"/>
      <c r="BA1040" s="3"/>
      <c r="BG1040" s="3"/>
      <c r="BH1040" s="3"/>
    </row>
    <row r="1041" spans="1:60">
      <c r="A1041" s="23" t="s">
        <v>22</v>
      </c>
      <c r="B1041" s="23" t="s">
        <v>25</v>
      </c>
      <c r="C1041" s="27">
        <v>44273.385416666664</v>
      </c>
      <c r="D1041" s="23">
        <v>61.8</v>
      </c>
      <c r="E1041" s="27">
        <v>44273.4375</v>
      </c>
      <c r="F1041" s="23">
        <v>60.9</v>
      </c>
      <c r="G1041" s="31">
        <v>-1.46E-2</v>
      </c>
      <c r="H1041" s="23">
        <v>-734.43</v>
      </c>
      <c r="I1041" s="31">
        <v>-1.46E-2</v>
      </c>
      <c r="J1041" s="23">
        <v>816.03340000000003</v>
      </c>
      <c r="K1041" s="23">
        <v>50430.86</v>
      </c>
      <c r="L1041" s="23">
        <v>85203.82</v>
      </c>
      <c r="M1041" s="23">
        <v>6</v>
      </c>
      <c r="N1041" s="23">
        <v>-122.41</v>
      </c>
      <c r="O1041" s="31">
        <v>-1.46E-2</v>
      </c>
      <c r="P1041" s="31">
        <v>8.8999999999999999E-3</v>
      </c>
      <c r="Q1041" s="23" t="s">
        <v>24</v>
      </c>
      <c r="R1041" s="23">
        <v>0</v>
      </c>
      <c r="S1041" s="23">
        <v>60.71</v>
      </c>
      <c r="U1041" s="47">
        <f>VLOOKUP(AU1041,[1]expiry_dates!$B$2:$C$2894,2,FALSE)</f>
        <v>44280</v>
      </c>
      <c r="V1041" s="23" t="s">
        <v>189</v>
      </c>
      <c r="W1041" s="23" t="s">
        <v>23</v>
      </c>
      <c r="X1041" s="49">
        <v>44273.385416666664</v>
      </c>
      <c r="Y1041" s="23">
        <v>2.1</v>
      </c>
      <c r="Z1041" s="23">
        <v>44273.4375</v>
      </c>
      <c r="AA1041" s="23">
        <v>2.4500000000000002</v>
      </c>
      <c r="AB1041" s="23">
        <v>0.16669999999999999</v>
      </c>
      <c r="AC1041" s="23">
        <v>-11027.5</v>
      </c>
      <c r="AD1041" s="23">
        <v>-0.16669999999999999</v>
      </c>
      <c r="AE1041" s="23">
        <v>31507.15</v>
      </c>
      <c r="AF1041" s="23">
        <v>66165.02</v>
      </c>
      <c r="AG1041" s="23">
        <v>3218979.46</v>
      </c>
      <c r="AH1041" s="23">
        <v>6</v>
      </c>
      <c r="AI1041" s="23">
        <v>-1837.92</v>
      </c>
      <c r="AJ1041" s="23">
        <v>-0.16669999999999999</v>
      </c>
      <c r="AK1041" s="23">
        <v>0.21429999999999999</v>
      </c>
      <c r="AL1041" s="23" t="s">
        <v>24</v>
      </c>
      <c r="AM1041" s="23">
        <v>61.8</v>
      </c>
      <c r="AN1041" s="23">
        <v>34614.75</v>
      </c>
      <c r="AO1041" s="23">
        <v>60.71</v>
      </c>
      <c r="AP1041" s="23">
        <v>0</v>
      </c>
      <c r="AR1041" s="46"/>
      <c r="AS1041" s="44"/>
      <c r="AT1041" s="45"/>
      <c r="AU1041" s="2">
        <v>44273</v>
      </c>
      <c r="AV1041" s="52">
        <v>0.38541666666666669</v>
      </c>
      <c r="AW1041" s="2" t="s">
        <v>212</v>
      </c>
      <c r="AY1041" s="3"/>
      <c r="BA1041" s="3"/>
      <c r="BG1041" s="3"/>
      <c r="BH1041" s="3"/>
    </row>
    <row r="1042" spans="1:60">
      <c r="A1042" s="23" t="s">
        <v>22</v>
      </c>
      <c r="B1042" s="23" t="s">
        <v>23</v>
      </c>
      <c r="C1042" s="27">
        <v>44273.4375</v>
      </c>
      <c r="D1042" s="23">
        <v>60.9</v>
      </c>
      <c r="E1042" s="27">
        <v>44274.447916666664</v>
      </c>
      <c r="F1042" s="23">
        <v>59.25</v>
      </c>
      <c r="G1042" s="31">
        <v>-2.7099999999999999E-2</v>
      </c>
      <c r="H1042" s="23">
        <v>1366.27</v>
      </c>
      <c r="I1042" s="31">
        <v>2.7099999999999999E-2</v>
      </c>
      <c r="J1042" s="23">
        <v>828.04020000000003</v>
      </c>
      <c r="K1042" s="23">
        <v>50427.65</v>
      </c>
      <c r="L1042" s="23">
        <v>86570.09</v>
      </c>
      <c r="M1042" s="23">
        <v>30</v>
      </c>
      <c r="N1042" s="23">
        <v>45.54</v>
      </c>
      <c r="O1042" s="31">
        <v>-9.9000000000000008E-3</v>
      </c>
      <c r="P1042" s="31">
        <v>8.0500000000000002E-2</v>
      </c>
      <c r="Q1042" s="23" t="s">
        <v>24</v>
      </c>
      <c r="R1042" s="23">
        <v>0</v>
      </c>
      <c r="S1042" s="23">
        <v>62.29</v>
      </c>
      <c r="U1042" s="47">
        <f>VLOOKUP(AU1042,[1]expiry_dates!$B$2:$C$2894,2,FALSE)</f>
        <v>44280</v>
      </c>
      <c r="V1042" s="23" t="s">
        <v>186</v>
      </c>
      <c r="W1042" s="23" t="s">
        <v>23</v>
      </c>
      <c r="X1042" s="49">
        <v>44273.4375</v>
      </c>
      <c r="Y1042" s="23">
        <v>1.8</v>
      </c>
      <c r="Z1042" s="23">
        <v>44274.447916666664</v>
      </c>
      <c r="AA1042" s="23">
        <v>0.75</v>
      </c>
      <c r="AB1042" s="23">
        <v>-0.58330000000000004</v>
      </c>
      <c r="AC1042" s="23">
        <v>38578.33</v>
      </c>
      <c r="AD1042" s="23">
        <v>0.58330000000000004</v>
      </c>
      <c r="AE1042" s="23">
        <v>36741.269999999997</v>
      </c>
      <c r="AF1042" s="23">
        <v>66134.28</v>
      </c>
      <c r="AG1042" s="23">
        <v>3257557.79</v>
      </c>
      <c r="AH1042" s="23">
        <v>30</v>
      </c>
      <c r="AI1042" s="23">
        <v>1285.94</v>
      </c>
      <c r="AJ1042" s="23">
        <v>-5.5599999999999997E-2</v>
      </c>
      <c r="AK1042" s="23">
        <v>0.77780000000000005</v>
      </c>
      <c r="AL1042" s="23" t="s">
        <v>24</v>
      </c>
      <c r="AM1042" s="23">
        <v>60.9</v>
      </c>
      <c r="AN1042" s="23">
        <v>34447.75</v>
      </c>
      <c r="AO1042" s="23">
        <v>62.29</v>
      </c>
      <c r="AP1042" s="23">
        <v>0</v>
      </c>
      <c r="AR1042" s="46"/>
      <c r="AS1042" s="44"/>
      <c r="AT1042" s="45"/>
      <c r="AU1042" s="2">
        <v>44273</v>
      </c>
      <c r="AV1042" s="52">
        <v>0.4375</v>
      </c>
      <c r="AW1042" s="2" t="s">
        <v>212</v>
      </c>
      <c r="AY1042" s="3"/>
      <c r="BA1042" s="3"/>
      <c r="BG1042" s="3"/>
      <c r="BH1042" s="3"/>
    </row>
    <row r="1043" spans="1:60">
      <c r="A1043" s="23" t="s">
        <v>22</v>
      </c>
      <c r="B1043" s="23" t="s">
        <v>25</v>
      </c>
      <c r="C1043" s="27">
        <v>44274.447916666664</v>
      </c>
      <c r="D1043" s="23">
        <v>59.25</v>
      </c>
      <c r="E1043" s="27">
        <v>44277.510416666664</v>
      </c>
      <c r="F1043" s="23">
        <v>59.5</v>
      </c>
      <c r="G1043" s="31">
        <v>4.1999999999999997E-3</v>
      </c>
      <c r="H1043" s="23">
        <v>212.81</v>
      </c>
      <c r="I1043" s="31">
        <v>4.1999999999999997E-3</v>
      </c>
      <c r="J1043" s="23">
        <v>851.22580000000005</v>
      </c>
      <c r="K1043" s="23">
        <v>50435.13</v>
      </c>
      <c r="L1043" s="23">
        <v>86782.89</v>
      </c>
      <c r="M1043" s="23">
        <v>35</v>
      </c>
      <c r="N1043" s="23">
        <v>6.08</v>
      </c>
      <c r="O1043" s="31">
        <v>-2.4500000000000001E-2</v>
      </c>
      <c r="P1043" s="31">
        <v>3.1199999999999999E-2</v>
      </c>
      <c r="Q1043" s="23" t="s">
        <v>24</v>
      </c>
      <c r="R1043" s="23">
        <v>0</v>
      </c>
      <c r="S1043" s="23">
        <v>56.06</v>
      </c>
      <c r="U1043" s="47">
        <f>VLOOKUP(AU1043,[1]expiry_dates!$B$2:$C$2894,2,FALSE)</f>
        <v>44280</v>
      </c>
      <c r="V1043" s="23" t="s">
        <v>201</v>
      </c>
      <c r="W1043" s="23" t="s">
        <v>23</v>
      </c>
      <c r="X1043" s="49">
        <v>44274.447916666664</v>
      </c>
      <c r="Y1043" s="23">
        <v>1.25</v>
      </c>
      <c r="Z1043" s="23">
        <v>44277.510416666664</v>
      </c>
      <c r="AA1043" s="23">
        <v>1.1000000000000001</v>
      </c>
      <c r="AB1043" s="23">
        <v>-0.12</v>
      </c>
      <c r="AC1043" s="23">
        <v>7955.64</v>
      </c>
      <c r="AD1043" s="23">
        <v>0.12</v>
      </c>
      <c r="AE1043" s="23">
        <v>53037.58</v>
      </c>
      <c r="AF1043" s="23">
        <v>66296.97</v>
      </c>
      <c r="AG1043" s="23">
        <v>3265513.43</v>
      </c>
      <c r="AH1043" s="23">
        <v>35</v>
      </c>
      <c r="AI1043" s="23">
        <v>227.3</v>
      </c>
      <c r="AJ1043" s="23">
        <v>-0.64</v>
      </c>
      <c r="AK1043" s="23">
        <v>0.48</v>
      </c>
      <c r="AL1043" s="23" t="s">
        <v>24</v>
      </c>
      <c r="AM1043" s="23">
        <v>59.25</v>
      </c>
      <c r="AN1043" s="23">
        <v>33890.699999999997</v>
      </c>
      <c r="AO1043" s="23">
        <v>56.06</v>
      </c>
      <c r="AP1043" s="23">
        <v>0</v>
      </c>
      <c r="AR1043" s="46"/>
      <c r="AS1043" s="44"/>
      <c r="AT1043" s="45"/>
      <c r="AU1043" s="2">
        <v>44274</v>
      </c>
      <c r="AV1043" s="52">
        <v>0.44791666666666669</v>
      </c>
      <c r="AW1043" s="2" t="s">
        <v>212</v>
      </c>
      <c r="AY1043" s="3"/>
      <c r="BA1043" s="3"/>
      <c r="BG1043" s="3"/>
      <c r="BH1043" s="3"/>
    </row>
    <row r="1044" spans="1:60">
      <c r="A1044" s="23" t="s">
        <v>22</v>
      </c>
      <c r="B1044" s="23" t="s">
        <v>23</v>
      </c>
      <c r="C1044" s="27">
        <v>44277.510416666664</v>
      </c>
      <c r="D1044" s="23">
        <v>59.5</v>
      </c>
      <c r="E1044" s="27">
        <v>44278.385416666664</v>
      </c>
      <c r="F1044" s="23">
        <v>60.1</v>
      </c>
      <c r="G1044" s="31">
        <v>1.01E-2</v>
      </c>
      <c r="H1044" s="23">
        <v>-508.61</v>
      </c>
      <c r="I1044" s="31">
        <v>-1.01E-2</v>
      </c>
      <c r="J1044" s="23">
        <v>847.6789</v>
      </c>
      <c r="K1044" s="23">
        <v>50436.89</v>
      </c>
      <c r="L1044" s="23">
        <v>86274.29</v>
      </c>
      <c r="M1044" s="23">
        <v>17</v>
      </c>
      <c r="N1044" s="23">
        <v>-29.92</v>
      </c>
      <c r="O1044" s="31">
        <v>-1.18E-2</v>
      </c>
      <c r="P1044" s="31">
        <v>1.26E-2</v>
      </c>
      <c r="Q1044" s="23" t="s">
        <v>24</v>
      </c>
      <c r="R1044" s="23">
        <v>0</v>
      </c>
      <c r="S1044" s="23">
        <v>61.04</v>
      </c>
      <c r="U1044" s="47">
        <f>VLOOKUP(AU1044,[1]expiry_dates!$B$2:$C$2894,2,FALSE)</f>
        <v>44280</v>
      </c>
      <c r="V1044" s="23" t="s">
        <v>202</v>
      </c>
      <c r="W1044" s="23" t="s">
        <v>23</v>
      </c>
      <c r="X1044" s="49">
        <v>44277.510416666664</v>
      </c>
      <c r="Y1044" s="23">
        <v>1.2</v>
      </c>
      <c r="Z1044" s="23">
        <v>44278.385416666664</v>
      </c>
      <c r="AA1044" s="23">
        <v>1.35</v>
      </c>
      <c r="AB1044" s="23">
        <v>0.125</v>
      </c>
      <c r="AC1044" s="23">
        <v>-8304.2099999999991</v>
      </c>
      <c r="AD1044" s="23">
        <v>-0.125</v>
      </c>
      <c r="AE1044" s="23">
        <v>55361.37</v>
      </c>
      <c r="AF1044" s="23">
        <v>66433.64</v>
      </c>
      <c r="AG1044" s="23">
        <v>3257209.22</v>
      </c>
      <c r="AH1044" s="23">
        <v>17</v>
      </c>
      <c r="AI1044" s="23">
        <v>-488.48</v>
      </c>
      <c r="AJ1044" s="23">
        <v>-0.20830000000000001</v>
      </c>
      <c r="AK1044" s="23">
        <v>0.33329999999999999</v>
      </c>
      <c r="AL1044" s="23" t="s">
        <v>24</v>
      </c>
      <c r="AM1044" s="23">
        <v>59.5</v>
      </c>
      <c r="AN1044" s="23">
        <v>33640.9</v>
      </c>
      <c r="AO1044" s="23">
        <v>61.04</v>
      </c>
      <c r="AP1044" s="23">
        <v>0</v>
      </c>
      <c r="AR1044" s="46"/>
      <c r="AS1044" s="44"/>
      <c r="AT1044" s="45"/>
      <c r="AU1044" s="2">
        <v>44277</v>
      </c>
      <c r="AV1044" s="52">
        <v>0.51041666666666663</v>
      </c>
      <c r="AW1044" s="2" t="s">
        <v>213</v>
      </c>
      <c r="AY1044" s="3"/>
      <c r="BA1044" s="3"/>
      <c r="BG1044" s="3"/>
      <c r="BH1044" s="3"/>
    </row>
    <row r="1045" spans="1:60">
      <c r="A1045" s="23" t="s">
        <v>22</v>
      </c>
      <c r="B1045" s="23" t="s">
        <v>25</v>
      </c>
      <c r="C1045" s="27">
        <v>44278.385416666664</v>
      </c>
      <c r="D1045" s="23">
        <v>60.1</v>
      </c>
      <c r="E1045" s="27">
        <v>44278.510416666664</v>
      </c>
      <c r="F1045" s="23">
        <v>59.9</v>
      </c>
      <c r="G1045" s="31">
        <v>-3.3E-3</v>
      </c>
      <c r="H1045" s="23">
        <v>-167.83</v>
      </c>
      <c r="I1045" s="31">
        <v>-3.3E-3</v>
      </c>
      <c r="J1045" s="23">
        <v>839.149</v>
      </c>
      <c r="K1045" s="23">
        <v>50432.86</v>
      </c>
      <c r="L1045" s="23">
        <v>86106.46</v>
      </c>
      <c r="M1045" s="23">
        <v>13</v>
      </c>
      <c r="N1045" s="23">
        <v>-12.91</v>
      </c>
      <c r="O1045" s="31">
        <v>-0.01</v>
      </c>
      <c r="P1045" s="31">
        <v>1.66E-2</v>
      </c>
      <c r="Q1045" s="23" t="s">
        <v>24</v>
      </c>
      <c r="R1045" s="23">
        <v>0</v>
      </c>
      <c r="S1045" s="23">
        <v>58.81</v>
      </c>
      <c r="U1045" s="47">
        <f>VLOOKUP(AU1045,[1]expiry_dates!$B$2:$C$2894,2,FALSE)</f>
        <v>44280</v>
      </c>
      <c r="V1045" s="23" t="s">
        <v>203</v>
      </c>
      <c r="W1045" s="23" t="s">
        <v>23</v>
      </c>
      <c r="X1045" s="49">
        <v>44278.385416666664</v>
      </c>
      <c r="Y1045" s="23">
        <v>1.1499999999999999</v>
      </c>
      <c r="Z1045" s="23">
        <v>44278.510416666664</v>
      </c>
      <c r="AA1045" s="23">
        <v>1.1499999999999999</v>
      </c>
      <c r="AB1045" s="23">
        <v>0</v>
      </c>
      <c r="AC1045" s="23">
        <v>0</v>
      </c>
      <c r="AD1045" s="23">
        <v>0</v>
      </c>
      <c r="AE1045" s="23">
        <v>57724.29</v>
      </c>
      <c r="AF1045" s="23">
        <v>66382.929999999993</v>
      </c>
      <c r="AG1045" s="23">
        <v>3257209.22</v>
      </c>
      <c r="AH1045" s="23">
        <v>13</v>
      </c>
      <c r="AI1045" s="23">
        <v>0</v>
      </c>
      <c r="AJ1045" s="23">
        <v>-0.21740000000000001</v>
      </c>
      <c r="AK1045" s="23">
        <v>0.4783</v>
      </c>
      <c r="AL1045" s="23" t="s">
        <v>24</v>
      </c>
      <c r="AM1045" s="23">
        <v>60.1</v>
      </c>
      <c r="AN1045" s="23">
        <v>33923.35</v>
      </c>
      <c r="AO1045" s="23">
        <v>58.81</v>
      </c>
      <c r="AP1045" s="23">
        <v>0</v>
      </c>
      <c r="AR1045" s="46"/>
      <c r="AS1045" s="44"/>
      <c r="AT1045" s="45"/>
      <c r="AU1045" s="2">
        <v>44278</v>
      </c>
      <c r="AV1045" s="52">
        <v>0.38541666666666669</v>
      </c>
      <c r="AW1045" s="2" t="s">
        <v>212</v>
      </c>
      <c r="AY1045" s="3"/>
      <c r="BA1045" s="3"/>
      <c r="BG1045" s="3"/>
      <c r="BH1045" s="3"/>
    </row>
    <row r="1046" spans="1:60">
      <c r="A1046" s="23" t="s">
        <v>22</v>
      </c>
      <c r="B1046" s="23" t="s">
        <v>23</v>
      </c>
      <c r="C1046" s="27">
        <v>44278.510416666664</v>
      </c>
      <c r="D1046" s="23">
        <v>59.9</v>
      </c>
      <c r="E1046" s="27">
        <v>44278.583333333336</v>
      </c>
      <c r="F1046" s="23">
        <v>60.650010000000002</v>
      </c>
      <c r="G1046" s="31">
        <v>1.2500000000000001E-2</v>
      </c>
      <c r="H1046" s="23">
        <v>-631.44000000000005</v>
      </c>
      <c r="I1046" s="31">
        <v>-1.2500000000000001E-2</v>
      </c>
      <c r="J1046" s="23">
        <v>841.91909999999996</v>
      </c>
      <c r="K1046" s="23">
        <v>50430.95</v>
      </c>
      <c r="L1046" s="23">
        <v>85475.02</v>
      </c>
      <c r="M1046" s="23">
        <v>8</v>
      </c>
      <c r="N1046" s="23">
        <v>-78.930000000000007</v>
      </c>
      <c r="O1046" s="31">
        <v>-1.2500000000000001E-2</v>
      </c>
      <c r="P1046" s="31">
        <v>3.3E-3</v>
      </c>
      <c r="Q1046" s="23" t="s">
        <v>24</v>
      </c>
      <c r="R1046" s="23">
        <v>0</v>
      </c>
      <c r="S1046" s="23">
        <v>61.04</v>
      </c>
      <c r="U1046" s="47">
        <f>VLOOKUP(AU1046,[1]expiry_dates!$B$2:$C$2894,2,FALSE)</f>
        <v>44280</v>
      </c>
      <c r="V1046" s="23" t="s">
        <v>202</v>
      </c>
      <c r="W1046" s="23" t="s">
        <v>23</v>
      </c>
      <c r="X1046" s="49">
        <v>44278.510416666664</v>
      </c>
      <c r="Y1046" s="23">
        <v>1.05</v>
      </c>
      <c r="Z1046" s="23">
        <v>44278.583333333336</v>
      </c>
      <c r="AA1046" s="23">
        <v>1.3</v>
      </c>
      <c r="AB1046" s="23">
        <v>0.23810000000000001</v>
      </c>
      <c r="AC1046" s="23">
        <v>-15796.14</v>
      </c>
      <c r="AD1046" s="23">
        <v>-0.23810000000000001</v>
      </c>
      <c r="AE1046" s="23">
        <v>63184.55</v>
      </c>
      <c r="AF1046" s="23">
        <v>66343.77</v>
      </c>
      <c r="AG1046" s="23">
        <v>3241413.09</v>
      </c>
      <c r="AH1046" s="23">
        <v>8</v>
      </c>
      <c r="AI1046" s="23">
        <v>-1974.52</v>
      </c>
      <c r="AJ1046" s="23">
        <v>-0.23810000000000001</v>
      </c>
      <c r="AK1046" s="23">
        <v>9.5200000000000007E-2</v>
      </c>
      <c r="AL1046" s="23" t="s">
        <v>24</v>
      </c>
      <c r="AM1046" s="23">
        <v>59.9</v>
      </c>
      <c r="AN1046" s="23">
        <v>33766.699999999997</v>
      </c>
      <c r="AO1046" s="23">
        <v>61.04</v>
      </c>
      <c r="AP1046" s="23">
        <v>0</v>
      </c>
      <c r="AR1046" s="46"/>
      <c r="AS1046" s="44"/>
      <c r="AT1046" s="45"/>
      <c r="AU1046" s="2">
        <v>44278</v>
      </c>
      <c r="AV1046" s="52">
        <v>0.51041666666666663</v>
      </c>
      <c r="AW1046" s="2" t="s">
        <v>213</v>
      </c>
      <c r="AY1046" s="3"/>
      <c r="BA1046" s="3"/>
      <c r="BG1046" s="3"/>
      <c r="BH1046" s="3"/>
    </row>
    <row r="1047" spans="1:60">
      <c r="A1047" s="23" t="s">
        <v>22</v>
      </c>
      <c r="B1047" s="23" t="s">
        <v>25</v>
      </c>
      <c r="C1047" s="27">
        <v>44278.583333333336</v>
      </c>
      <c r="D1047" s="23">
        <v>60.65</v>
      </c>
      <c r="E1047" s="27">
        <v>44279.395833333336</v>
      </c>
      <c r="F1047" s="23">
        <v>60.4</v>
      </c>
      <c r="G1047" s="31">
        <v>-4.1000000000000003E-3</v>
      </c>
      <c r="H1047" s="23">
        <v>-207.87</v>
      </c>
      <c r="I1047" s="31">
        <v>-4.1000000000000003E-3</v>
      </c>
      <c r="J1047" s="23">
        <v>831.46619999999996</v>
      </c>
      <c r="K1047" s="23">
        <v>50428.43</v>
      </c>
      <c r="L1047" s="23">
        <v>85267.15</v>
      </c>
      <c r="M1047" s="23">
        <v>11</v>
      </c>
      <c r="N1047" s="23">
        <v>-18.899999999999999</v>
      </c>
      <c r="O1047" s="31">
        <v>-9.9000000000000008E-3</v>
      </c>
      <c r="P1047" s="31">
        <v>1.7299999999999999E-2</v>
      </c>
      <c r="Q1047" s="23" t="s">
        <v>24</v>
      </c>
      <c r="R1047" s="23">
        <v>0</v>
      </c>
      <c r="S1047" s="23">
        <v>59.72</v>
      </c>
      <c r="U1047" s="47">
        <f>VLOOKUP(AU1047,[1]expiry_dates!$B$2:$C$2894,2,FALSE)</f>
        <v>44280</v>
      </c>
      <c r="V1047" s="23" t="s">
        <v>204</v>
      </c>
      <c r="W1047" s="23" t="s">
        <v>23</v>
      </c>
      <c r="X1047" s="49">
        <v>44278.583333333336</v>
      </c>
      <c r="Y1047" s="23">
        <v>1.1000000000000001</v>
      </c>
      <c r="Z1047" s="23">
        <v>44279.395833333336</v>
      </c>
      <c r="AA1047" s="23">
        <v>1.05</v>
      </c>
      <c r="AB1047" s="23">
        <v>-4.5499999999999999E-2</v>
      </c>
      <c r="AC1047" s="23">
        <v>3010.13</v>
      </c>
      <c r="AD1047" s="23">
        <v>4.5499999999999999E-2</v>
      </c>
      <c r="AE1047" s="23">
        <v>60202.6</v>
      </c>
      <c r="AF1047" s="23">
        <v>66222.86</v>
      </c>
      <c r="AG1047" s="23">
        <v>3244423.22</v>
      </c>
      <c r="AH1047" s="23">
        <v>11</v>
      </c>
      <c r="AI1047" s="23">
        <v>273.64999999999998</v>
      </c>
      <c r="AJ1047" s="23">
        <v>0</v>
      </c>
      <c r="AK1047" s="23">
        <v>0.45450000000000002</v>
      </c>
      <c r="AL1047" s="23" t="s">
        <v>24</v>
      </c>
      <c r="AM1047" s="23">
        <v>60.65</v>
      </c>
      <c r="AN1047" s="23">
        <v>33986.9</v>
      </c>
      <c r="AO1047" s="23">
        <v>59.72</v>
      </c>
      <c r="AP1047" s="23">
        <v>0</v>
      </c>
      <c r="AR1047" s="46"/>
      <c r="AS1047" s="44"/>
      <c r="AT1047" s="45"/>
      <c r="AU1047" s="2">
        <v>44278</v>
      </c>
      <c r="AV1047" s="52">
        <v>8.3333333333333329E-2</v>
      </c>
      <c r="AW1047" s="2" t="s">
        <v>213</v>
      </c>
      <c r="AY1047" s="3"/>
      <c r="BA1047" s="3"/>
      <c r="BG1047" s="3"/>
      <c r="BH1047" s="3"/>
    </row>
    <row r="1048" spans="1:60">
      <c r="A1048" s="23" t="s">
        <v>22</v>
      </c>
      <c r="B1048" s="23" t="s">
        <v>23</v>
      </c>
      <c r="C1048" s="27">
        <v>44279.395833333336</v>
      </c>
      <c r="D1048" s="23">
        <v>60.4</v>
      </c>
      <c r="E1048" s="27">
        <v>44280.5625</v>
      </c>
      <c r="F1048" s="23">
        <v>57.8</v>
      </c>
      <c r="G1048" s="31">
        <v>-4.2999999999999997E-2</v>
      </c>
      <c r="H1048" s="23">
        <v>2170.73</v>
      </c>
      <c r="I1048" s="31">
        <v>4.2999999999999997E-2</v>
      </c>
      <c r="J1048" s="23">
        <v>834.8972</v>
      </c>
      <c r="K1048" s="23">
        <v>50427.79</v>
      </c>
      <c r="L1048" s="23">
        <v>87437.88</v>
      </c>
      <c r="M1048" s="23">
        <v>45</v>
      </c>
      <c r="N1048" s="23">
        <v>48.24</v>
      </c>
      <c r="O1048" s="31">
        <v>-7.4999999999999997E-3</v>
      </c>
      <c r="P1048" s="31">
        <v>7.2800000000000004E-2</v>
      </c>
      <c r="Q1048" s="23" t="s">
        <v>24</v>
      </c>
      <c r="R1048" s="23">
        <v>0</v>
      </c>
      <c r="S1048" s="23">
        <v>61.64</v>
      </c>
      <c r="U1048" s="47">
        <f>VLOOKUP(AU1048,[1]expiry_dates!$B$2:$C$2894,2,FALSE)</f>
        <v>44280</v>
      </c>
      <c r="V1048" s="23" t="s">
        <v>202</v>
      </c>
      <c r="W1048" s="23" t="s">
        <v>23</v>
      </c>
      <c r="X1048" s="49">
        <v>44279.395833333336</v>
      </c>
      <c r="Y1048" s="23">
        <v>0.95</v>
      </c>
      <c r="Z1048" s="23">
        <v>44280.5625</v>
      </c>
      <c r="AA1048" s="23">
        <v>0.05</v>
      </c>
      <c r="AB1048" s="23">
        <v>-0.94740000000000002</v>
      </c>
      <c r="AC1048" s="23">
        <v>62808.03</v>
      </c>
      <c r="AD1048" s="23">
        <v>0.94740000000000002</v>
      </c>
      <c r="AE1048" s="23">
        <v>69786.7</v>
      </c>
      <c r="AF1048" s="23">
        <v>66297.37</v>
      </c>
      <c r="AG1048" s="23">
        <v>3307231.25</v>
      </c>
      <c r="AH1048" s="23">
        <v>45</v>
      </c>
      <c r="AI1048" s="23">
        <v>1395.73</v>
      </c>
      <c r="AJ1048" s="23">
        <v>-0.26319999999999999</v>
      </c>
      <c r="AK1048" s="23">
        <v>0.94740000000000002</v>
      </c>
      <c r="AL1048" s="23" t="s">
        <v>24</v>
      </c>
      <c r="AM1048" s="23">
        <v>60.4</v>
      </c>
      <c r="AN1048" s="23">
        <v>33900.199999999997</v>
      </c>
      <c r="AO1048" s="23">
        <v>61.64</v>
      </c>
      <c r="AP1048" s="23">
        <v>0</v>
      </c>
      <c r="AR1048" s="46"/>
      <c r="AS1048" s="44"/>
      <c r="AT1048" s="45"/>
      <c r="AU1048" s="2">
        <v>44279</v>
      </c>
      <c r="AV1048" s="52">
        <v>0.39583333333333331</v>
      </c>
      <c r="AW1048" s="2" t="s">
        <v>212</v>
      </c>
      <c r="AY1048" s="3"/>
      <c r="BA1048" s="3"/>
      <c r="BG1048" s="3"/>
      <c r="BH1048" s="3"/>
    </row>
    <row r="1049" spans="1:60">
      <c r="A1049" s="23" t="s">
        <v>22</v>
      </c>
      <c r="B1049" s="23" t="s">
        <v>25</v>
      </c>
      <c r="C1049" s="27">
        <v>44280.5625</v>
      </c>
      <c r="D1049" s="23">
        <v>57.8</v>
      </c>
      <c r="E1049" s="27">
        <v>44280.6875</v>
      </c>
      <c r="F1049" s="23">
        <v>57.2</v>
      </c>
      <c r="G1049" s="31">
        <v>-1.04E-2</v>
      </c>
      <c r="H1049" s="23">
        <v>-523.6</v>
      </c>
      <c r="I1049" s="31">
        <v>-1.04E-2</v>
      </c>
      <c r="J1049" s="23">
        <v>872.66989999999998</v>
      </c>
      <c r="K1049" s="23">
        <v>50440.32</v>
      </c>
      <c r="L1049" s="23">
        <v>86914.28</v>
      </c>
      <c r="M1049" s="23">
        <v>10</v>
      </c>
      <c r="N1049" s="23">
        <v>-52.36</v>
      </c>
      <c r="O1049" s="31">
        <v>-1.5599999999999999E-2</v>
      </c>
      <c r="P1049" s="31">
        <v>7.7999999999999996E-3</v>
      </c>
      <c r="Q1049" s="23" t="s">
        <v>24</v>
      </c>
      <c r="R1049" s="23">
        <v>0</v>
      </c>
      <c r="S1049" s="23">
        <v>56.03</v>
      </c>
      <c r="U1049" s="47">
        <f>VLOOKUP(AU1049,[1]expiry_dates!$B$2:$C$2894,2,FALSE)</f>
        <v>44280</v>
      </c>
      <c r="V1049" s="23" t="s">
        <v>185</v>
      </c>
      <c r="W1049" s="23" t="s">
        <v>23</v>
      </c>
      <c r="X1049" s="49">
        <v>44280.5625</v>
      </c>
      <c r="Y1049" s="23">
        <v>0.4</v>
      </c>
      <c r="Z1049" s="23">
        <v>44280.6875</v>
      </c>
      <c r="AA1049" s="23">
        <v>0.9</v>
      </c>
      <c r="AB1049" s="23">
        <v>1.25</v>
      </c>
      <c r="AC1049" s="23">
        <v>-83170.2</v>
      </c>
      <c r="AD1049" s="23">
        <v>-1.25</v>
      </c>
      <c r="AE1049" s="23">
        <v>166340.4</v>
      </c>
      <c r="AF1049" s="23">
        <v>66536.160000000003</v>
      </c>
      <c r="AG1049" s="23">
        <v>3224061.05</v>
      </c>
      <c r="AH1049" s="23">
        <v>10</v>
      </c>
      <c r="AI1049" s="23">
        <v>-8317.02</v>
      </c>
      <c r="AJ1049" s="23">
        <v>-5.25</v>
      </c>
      <c r="AK1049" s="23">
        <v>0.5</v>
      </c>
      <c r="AL1049" s="23" t="s">
        <v>24</v>
      </c>
      <c r="AM1049" s="23">
        <v>57.8</v>
      </c>
      <c r="AN1049" s="23">
        <v>33155.449999999997</v>
      </c>
      <c r="AO1049" s="23">
        <v>56.03</v>
      </c>
      <c r="AP1049" s="23">
        <v>0</v>
      </c>
      <c r="AR1049" s="46"/>
      <c r="AS1049" s="44"/>
      <c r="AT1049" s="45"/>
      <c r="AU1049" s="2">
        <v>44280</v>
      </c>
      <c r="AV1049" s="52">
        <v>6.25E-2</v>
      </c>
      <c r="AW1049" s="2" t="s">
        <v>213</v>
      </c>
      <c r="AY1049" s="3"/>
      <c r="BA1049" s="3"/>
      <c r="BG1049" s="3"/>
      <c r="BH1049" s="3"/>
    </row>
    <row r="1050" spans="1:60">
      <c r="A1050" s="23" t="s">
        <v>22</v>
      </c>
      <c r="B1050" s="23" t="s">
        <v>25</v>
      </c>
      <c r="C1050" s="27">
        <v>44281.385416666664</v>
      </c>
      <c r="D1050" s="23">
        <v>58.55</v>
      </c>
      <c r="E1050" s="27">
        <v>44281.541666666664</v>
      </c>
      <c r="F1050" s="23">
        <v>58.15</v>
      </c>
      <c r="G1050" s="31">
        <v>-6.7999999999999996E-3</v>
      </c>
      <c r="H1050" s="23">
        <v>-344.56</v>
      </c>
      <c r="I1050" s="31">
        <v>-6.7999999999999996E-3</v>
      </c>
      <c r="J1050" s="23">
        <v>861.39319999999998</v>
      </c>
      <c r="K1050" s="23">
        <v>50434.57</v>
      </c>
      <c r="L1050" s="23">
        <v>86569.72</v>
      </c>
      <c r="M1050" s="23">
        <v>16</v>
      </c>
      <c r="N1050" s="23">
        <v>-21.53</v>
      </c>
      <c r="O1050" s="31">
        <v>-1.7100000000000001E-2</v>
      </c>
      <c r="P1050" s="31">
        <v>1.11E-2</v>
      </c>
      <c r="Q1050" s="23" t="s">
        <v>24</v>
      </c>
      <c r="R1050" s="23">
        <v>0</v>
      </c>
      <c r="S1050" s="23">
        <v>56.97</v>
      </c>
      <c r="U1050" s="47">
        <f>VLOOKUP(AU1050,[1]expiry_dates!$B$2:$C$2894,2,FALSE)</f>
        <v>44315</v>
      </c>
      <c r="V1050" s="23" t="s">
        <v>185</v>
      </c>
      <c r="W1050" s="23" t="s">
        <v>23</v>
      </c>
      <c r="X1050" s="49">
        <v>44281.385416666664</v>
      </c>
      <c r="Y1050" s="23">
        <v>2.95</v>
      </c>
      <c r="Z1050" s="23">
        <v>44281.541666666664</v>
      </c>
      <c r="AA1050" s="23">
        <v>3.25</v>
      </c>
      <c r="AB1050" s="23">
        <v>0.1017</v>
      </c>
      <c r="AC1050" s="23">
        <v>-6724.1</v>
      </c>
      <c r="AD1050" s="23">
        <v>-0.1017</v>
      </c>
      <c r="AE1050" s="23">
        <v>22413.66</v>
      </c>
      <c r="AF1050" s="23">
        <v>66120.3</v>
      </c>
      <c r="AG1050" s="23">
        <v>3217336.96</v>
      </c>
      <c r="AH1050" s="23">
        <v>16</v>
      </c>
      <c r="AI1050" s="23">
        <v>-420.26</v>
      </c>
      <c r="AJ1050" s="23">
        <v>-0.1186</v>
      </c>
      <c r="AK1050" s="23">
        <v>8.4699999999999998E-2</v>
      </c>
      <c r="AL1050" s="23" t="s">
        <v>24</v>
      </c>
      <c r="AM1050" s="23">
        <v>58.55</v>
      </c>
      <c r="AN1050" s="23">
        <v>33469.85</v>
      </c>
      <c r="AO1050" s="23">
        <v>56.97</v>
      </c>
      <c r="AP1050" s="23">
        <v>0</v>
      </c>
      <c r="AR1050" s="46"/>
      <c r="AS1050" s="44"/>
      <c r="AT1050" s="45"/>
      <c r="AU1050" s="2">
        <v>44281</v>
      </c>
      <c r="AV1050" s="52">
        <v>0.38541666666666669</v>
      </c>
      <c r="AW1050" s="2" t="s">
        <v>212</v>
      </c>
      <c r="AY1050" s="3"/>
      <c r="BA1050" s="3"/>
      <c r="BG1050" s="3"/>
      <c r="BH1050" s="3"/>
    </row>
    <row r="1051" spans="1:60">
      <c r="A1051" s="23" t="s">
        <v>22</v>
      </c>
      <c r="B1051" s="23" t="s">
        <v>23</v>
      </c>
      <c r="C1051" s="27">
        <v>44281.541666666664</v>
      </c>
      <c r="D1051" s="23">
        <v>58.15</v>
      </c>
      <c r="E1051" s="27">
        <v>44285.385416666664</v>
      </c>
      <c r="F1051" s="23">
        <v>58.65</v>
      </c>
      <c r="G1051" s="31">
        <v>8.6E-3</v>
      </c>
      <c r="H1051" s="23">
        <v>-433.66</v>
      </c>
      <c r="I1051" s="31">
        <v>-8.6E-3</v>
      </c>
      <c r="J1051" s="23">
        <v>867.31110000000001</v>
      </c>
      <c r="K1051" s="23">
        <v>50434.14</v>
      </c>
      <c r="L1051" s="23">
        <v>86136.07</v>
      </c>
      <c r="M1051" s="23">
        <v>14</v>
      </c>
      <c r="N1051" s="23">
        <v>-30.98</v>
      </c>
      <c r="O1051" s="31">
        <v>-8.6E-3</v>
      </c>
      <c r="P1051" s="31">
        <v>1.38E-2</v>
      </c>
      <c r="Q1051" s="23" t="s">
        <v>24</v>
      </c>
      <c r="R1051" s="23">
        <v>0</v>
      </c>
      <c r="S1051" s="23">
        <v>59.16</v>
      </c>
      <c r="U1051" s="47">
        <f>VLOOKUP(AU1051,[1]expiry_dates!$B$2:$C$2894,2,FALSE)</f>
        <v>44315</v>
      </c>
      <c r="V1051" s="23" t="s">
        <v>184</v>
      </c>
      <c r="W1051" s="23" t="s">
        <v>23</v>
      </c>
      <c r="X1051" s="49">
        <v>44281.541666666664</v>
      </c>
      <c r="Y1051" s="23">
        <v>3.3</v>
      </c>
      <c r="Z1051" s="23">
        <v>44285.385416666664</v>
      </c>
      <c r="AA1051" s="23">
        <v>3.45</v>
      </c>
      <c r="AB1051" s="23">
        <v>4.5499999999999999E-2</v>
      </c>
      <c r="AC1051" s="23">
        <v>-3004.96</v>
      </c>
      <c r="AD1051" s="23">
        <v>-4.5499999999999999E-2</v>
      </c>
      <c r="AE1051" s="23">
        <v>20033.060000000001</v>
      </c>
      <c r="AF1051" s="23">
        <v>66109.100000000006</v>
      </c>
      <c r="AG1051" s="23">
        <v>3214332</v>
      </c>
      <c r="AH1051" s="23">
        <v>14</v>
      </c>
      <c r="AI1051" s="23">
        <v>-214.64</v>
      </c>
      <c r="AJ1051" s="23">
        <v>-7.5800000000000006E-2</v>
      </c>
      <c r="AK1051" s="23">
        <v>0.13639999999999999</v>
      </c>
      <c r="AL1051" s="23" t="s">
        <v>24</v>
      </c>
      <c r="AM1051" s="23">
        <v>58.15</v>
      </c>
      <c r="AN1051" s="23">
        <v>33291.9</v>
      </c>
      <c r="AO1051" s="23">
        <v>59.16</v>
      </c>
      <c r="AP1051" s="23">
        <v>0</v>
      </c>
      <c r="AR1051" s="46"/>
      <c r="AS1051" s="44"/>
      <c r="AT1051" s="45"/>
      <c r="AU1051" s="2">
        <v>44281</v>
      </c>
      <c r="AV1051" s="52">
        <v>4.1666666666666664E-2</v>
      </c>
      <c r="AW1051" s="2" t="s">
        <v>213</v>
      </c>
      <c r="AY1051" s="3"/>
      <c r="BA1051" s="3"/>
      <c r="BG1051" s="3"/>
      <c r="BH1051" s="3"/>
    </row>
    <row r="1052" spans="1:60">
      <c r="A1052" s="23" t="s">
        <v>22</v>
      </c>
      <c r="B1052" s="23" t="s">
        <v>25</v>
      </c>
      <c r="C1052" s="27">
        <v>44285.385416666664</v>
      </c>
      <c r="D1052" s="23">
        <v>58.65</v>
      </c>
      <c r="E1052" s="27">
        <v>44285.510416666664</v>
      </c>
      <c r="F1052" s="23">
        <v>58.65</v>
      </c>
      <c r="G1052" s="31">
        <v>0</v>
      </c>
      <c r="H1052" s="23">
        <v>0</v>
      </c>
      <c r="I1052" s="31">
        <v>0</v>
      </c>
      <c r="J1052" s="23">
        <v>859.88030000000003</v>
      </c>
      <c r="K1052" s="23">
        <v>50431.98</v>
      </c>
      <c r="L1052" s="23">
        <v>86136.07</v>
      </c>
      <c r="M1052" s="23">
        <v>13</v>
      </c>
      <c r="N1052" s="23">
        <v>0</v>
      </c>
      <c r="O1052" s="31">
        <v>-1.11E-2</v>
      </c>
      <c r="P1052" s="31">
        <v>2.3E-2</v>
      </c>
      <c r="Q1052" s="23" t="s">
        <v>24</v>
      </c>
      <c r="R1052" s="23">
        <v>0</v>
      </c>
      <c r="S1052" s="23">
        <v>57.4</v>
      </c>
      <c r="U1052" s="47">
        <f>VLOOKUP(AU1052,[1]expiry_dates!$B$2:$C$2894,2,FALSE)</f>
        <v>44315</v>
      </c>
      <c r="V1052" s="23" t="s">
        <v>201</v>
      </c>
      <c r="W1052" s="23" t="s">
        <v>23</v>
      </c>
      <c r="X1052" s="49">
        <v>44285.385416666664</v>
      </c>
      <c r="Y1052" s="23">
        <v>3.55</v>
      </c>
      <c r="Z1052" s="23">
        <v>44285.510416666664</v>
      </c>
      <c r="AA1052" s="23">
        <v>3.25</v>
      </c>
      <c r="AB1052" s="23">
        <v>-8.4500000000000006E-2</v>
      </c>
      <c r="AC1052" s="23">
        <v>5586.06</v>
      </c>
      <c r="AD1052" s="23">
        <v>8.4500000000000006E-2</v>
      </c>
      <c r="AE1052" s="23">
        <v>18620.2</v>
      </c>
      <c r="AF1052" s="23">
        <v>66101.7</v>
      </c>
      <c r="AG1052" s="23">
        <v>3219918.06</v>
      </c>
      <c r="AH1052" s="23">
        <v>13</v>
      </c>
      <c r="AI1052" s="23">
        <v>429.7</v>
      </c>
      <c r="AJ1052" s="23">
        <v>-5.6300000000000003E-2</v>
      </c>
      <c r="AK1052" s="23">
        <v>0.19719999999999999</v>
      </c>
      <c r="AL1052" s="23" t="s">
        <v>24</v>
      </c>
      <c r="AM1052" s="23">
        <v>58.65</v>
      </c>
      <c r="AN1052" s="23">
        <v>33676.1</v>
      </c>
      <c r="AO1052" s="23">
        <v>57.4</v>
      </c>
      <c r="AP1052" s="23">
        <v>0</v>
      </c>
      <c r="AR1052" s="46"/>
      <c r="AS1052" s="44"/>
      <c r="AT1052" s="45"/>
      <c r="AU1052" s="2">
        <v>44285</v>
      </c>
      <c r="AV1052" s="52">
        <v>0.38541666666666669</v>
      </c>
      <c r="AW1052" s="2" t="s">
        <v>212</v>
      </c>
      <c r="AY1052" s="3"/>
      <c r="BA1052" s="3"/>
      <c r="BG1052" s="3"/>
      <c r="BH1052" s="3"/>
    </row>
    <row r="1053" spans="1:60">
      <c r="A1053" s="23" t="s">
        <v>22</v>
      </c>
      <c r="B1053" s="23" t="s">
        <v>23</v>
      </c>
      <c r="C1053" s="27">
        <v>44285.510416666664</v>
      </c>
      <c r="D1053" s="23">
        <v>58.65</v>
      </c>
      <c r="E1053" s="27">
        <v>44287.385416666664</v>
      </c>
      <c r="F1053" s="23">
        <v>56.9</v>
      </c>
      <c r="G1053" s="31">
        <v>-2.98E-2</v>
      </c>
      <c r="H1053" s="23">
        <v>1504.79</v>
      </c>
      <c r="I1053" s="31">
        <v>2.98E-2</v>
      </c>
      <c r="J1053" s="23">
        <v>859.88009999999997</v>
      </c>
      <c r="K1053" s="23">
        <v>50431.97</v>
      </c>
      <c r="L1053" s="23">
        <v>87640.86</v>
      </c>
      <c r="M1053" s="23">
        <v>45</v>
      </c>
      <c r="N1053" s="23">
        <v>33.44</v>
      </c>
      <c r="O1053" s="31">
        <v>-1.6199999999999999E-2</v>
      </c>
      <c r="P1053" s="31">
        <v>5.7099999999999998E-2</v>
      </c>
      <c r="Q1053" s="23" t="s">
        <v>24</v>
      </c>
      <c r="R1053" s="23">
        <v>0</v>
      </c>
      <c r="S1053" s="23">
        <v>60</v>
      </c>
      <c r="U1053" s="47">
        <f>VLOOKUP(AU1053,[1]expiry_dates!$B$2:$C$2894,2,FALSE)</f>
        <v>44315</v>
      </c>
      <c r="V1053" s="23" t="s">
        <v>205</v>
      </c>
      <c r="W1053" s="23" t="s">
        <v>23</v>
      </c>
      <c r="X1053" s="49">
        <v>44285.510416666664</v>
      </c>
      <c r="Y1053" s="23">
        <v>3</v>
      </c>
      <c r="Z1053" s="23">
        <v>44287.385416666664</v>
      </c>
      <c r="AA1053" s="23">
        <v>2.0499999999999998</v>
      </c>
      <c r="AB1053" s="23">
        <v>-0.31669999999999998</v>
      </c>
      <c r="AC1053" s="23">
        <v>20933.009999999998</v>
      </c>
      <c r="AD1053" s="23">
        <v>0.31669999999999998</v>
      </c>
      <c r="AE1053" s="23">
        <v>22034.75</v>
      </c>
      <c r="AF1053" s="23">
        <v>66104.240000000005</v>
      </c>
      <c r="AG1053" s="23">
        <v>3240851.07</v>
      </c>
      <c r="AH1053" s="23">
        <v>45</v>
      </c>
      <c r="AI1053" s="23">
        <v>465.18</v>
      </c>
      <c r="AJ1053" s="23">
        <v>-0.1</v>
      </c>
      <c r="AK1053" s="23">
        <v>0.43330000000000002</v>
      </c>
      <c r="AL1053" s="23" t="s">
        <v>24</v>
      </c>
      <c r="AM1053" s="23">
        <v>58.65</v>
      </c>
      <c r="AN1053" s="23">
        <v>33718.6</v>
      </c>
      <c r="AO1053" s="23">
        <v>60</v>
      </c>
      <c r="AP1053" s="23">
        <v>0</v>
      </c>
      <c r="AR1053" s="46"/>
      <c r="AS1053" s="44"/>
      <c r="AT1053" s="45"/>
      <c r="AU1053" s="2">
        <v>44285</v>
      </c>
      <c r="AV1053" s="52">
        <v>0.51041666666666663</v>
      </c>
      <c r="AW1053" s="2" t="s">
        <v>213</v>
      </c>
      <c r="AY1053" s="3"/>
      <c r="BA1053" s="3"/>
      <c r="BG1053" s="3"/>
      <c r="BH1053" s="3"/>
    </row>
    <row r="1054" spans="1:60">
      <c r="A1054" s="23" t="s">
        <v>22</v>
      </c>
      <c r="B1054" s="23" t="s">
        <v>25</v>
      </c>
      <c r="C1054" s="27">
        <v>44287.385416666664</v>
      </c>
      <c r="D1054" s="23">
        <v>56.9</v>
      </c>
      <c r="E1054" s="27">
        <v>44287.489583333336</v>
      </c>
      <c r="F1054" s="23">
        <v>56.6</v>
      </c>
      <c r="G1054" s="31">
        <v>-5.3E-3</v>
      </c>
      <c r="H1054" s="23">
        <v>-265.95</v>
      </c>
      <c r="I1054" s="31">
        <v>-5.3E-3</v>
      </c>
      <c r="J1054" s="23">
        <v>886.48879999999997</v>
      </c>
      <c r="K1054" s="23">
        <v>50441.21</v>
      </c>
      <c r="L1054" s="23">
        <v>87374.91</v>
      </c>
      <c r="M1054" s="23">
        <v>11</v>
      </c>
      <c r="N1054" s="23">
        <v>-24.18</v>
      </c>
      <c r="O1054" s="31">
        <v>-1.32E-2</v>
      </c>
      <c r="P1054" s="31">
        <v>1.67E-2</v>
      </c>
      <c r="Q1054" s="23" t="s">
        <v>24</v>
      </c>
      <c r="R1054" s="23">
        <v>0</v>
      </c>
      <c r="S1054" s="23">
        <v>55.36</v>
      </c>
      <c r="U1054" s="47">
        <f>VLOOKUP(AU1054,[1]expiry_dates!$B$2:$C$2894,2,FALSE)</f>
        <v>44315</v>
      </c>
      <c r="V1054" s="23" t="s">
        <v>183</v>
      </c>
      <c r="W1054" s="23" t="s">
        <v>23</v>
      </c>
      <c r="X1054" s="49">
        <v>44287.385416666664</v>
      </c>
      <c r="Y1054" s="23">
        <v>3.5</v>
      </c>
      <c r="Z1054" s="23">
        <v>44287.489583333336</v>
      </c>
      <c r="AA1054" s="23">
        <v>3.4</v>
      </c>
      <c r="AB1054" s="23">
        <v>-2.86E-2</v>
      </c>
      <c r="AC1054" s="23">
        <v>1892.34</v>
      </c>
      <c r="AD1054" s="23">
        <v>2.86E-2</v>
      </c>
      <c r="AE1054" s="23">
        <v>18923.37</v>
      </c>
      <c r="AF1054" s="23">
        <v>66231.8</v>
      </c>
      <c r="AG1054" s="23">
        <v>3242743.4</v>
      </c>
      <c r="AH1054" s="23">
        <v>11</v>
      </c>
      <c r="AI1054" s="23">
        <v>172.03</v>
      </c>
      <c r="AJ1054" s="23">
        <v>0</v>
      </c>
      <c r="AK1054" s="23">
        <v>0.2286</v>
      </c>
      <c r="AL1054" s="23" t="s">
        <v>24</v>
      </c>
      <c r="AM1054" s="23">
        <v>56.9</v>
      </c>
      <c r="AN1054" s="23">
        <v>33407.75</v>
      </c>
      <c r="AO1054" s="23">
        <v>55.36</v>
      </c>
      <c r="AP1054" s="23">
        <v>0</v>
      </c>
      <c r="AR1054" s="46"/>
      <c r="AS1054" s="44"/>
      <c r="AT1054" s="45"/>
      <c r="AU1054" s="2">
        <v>44287</v>
      </c>
      <c r="AV1054" s="52">
        <v>0.38541666666666669</v>
      </c>
      <c r="AW1054" s="2" t="s">
        <v>212</v>
      </c>
      <c r="AY1054" s="3"/>
      <c r="BA1054" s="3"/>
      <c r="BG1054" s="3"/>
      <c r="BH1054" s="3"/>
    </row>
    <row r="1055" spans="1:60">
      <c r="A1055" s="23" t="s">
        <v>22</v>
      </c>
      <c r="B1055" s="23" t="s">
        <v>23</v>
      </c>
      <c r="C1055" s="27">
        <v>44287.489583333336</v>
      </c>
      <c r="D1055" s="23">
        <v>56.6</v>
      </c>
      <c r="E1055" s="27">
        <v>44287.59375</v>
      </c>
      <c r="F1055" s="23">
        <v>56.95</v>
      </c>
      <c r="G1055" s="31">
        <v>6.1999999999999998E-3</v>
      </c>
      <c r="H1055" s="23">
        <v>-311.89</v>
      </c>
      <c r="I1055" s="31">
        <v>-6.1999999999999998E-3</v>
      </c>
      <c r="J1055" s="23">
        <v>891.12260000000003</v>
      </c>
      <c r="K1055" s="23">
        <v>50437.54</v>
      </c>
      <c r="L1055" s="23">
        <v>87063.02</v>
      </c>
      <c r="M1055" s="23">
        <v>11</v>
      </c>
      <c r="N1055" s="23">
        <v>-28.35</v>
      </c>
      <c r="O1055" s="31">
        <v>-6.1999999999999998E-3</v>
      </c>
      <c r="P1055" s="31">
        <v>8.0000000000000002E-3</v>
      </c>
      <c r="Q1055" s="23" t="s">
        <v>24</v>
      </c>
      <c r="R1055" s="23">
        <v>0</v>
      </c>
      <c r="S1055" s="23">
        <v>57.79</v>
      </c>
      <c r="U1055" s="47">
        <f>VLOOKUP(AU1055,[1]expiry_dates!$B$2:$C$2894,2,FALSE)</f>
        <v>44315</v>
      </c>
      <c r="V1055" s="23" t="s">
        <v>206</v>
      </c>
      <c r="W1055" s="23" t="s">
        <v>23</v>
      </c>
      <c r="X1055" s="49">
        <v>44287.489583333336</v>
      </c>
      <c r="Y1055" s="23">
        <v>2.65</v>
      </c>
      <c r="Z1055" s="23">
        <v>44287.59375</v>
      </c>
      <c r="AA1055" s="23">
        <v>2.8</v>
      </c>
      <c r="AB1055" s="23">
        <v>5.6599999999999998E-2</v>
      </c>
      <c r="AC1055" s="23">
        <v>-3748.21</v>
      </c>
      <c r="AD1055" s="23">
        <v>-5.6599999999999998E-2</v>
      </c>
      <c r="AE1055" s="23">
        <v>24988.09</v>
      </c>
      <c r="AF1055" s="23">
        <v>66218.45</v>
      </c>
      <c r="AG1055" s="23">
        <v>3238995.19</v>
      </c>
      <c r="AH1055" s="23">
        <v>11</v>
      </c>
      <c r="AI1055" s="23">
        <v>-340.75</v>
      </c>
      <c r="AJ1055" s="23">
        <v>-7.5499999999999998E-2</v>
      </c>
      <c r="AK1055" s="23">
        <v>9.4299999999999995E-2</v>
      </c>
      <c r="AL1055" s="23" t="s">
        <v>24</v>
      </c>
      <c r="AM1055" s="23">
        <v>56.6</v>
      </c>
      <c r="AN1055" s="23">
        <v>33327.949999999997</v>
      </c>
      <c r="AO1055" s="23">
        <v>57.79</v>
      </c>
      <c r="AP1055" s="23">
        <v>0</v>
      </c>
      <c r="AR1055" s="46"/>
      <c r="AS1055" s="44"/>
      <c r="AT1055" s="45"/>
      <c r="AU1055" s="2">
        <v>44287</v>
      </c>
      <c r="AV1055" s="52">
        <v>0.48958333333333331</v>
      </c>
      <c r="AW1055" s="2" t="s">
        <v>212</v>
      </c>
      <c r="AY1055" s="3"/>
      <c r="BA1055" s="3"/>
      <c r="BG1055" s="3"/>
      <c r="BH1055" s="3"/>
    </row>
    <row r="1056" spans="1:60">
      <c r="A1056" s="23" t="s">
        <v>22</v>
      </c>
      <c r="B1056" s="23" t="s">
        <v>25</v>
      </c>
      <c r="C1056" s="27">
        <v>44287.59375</v>
      </c>
      <c r="D1056" s="23">
        <v>56.95</v>
      </c>
      <c r="E1056" s="27">
        <v>44291.385416666664</v>
      </c>
      <c r="F1056" s="23">
        <v>55.9</v>
      </c>
      <c r="G1056" s="31">
        <v>-1.84E-2</v>
      </c>
      <c r="H1056" s="23">
        <v>-929.89</v>
      </c>
      <c r="I1056" s="31">
        <v>-1.84E-2</v>
      </c>
      <c r="J1056" s="23">
        <v>885.61080000000004</v>
      </c>
      <c r="K1056" s="23">
        <v>50435.54</v>
      </c>
      <c r="L1056" s="23">
        <v>86133.13</v>
      </c>
      <c r="M1056" s="23">
        <v>9</v>
      </c>
      <c r="N1056" s="23">
        <v>-103.32</v>
      </c>
      <c r="O1056" s="31">
        <v>-1.84E-2</v>
      </c>
      <c r="P1056" s="31">
        <v>5.3E-3</v>
      </c>
      <c r="Q1056" s="23" t="s">
        <v>24</v>
      </c>
      <c r="R1056" s="23">
        <v>0</v>
      </c>
      <c r="S1056" s="23">
        <v>56.17</v>
      </c>
      <c r="U1056" s="47">
        <f>VLOOKUP(AU1056,[1]expiry_dates!$B$2:$C$2894,2,FALSE)</f>
        <v>44315</v>
      </c>
      <c r="V1056" s="23" t="s">
        <v>207</v>
      </c>
      <c r="W1056" s="23" t="s">
        <v>23</v>
      </c>
      <c r="X1056" s="49">
        <v>44287.59375</v>
      </c>
      <c r="Y1056" s="23">
        <v>2.7</v>
      </c>
      <c r="Z1056" s="23">
        <v>44291.385416666664</v>
      </c>
      <c r="AA1056" s="23">
        <v>3.05</v>
      </c>
      <c r="AB1056" s="23">
        <v>0.12959999999999999</v>
      </c>
      <c r="AC1056" s="23">
        <v>-8580.02</v>
      </c>
      <c r="AD1056" s="23">
        <v>-0.12959999999999999</v>
      </c>
      <c r="AE1056" s="23">
        <v>24514.34</v>
      </c>
      <c r="AF1056" s="23">
        <v>66188.73</v>
      </c>
      <c r="AG1056" s="23">
        <v>3230415.17</v>
      </c>
      <c r="AH1056" s="23">
        <v>9</v>
      </c>
      <c r="AI1056" s="23">
        <v>-953.34</v>
      </c>
      <c r="AJ1056" s="23">
        <v>-0.12959999999999999</v>
      </c>
      <c r="AK1056" s="23">
        <v>0.1111</v>
      </c>
      <c r="AL1056" s="23" t="s">
        <v>24</v>
      </c>
      <c r="AM1056" s="23">
        <v>56.95</v>
      </c>
      <c r="AN1056" s="23">
        <v>33783.300000000003</v>
      </c>
      <c r="AO1056" s="23">
        <v>56.17</v>
      </c>
      <c r="AP1056" s="23">
        <v>0</v>
      </c>
      <c r="AR1056" s="46"/>
      <c r="AS1056" s="44"/>
      <c r="AT1056" s="45"/>
      <c r="AU1056" s="2">
        <v>44287</v>
      </c>
      <c r="AV1056" s="52">
        <v>9.375E-2</v>
      </c>
      <c r="AW1056" s="2" t="s">
        <v>213</v>
      </c>
      <c r="AY1056" s="3"/>
      <c r="BA1056" s="3"/>
      <c r="BG1056" s="3"/>
      <c r="BH1056" s="3"/>
    </row>
    <row r="1057" spans="1:60">
      <c r="A1057" s="23" t="s">
        <v>22</v>
      </c>
      <c r="B1057" s="23" t="s">
        <v>23</v>
      </c>
      <c r="C1057" s="27">
        <v>44291.385416666664</v>
      </c>
      <c r="D1057" s="23">
        <v>55.9</v>
      </c>
      <c r="E1057" s="27">
        <v>44292.385416666664</v>
      </c>
      <c r="F1057" s="23">
        <v>55.05</v>
      </c>
      <c r="G1057" s="31">
        <v>-1.52E-2</v>
      </c>
      <c r="H1057" s="23">
        <v>766.91</v>
      </c>
      <c r="I1057" s="31">
        <v>1.52E-2</v>
      </c>
      <c r="J1057" s="23">
        <v>902.24570000000006</v>
      </c>
      <c r="K1057" s="23">
        <v>50435.54</v>
      </c>
      <c r="L1057" s="23">
        <v>86900.04</v>
      </c>
      <c r="M1057" s="23">
        <v>29</v>
      </c>
      <c r="N1057" s="23">
        <v>26.45</v>
      </c>
      <c r="O1057" s="31">
        <v>-1.9699999999999999E-2</v>
      </c>
      <c r="P1057" s="31">
        <v>3.85E-2</v>
      </c>
      <c r="Q1057" s="23" t="s">
        <v>24</v>
      </c>
      <c r="R1057" s="23">
        <v>0</v>
      </c>
      <c r="S1057" s="23">
        <v>57.19</v>
      </c>
      <c r="U1057" s="47">
        <f>VLOOKUP(AU1057,[1]expiry_dates!$B$2:$C$2894,2,FALSE)</f>
        <v>44315</v>
      </c>
      <c r="V1057" s="23" t="s">
        <v>132</v>
      </c>
      <c r="W1057" s="23" t="s">
        <v>23</v>
      </c>
      <c r="X1057" s="49">
        <v>44291.385416666664</v>
      </c>
      <c r="Y1057" s="23">
        <v>2.95</v>
      </c>
      <c r="Z1057" s="23">
        <v>44292.385416666664</v>
      </c>
      <c r="AA1057" s="23">
        <v>2.2999999999999998</v>
      </c>
      <c r="AB1057" s="23">
        <v>-0.2203</v>
      </c>
      <c r="AC1057" s="23">
        <v>14592.08</v>
      </c>
      <c r="AD1057" s="23">
        <v>0.2203</v>
      </c>
      <c r="AE1057" s="23">
        <v>22449.360000000001</v>
      </c>
      <c r="AF1057" s="23">
        <v>66225.62</v>
      </c>
      <c r="AG1057" s="23">
        <v>3245007.25</v>
      </c>
      <c r="AH1057" s="23">
        <v>29</v>
      </c>
      <c r="AI1057" s="23">
        <v>503.18</v>
      </c>
      <c r="AJ1057" s="23">
        <v>-1.6899999999999998E-2</v>
      </c>
      <c r="AK1057" s="23">
        <v>0.35589999999999999</v>
      </c>
      <c r="AL1057" s="23" t="s">
        <v>24</v>
      </c>
      <c r="AM1057" s="23">
        <v>55.9</v>
      </c>
      <c r="AN1057" s="23">
        <v>33271.550000000003</v>
      </c>
      <c r="AO1057" s="23">
        <v>57.19</v>
      </c>
      <c r="AP1057" s="23">
        <v>0</v>
      </c>
      <c r="AR1057" s="46"/>
      <c r="AS1057" s="44"/>
      <c r="AT1057" s="45"/>
      <c r="AU1057" s="2">
        <v>44291</v>
      </c>
      <c r="AV1057" s="52">
        <v>0.38541666666666669</v>
      </c>
      <c r="AW1057" s="2" t="s">
        <v>212</v>
      </c>
      <c r="AY1057" s="3"/>
      <c r="BA1057" s="3"/>
      <c r="BG1057" s="3"/>
      <c r="BH1057" s="3"/>
    </row>
    <row r="1058" spans="1:60">
      <c r="A1058" s="23" t="s">
        <v>22</v>
      </c>
      <c r="B1058" s="23" t="s">
        <v>25</v>
      </c>
      <c r="C1058" s="27">
        <v>44292.385416666664</v>
      </c>
      <c r="D1058" s="23">
        <v>55.05</v>
      </c>
      <c r="E1058" s="27">
        <v>44292.520833333336</v>
      </c>
      <c r="F1058" s="23">
        <v>54.55</v>
      </c>
      <c r="G1058" s="31">
        <v>-9.1000000000000004E-3</v>
      </c>
      <c r="H1058" s="23">
        <v>-458.09</v>
      </c>
      <c r="I1058" s="31">
        <v>-9.1000000000000004E-3</v>
      </c>
      <c r="J1058" s="23">
        <v>916.18259999999998</v>
      </c>
      <c r="K1058" s="23">
        <v>50435.85</v>
      </c>
      <c r="L1058" s="23">
        <v>86441.95</v>
      </c>
      <c r="M1058" s="23">
        <v>14</v>
      </c>
      <c r="N1058" s="23">
        <v>-32.72</v>
      </c>
      <c r="O1058" s="31">
        <v>-2.18E-2</v>
      </c>
      <c r="P1058" s="31">
        <v>3.5999999999999999E-3</v>
      </c>
      <c r="Q1058" s="23" t="s">
        <v>24</v>
      </c>
      <c r="R1058" s="23">
        <v>0</v>
      </c>
      <c r="S1058" s="23">
        <v>53.83</v>
      </c>
      <c r="U1058" s="47">
        <f>VLOOKUP(AU1058,[1]expiry_dates!$B$2:$C$2894,2,FALSE)</f>
        <v>44315</v>
      </c>
      <c r="V1058" s="23" t="s">
        <v>130</v>
      </c>
      <c r="W1058" s="23" t="s">
        <v>23</v>
      </c>
      <c r="X1058" s="49">
        <v>44292.385416666664</v>
      </c>
      <c r="Y1058" s="23">
        <v>3.05</v>
      </c>
      <c r="Z1058" s="23">
        <v>44292.520833333336</v>
      </c>
      <c r="AA1058" s="23">
        <v>3.25</v>
      </c>
      <c r="AB1058" s="23">
        <v>6.5600000000000006E-2</v>
      </c>
      <c r="AC1058" s="23">
        <v>-4344.1000000000004</v>
      </c>
      <c r="AD1058" s="23">
        <v>-6.5600000000000006E-2</v>
      </c>
      <c r="AE1058" s="23">
        <v>21720.49</v>
      </c>
      <c r="AF1058" s="23">
        <v>66247.48</v>
      </c>
      <c r="AG1058" s="23">
        <v>3240663.16</v>
      </c>
      <c r="AH1058" s="23">
        <v>14</v>
      </c>
      <c r="AI1058" s="23">
        <v>-310.29000000000002</v>
      </c>
      <c r="AJ1058" s="23">
        <v>-0.13109999999999999</v>
      </c>
      <c r="AK1058" s="23">
        <v>6.5600000000000006E-2</v>
      </c>
      <c r="AL1058" s="23" t="s">
        <v>24</v>
      </c>
      <c r="AM1058" s="23">
        <v>55.05</v>
      </c>
      <c r="AN1058" s="23">
        <v>32815.199999999997</v>
      </c>
      <c r="AO1058" s="23">
        <v>53.83</v>
      </c>
      <c r="AP1058" s="23">
        <v>0</v>
      </c>
      <c r="AR1058" s="46"/>
      <c r="AS1058" s="44"/>
      <c r="AT1058" s="45"/>
      <c r="AU1058" s="2">
        <v>44292</v>
      </c>
      <c r="AV1058" s="52">
        <v>0.38541666666666669</v>
      </c>
      <c r="AW1058" s="2" t="s">
        <v>212</v>
      </c>
      <c r="AY1058" s="3"/>
      <c r="BA1058" s="3"/>
      <c r="BG1058" s="3"/>
      <c r="BH1058" s="3"/>
    </row>
    <row r="1059" spans="1:60">
      <c r="A1059" s="23" t="s">
        <v>22</v>
      </c>
      <c r="B1059" s="23" t="s">
        <v>23</v>
      </c>
      <c r="C1059" s="27">
        <v>44292.520833333336</v>
      </c>
      <c r="D1059" s="23">
        <v>54.55</v>
      </c>
      <c r="E1059" s="27">
        <v>44292.541666666664</v>
      </c>
      <c r="F1059" s="23">
        <v>55.2</v>
      </c>
      <c r="G1059" s="31">
        <v>1.1900000000000001E-2</v>
      </c>
      <c r="H1059" s="23">
        <v>-600.96</v>
      </c>
      <c r="I1059" s="31">
        <v>-1.1900000000000001E-2</v>
      </c>
      <c r="J1059" s="23">
        <v>924.55129999999997</v>
      </c>
      <c r="K1059" s="23">
        <v>50434.27</v>
      </c>
      <c r="L1059" s="23">
        <v>85840.99</v>
      </c>
      <c r="M1059" s="23">
        <v>3</v>
      </c>
      <c r="N1059" s="23">
        <v>-200.32</v>
      </c>
      <c r="O1059" s="31">
        <v>-1.1900000000000001E-2</v>
      </c>
      <c r="P1059" s="31">
        <v>1.8E-3</v>
      </c>
      <c r="Q1059" s="23" t="s">
        <v>24</v>
      </c>
      <c r="R1059" s="23">
        <v>0</v>
      </c>
      <c r="S1059" s="23">
        <v>55.25</v>
      </c>
      <c r="U1059" s="47">
        <f>VLOOKUP(AU1059,[1]expiry_dates!$B$2:$C$2894,2,FALSE)</f>
        <v>44315</v>
      </c>
      <c r="V1059" s="23" t="s">
        <v>131</v>
      </c>
      <c r="W1059" s="23" t="s">
        <v>23</v>
      </c>
      <c r="X1059" s="49">
        <v>44292.520833333336</v>
      </c>
      <c r="Y1059" s="23">
        <v>2.4</v>
      </c>
      <c r="Z1059" s="23">
        <v>44292.541666666664</v>
      </c>
      <c r="AA1059" s="23">
        <v>2.65</v>
      </c>
      <c r="AB1059" s="23">
        <v>0.1042</v>
      </c>
      <c r="AC1059" s="23">
        <v>-6899.01</v>
      </c>
      <c r="AD1059" s="23">
        <v>-0.1042</v>
      </c>
      <c r="AE1059" s="23">
        <v>27596.03</v>
      </c>
      <c r="AF1059" s="23">
        <v>66230.47</v>
      </c>
      <c r="AG1059" s="23">
        <v>3233764.15</v>
      </c>
      <c r="AH1059" s="23">
        <v>3</v>
      </c>
      <c r="AI1059" s="23">
        <v>-2299.67</v>
      </c>
      <c r="AJ1059" s="23">
        <v>-0.1042</v>
      </c>
      <c r="AK1059" s="23">
        <v>2.0799999999999999E-2</v>
      </c>
      <c r="AL1059" s="23" t="s">
        <v>24</v>
      </c>
      <c r="AM1059" s="23">
        <v>54.55</v>
      </c>
      <c r="AN1059" s="23">
        <v>32443.45</v>
      </c>
      <c r="AO1059" s="23">
        <v>55.25</v>
      </c>
      <c r="AP1059" s="23">
        <v>0</v>
      </c>
      <c r="AR1059" s="46"/>
      <c r="AS1059" s="44"/>
      <c r="AT1059" s="45"/>
      <c r="AU1059" s="2">
        <v>44292</v>
      </c>
      <c r="AV1059" s="52">
        <v>0.52083333333333337</v>
      </c>
      <c r="AW1059" s="2" t="s">
        <v>213</v>
      </c>
      <c r="AY1059" s="3"/>
      <c r="BA1059" s="3"/>
      <c r="BG1059" s="3"/>
      <c r="BH1059" s="3"/>
    </row>
    <row r="1060" spans="1:60">
      <c r="A1060" s="23" t="s">
        <v>22</v>
      </c>
      <c r="B1060" s="23" t="s">
        <v>25</v>
      </c>
      <c r="C1060" s="27">
        <v>44292.541666666664</v>
      </c>
      <c r="D1060" s="23">
        <v>55.2</v>
      </c>
      <c r="E1060" s="27">
        <v>44293.5625</v>
      </c>
      <c r="F1060" s="23">
        <v>56.2</v>
      </c>
      <c r="G1060" s="31">
        <v>1.8100000000000002E-2</v>
      </c>
      <c r="H1060" s="23">
        <v>913.59</v>
      </c>
      <c r="I1060" s="31">
        <v>1.8100000000000002E-2</v>
      </c>
      <c r="J1060" s="23">
        <v>913.58929999999998</v>
      </c>
      <c r="K1060" s="23">
        <v>50430.13</v>
      </c>
      <c r="L1060" s="23">
        <v>86754.58</v>
      </c>
      <c r="M1060" s="23">
        <v>31</v>
      </c>
      <c r="N1060" s="23">
        <v>29.47</v>
      </c>
      <c r="O1060" s="31">
        <v>-7.1999999999999998E-3</v>
      </c>
      <c r="P1060" s="31">
        <v>3.1699999999999999E-2</v>
      </c>
      <c r="Q1060" s="23" t="s">
        <v>24</v>
      </c>
      <c r="R1060" s="23">
        <v>0</v>
      </c>
      <c r="S1060" s="23">
        <v>54.47</v>
      </c>
      <c r="U1060" s="47">
        <f>VLOOKUP(AU1060,[1]expiry_dates!$B$2:$C$2894,2,FALSE)</f>
        <v>44315</v>
      </c>
      <c r="V1060" s="23" t="s">
        <v>130</v>
      </c>
      <c r="W1060" s="23" t="s">
        <v>23</v>
      </c>
      <c r="X1060" s="49">
        <v>44292.541666666664</v>
      </c>
      <c r="Y1060" s="23">
        <v>2.9</v>
      </c>
      <c r="Z1060" s="23">
        <v>44293.5625</v>
      </c>
      <c r="AA1060" s="23">
        <v>2.35</v>
      </c>
      <c r="AB1060" s="23">
        <v>-0.18970000000000001</v>
      </c>
      <c r="AC1060" s="23">
        <v>12551.88</v>
      </c>
      <c r="AD1060" s="23">
        <v>0.18970000000000001</v>
      </c>
      <c r="AE1060" s="23">
        <v>22821.59</v>
      </c>
      <c r="AF1060" s="23">
        <v>66182.62</v>
      </c>
      <c r="AG1060" s="23">
        <v>3246316.03</v>
      </c>
      <c r="AH1060" s="23">
        <v>31</v>
      </c>
      <c r="AI1060" s="23">
        <v>404.9</v>
      </c>
      <c r="AJ1060" s="23">
        <v>-5.1700000000000003E-2</v>
      </c>
      <c r="AK1060" s="23">
        <v>0.31030000000000002</v>
      </c>
      <c r="AL1060" s="23" t="s">
        <v>24</v>
      </c>
      <c r="AM1060" s="23">
        <v>55.2</v>
      </c>
      <c r="AN1060" s="23">
        <v>32612.400000000001</v>
      </c>
      <c r="AO1060" s="23">
        <v>54.47</v>
      </c>
      <c r="AP1060" s="23">
        <v>0</v>
      </c>
      <c r="AR1060" s="46"/>
      <c r="AS1060" s="44"/>
      <c r="AT1060" s="45"/>
      <c r="AU1060" s="2">
        <v>44292</v>
      </c>
      <c r="AV1060" s="52">
        <v>4.1666666666666664E-2</v>
      </c>
      <c r="AW1060" s="2" t="s">
        <v>213</v>
      </c>
      <c r="AY1060" s="3"/>
      <c r="BA1060" s="3"/>
      <c r="BG1060" s="3"/>
      <c r="BH1060" s="3"/>
    </row>
    <row r="1061" spans="1:60">
      <c r="A1061" s="23" t="s">
        <v>22</v>
      </c>
      <c r="B1061" s="23" t="s">
        <v>23</v>
      </c>
      <c r="C1061" s="27">
        <v>44293.5625</v>
      </c>
      <c r="D1061" s="23">
        <v>56.2</v>
      </c>
      <c r="E1061" s="27">
        <v>44293.604166666664</v>
      </c>
      <c r="F1061" s="23">
        <v>56.75</v>
      </c>
      <c r="G1061" s="31">
        <v>9.7999999999999997E-3</v>
      </c>
      <c r="H1061" s="23">
        <v>-493.58</v>
      </c>
      <c r="I1061" s="31">
        <v>-9.7999999999999997E-3</v>
      </c>
      <c r="J1061" s="23">
        <v>897.41030000000001</v>
      </c>
      <c r="K1061" s="23">
        <v>50434.46</v>
      </c>
      <c r="L1061" s="23">
        <v>86261</v>
      </c>
      <c r="M1061" s="23">
        <v>5</v>
      </c>
      <c r="N1061" s="23">
        <v>-98.72</v>
      </c>
      <c r="O1061" s="31">
        <v>-9.7999999999999997E-3</v>
      </c>
      <c r="P1061" s="31">
        <v>1.8E-3</v>
      </c>
      <c r="Q1061" s="23" t="s">
        <v>24</v>
      </c>
      <c r="R1061" s="23">
        <v>0</v>
      </c>
      <c r="S1061" s="23">
        <v>56.95</v>
      </c>
      <c r="U1061" s="47">
        <f>VLOOKUP(AU1061,[1]expiry_dates!$B$2:$C$2894,2,FALSE)</f>
        <v>44315</v>
      </c>
      <c r="V1061" s="23" t="s">
        <v>132</v>
      </c>
      <c r="W1061" s="23" t="s">
        <v>23</v>
      </c>
      <c r="X1061" s="49">
        <v>44293.5625</v>
      </c>
      <c r="Y1061" s="23">
        <v>2.65</v>
      </c>
      <c r="Z1061" s="23">
        <v>44293.604166666664</v>
      </c>
      <c r="AA1061" s="23">
        <v>3</v>
      </c>
      <c r="AB1061" s="23">
        <v>0.1321</v>
      </c>
      <c r="AC1061" s="23">
        <v>-8749.07</v>
      </c>
      <c r="AD1061" s="23">
        <v>-0.1321</v>
      </c>
      <c r="AE1061" s="23">
        <v>24997.35</v>
      </c>
      <c r="AF1061" s="23">
        <v>66242.990000000005</v>
      </c>
      <c r="AG1061" s="23">
        <v>3237566.95</v>
      </c>
      <c r="AH1061" s="23">
        <v>5</v>
      </c>
      <c r="AI1061" s="23">
        <v>-1749.81</v>
      </c>
      <c r="AJ1061" s="23">
        <v>-0.1321</v>
      </c>
      <c r="AK1061" s="23">
        <v>0</v>
      </c>
      <c r="AL1061" s="23" t="s">
        <v>24</v>
      </c>
      <c r="AM1061" s="23">
        <v>56.2</v>
      </c>
      <c r="AN1061" s="23">
        <v>32878.300000000003</v>
      </c>
      <c r="AO1061" s="23">
        <v>56.95</v>
      </c>
      <c r="AP1061" s="23">
        <v>0</v>
      </c>
      <c r="AR1061" s="46"/>
      <c r="AS1061" s="44"/>
      <c r="AT1061" s="45"/>
      <c r="AU1061" s="2">
        <v>44293</v>
      </c>
      <c r="AV1061" s="52">
        <v>6.25E-2</v>
      </c>
      <c r="AW1061" s="2" t="s">
        <v>213</v>
      </c>
      <c r="AY1061" s="3"/>
      <c r="BA1061" s="3"/>
      <c r="BG1061" s="3"/>
      <c r="BH1061" s="3"/>
    </row>
    <row r="1062" spans="1:60">
      <c r="A1062" s="23" t="s">
        <v>22</v>
      </c>
      <c r="B1062" s="23" t="s">
        <v>25</v>
      </c>
      <c r="C1062" s="27">
        <v>44293.604166666664</v>
      </c>
      <c r="D1062" s="23">
        <v>56.75</v>
      </c>
      <c r="E1062" s="27">
        <v>44294.5</v>
      </c>
      <c r="F1062" s="23">
        <v>57.4</v>
      </c>
      <c r="G1062" s="31">
        <v>1.15E-2</v>
      </c>
      <c r="H1062" s="23">
        <v>577.64</v>
      </c>
      <c r="I1062" s="31">
        <v>1.15E-2</v>
      </c>
      <c r="J1062" s="23">
        <v>888.6771</v>
      </c>
      <c r="K1062" s="23">
        <v>50432.43</v>
      </c>
      <c r="L1062" s="23">
        <v>86838.64</v>
      </c>
      <c r="M1062" s="23">
        <v>19</v>
      </c>
      <c r="N1062" s="23">
        <v>30.4</v>
      </c>
      <c r="O1062" s="31">
        <v>-5.3E-3</v>
      </c>
      <c r="P1062" s="31">
        <v>2.8199999999999999E-2</v>
      </c>
      <c r="Q1062" s="23" t="s">
        <v>24</v>
      </c>
      <c r="R1062" s="23">
        <v>0</v>
      </c>
      <c r="S1062" s="23">
        <v>56.1</v>
      </c>
      <c r="U1062" s="47">
        <f>VLOOKUP(AU1062,[1]expiry_dates!$B$2:$C$2894,2,FALSE)</f>
        <v>44315</v>
      </c>
      <c r="V1062" s="23" t="s">
        <v>183</v>
      </c>
      <c r="W1062" s="23" t="s">
        <v>23</v>
      </c>
      <c r="X1062" s="49">
        <v>44293.604166666664</v>
      </c>
      <c r="Y1062" s="23">
        <v>3.2</v>
      </c>
      <c r="Z1062" s="23">
        <v>44294.5</v>
      </c>
      <c r="AA1062" s="23">
        <v>2.95</v>
      </c>
      <c r="AB1062" s="23">
        <v>-7.8100000000000003E-2</v>
      </c>
      <c r="AC1062" s="23">
        <v>5172.88</v>
      </c>
      <c r="AD1062" s="23">
        <v>7.8100000000000003E-2</v>
      </c>
      <c r="AE1062" s="23">
        <v>20691.509999999998</v>
      </c>
      <c r="AF1062" s="23">
        <v>66212.84</v>
      </c>
      <c r="AG1062" s="23">
        <v>3242739.83</v>
      </c>
      <c r="AH1062" s="23">
        <v>19</v>
      </c>
      <c r="AI1062" s="23">
        <v>272.26</v>
      </c>
      <c r="AJ1062" s="23">
        <v>-1.5599999999999999E-2</v>
      </c>
      <c r="AK1062" s="23">
        <v>0.2344</v>
      </c>
      <c r="AL1062" s="23" t="s">
        <v>24</v>
      </c>
      <c r="AM1062" s="23">
        <v>56.75</v>
      </c>
      <c r="AN1062" s="23">
        <v>33008.400000000001</v>
      </c>
      <c r="AO1062" s="23">
        <v>56.1</v>
      </c>
      <c r="AP1062" s="23">
        <v>0</v>
      </c>
      <c r="AR1062" s="46"/>
      <c r="AS1062" s="44"/>
      <c r="AT1062" s="45"/>
      <c r="AU1062" s="2">
        <v>44293</v>
      </c>
      <c r="AV1062" s="52">
        <v>0.10416666666666667</v>
      </c>
      <c r="AW1062" s="2" t="s">
        <v>213</v>
      </c>
      <c r="AY1062" s="3"/>
      <c r="BA1062" s="3"/>
      <c r="BG1062" s="3"/>
      <c r="BH1062" s="3"/>
    </row>
    <row r="1063" spans="1:60">
      <c r="A1063" s="23" t="s">
        <v>22</v>
      </c>
      <c r="B1063" s="23" t="s">
        <v>23</v>
      </c>
      <c r="C1063" s="27">
        <v>44294.5</v>
      </c>
      <c r="D1063" s="23">
        <v>57.4</v>
      </c>
      <c r="E1063" s="27">
        <v>44295.416666666664</v>
      </c>
      <c r="F1063" s="23">
        <v>57.05</v>
      </c>
      <c r="G1063" s="31">
        <v>-6.1000000000000004E-3</v>
      </c>
      <c r="H1063" s="23">
        <v>307.54000000000002</v>
      </c>
      <c r="I1063" s="31">
        <v>6.1000000000000004E-3</v>
      </c>
      <c r="J1063" s="23">
        <v>878.67160000000001</v>
      </c>
      <c r="K1063" s="23">
        <v>50435.75</v>
      </c>
      <c r="L1063" s="23">
        <v>87146.18</v>
      </c>
      <c r="M1063" s="23">
        <v>21</v>
      </c>
      <c r="N1063" s="23">
        <v>14.64</v>
      </c>
      <c r="O1063" s="31">
        <v>-1.0500000000000001E-2</v>
      </c>
      <c r="P1063" s="31">
        <v>2.7900000000000001E-2</v>
      </c>
      <c r="Q1063" s="23" t="s">
        <v>24</v>
      </c>
      <c r="R1063" s="23">
        <v>0</v>
      </c>
      <c r="S1063" s="23">
        <v>58.35</v>
      </c>
      <c r="U1063" s="47">
        <f>VLOOKUP(AU1063,[1]expiry_dates!$B$2:$C$2894,2,FALSE)</f>
        <v>44315</v>
      </c>
      <c r="V1063" s="23" t="s">
        <v>206</v>
      </c>
      <c r="W1063" s="23" t="s">
        <v>23</v>
      </c>
      <c r="X1063" s="49">
        <v>44294.5</v>
      </c>
      <c r="Y1063" s="23">
        <v>2.7</v>
      </c>
      <c r="Z1063" s="23">
        <v>44295.416666666664</v>
      </c>
      <c r="AA1063" s="23">
        <v>2.75</v>
      </c>
      <c r="AB1063" s="23">
        <v>1.8499999999999999E-2</v>
      </c>
      <c r="AC1063" s="23">
        <v>-1226.56</v>
      </c>
      <c r="AD1063" s="23">
        <v>-1.8499999999999999E-2</v>
      </c>
      <c r="AE1063" s="23">
        <v>24531.26</v>
      </c>
      <c r="AF1063" s="23">
        <v>66234.39</v>
      </c>
      <c r="AG1063" s="23">
        <v>3241513.27</v>
      </c>
      <c r="AH1063" s="23">
        <v>21</v>
      </c>
      <c r="AI1063" s="23">
        <v>-58.41</v>
      </c>
      <c r="AJ1063" s="23">
        <v>-0.1111</v>
      </c>
      <c r="AK1063" s="23">
        <v>0.1852</v>
      </c>
      <c r="AL1063" s="23" t="s">
        <v>24</v>
      </c>
      <c r="AM1063" s="23">
        <v>57.4</v>
      </c>
      <c r="AN1063" s="23">
        <v>32911.85</v>
      </c>
      <c r="AO1063" s="23">
        <v>58.35</v>
      </c>
      <c r="AP1063" s="23">
        <v>0</v>
      </c>
      <c r="AR1063" s="46"/>
      <c r="AS1063" s="44"/>
      <c r="AT1063" s="45"/>
      <c r="AU1063" s="2">
        <v>44294</v>
      </c>
      <c r="AV1063" s="52">
        <v>0.5</v>
      </c>
      <c r="AW1063" s="2" t="s">
        <v>213</v>
      </c>
      <c r="AY1063" s="3"/>
      <c r="BA1063" s="3"/>
      <c r="BG1063" s="3"/>
      <c r="BH1063" s="3"/>
    </row>
    <row r="1064" spans="1:60">
      <c r="A1064" s="23" t="s">
        <v>22</v>
      </c>
      <c r="B1064" s="23" t="s">
        <v>25</v>
      </c>
      <c r="C1064" s="27">
        <v>44295.416666666664</v>
      </c>
      <c r="D1064" s="23">
        <v>57.05</v>
      </c>
      <c r="E1064" s="27">
        <v>44295.447916666664</v>
      </c>
      <c r="F1064" s="23">
        <v>56</v>
      </c>
      <c r="G1064" s="31">
        <v>-1.84E-2</v>
      </c>
      <c r="H1064" s="23">
        <v>-928.29</v>
      </c>
      <c r="I1064" s="31">
        <v>-1.84E-2</v>
      </c>
      <c r="J1064" s="23">
        <v>884.08119999999997</v>
      </c>
      <c r="K1064" s="23">
        <v>50436.83</v>
      </c>
      <c r="L1064" s="23">
        <v>86217.89</v>
      </c>
      <c r="M1064" s="23">
        <v>4</v>
      </c>
      <c r="N1064" s="23">
        <v>-232.07</v>
      </c>
      <c r="O1064" s="31">
        <v>-1.84E-2</v>
      </c>
      <c r="P1064" s="31">
        <v>4.4000000000000003E-3</v>
      </c>
      <c r="Q1064" s="23" t="s">
        <v>24</v>
      </c>
      <c r="R1064" s="23">
        <v>0</v>
      </c>
      <c r="S1064" s="23">
        <v>55.8</v>
      </c>
      <c r="U1064" s="47">
        <f>VLOOKUP(AU1064,[1]expiry_dates!$B$2:$C$2894,2,FALSE)</f>
        <v>44315</v>
      </c>
      <c r="V1064" s="23" t="s">
        <v>183</v>
      </c>
      <c r="W1064" s="23" t="s">
        <v>23</v>
      </c>
      <c r="X1064" s="49">
        <v>44295.416666666664</v>
      </c>
      <c r="Y1064" s="23">
        <v>2.65</v>
      </c>
      <c r="Z1064" s="23">
        <v>44295.447916666664</v>
      </c>
      <c r="AA1064" s="23">
        <v>3.2</v>
      </c>
      <c r="AB1064" s="23">
        <v>0.20749999999999999</v>
      </c>
      <c r="AC1064" s="23">
        <v>-13743.74</v>
      </c>
      <c r="AD1064" s="23">
        <v>-0.20749999999999999</v>
      </c>
      <c r="AE1064" s="23">
        <v>24988.62</v>
      </c>
      <c r="AF1064" s="23">
        <v>66219.839999999997</v>
      </c>
      <c r="AG1064" s="23">
        <v>3227769.53</v>
      </c>
      <c r="AH1064" s="23">
        <v>4</v>
      </c>
      <c r="AI1064" s="23">
        <v>-3435.93</v>
      </c>
      <c r="AJ1064" s="23">
        <v>-0.20749999999999999</v>
      </c>
      <c r="AK1064" s="23">
        <v>0</v>
      </c>
      <c r="AL1064" s="23" t="s">
        <v>24</v>
      </c>
      <c r="AM1064" s="23">
        <v>57.05</v>
      </c>
      <c r="AN1064" s="23">
        <v>32878.550000000003</v>
      </c>
      <c r="AO1064" s="23">
        <v>55.8</v>
      </c>
      <c r="AP1064" s="23">
        <v>0</v>
      </c>
      <c r="AR1064" s="46"/>
      <c r="AS1064" s="44"/>
      <c r="AT1064" s="45"/>
      <c r="AU1064" s="2">
        <v>44295</v>
      </c>
      <c r="AV1064" s="52">
        <v>0.41666666666666669</v>
      </c>
      <c r="AW1064" s="2" t="s">
        <v>212</v>
      </c>
      <c r="AY1064" s="3"/>
      <c r="BA1064" s="3"/>
      <c r="BG1064" s="3"/>
      <c r="BH1064" s="3"/>
    </row>
    <row r="1065" spans="1:60">
      <c r="A1065" s="23" t="s">
        <v>22</v>
      </c>
      <c r="B1065" s="23" t="s">
        <v>23</v>
      </c>
      <c r="C1065" s="27">
        <v>44295.447916666664</v>
      </c>
      <c r="D1065" s="23">
        <v>56</v>
      </c>
      <c r="E1065" s="27">
        <v>44298.583333333336</v>
      </c>
      <c r="F1065" s="23">
        <v>51.15</v>
      </c>
      <c r="G1065" s="31">
        <v>-8.6599999999999996E-2</v>
      </c>
      <c r="H1065" s="23">
        <v>4367.8100000000004</v>
      </c>
      <c r="I1065" s="31">
        <v>8.6599999999999996E-2</v>
      </c>
      <c r="J1065" s="23">
        <v>900.57889999999998</v>
      </c>
      <c r="K1065" s="23">
        <v>50432.41</v>
      </c>
      <c r="L1065" s="23">
        <v>90585.7</v>
      </c>
      <c r="M1065" s="23">
        <v>42</v>
      </c>
      <c r="N1065" s="23">
        <v>104</v>
      </c>
      <c r="O1065" s="31">
        <v>-7.1000000000000004E-3</v>
      </c>
      <c r="P1065" s="31">
        <v>0.15179999999999999</v>
      </c>
      <c r="Q1065" s="23" t="s">
        <v>24</v>
      </c>
      <c r="R1065" s="23">
        <v>0</v>
      </c>
      <c r="S1065" s="23">
        <v>57.24</v>
      </c>
      <c r="U1065" s="47">
        <f>VLOOKUP(AU1065,[1]expiry_dates!$B$2:$C$2894,2,FALSE)</f>
        <v>44315</v>
      </c>
      <c r="V1065" s="23" t="s">
        <v>132</v>
      </c>
      <c r="W1065" s="23" t="s">
        <v>23</v>
      </c>
      <c r="X1065" s="49">
        <v>44295.447916666664</v>
      </c>
      <c r="Y1065" s="23">
        <v>2.75</v>
      </c>
      <c r="Z1065" s="23">
        <v>44298.583333333336</v>
      </c>
      <c r="AA1065" s="23">
        <v>0.9</v>
      </c>
      <c r="AB1065" s="23">
        <v>-0.67269999999999996</v>
      </c>
      <c r="AC1065" s="23">
        <v>44514.42</v>
      </c>
      <c r="AD1065" s="23">
        <v>0.67269999999999996</v>
      </c>
      <c r="AE1065" s="23">
        <v>24061.85</v>
      </c>
      <c r="AF1065" s="23">
        <v>66170.080000000002</v>
      </c>
      <c r="AG1065" s="23">
        <v>3272283.95</v>
      </c>
      <c r="AH1065" s="23">
        <v>42</v>
      </c>
      <c r="AI1065" s="23">
        <v>1059.8699999999999</v>
      </c>
      <c r="AJ1065" s="23">
        <v>-5.45E-2</v>
      </c>
      <c r="AK1065" s="23">
        <v>0.74550000000000005</v>
      </c>
      <c r="AL1065" s="23" t="s">
        <v>24</v>
      </c>
      <c r="AM1065" s="23">
        <v>56</v>
      </c>
      <c r="AN1065" s="23">
        <v>32769.9</v>
      </c>
      <c r="AO1065" s="23">
        <v>57.24</v>
      </c>
      <c r="AP1065" s="23">
        <v>0</v>
      </c>
      <c r="AR1065" s="46"/>
      <c r="AS1065" s="44"/>
      <c r="AT1065" s="45"/>
      <c r="AU1065" s="2">
        <v>44295</v>
      </c>
      <c r="AV1065" s="52">
        <v>0.44791666666666669</v>
      </c>
      <c r="AW1065" s="2" t="s">
        <v>212</v>
      </c>
      <c r="AY1065" s="3"/>
      <c r="BA1065" s="3"/>
      <c r="BG1065" s="3"/>
      <c r="BH1065" s="3"/>
    </row>
    <row r="1066" spans="1:60">
      <c r="A1066" s="23" t="s">
        <v>22</v>
      </c>
      <c r="B1066" s="23" t="s">
        <v>25</v>
      </c>
      <c r="C1066" s="27">
        <v>44298.583333333336</v>
      </c>
      <c r="D1066" s="23">
        <v>51.15</v>
      </c>
      <c r="E1066" s="27">
        <v>44301.395833333336</v>
      </c>
      <c r="F1066" s="23">
        <v>52.75</v>
      </c>
      <c r="G1066" s="31">
        <v>3.1300000000000001E-2</v>
      </c>
      <c r="H1066" s="23">
        <v>1578.24</v>
      </c>
      <c r="I1066" s="31">
        <v>3.1300000000000001E-2</v>
      </c>
      <c r="J1066" s="23">
        <v>986.40279999999996</v>
      </c>
      <c r="K1066" s="23">
        <v>50454.5</v>
      </c>
      <c r="L1066" s="23">
        <v>92163.94</v>
      </c>
      <c r="M1066" s="23">
        <v>39</v>
      </c>
      <c r="N1066" s="23">
        <v>40.47</v>
      </c>
      <c r="O1066" s="31">
        <v>-1.8599999999999998E-2</v>
      </c>
      <c r="P1066" s="31">
        <v>6.3500000000000001E-2</v>
      </c>
      <c r="Q1066" s="23" t="s">
        <v>24</v>
      </c>
      <c r="R1066" s="23">
        <v>0</v>
      </c>
      <c r="S1066" s="23">
        <v>47.57</v>
      </c>
      <c r="U1066" s="47">
        <f>VLOOKUP(AU1066,[1]expiry_dates!$B$2:$C$2894,2,FALSE)</f>
        <v>44315</v>
      </c>
      <c r="V1066" s="23" t="s">
        <v>120</v>
      </c>
      <c r="W1066" s="23" t="s">
        <v>23</v>
      </c>
      <c r="X1066" s="49">
        <v>44298.583333333336</v>
      </c>
      <c r="Y1066" s="23">
        <v>2.35</v>
      </c>
      <c r="Z1066" s="23">
        <v>44301.395833333336</v>
      </c>
      <c r="AA1066" s="23">
        <v>1.35</v>
      </c>
      <c r="AB1066" s="23">
        <v>-0.42549999999999999</v>
      </c>
      <c r="AC1066" s="23">
        <v>28238.9</v>
      </c>
      <c r="AD1066" s="23">
        <v>0.42549999999999999</v>
      </c>
      <c r="AE1066" s="23">
        <v>28238.9</v>
      </c>
      <c r="AF1066" s="23">
        <v>66361.41</v>
      </c>
      <c r="AG1066" s="23">
        <v>3300522.85</v>
      </c>
      <c r="AH1066" s="23">
        <v>39</v>
      </c>
      <c r="AI1066" s="23">
        <v>724.07</v>
      </c>
      <c r="AJ1066" s="23">
        <v>-0.21279999999999999</v>
      </c>
      <c r="AK1066" s="23">
        <v>0.59570000000000001</v>
      </c>
      <c r="AL1066" s="23" t="s">
        <v>24</v>
      </c>
      <c r="AM1066" s="23">
        <v>51.15</v>
      </c>
      <c r="AN1066" s="23">
        <v>30739.3</v>
      </c>
      <c r="AO1066" s="23">
        <v>47.57</v>
      </c>
      <c r="AP1066" s="23">
        <v>0</v>
      </c>
      <c r="AR1066" s="46"/>
      <c r="AS1066" s="44"/>
      <c r="AT1066" s="45"/>
      <c r="AU1066" s="2">
        <v>44298</v>
      </c>
      <c r="AV1066" s="52">
        <v>8.3333333333333329E-2</v>
      </c>
      <c r="AW1066" s="2" t="s">
        <v>213</v>
      </c>
      <c r="AY1066" s="3"/>
      <c r="BA1066" s="3"/>
      <c r="BG1066" s="3"/>
      <c r="BH1066" s="3"/>
    </row>
    <row r="1067" spans="1:60">
      <c r="A1067" s="23" t="s">
        <v>22</v>
      </c>
      <c r="B1067" s="23" t="s">
        <v>23</v>
      </c>
      <c r="C1067" s="27">
        <v>44301.395833333336</v>
      </c>
      <c r="D1067" s="23">
        <v>52.75</v>
      </c>
      <c r="E1067" s="27">
        <v>44301.583333333336</v>
      </c>
      <c r="F1067" s="23">
        <v>52.5</v>
      </c>
      <c r="G1067" s="31">
        <v>-4.7000000000000002E-3</v>
      </c>
      <c r="H1067" s="23">
        <v>239.17</v>
      </c>
      <c r="I1067" s="31">
        <v>4.7000000000000002E-3</v>
      </c>
      <c r="J1067" s="23">
        <v>956.68269999999995</v>
      </c>
      <c r="K1067" s="23">
        <v>50465.01</v>
      </c>
      <c r="L1067" s="23">
        <v>92403.11</v>
      </c>
      <c r="M1067" s="23">
        <v>19</v>
      </c>
      <c r="N1067" s="23">
        <v>12.59</v>
      </c>
      <c r="O1067" s="31">
        <v>-1.61E-2</v>
      </c>
      <c r="P1067" s="31">
        <v>2.3699999999999999E-2</v>
      </c>
      <c r="Q1067" s="23" t="s">
        <v>24</v>
      </c>
      <c r="R1067" s="23">
        <v>0</v>
      </c>
      <c r="S1067" s="23">
        <v>54.36</v>
      </c>
      <c r="U1067" s="47">
        <f>VLOOKUP(AU1067,[1]expiry_dates!$B$2:$C$2894,2,FALSE)</f>
        <v>44315</v>
      </c>
      <c r="V1067" s="23" t="s">
        <v>127</v>
      </c>
      <c r="W1067" s="23" t="s">
        <v>23</v>
      </c>
      <c r="X1067" s="49">
        <v>44301.395833333336</v>
      </c>
      <c r="Y1067" s="23">
        <v>2.1</v>
      </c>
      <c r="Z1067" s="23">
        <v>44301.583333333336</v>
      </c>
      <c r="AA1067" s="23">
        <v>2.0499999999999998</v>
      </c>
      <c r="AB1067" s="23">
        <v>-2.3800000000000002E-2</v>
      </c>
      <c r="AC1067" s="23">
        <v>1584.24</v>
      </c>
      <c r="AD1067" s="23">
        <v>2.3800000000000002E-2</v>
      </c>
      <c r="AE1067" s="23">
        <v>31684.720000000001</v>
      </c>
      <c r="AF1067" s="23">
        <v>66537.91</v>
      </c>
      <c r="AG1067" s="23">
        <v>3302107.08</v>
      </c>
      <c r="AH1067" s="23">
        <v>19</v>
      </c>
      <c r="AI1067" s="23">
        <v>83.38</v>
      </c>
      <c r="AJ1067" s="23">
        <v>-0.1905</v>
      </c>
      <c r="AK1067" s="23">
        <v>0.23810000000000001</v>
      </c>
      <c r="AL1067" s="23" t="s">
        <v>24</v>
      </c>
      <c r="AM1067" s="23">
        <v>52.75</v>
      </c>
      <c r="AN1067" s="23">
        <v>31771.75</v>
      </c>
      <c r="AO1067" s="23">
        <v>54.36</v>
      </c>
      <c r="AP1067" s="23">
        <v>0</v>
      </c>
      <c r="AR1067" s="46"/>
      <c r="AS1067" s="44"/>
      <c r="AT1067" s="45"/>
      <c r="AU1067" s="2">
        <v>44301</v>
      </c>
      <c r="AV1067" s="52">
        <v>0.39583333333333331</v>
      </c>
      <c r="AW1067" s="2" t="s">
        <v>212</v>
      </c>
      <c r="AY1067" s="3"/>
      <c r="BA1067" s="3"/>
      <c r="BG1067" s="3"/>
      <c r="BH1067" s="3"/>
    </row>
    <row r="1068" spans="1:60">
      <c r="A1068" s="23" t="s">
        <v>22</v>
      </c>
      <c r="B1068" s="23" t="s">
        <v>25</v>
      </c>
      <c r="C1068" s="27">
        <v>44301.583333333336</v>
      </c>
      <c r="D1068" s="23">
        <v>52.5</v>
      </c>
      <c r="E1068" s="27">
        <v>44302.583333333336</v>
      </c>
      <c r="F1068" s="23">
        <v>53.15</v>
      </c>
      <c r="G1068" s="31">
        <v>1.24E-2</v>
      </c>
      <c r="H1068" s="23">
        <v>624.78</v>
      </c>
      <c r="I1068" s="31">
        <v>1.24E-2</v>
      </c>
      <c r="J1068" s="23">
        <v>961.19949999999994</v>
      </c>
      <c r="K1068" s="23">
        <v>50462.97</v>
      </c>
      <c r="L1068" s="23">
        <v>93027.89</v>
      </c>
      <c r="M1068" s="23">
        <v>29</v>
      </c>
      <c r="N1068" s="23">
        <v>21.54</v>
      </c>
      <c r="O1068" s="31">
        <v>-7.6E-3</v>
      </c>
      <c r="P1068" s="31">
        <v>1.9E-2</v>
      </c>
      <c r="Q1068" s="23" t="s">
        <v>24</v>
      </c>
      <c r="R1068" s="23">
        <v>0</v>
      </c>
      <c r="S1068" s="23">
        <v>51.52</v>
      </c>
      <c r="U1068" s="47">
        <f>VLOOKUP(AU1068,[1]expiry_dates!$B$2:$C$2894,2,FALSE)</f>
        <v>44315</v>
      </c>
      <c r="V1068" s="23" t="s">
        <v>129</v>
      </c>
      <c r="W1068" s="23" t="s">
        <v>23</v>
      </c>
      <c r="X1068" s="49">
        <v>44301.583333333336</v>
      </c>
      <c r="Y1068" s="23">
        <v>2.2999999999999998</v>
      </c>
      <c r="Z1068" s="23">
        <v>44302.583333333336</v>
      </c>
      <c r="AA1068" s="23">
        <v>1.85</v>
      </c>
      <c r="AB1068" s="23">
        <v>-0.19570000000000001</v>
      </c>
      <c r="AC1068" s="23">
        <v>13016.03</v>
      </c>
      <c r="AD1068" s="23">
        <v>0.19570000000000001</v>
      </c>
      <c r="AE1068" s="23">
        <v>28924.51</v>
      </c>
      <c r="AF1068" s="23">
        <v>66526.38</v>
      </c>
      <c r="AG1068" s="23">
        <v>3315123.12</v>
      </c>
      <c r="AH1068" s="23">
        <v>29</v>
      </c>
      <c r="AI1068" s="23">
        <v>448.83</v>
      </c>
      <c r="AJ1068" s="23">
        <v>-8.6999999999999994E-2</v>
      </c>
      <c r="AK1068" s="23">
        <v>0.54349999999999998</v>
      </c>
      <c r="AL1068" s="23" t="s">
        <v>24</v>
      </c>
      <c r="AM1068" s="23">
        <v>52.5</v>
      </c>
      <c r="AN1068" s="23">
        <v>32082.2</v>
      </c>
      <c r="AO1068" s="23">
        <v>51.52</v>
      </c>
      <c r="AP1068" s="23">
        <v>0</v>
      </c>
      <c r="AR1068" s="46"/>
      <c r="AS1068" s="44"/>
      <c r="AT1068" s="45"/>
      <c r="AU1068" s="2">
        <v>44301</v>
      </c>
      <c r="AV1068" s="52">
        <v>8.3333333333333329E-2</v>
      </c>
      <c r="AW1068" s="2" t="s">
        <v>213</v>
      </c>
      <c r="AY1068" s="3"/>
      <c r="BA1068" s="3"/>
      <c r="BG1068" s="3"/>
      <c r="BH1068" s="3"/>
    </row>
    <row r="1069" spans="1:60">
      <c r="A1069" s="23" t="s">
        <v>22</v>
      </c>
      <c r="B1069" s="23" t="s">
        <v>23</v>
      </c>
      <c r="C1069" s="27">
        <v>44302.583333333336</v>
      </c>
      <c r="D1069" s="23">
        <v>53.15</v>
      </c>
      <c r="E1069" s="27">
        <v>44302.59375</v>
      </c>
      <c r="F1069" s="23">
        <v>53.95</v>
      </c>
      <c r="G1069" s="31">
        <v>1.5100000000000001E-2</v>
      </c>
      <c r="H1069" s="23">
        <v>-759.59</v>
      </c>
      <c r="I1069" s="31">
        <v>-1.5100000000000001E-2</v>
      </c>
      <c r="J1069" s="23">
        <v>949.48519999999996</v>
      </c>
      <c r="K1069" s="23">
        <v>50465.14</v>
      </c>
      <c r="L1069" s="23">
        <v>92268.31</v>
      </c>
      <c r="M1069" s="23">
        <v>2</v>
      </c>
      <c r="N1069" s="23">
        <v>-379.79</v>
      </c>
      <c r="O1069" s="31">
        <v>-1.5100000000000001E-2</v>
      </c>
      <c r="P1069" s="31">
        <v>3.8E-3</v>
      </c>
      <c r="Q1069" s="23" t="s">
        <v>24</v>
      </c>
      <c r="R1069" s="23">
        <v>0</v>
      </c>
      <c r="S1069" s="23">
        <v>53.49</v>
      </c>
      <c r="U1069" s="47">
        <f>VLOOKUP(AU1069,[1]expiry_dates!$B$2:$C$2894,2,FALSE)</f>
        <v>44315</v>
      </c>
      <c r="V1069" s="23" t="s">
        <v>127</v>
      </c>
      <c r="W1069" s="23" t="s">
        <v>23</v>
      </c>
      <c r="X1069" s="49">
        <v>44302.583333333336</v>
      </c>
      <c r="Y1069" s="23">
        <v>2.15</v>
      </c>
      <c r="Z1069" s="23">
        <v>44302.59375</v>
      </c>
      <c r="AA1069" s="23">
        <v>2.5499999999999998</v>
      </c>
      <c r="AB1069" s="23">
        <v>0.186</v>
      </c>
      <c r="AC1069" s="23">
        <v>-12387.51</v>
      </c>
      <c r="AD1069" s="23">
        <v>-0.186</v>
      </c>
      <c r="AE1069" s="23">
        <v>30968.76</v>
      </c>
      <c r="AF1069" s="23">
        <v>66582.84</v>
      </c>
      <c r="AG1069" s="23">
        <v>3302735.61</v>
      </c>
      <c r="AH1069" s="23">
        <v>2</v>
      </c>
      <c r="AI1069" s="23">
        <v>-6193.75</v>
      </c>
      <c r="AJ1069" s="23">
        <v>-0.186</v>
      </c>
      <c r="AK1069" s="23">
        <v>4.65E-2</v>
      </c>
      <c r="AL1069" s="23" t="s">
        <v>24</v>
      </c>
      <c r="AM1069" s="23">
        <v>53.15</v>
      </c>
      <c r="AN1069" s="23">
        <v>32017</v>
      </c>
      <c r="AO1069" s="23">
        <v>53.49</v>
      </c>
      <c r="AP1069" s="23">
        <v>0</v>
      </c>
      <c r="AR1069" s="46"/>
      <c r="AS1069" s="44"/>
      <c r="AT1069" s="45"/>
      <c r="AU1069" s="2">
        <v>44302</v>
      </c>
      <c r="AV1069" s="52">
        <v>8.3333333333333329E-2</v>
      </c>
      <c r="AW1069" s="2" t="s">
        <v>213</v>
      </c>
      <c r="AY1069" s="3"/>
      <c r="BA1069" s="3"/>
      <c r="BG1069" s="3"/>
      <c r="BH1069" s="3"/>
    </row>
    <row r="1070" spans="1:60">
      <c r="A1070" s="23" t="s">
        <v>22</v>
      </c>
      <c r="B1070" s="23" t="s">
        <v>25</v>
      </c>
      <c r="C1070" s="27">
        <v>44302.59375</v>
      </c>
      <c r="D1070" s="23">
        <v>53.95</v>
      </c>
      <c r="E1070" s="27">
        <v>44305.385416666664</v>
      </c>
      <c r="F1070" s="23">
        <v>50.7</v>
      </c>
      <c r="G1070" s="31">
        <v>-6.0199999999999997E-2</v>
      </c>
      <c r="H1070" s="23">
        <v>-3040.07</v>
      </c>
      <c r="I1070" s="31">
        <v>-6.0199999999999997E-2</v>
      </c>
      <c r="J1070" s="23">
        <v>935.40570000000002</v>
      </c>
      <c r="K1070" s="23">
        <v>50465.14</v>
      </c>
      <c r="L1070" s="23">
        <v>89228.24</v>
      </c>
      <c r="M1070" s="23">
        <v>9</v>
      </c>
      <c r="N1070" s="23">
        <v>-337.79</v>
      </c>
      <c r="O1070" s="31">
        <v>-7.3200000000000001E-2</v>
      </c>
      <c r="P1070" s="31">
        <v>7.4000000000000003E-3</v>
      </c>
      <c r="Q1070" s="23" t="s">
        <v>24</v>
      </c>
      <c r="R1070" s="23">
        <v>0</v>
      </c>
      <c r="S1070" s="23">
        <v>52.97</v>
      </c>
      <c r="U1070" s="47">
        <f>VLOOKUP(AU1070,[1]expiry_dates!$B$2:$C$2894,2,FALSE)</f>
        <v>44315</v>
      </c>
      <c r="V1070" s="23" t="s">
        <v>133</v>
      </c>
      <c r="W1070" s="23" t="s">
        <v>23</v>
      </c>
      <c r="X1070" s="49">
        <v>44302.59375</v>
      </c>
      <c r="Y1070" s="23">
        <v>1.75</v>
      </c>
      <c r="Z1070" s="23">
        <v>44305.385416666664</v>
      </c>
      <c r="AA1070" s="23">
        <v>4.05</v>
      </c>
      <c r="AB1070" s="23">
        <v>1.3143</v>
      </c>
      <c r="AC1070" s="23">
        <v>-87499.38</v>
      </c>
      <c r="AD1070" s="23">
        <v>-1.3143</v>
      </c>
      <c r="AE1070" s="23">
        <v>38043.21</v>
      </c>
      <c r="AF1070" s="23">
        <v>66575.61</v>
      </c>
      <c r="AG1070" s="23">
        <v>3215236.23</v>
      </c>
      <c r="AH1070" s="23">
        <v>9</v>
      </c>
      <c r="AI1070" s="23">
        <v>-9722.15</v>
      </c>
      <c r="AJ1070" s="23">
        <v>-1.3143</v>
      </c>
      <c r="AK1070" s="23">
        <v>2.86E-2</v>
      </c>
      <c r="AL1070" s="23" t="s">
        <v>24</v>
      </c>
      <c r="AM1070" s="23">
        <v>53.95</v>
      </c>
      <c r="AN1070" s="23">
        <v>32203.8</v>
      </c>
      <c r="AO1070" s="23">
        <v>52.97</v>
      </c>
      <c r="AP1070" s="23">
        <v>0</v>
      </c>
      <c r="AR1070" s="46"/>
      <c r="AS1070" s="44"/>
      <c r="AT1070" s="45"/>
      <c r="AU1070" s="2">
        <v>44302</v>
      </c>
      <c r="AV1070" s="52">
        <v>9.375E-2</v>
      </c>
      <c r="AW1070" s="2" t="s">
        <v>213</v>
      </c>
      <c r="AY1070" s="3"/>
      <c r="BA1070" s="3"/>
      <c r="BG1070" s="3"/>
      <c r="BH1070" s="3"/>
    </row>
    <row r="1071" spans="1:60">
      <c r="A1071" s="23" t="s">
        <v>22</v>
      </c>
      <c r="B1071" s="23" t="s">
        <v>23</v>
      </c>
      <c r="C1071" s="27">
        <v>44305.385416666664</v>
      </c>
      <c r="D1071" s="23">
        <v>50.7</v>
      </c>
      <c r="E1071" s="27">
        <v>44305.604166666664</v>
      </c>
      <c r="F1071" s="23">
        <v>50.6</v>
      </c>
      <c r="G1071" s="31">
        <v>-2E-3</v>
      </c>
      <c r="H1071" s="23">
        <v>99.49</v>
      </c>
      <c r="I1071" s="31">
        <v>2E-3</v>
      </c>
      <c r="J1071" s="23">
        <v>994.92830000000004</v>
      </c>
      <c r="K1071" s="23">
        <v>50442.87</v>
      </c>
      <c r="L1071" s="23">
        <v>89327.73</v>
      </c>
      <c r="M1071" s="23">
        <v>22</v>
      </c>
      <c r="N1071" s="23">
        <v>4.5199999999999996</v>
      </c>
      <c r="O1071" s="31">
        <v>-8.8999999999999999E-3</v>
      </c>
      <c r="P1071" s="31">
        <v>2.5600000000000001E-2</v>
      </c>
      <c r="Q1071" s="23" t="s">
        <v>24</v>
      </c>
      <c r="R1071" s="23">
        <v>0</v>
      </c>
      <c r="S1071" s="23">
        <v>54.09</v>
      </c>
      <c r="U1071" s="47">
        <f>VLOOKUP(AU1071,[1]expiry_dates!$B$2:$C$2894,2,FALSE)</f>
        <v>44315</v>
      </c>
      <c r="V1071" s="23" t="s">
        <v>121</v>
      </c>
      <c r="W1071" s="23" t="s">
        <v>23</v>
      </c>
      <c r="X1071" s="49">
        <v>44305.385416666664</v>
      </c>
      <c r="Y1071" s="23">
        <v>2.6</v>
      </c>
      <c r="Z1071" s="23">
        <v>44305.604166666664</v>
      </c>
      <c r="AA1071" s="23">
        <v>2.25</v>
      </c>
      <c r="AB1071" s="23">
        <v>-0.1346</v>
      </c>
      <c r="AC1071" s="23">
        <v>8942.24</v>
      </c>
      <c r="AD1071" s="23">
        <v>0.1346</v>
      </c>
      <c r="AE1071" s="23">
        <v>25549.26</v>
      </c>
      <c r="AF1071" s="23">
        <v>66428.09</v>
      </c>
      <c r="AG1071" s="23">
        <v>3224178.48</v>
      </c>
      <c r="AH1071" s="23">
        <v>22</v>
      </c>
      <c r="AI1071" s="23">
        <v>406.47</v>
      </c>
      <c r="AJ1071" s="23">
        <v>-1.9199999999999998E-2</v>
      </c>
      <c r="AK1071" s="23">
        <v>0.28849999999999998</v>
      </c>
      <c r="AL1071" s="23" t="s">
        <v>24</v>
      </c>
      <c r="AM1071" s="23">
        <v>50.7</v>
      </c>
      <c r="AN1071" s="23">
        <v>30705.9</v>
      </c>
      <c r="AO1071" s="23">
        <v>54.09</v>
      </c>
      <c r="AP1071" s="23">
        <v>0</v>
      </c>
      <c r="AR1071" s="46"/>
      <c r="AS1071" s="44"/>
      <c r="AT1071" s="45"/>
      <c r="AU1071" s="2">
        <v>44305</v>
      </c>
      <c r="AV1071" s="52">
        <v>0.38541666666666669</v>
      </c>
      <c r="AW1071" s="2" t="s">
        <v>212</v>
      </c>
      <c r="AY1071" s="3"/>
      <c r="BA1071" s="3"/>
      <c r="BG1071" s="3"/>
      <c r="BH1071" s="3"/>
    </row>
    <row r="1072" spans="1:60">
      <c r="A1072" s="23" t="s">
        <v>22</v>
      </c>
      <c r="B1072" s="23" t="s">
        <v>25</v>
      </c>
      <c r="C1072" s="27">
        <v>44305.604166666664</v>
      </c>
      <c r="D1072" s="23">
        <v>50.6</v>
      </c>
      <c r="E1072" s="27">
        <v>44306.5</v>
      </c>
      <c r="F1072" s="23">
        <v>51.15</v>
      </c>
      <c r="G1072" s="31">
        <v>1.09E-2</v>
      </c>
      <c r="H1072" s="23">
        <v>548.33000000000004</v>
      </c>
      <c r="I1072" s="31">
        <v>1.09E-2</v>
      </c>
      <c r="J1072" s="23">
        <v>996.9692</v>
      </c>
      <c r="K1072" s="23">
        <v>50446.64</v>
      </c>
      <c r="L1072" s="23">
        <v>89876.06</v>
      </c>
      <c r="M1072" s="23">
        <v>19</v>
      </c>
      <c r="N1072" s="23">
        <v>28.86</v>
      </c>
      <c r="O1072" s="31">
        <v>-5.8999999999999999E-3</v>
      </c>
      <c r="P1072" s="31">
        <v>3.56E-2</v>
      </c>
      <c r="Q1072" s="23" t="s">
        <v>24</v>
      </c>
      <c r="R1072" s="23">
        <v>0</v>
      </c>
      <c r="S1072" s="23">
        <v>49.4</v>
      </c>
      <c r="U1072" s="47">
        <f>VLOOKUP(AU1072,[1]expiry_dates!$B$2:$C$2894,2,FALSE)</f>
        <v>44315</v>
      </c>
      <c r="V1072" s="23" t="s">
        <v>124</v>
      </c>
      <c r="W1072" s="23" t="s">
        <v>23</v>
      </c>
      <c r="X1072" s="49">
        <v>44305.604166666664</v>
      </c>
      <c r="Y1072" s="23">
        <v>1.55</v>
      </c>
      <c r="Z1072" s="23">
        <v>44306.5</v>
      </c>
      <c r="AA1072" s="23">
        <v>1.1000000000000001</v>
      </c>
      <c r="AB1072" s="23">
        <v>-0.2903</v>
      </c>
      <c r="AC1072" s="23">
        <v>19196.39</v>
      </c>
      <c r="AD1072" s="23">
        <v>0.2903</v>
      </c>
      <c r="AE1072" s="23">
        <v>42658.64</v>
      </c>
      <c r="AF1072" s="23">
        <v>66120.89</v>
      </c>
      <c r="AG1072" s="23">
        <v>3243374.86</v>
      </c>
      <c r="AH1072" s="23">
        <v>19</v>
      </c>
      <c r="AI1072" s="23">
        <v>1010.34</v>
      </c>
      <c r="AJ1072" s="23">
        <v>-9.6799999999999997E-2</v>
      </c>
      <c r="AK1072" s="23">
        <v>0.4839</v>
      </c>
      <c r="AL1072" s="23" t="s">
        <v>24</v>
      </c>
      <c r="AM1072" s="23">
        <v>50.6</v>
      </c>
      <c r="AN1072" s="23">
        <v>30919.3</v>
      </c>
      <c r="AO1072" s="23">
        <v>49.4</v>
      </c>
      <c r="AP1072" s="23">
        <v>0</v>
      </c>
      <c r="AR1072" s="46"/>
      <c r="AS1072" s="44"/>
      <c r="AT1072" s="45"/>
      <c r="AU1072" s="2">
        <v>44305</v>
      </c>
      <c r="AV1072" s="52">
        <v>0.10416666666666667</v>
      </c>
      <c r="AW1072" s="2" t="s">
        <v>213</v>
      </c>
      <c r="AY1072" s="3"/>
      <c r="BA1072" s="3"/>
      <c r="BG1072" s="3"/>
      <c r="BH1072" s="3"/>
    </row>
    <row r="1073" spans="1:60">
      <c r="A1073" s="23" t="s">
        <v>22</v>
      </c>
      <c r="B1073" s="23" t="s">
        <v>23</v>
      </c>
      <c r="C1073" s="27">
        <v>44306.5</v>
      </c>
      <c r="D1073" s="23">
        <v>51.15</v>
      </c>
      <c r="E1073" s="27">
        <v>44308.40625</v>
      </c>
      <c r="F1073" s="23">
        <v>50.8</v>
      </c>
      <c r="G1073" s="31">
        <v>-6.7999999999999996E-3</v>
      </c>
      <c r="H1073" s="23">
        <v>345.21</v>
      </c>
      <c r="I1073" s="31">
        <v>6.7999999999999996E-3</v>
      </c>
      <c r="J1073" s="23">
        <v>986.30259999999998</v>
      </c>
      <c r="K1073" s="23">
        <v>50449.38</v>
      </c>
      <c r="L1073" s="23">
        <v>90221.27</v>
      </c>
      <c r="M1073" s="23">
        <v>20</v>
      </c>
      <c r="N1073" s="23">
        <v>17.260000000000002</v>
      </c>
      <c r="O1073" s="31">
        <v>-3.8999999999999998E-3</v>
      </c>
      <c r="P1073" s="31">
        <v>3.9100000000000003E-2</v>
      </c>
      <c r="Q1073" s="23" t="s">
        <v>24</v>
      </c>
      <c r="R1073" s="23">
        <v>0</v>
      </c>
      <c r="S1073" s="23">
        <v>52.4</v>
      </c>
      <c r="U1073" s="47">
        <f>VLOOKUP(AU1073,[1]expiry_dates!$B$2:$C$2894,2,FALSE)</f>
        <v>44315</v>
      </c>
      <c r="V1073" s="23" t="s">
        <v>119</v>
      </c>
      <c r="W1073" s="23" t="s">
        <v>23</v>
      </c>
      <c r="X1073" s="49">
        <v>44306.5</v>
      </c>
      <c r="Y1073" s="23">
        <v>1.8</v>
      </c>
      <c r="Z1073" s="23">
        <v>44308.40625</v>
      </c>
      <c r="AA1073" s="23">
        <v>1.5</v>
      </c>
      <c r="AB1073" s="23">
        <v>-0.16669999999999999</v>
      </c>
      <c r="AC1073" s="23">
        <v>11037.92</v>
      </c>
      <c r="AD1073" s="23">
        <v>0.16669999999999999</v>
      </c>
      <c r="AE1073" s="23">
        <v>36793.08</v>
      </c>
      <c r="AF1073" s="23">
        <v>66227.539999999994</v>
      </c>
      <c r="AG1073" s="23">
        <v>3254412.79</v>
      </c>
      <c r="AH1073" s="23">
        <v>20</v>
      </c>
      <c r="AI1073" s="23">
        <v>551.9</v>
      </c>
      <c r="AJ1073" s="23">
        <v>-5.5599999999999997E-2</v>
      </c>
      <c r="AK1073" s="23">
        <v>0.41670000000000001</v>
      </c>
      <c r="AL1073" s="23" t="s">
        <v>24</v>
      </c>
      <c r="AM1073" s="23">
        <v>51.15</v>
      </c>
      <c r="AN1073" s="23">
        <v>31467</v>
      </c>
      <c r="AO1073" s="23">
        <v>52.4</v>
      </c>
      <c r="AP1073" s="23">
        <v>0</v>
      </c>
      <c r="AR1073" s="46"/>
      <c r="AS1073" s="44"/>
      <c r="AT1073" s="45"/>
      <c r="AU1073" s="2">
        <v>44306</v>
      </c>
      <c r="AV1073" s="52">
        <v>0.5</v>
      </c>
      <c r="AW1073" s="2" t="s">
        <v>213</v>
      </c>
      <c r="AY1073" s="3"/>
      <c r="BA1073" s="3"/>
      <c r="BG1073" s="3"/>
      <c r="BH1073" s="3"/>
    </row>
    <row r="1074" spans="1:60">
      <c r="A1074" s="23" t="s">
        <v>22</v>
      </c>
      <c r="B1074" s="23" t="s">
        <v>25</v>
      </c>
      <c r="C1074" s="27">
        <v>44308.40625</v>
      </c>
      <c r="D1074" s="23">
        <v>50.8</v>
      </c>
      <c r="E1074" s="27">
        <v>44309.5625</v>
      </c>
      <c r="F1074" s="23">
        <v>51.5</v>
      </c>
      <c r="G1074" s="31">
        <v>1.38E-2</v>
      </c>
      <c r="H1074" s="23">
        <v>695.21</v>
      </c>
      <c r="I1074" s="31">
        <v>1.38E-2</v>
      </c>
      <c r="J1074" s="23">
        <v>993.15629999999999</v>
      </c>
      <c r="K1074" s="23">
        <v>50452.34</v>
      </c>
      <c r="L1074" s="23">
        <v>90916.479999999996</v>
      </c>
      <c r="M1074" s="23">
        <v>44</v>
      </c>
      <c r="N1074" s="23">
        <v>15.8</v>
      </c>
      <c r="O1074" s="31">
        <v>-9.7999999999999997E-3</v>
      </c>
      <c r="P1074" s="31">
        <v>3.8399999999999997E-2</v>
      </c>
      <c r="Q1074" s="23" t="s">
        <v>24</v>
      </c>
      <c r="R1074" s="23">
        <v>0</v>
      </c>
      <c r="S1074" s="23">
        <v>49.15</v>
      </c>
      <c r="U1074" s="47">
        <f>VLOOKUP(AU1074,[1]expiry_dates!$B$2:$C$2894,2,FALSE)</f>
        <v>44315</v>
      </c>
      <c r="V1074" s="23" t="s">
        <v>124</v>
      </c>
      <c r="W1074" s="23" t="s">
        <v>23</v>
      </c>
      <c r="X1074" s="49">
        <v>44308.40625</v>
      </c>
      <c r="Y1074" s="23">
        <v>1.2</v>
      </c>
      <c r="Z1074" s="23">
        <v>44309.5625</v>
      </c>
      <c r="AA1074" s="23">
        <v>0.7</v>
      </c>
      <c r="AB1074" s="23">
        <v>-0.41670000000000001</v>
      </c>
      <c r="AC1074" s="23">
        <v>27621.02</v>
      </c>
      <c r="AD1074" s="23">
        <v>0.41670000000000001</v>
      </c>
      <c r="AE1074" s="23">
        <v>55242.05</v>
      </c>
      <c r="AF1074" s="23">
        <v>66290.460000000006</v>
      </c>
      <c r="AG1074" s="23">
        <v>3282033.81</v>
      </c>
      <c r="AH1074" s="23">
        <v>44</v>
      </c>
      <c r="AI1074" s="23">
        <v>627.75</v>
      </c>
      <c r="AJ1074" s="23">
        <v>-0.125</v>
      </c>
      <c r="AK1074" s="23">
        <v>0.625</v>
      </c>
      <c r="AL1074" s="23" t="s">
        <v>24</v>
      </c>
      <c r="AM1074" s="23">
        <v>50.8</v>
      </c>
      <c r="AN1074" s="23">
        <v>30896.7</v>
      </c>
      <c r="AO1074" s="23">
        <v>49.15</v>
      </c>
      <c r="AP1074" s="23">
        <v>0</v>
      </c>
      <c r="AR1074" s="46"/>
      <c r="AS1074" s="44"/>
      <c r="AT1074" s="45"/>
      <c r="AU1074" s="2">
        <v>44308</v>
      </c>
      <c r="AV1074" s="52">
        <v>0.40625</v>
      </c>
      <c r="AW1074" s="2" t="s">
        <v>212</v>
      </c>
      <c r="AY1074" s="3"/>
      <c r="BA1074" s="3"/>
      <c r="BG1074" s="3"/>
      <c r="BH1074" s="3"/>
    </row>
    <row r="1075" spans="1:60">
      <c r="A1075" s="23" t="s">
        <v>22</v>
      </c>
      <c r="B1075" s="23" t="s">
        <v>23</v>
      </c>
      <c r="C1075" s="27">
        <v>44309.5625</v>
      </c>
      <c r="D1075" s="23">
        <v>51.5</v>
      </c>
      <c r="E1075" s="27">
        <v>44312.385416666664</v>
      </c>
      <c r="F1075" s="23">
        <v>52.1</v>
      </c>
      <c r="G1075" s="31">
        <v>1.17E-2</v>
      </c>
      <c r="H1075" s="23">
        <v>-587.86</v>
      </c>
      <c r="I1075" s="31">
        <v>-1.17E-2</v>
      </c>
      <c r="J1075" s="23">
        <v>979.76329999999996</v>
      </c>
      <c r="K1075" s="23">
        <v>50457.81</v>
      </c>
      <c r="L1075" s="23">
        <v>90328.62</v>
      </c>
      <c r="M1075" s="23">
        <v>12</v>
      </c>
      <c r="N1075" s="23">
        <v>-48.99</v>
      </c>
      <c r="O1075" s="31">
        <v>-1.3599999999999999E-2</v>
      </c>
      <c r="P1075" s="31">
        <v>1.55E-2</v>
      </c>
      <c r="Q1075" s="23" t="s">
        <v>24</v>
      </c>
      <c r="R1075" s="23">
        <v>0</v>
      </c>
      <c r="S1075" s="23">
        <v>52.73</v>
      </c>
      <c r="U1075" s="47">
        <f>VLOOKUP(AU1075,[1]expiry_dates!$B$2:$C$2894,2,FALSE)</f>
        <v>44315</v>
      </c>
      <c r="V1075" s="23" t="s">
        <v>125</v>
      </c>
      <c r="W1075" s="23" t="s">
        <v>23</v>
      </c>
      <c r="X1075" s="49">
        <v>44309.5625</v>
      </c>
      <c r="Y1075" s="23">
        <v>1.1000000000000001</v>
      </c>
      <c r="Z1075" s="23">
        <v>44312.385416666664</v>
      </c>
      <c r="AA1075" s="23">
        <v>1.1499999999999999</v>
      </c>
      <c r="AB1075" s="23">
        <v>4.5499999999999999E-2</v>
      </c>
      <c r="AC1075" s="23">
        <v>-3019.9</v>
      </c>
      <c r="AD1075" s="23">
        <v>-4.5499999999999999E-2</v>
      </c>
      <c r="AE1075" s="23">
        <v>60397.99</v>
      </c>
      <c r="AF1075" s="23">
        <v>66437.789999999994</v>
      </c>
      <c r="AG1075" s="23">
        <v>3279013.91</v>
      </c>
      <c r="AH1075" s="23">
        <v>12</v>
      </c>
      <c r="AI1075" s="23">
        <v>-251.66</v>
      </c>
      <c r="AJ1075" s="23">
        <v>-0.2727</v>
      </c>
      <c r="AK1075" s="23">
        <v>0.31819999999999998</v>
      </c>
      <c r="AL1075" s="23" t="s">
        <v>24</v>
      </c>
      <c r="AM1075" s="23">
        <v>51.5</v>
      </c>
      <c r="AN1075" s="23">
        <v>31803.7</v>
      </c>
      <c r="AO1075" s="23">
        <v>52.73</v>
      </c>
      <c r="AP1075" s="23">
        <v>0</v>
      </c>
      <c r="AR1075" s="46"/>
      <c r="AS1075" s="44"/>
      <c r="AT1075" s="45"/>
      <c r="AU1075" s="2">
        <v>44309</v>
      </c>
      <c r="AV1075" s="52">
        <v>6.25E-2</v>
      </c>
      <c r="AW1075" s="2" t="s">
        <v>213</v>
      </c>
      <c r="AY1075" s="3"/>
      <c r="BA1075" s="3"/>
      <c r="BG1075" s="3"/>
      <c r="BH1075" s="3"/>
    </row>
    <row r="1076" spans="1:60">
      <c r="A1076" s="23" t="s">
        <v>22</v>
      </c>
      <c r="B1076" s="23" t="s">
        <v>25</v>
      </c>
      <c r="C1076" s="27">
        <v>44312.385416666664</v>
      </c>
      <c r="D1076" s="23">
        <v>52.1</v>
      </c>
      <c r="E1076" s="27">
        <v>44312.625</v>
      </c>
      <c r="F1076" s="23">
        <v>52.35</v>
      </c>
      <c r="G1076" s="31">
        <v>4.7999999999999996E-3</v>
      </c>
      <c r="H1076" s="23">
        <v>242.1</v>
      </c>
      <c r="I1076" s="31">
        <v>4.7999999999999996E-3</v>
      </c>
      <c r="J1076" s="23">
        <v>968.38049999999998</v>
      </c>
      <c r="K1076" s="23">
        <v>50452.62</v>
      </c>
      <c r="L1076" s="23">
        <v>90570.72</v>
      </c>
      <c r="M1076" s="23">
        <v>24</v>
      </c>
      <c r="N1076" s="23">
        <v>10.09</v>
      </c>
      <c r="O1076" s="31">
        <v>-9.5999999999999992E-3</v>
      </c>
      <c r="P1076" s="31">
        <v>1.2500000000000001E-2</v>
      </c>
      <c r="Q1076" s="23" t="s">
        <v>24</v>
      </c>
      <c r="R1076" s="23">
        <v>0</v>
      </c>
      <c r="S1076" s="23">
        <v>50.76</v>
      </c>
      <c r="U1076" s="47">
        <f>VLOOKUP(AU1076,[1]expiry_dates!$B$2:$C$2894,2,FALSE)</f>
        <v>44315</v>
      </c>
      <c r="V1076" s="23" t="s">
        <v>126</v>
      </c>
      <c r="W1076" s="23" t="s">
        <v>23</v>
      </c>
      <c r="X1076" s="49">
        <v>44312.385416666664</v>
      </c>
      <c r="Y1076" s="23">
        <v>1</v>
      </c>
      <c r="Z1076" s="23">
        <v>44312.625</v>
      </c>
      <c r="AA1076" s="23">
        <v>0.85</v>
      </c>
      <c r="AB1076" s="23">
        <v>-0.15</v>
      </c>
      <c r="AC1076" s="23">
        <v>9972.85</v>
      </c>
      <c r="AD1076" s="23">
        <v>0.15</v>
      </c>
      <c r="AE1076" s="23">
        <v>66485.66</v>
      </c>
      <c r="AF1076" s="23">
        <v>66485.66</v>
      </c>
      <c r="AG1076" s="23">
        <v>3288986.76</v>
      </c>
      <c r="AH1076" s="23">
        <v>24</v>
      </c>
      <c r="AI1076" s="23">
        <v>415.54</v>
      </c>
      <c r="AJ1076" s="23">
        <v>-0.3</v>
      </c>
      <c r="AK1076" s="23">
        <v>0.3</v>
      </c>
      <c r="AL1076" s="23" t="s">
        <v>24</v>
      </c>
      <c r="AM1076" s="23">
        <v>52.1</v>
      </c>
      <c r="AN1076" s="23">
        <v>32347.200000000001</v>
      </c>
      <c r="AO1076" s="23">
        <v>50.76</v>
      </c>
      <c r="AP1076" s="23">
        <v>0</v>
      </c>
      <c r="AR1076" s="46"/>
      <c r="AS1076" s="44"/>
      <c r="AT1076" s="45"/>
      <c r="AU1076" s="2">
        <v>44312</v>
      </c>
      <c r="AV1076" s="52">
        <v>0.38541666666666669</v>
      </c>
      <c r="AW1076" s="2" t="s">
        <v>212</v>
      </c>
      <c r="AY1076" s="3"/>
      <c r="BA1076" s="3"/>
      <c r="BG1076" s="3"/>
      <c r="BH1076" s="3"/>
    </row>
    <row r="1077" spans="1:60">
      <c r="A1077" s="23" t="s">
        <v>22</v>
      </c>
      <c r="B1077" s="23" t="s">
        <v>23</v>
      </c>
      <c r="C1077" s="27">
        <v>44312.625</v>
      </c>
      <c r="D1077" s="23">
        <v>52.35</v>
      </c>
      <c r="E1077" s="27">
        <v>44313.385416666664</v>
      </c>
      <c r="F1077" s="23">
        <v>52.55</v>
      </c>
      <c r="G1077" s="31">
        <v>3.8E-3</v>
      </c>
      <c r="H1077" s="23">
        <v>-192.75</v>
      </c>
      <c r="I1077" s="31">
        <v>-3.8E-3</v>
      </c>
      <c r="J1077" s="23">
        <v>963.75109999999995</v>
      </c>
      <c r="K1077" s="23">
        <v>50452.37</v>
      </c>
      <c r="L1077" s="23">
        <v>90377.96</v>
      </c>
      <c r="M1077" s="23">
        <v>6</v>
      </c>
      <c r="N1077" s="23">
        <v>-32.130000000000003</v>
      </c>
      <c r="O1077" s="31">
        <v>-4.7999999999999996E-3</v>
      </c>
      <c r="P1077" s="31">
        <v>4.7999999999999996E-3</v>
      </c>
      <c r="Q1077" s="23" t="s">
        <v>24</v>
      </c>
      <c r="R1077" s="23">
        <v>0</v>
      </c>
      <c r="S1077" s="23">
        <v>52.72</v>
      </c>
      <c r="U1077" s="47">
        <f>VLOOKUP(AU1077,[1]expiry_dates!$B$2:$C$2894,2,FALSE)</f>
        <v>44315</v>
      </c>
      <c r="V1077" s="23" t="s">
        <v>125</v>
      </c>
      <c r="W1077" s="23" t="s">
        <v>23</v>
      </c>
      <c r="X1077" s="49">
        <v>44312.625</v>
      </c>
      <c r="Y1077" s="23">
        <v>1.1000000000000001</v>
      </c>
      <c r="Z1077" s="23">
        <v>44313.385416666664</v>
      </c>
      <c r="AA1077" s="23">
        <v>1.25</v>
      </c>
      <c r="AB1077" s="23">
        <v>0.13639999999999999</v>
      </c>
      <c r="AC1077" s="23">
        <v>-9060.67</v>
      </c>
      <c r="AD1077" s="23">
        <v>-0.13639999999999999</v>
      </c>
      <c r="AE1077" s="23">
        <v>60404.480000000003</v>
      </c>
      <c r="AF1077" s="23">
        <v>66444.94</v>
      </c>
      <c r="AG1077" s="23">
        <v>3279926.09</v>
      </c>
      <c r="AH1077" s="23">
        <v>6</v>
      </c>
      <c r="AI1077" s="23">
        <v>-1510.11</v>
      </c>
      <c r="AJ1077" s="23">
        <v>-0.31819999999999998</v>
      </c>
      <c r="AK1077" s="23">
        <v>4.5499999999999999E-2</v>
      </c>
      <c r="AL1077" s="23" t="s">
        <v>24</v>
      </c>
      <c r="AM1077" s="23">
        <v>52.35</v>
      </c>
      <c r="AN1077" s="23">
        <v>32260</v>
      </c>
      <c r="AO1077" s="23">
        <v>52.72</v>
      </c>
      <c r="AP1077" s="23">
        <v>0</v>
      </c>
      <c r="AR1077" s="46"/>
      <c r="AS1077" s="44"/>
      <c r="AT1077" s="45"/>
      <c r="AU1077" s="2">
        <v>44312</v>
      </c>
      <c r="AV1077" s="52">
        <v>0.125</v>
      </c>
      <c r="AW1077" s="2" t="s">
        <v>213</v>
      </c>
      <c r="AY1077" s="3"/>
      <c r="BA1077" s="3"/>
      <c r="BG1077" s="3"/>
      <c r="BH1077" s="3"/>
    </row>
    <row r="1078" spans="1:60">
      <c r="A1078" s="23" t="s">
        <v>22</v>
      </c>
      <c r="B1078" s="23" t="s">
        <v>25</v>
      </c>
      <c r="C1078" s="27">
        <v>44313.385416666664</v>
      </c>
      <c r="D1078" s="23">
        <v>52.55</v>
      </c>
      <c r="E1078" s="27">
        <v>44315.40625</v>
      </c>
      <c r="F1078" s="23">
        <v>54.5</v>
      </c>
      <c r="G1078" s="31">
        <v>3.7100000000000001E-2</v>
      </c>
      <c r="H1078" s="23">
        <v>1872.14</v>
      </c>
      <c r="I1078" s="31">
        <v>3.7100000000000001E-2</v>
      </c>
      <c r="J1078" s="23">
        <v>960.06949999999995</v>
      </c>
      <c r="K1078" s="23">
        <v>50451.65</v>
      </c>
      <c r="L1078" s="23">
        <v>92250.1</v>
      </c>
      <c r="M1078" s="23">
        <v>59</v>
      </c>
      <c r="N1078" s="23">
        <v>31.73</v>
      </c>
      <c r="O1078" s="31">
        <v>-3.8E-3</v>
      </c>
      <c r="P1078" s="31">
        <v>5.8000000000000003E-2</v>
      </c>
      <c r="Q1078" s="23" t="s">
        <v>24</v>
      </c>
      <c r="R1078" s="23">
        <v>0</v>
      </c>
      <c r="S1078" s="23">
        <v>52.13</v>
      </c>
      <c r="U1078" s="47">
        <f>VLOOKUP(AU1078,[1]expiry_dates!$B$2:$C$2894,2,FALSE)</f>
        <v>44315</v>
      </c>
      <c r="V1078" s="23" t="s">
        <v>129</v>
      </c>
      <c r="W1078" s="23" t="s">
        <v>23</v>
      </c>
      <c r="X1078" s="49">
        <v>44313.385416666664</v>
      </c>
      <c r="Y1078" s="23">
        <v>1.1499999999999999</v>
      </c>
      <c r="Z1078" s="23">
        <v>44315.40625</v>
      </c>
      <c r="AA1078" s="23">
        <v>0.1</v>
      </c>
      <c r="AB1078" s="23">
        <v>-0.91300000000000003</v>
      </c>
      <c r="AC1078" s="23">
        <v>60653.33</v>
      </c>
      <c r="AD1078" s="23">
        <v>0.91300000000000003</v>
      </c>
      <c r="AE1078" s="23">
        <v>57765.07</v>
      </c>
      <c r="AF1078" s="23">
        <v>66429.84</v>
      </c>
      <c r="AG1078" s="23">
        <v>3340579.42</v>
      </c>
      <c r="AH1078" s="23">
        <v>59</v>
      </c>
      <c r="AI1078" s="23">
        <v>1028.02</v>
      </c>
      <c r="AJ1078" s="23">
        <v>-4.3499999999999997E-2</v>
      </c>
      <c r="AK1078" s="23">
        <v>0.95650000000000002</v>
      </c>
      <c r="AL1078" s="23" t="s">
        <v>24</v>
      </c>
      <c r="AM1078" s="23">
        <v>52.55</v>
      </c>
      <c r="AN1078" s="23">
        <v>32207.4</v>
      </c>
      <c r="AO1078" s="23">
        <v>52.13</v>
      </c>
      <c r="AP1078" s="23">
        <v>0</v>
      </c>
      <c r="AR1078" s="46"/>
      <c r="AS1078" s="44"/>
      <c r="AT1078" s="45"/>
      <c r="AU1078" s="2">
        <v>44313</v>
      </c>
      <c r="AV1078" s="52">
        <v>0.38541666666666669</v>
      </c>
      <c r="AW1078" s="2" t="s">
        <v>212</v>
      </c>
      <c r="AY1078" s="3"/>
      <c r="BA1078" s="3"/>
      <c r="BG1078" s="3"/>
      <c r="BH1078" s="3"/>
    </row>
    <row r="1079" spans="1:60">
      <c r="A1079" s="23" t="s">
        <v>22</v>
      </c>
      <c r="B1079" s="23" t="s">
        <v>23</v>
      </c>
      <c r="C1079" s="27">
        <v>44315.40625</v>
      </c>
      <c r="D1079" s="23">
        <v>54.5</v>
      </c>
      <c r="E1079" s="27">
        <v>44315.541666666664</v>
      </c>
      <c r="F1079" s="23">
        <v>54.75</v>
      </c>
      <c r="G1079" s="31">
        <v>4.5999999999999999E-3</v>
      </c>
      <c r="H1079" s="23">
        <v>-231.49</v>
      </c>
      <c r="I1079" s="31">
        <v>-4.5999999999999999E-3</v>
      </c>
      <c r="J1079" s="23">
        <v>925.9606</v>
      </c>
      <c r="K1079" s="23">
        <v>50464.85</v>
      </c>
      <c r="L1079" s="23">
        <v>92018.61</v>
      </c>
      <c r="M1079" s="23">
        <v>14</v>
      </c>
      <c r="N1079" s="23">
        <v>-16.54</v>
      </c>
      <c r="O1079" s="31">
        <v>-1.47E-2</v>
      </c>
      <c r="P1079" s="31">
        <v>1.1900000000000001E-2</v>
      </c>
      <c r="Q1079" s="23" t="s">
        <v>24</v>
      </c>
      <c r="R1079" s="23">
        <v>0</v>
      </c>
      <c r="S1079" s="23">
        <v>55.6</v>
      </c>
      <c r="U1079" s="47">
        <f>VLOOKUP(AU1079,[1]expiry_dates!$B$2:$C$2894,2,FALSE)</f>
        <v>44315</v>
      </c>
      <c r="V1079" s="23" t="s">
        <v>131</v>
      </c>
      <c r="W1079" s="23" t="s">
        <v>23</v>
      </c>
      <c r="X1079" s="49">
        <v>44315.40625</v>
      </c>
      <c r="Y1079" s="23">
        <v>0.2</v>
      </c>
      <c r="Z1079" s="23">
        <v>44315.541666666664</v>
      </c>
      <c r="AA1079" s="23">
        <v>0.3</v>
      </c>
      <c r="AB1079" s="23">
        <v>0.5</v>
      </c>
      <c r="AC1079" s="23">
        <v>-33358.67</v>
      </c>
      <c r="AD1079" s="23">
        <v>-0.5</v>
      </c>
      <c r="AE1079" s="23">
        <v>333586.7</v>
      </c>
      <c r="AF1079" s="23">
        <v>66717.34</v>
      </c>
      <c r="AG1079" s="23">
        <v>3307220.75</v>
      </c>
      <c r="AH1079" s="23">
        <v>14</v>
      </c>
      <c r="AI1079" s="23">
        <v>-2382.7600000000002</v>
      </c>
      <c r="AJ1079" s="23">
        <v>-2</v>
      </c>
      <c r="AK1079" s="23">
        <v>0.25</v>
      </c>
      <c r="AL1079" s="23" t="s">
        <v>24</v>
      </c>
      <c r="AM1079" s="23">
        <v>54.5</v>
      </c>
      <c r="AN1079" s="23">
        <v>33611.5</v>
      </c>
      <c r="AO1079" s="23">
        <v>55.6</v>
      </c>
      <c r="AP1079" s="23">
        <v>0</v>
      </c>
      <c r="AR1079" s="46"/>
      <c r="AS1079" s="44"/>
      <c r="AT1079" s="45"/>
      <c r="AU1079" s="2">
        <v>44315</v>
      </c>
      <c r="AV1079" s="52">
        <v>0.40625</v>
      </c>
      <c r="AW1079" s="2" t="s">
        <v>212</v>
      </c>
      <c r="AY1079" s="3"/>
      <c r="BA1079" s="3"/>
      <c r="BG1079" s="3"/>
      <c r="BH1079" s="3"/>
    </row>
    <row r="1080" spans="1:60">
      <c r="A1080" s="23" t="s">
        <v>22</v>
      </c>
      <c r="B1080" s="23" t="s">
        <v>25</v>
      </c>
      <c r="C1080" s="27">
        <v>44315.541666666664</v>
      </c>
      <c r="D1080" s="23">
        <v>54.75</v>
      </c>
      <c r="E1080" s="27">
        <v>44315.583333333336</v>
      </c>
      <c r="F1080" s="23">
        <v>54.35</v>
      </c>
      <c r="G1080" s="31">
        <v>-7.3000000000000001E-3</v>
      </c>
      <c r="H1080" s="23">
        <v>-368.66</v>
      </c>
      <c r="I1080" s="31">
        <v>-7.3000000000000001E-3</v>
      </c>
      <c r="J1080" s="23">
        <v>921.654</v>
      </c>
      <c r="K1080" s="23">
        <v>50460.55</v>
      </c>
      <c r="L1080" s="23">
        <v>91649.95</v>
      </c>
      <c r="M1080" s="23">
        <v>5</v>
      </c>
      <c r="N1080" s="23">
        <v>-73.73</v>
      </c>
      <c r="O1080" s="31">
        <v>-0.01</v>
      </c>
      <c r="P1080" s="31">
        <v>9.1000000000000004E-3</v>
      </c>
      <c r="Q1080" s="23" t="s">
        <v>24</v>
      </c>
      <c r="R1080" s="23">
        <v>0</v>
      </c>
      <c r="S1080" s="23">
        <v>53.9</v>
      </c>
      <c r="U1080" s="47">
        <f>VLOOKUP(AU1080,[1]expiry_dates!$B$2:$C$2894,2,FALSE)</f>
        <v>44315</v>
      </c>
      <c r="V1080" s="23" t="s">
        <v>130</v>
      </c>
      <c r="W1080" s="23" t="s">
        <v>23</v>
      </c>
      <c r="X1080" s="49">
        <v>44315.541666666664</v>
      </c>
      <c r="Y1080" s="23">
        <v>0.6</v>
      </c>
      <c r="Z1080" s="23">
        <v>44315.583333333336</v>
      </c>
      <c r="AA1080" s="23">
        <v>0.85</v>
      </c>
      <c r="AB1080" s="23">
        <v>0.41670000000000001</v>
      </c>
      <c r="AC1080" s="23">
        <v>-27758.13</v>
      </c>
      <c r="AD1080" s="23">
        <v>-0.41670000000000001</v>
      </c>
      <c r="AE1080" s="23">
        <v>111032.5</v>
      </c>
      <c r="AF1080" s="23">
        <v>66619.5</v>
      </c>
      <c r="AG1080" s="23">
        <v>3279462.62</v>
      </c>
      <c r="AH1080" s="23">
        <v>5</v>
      </c>
      <c r="AI1080" s="23">
        <v>-5551.63</v>
      </c>
      <c r="AJ1080" s="23">
        <v>-0.66669999999999996</v>
      </c>
      <c r="AK1080" s="23">
        <v>0.16669999999999999</v>
      </c>
      <c r="AL1080" s="23" t="s">
        <v>24</v>
      </c>
      <c r="AM1080" s="23">
        <v>54.75</v>
      </c>
      <c r="AN1080" s="23">
        <v>33803.550000000003</v>
      </c>
      <c r="AO1080" s="23">
        <v>53.9</v>
      </c>
      <c r="AP1080" s="23">
        <v>0</v>
      </c>
      <c r="AR1080" s="46"/>
      <c r="AS1080" s="44"/>
      <c r="AT1080" s="45"/>
      <c r="AU1080" s="2">
        <v>44315</v>
      </c>
      <c r="AV1080" s="52">
        <v>4.1666666666666664E-2</v>
      </c>
      <c r="AW1080" s="2" t="s">
        <v>213</v>
      </c>
      <c r="AY1080" s="3"/>
      <c r="BA1080" s="3"/>
      <c r="BG1080" s="3"/>
      <c r="BH1080" s="3"/>
    </row>
    <row r="1081" spans="1:60">
      <c r="A1081" s="23" t="s">
        <v>22</v>
      </c>
      <c r="B1081" s="23" t="s">
        <v>23</v>
      </c>
      <c r="C1081" s="27">
        <v>44315.583333333336</v>
      </c>
      <c r="D1081" s="23">
        <v>54.35</v>
      </c>
      <c r="E1081" s="27">
        <v>44315.625</v>
      </c>
      <c r="F1081" s="23">
        <v>54.95</v>
      </c>
      <c r="G1081" s="31">
        <v>1.0999999999999999E-2</v>
      </c>
      <c r="H1081" s="23">
        <v>-557.03</v>
      </c>
      <c r="I1081" s="31">
        <v>-1.0999999999999999E-2</v>
      </c>
      <c r="J1081" s="23">
        <v>928.3904</v>
      </c>
      <c r="K1081" s="23">
        <v>50458.02</v>
      </c>
      <c r="L1081" s="23">
        <v>91092.91</v>
      </c>
      <c r="M1081" s="23">
        <v>5</v>
      </c>
      <c r="N1081" s="23">
        <v>-111.41</v>
      </c>
      <c r="O1081" s="31">
        <v>-1.0999999999999999E-2</v>
      </c>
      <c r="P1081" s="31">
        <v>3.7000000000000002E-3</v>
      </c>
      <c r="Q1081" s="23" t="s">
        <v>24</v>
      </c>
      <c r="R1081" s="23">
        <v>0</v>
      </c>
      <c r="S1081" s="23">
        <v>55.23</v>
      </c>
      <c r="U1081" s="47">
        <f>VLOOKUP(AU1081,[1]expiry_dates!$B$2:$C$2894,2,FALSE)</f>
        <v>44315</v>
      </c>
      <c r="V1081" s="23" t="s">
        <v>128</v>
      </c>
      <c r="W1081" s="23" t="s">
        <v>23</v>
      </c>
      <c r="X1081" s="49">
        <v>44315.583333333336</v>
      </c>
      <c r="Y1081" s="23">
        <v>0.45</v>
      </c>
      <c r="Z1081" s="23">
        <v>44315.625</v>
      </c>
      <c r="AA1081" s="23">
        <v>0.85</v>
      </c>
      <c r="AB1081" s="23">
        <v>0.88890000000000002</v>
      </c>
      <c r="AC1081" s="23">
        <v>-58970.49</v>
      </c>
      <c r="AD1081" s="23">
        <v>-0.88890000000000002</v>
      </c>
      <c r="AE1081" s="23">
        <v>147426.20000000001</v>
      </c>
      <c r="AF1081" s="23">
        <v>66341.8</v>
      </c>
      <c r="AG1081" s="23">
        <v>3220492.14</v>
      </c>
      <c r="AH1081" s="23">
        <v>5</v>
      </c>
      <c r="AI1081" s="23">
        <v>-11794.1</v>
      </c>
      <c r="AJ1081" s="23">
        <v>-1.2222</v>
      </c>
      <c r="AK1081" s="23">
        <v>0</v>
      </c>
      <c r="AL1081" s="23" t="s">
        <v>24</v>
      </c>
      <c r="AM1081" s="23">
        <v>54.35</v>
      </c>
      <c r="AN1081" s="23">
        <v>33667.65</v>
      </c>
      <c r="AO1081" s="23">
        <v>55.23</v>
      </c>
      <c r="AP1081" s="23">
        <v>0</v>
      </c>
      <c r="AR1081" s="46"/>
      <c r="AS1081" s="44"/>
      <c r="AT1081" s="45"/>
      <c r="AU1081" s="2">
        <v>44315</v>
      </c>
      <c r="AV1081" s="52">
        <v>8.3333333333333329E-2</v>
      </c>
      <c r="AW1081" s="2" t="s">
        <v>213</v>
      </c>
      <c r="AY1081" s="3"/>
      <c r="BA1081" s="3"/>
      <c r="BG1081" s="3"/>
      <c r="BH1081" s="3"/>
    </row>
    <row r="1082" spans="1:60">
      <c r="A1082" s="23" t="s">
        <v>22</v>
      </c>
      <c r="B1082" s="23" t="s">
        <v>25</v>
      </c>
      <c r="C1082" s="27">
        <v>44315.625</v>
      </c>
      <c r="D1082" s="23">
        <v>54.95</v>
      </c>
      <c r="E1082" s="27">
        <v>44315.697916666664</v>
      </c>
      <c r="F1082" s="23">
        <v>54.8</v>
      </c>
      <c r="G1082" s="31">
        <v>-2.7000000000000001E-3</v>
      </c>
      <c r="H1082" s="23">
        <v>-137.72999999999999</v>
      </c>
      <c r="I1082" s="31">
        <v>-2.7000000000000001E-3</v>
      </c>
      <c r="J1082" s="23">
        <v>918.21950000000004</v>
      </c>
      <c r="K1082" s="23">
        <v>50456.160000000003</v>
      </c>
      <c r="L1082" s="23">
        <v>90955.18</v>
      </c>
      <c r="M1082" s="23">
        <v>4</v>
      </c>
      <c r="N1082" s="23">
        <v>-34.43</v>
      </c>
      <c r="O1082" s="31">
        <v>-9.1000000000000004E-3</v>
      </c>
      <c r="P1082" s="31">
        <v>8.9999999999999998E-4</v>
      </c>
      <c r="Q1082" s="23" t="s">
        <v>24</v>
      </c>
      <c r="R1082" s="23">
        <v>0</v>
      </c>
      <c r="S1082" s="23">
        <v>54.15</v>
      </c>
      <c r="U1082" s="47">
        <f>VLOOKUP(AU1082,[1]expiry_dates!$B$2:$C$2894,2,FALSE)</f>
        <v>44315</v>
      </c>
      <c r="V1082" s="23" t="s">
        <v>130</v>
      </c>
      <c r="W1082" s="23" t="s">
        <v>23</v>
      </c>
      <c r="X1082" s="49">
        <v>44315.625</v>
      </c>
      <c r="Y1082" s="23">
        <v>0.25</v>
      </c>
      <c r="Z1082" s="23">
        <v>44315.697916666664</v>
      </c>
      <c r="AA1082" s="23">
        <v>0.5</v>
      </c>
      <c r="AB1082" s="23">
        <v>1</v>
      </c>
      <c r="AC1082" s="23">
        <v>-66213.03</v>
      </c>
      <c r="AD1082" s="23">
        <v>-1</v>
      </c>
      <c r="AE1082" s="23">
        <v>264852.09999999998</v>
      </c>
      <c r="AF1082" s="23">
        <v>66213.03</v>
      </c>
      <c r="AG1082" s="23">
        <v>3154279.1</v>
      </c>
      <c r="AH1082" s="23">
        <v>4</v>
      </c>
      <c r="AI1082" s="23">
        <v>-16553.259999999998</v>
      </c>
      <c r="AJ1082" s="23">
        <v>-1</v>
      </c>
      <c r="AK1082" s="23">
        <v>0.4</v>
      </c>
      <c r="AL1082" s="23" t="s">
        <v>24</v>
      </c>
      <c r="AM1082" s="23">
        <v>54.95</v>
      </c>
      <c r="AN1082" s="23">
        <v>33714.1</v>
      </c>
      <c r="AO1082" s="23">
        <v>54.15</v>
      </c>
      <c r="AP1082" s="23">
        <v>0</v>
      </c>
      <c r="AR1082" s="46"/>
      <c r="AS1082" s="44"/>
      <c r="AT1082" s="45"/>
      <c r="AU1082" s="2">
        <v>44315</v>
      </c>
      <c r="AV1082" s="52">
        <v>0.125</v>
      </c>
      <c r="AW1082" s="2" t="s">
        <v>213</v>
      </c>
      <c r="AY1082" s="3"/>
      <c r="BA1082" s="3"/>
      <c r="BG1082" s="3"/>
      <c r="BH1082" s="3"/>
    </row>
    <row r="1083" spans="1:60">
      <c r="A1083" s="23" t="s">
        <v>22</v>
      </c>
      <c r="B1083" s="23" t="s">
        <v>23</v>
      </c>
      <c r="C1083" s="27">
        <v>44316.385416666664</v>
      </c>
      <c r="D1083" s="23">
        <v>54.25</v>
      </c>
      <c r="E1083" s="27">
        <v>44316.395833333336</v>
      </c>
      <c r="F1083" s="23">
        <v>54.8</v>
      </c>
      <c r="G1083" s="31">
        <v>1.01E-2</v>
      </c>
      <c r="H1083" s="23">
        <v>-511.52</v>
      </c>
      <c r="I1083" s="31">
        <v>-1.01E-2</v>
      </c>
      <c r="J1083" s="23">
        <v>930.04190000000006</v>
      </c>
      <c r="K1083" s="23">
        <v>50454.77</v>
      </c>
      <c r="L1083" s="23">
        <v>90443.66</v>
      </c>
      <c r="M1083" s="23">
        <v>2</v>
      </c>
      <c r="N1083" s="23">
        <v>-255.76</v>
      </c>
      <c r="O1083" s="31">
        <v>-1.01E-2</v>
      </c>
      <c r="P1083" s="31">
        <v>1.2E-2</v>
      </c>
      <c r="Q1083" s="23" t="s">
        <v>24</v>
      </c>
      <c r="R1083" s="23">
        <v>0</v>
      </c>
      <c r="S1083" s="23">
        <v>54.93</v>
      </c>
      <c r="U1083" s="47">
        <f>VLOOKUP(AU1083,[1]expiry_dates!$B$2:$C$2894,2,FALSE)</f>
        <v>44343</v>
      </c>
      <c r="V1083" s="23" t="s">
        <v>128</v>
      </c>
      <c r="W1083" s="23" t="s">
        <v>23</v>
      </c>
      <c r="X1083" s="49">
        <v>44316.385416666664</v>
      </c>
      <c r="Y1083" s="23">
        <v>2.95</v>
      </c>
      <c r="Z1083" s="23">
        <v>44316.395833333336</v>
      </c>
      <c r="AA1083" s="23">
        <v>3.2</v>
      </c>
      <c r="AB1083" s="23">
        <v>8.4699999999999998E-2</v>
      </c>
      <c r="AC1083" s="23">
        <v>-5573.85</v>
      </c>
      <c r="AD1083" s="23">
        <v>-8.4699999999999998E-2</v>
      </c>
      <c r="AE1083" s="23">
        <v>22295.39</v>
      </c>
      <c r="AF1083" s="23">
        <v>65771.399999999994</v>
      </c>
      <c r="AG1083" s="23">
        <v>3148705.26</v>
      </c>
      <c r="AH1083" s="23">
        <v>2</v>
      </c>
      <c r="AI1083" s="23">
        <v>-2786.92</v>
      </c>
      <c r="AJ1083" s="23">
        <v>-8.4699999999999998E-2</v>
      </c>
      <c r="AK1083" s="23">
        <v>8.4699999999999998E-2</v>
      </c>
      <c r="AL1083" s="23" t="s">
        <v>24</v>
      </c>
      <c r="AM1083" s="23">
        <v>54.25</v>
      </c>
      <c r="AN1083" s="23">
        <v>33139.199999999997</v>
      </c>
      <c r="AO1083" s="23">
        <v>54.93</v>
      </c>
      <c r="AP1083" s="23">
        <v>0</v>
      </c>
      <c r="AR1083" s="46"/>
      <c r="AS1083" s="44"/>
      <c r="AT1083" s="45"/>
      <c r="AU1083" s="2">
        <v>44316</v>
      </c>
      <c r="AV1083" s="52">
        <v>0.38541666666666669</v>
      </c>
      <c r="AW1083" s="2" t="s">
        <v>212</v>
      </c>
      <c r="AY1083" s="3"/>
      <c r="BA1083" s="3"/>
      <c r="BG1083" s="3"/>
      <c r="BH1083" s="3"/>
    </row>
    <row r="1084" spans="1:60">
      <c r="A1084" s="23" t="s">
        <v>22</v>
      </c>
      <c r="B1084" s="23" t="s">
        <v>25</v>
      </c>
      <c r="C1084" s="27">
        <v>44316.395833333336</v>
      </c>
      <c r="D1084" s="23">
        <v>54.8</v>
      </c>
      <c r="E1084" s="27">
        <v>44316.5625</v>
      </c>
      <c r="F1084" s="23">
        <v>54.65</v>
      </c>
      <c r="G1084" s="31">
        <v>-2.7000000000000001E-3</v>
      </c>
      <c r="H1084" s="23">
        <v>-138.11000000000001</v>
      </c>
      <c r="I1084" s="31">
        <v>-2.7000000000000001E-3</v>
      </c>
      <c r="J1084" s="23">
        <v>920.70759999999996</v>
      </c>
      <c r="K1084" s="23">
        <v>50454.77</v>
      </c>
      <c r="L1084" s="23">
        <v>90305.55</v>
      </c>
      <c r="M1084" s="23">
        <v>17</v>
      </c>
      <c r="N1084" s="23">
        <v>-8.1199999999999992</v>
      </c>
      <c r="O1084" s="31">
        <v>-1.09E-2</v>
      </c>
      <c r="P1084" s="31">
        <v>1.37E-2</v>
      </c>
      <c r="Q1084" s="23" t="s">
        <v>24</v>
      </c>
      <c r="R1084" s="23">
        <v>0</v>
      </c>
      <c r="S1084" s="23">
        <v>53.6</v>
      </c>
      <c r="U1084" s="47">
        <f>VLOOKUP(AU1084,[1]expiry_dates!$B$2:$C$2894,2,FALSE)</f>
        <v>44343</v>
      </c>
      <c r="V1084" s="23" t="s">
        <v>130</v>
      </c>
      <c r="W1084" s="23" t="s">
        <v>23</v>
      </c>
      <c r="X1084" s="49">
        <v>44316.395833333336</v>
      </c>
      <c r="Y1084" s="23">
        <v>3.15</v>
      </c>
      <c r="Z1084" s="23">
        <v>44316.5625</v>
      </c>
      <c r="AA1084" s="23">
        <v>3.25</v>
      </c>
      <c r="AB1084" s="23">
        <v>3.1699999999999999E-2</v>
      </c>
      <c r="AC1084" s="23">
        <v>-2087.98</v>
      </c>
      <c r="AD1084" s="23">
        <v>-3.1699999999999999E-2</v>
      </c>
      <c r="AE1084" s="23">
        <v>20879.810000000001</v>
      </c>
      <c r="AF1084" s="23">
        <v>65771.39</v>
      </c>
      <c r="AG1084" s="23">
        <v>3146617.28</v>
      </c>
      <c r="AH1084" s="23">
        <v>17</v>
      </c>
      <c r="AI1084" s="23">
        <v>-122.82</v>
      </c>
      <c r="AJ1084" s="23">
        <v>-0.1111</v>
      </c>
      <c r="AK1084" s="23">
        <v>0.127</v>
      </c>
      <c r="AL1084" s="23" t="s">
        <v>24</v>
      </c>
      <c r="AM1084" s="23">
        <v>54.8</v>
      </c>
      <c r="AN1084" s="23">
        <v>33301.5</v>
      </c>
      <c r="AO1084" s="23">
        <v>53.6</v>
      </c>
      <c r="AP1084" s="23">
        <v>0</v>
      </c>
      <c r="AR1084" s="46"/>
      <c r="AS1084" s="44"/>
      <c r="AT1084" s="45"/>
      <c r="AU1084" s="2">
        <v>44316</v>
      </c>
      <c r="AV1084" s="52">
        <v>0.39583333333333331</v>
      </c>
      <c r="AW1084" s="2" t="s">
        <v>212</v>
      </c>
      <c r="AY1084" s="3"/>
      <c r="BA1084" s="3"/>
      <c r="BG1084" s="3"/>
      <c r="BH1084" s="3"/>
    </row>
    <row r="1085" spans="1:60">
      <c r="A1085" s="23" t="s">
        <v>22</v>
      </c>
      <c r="B1085" s="23" t="s">
        <v>23</v>
      </c>
      <c r="C1085" s="27">
        <v>44316.5625</v>
      </c>
      <c r="D1085" s="23">
        <v>54.65</v>
      </c>
      <c r="E1085" s="27">
        <v>44319.604166666664</v>
      </c>
      <c r="F1085" s="23">
        <v>54.1</v>
      </c>
      <c r="G1085" s="31">
        <v>-1.01E-2</v>
      </c>
      <c r="H1085" s="23">
        <v>507.76</v>
      </c>
      <c r="I1085" s="31">
        <v>1.01E-2</v>
      </c>
      <c r="J1085" s="23">
        <v>923.19209999999998</v>
      </c>
      <c r="K1085" s="23">
        <v>50452.45</v>
      </c>
      <c r="L1085" s="23">
        <v>90813.31</v>
      </c>
      <c r="M1085" s="23">
        <v>33</v>
      </c>
      <c r="N1085" s="23">
        <v>15.39</v>
      </c>
      <c r="O1085" s="31">
        <v>-5.4999999999999997E-3</v>
      </c>
      <c r="P1085" s="31">
        <v>3.0200000000000001E-2</v>
      </c>
      <c r="Q1085" s="23" t="s">
        <v>24</v>
      </c>
      <c r="R1085" s="23">
        <v>0</v>
      </c>
      <c r="S1085" s="23">
        <v>55.55</v>
      </c>
      <c r="U1085" s="47">
        <f>VLOOKUP(AU1085,[1]expiry_dates!$B$2:$C$2894,2,FALSE)</f>
        <v>44343</v>
      </c>
      <c r="V1085" s="23" t="s">
        <v>131</v>
      </c>
      <c r="W1085" s="23" t="s">
        <v>23</v>
      </c>
      <c r="X1085" s="49">
        <v>44316.5625</v>
      </c>
      <c r="Y1085" s="23">
        <v>2.6</v>
      </c>
      <c r="Z1085" s="23">
        <v>44319.604166666664</v>
      </c>
      <c r="AA1085" s="23">
        <v>2.35</v>
      </c>
      <c r="AB1085" s="23">
        <v>-9.6199999999999994E-2</v>
      </c>
      <c r="AC1085" s="23">
        <v>6321.49</v>
      </c>
      <c r="AD1085" s="23">
        <v>9.6199999999999994E-2</v>
      </c>
      <c r="AE1085" s="23">
        <v>25285.97</v>
      </c>
      <c r="AF1085" s="23">
        <v>65743.520000000004</v>
      </c>
      <c r="AG1085" s="23">
        <v>3152938.77</v>
      </c>
      <c r="AH1085" s="23">
        <v>33</v>
      </c>
      <c r="AI1085" s="23">
        <v>191.56</v>
      </c>
      <c r="AJ1085" s="23">
        <v>-3.85E-2</v>
      </c>
      <c r="AK1085" s="23">
        <v>0.23080000000000001</v>
      </c>
      <c r="AL1085" s="23" t="s">
        <v>24</v>
      </c>
      <c r="AM1085" s="23">
        <v>54.65</v>
      </c>
      <c r="AN1085" s="23">
        <v>32986.400000000001</v>
      </c>
      <c r="AO1085" s="23">
        <v>55.55</v>
      </c>
      <c r="AP1085" s="23">
        <v>0</v>
      </c>
      <c r="AR1085" s="46"/>
      <c r="AS1085" s="44"/>
      <c r="AT1085" s="45"/>
      <c r="AU1085" s="2">
        <v>44316</v>
      </c>
      <c r="AV1085" s="52">
        <v>6.25E-2</v>
      </c>
      <c r="AW1085" s="2" t="s">
        <v>213</v>
      </c>
      <c r="AY1085" s="3"/>
      <c r="BA1085" s="3"/>
      <c r="BG1085" s="3"/>
      <c r="BH1085" s="3"/>
    </row>
    <row r="1086" spans="1:60">
      <c r="A1086" s="23" t="s">
        <v>22</v>
      </c>
      <c r="B1086" s="23" t="s">
        <v>25</v>
      </c>
      <c r="C1086" s="27">
        <v>44319.604166666664</v>
      </c>
      <c r="D1086" s="23">
        <v>54.1</v>
      </c>
      <c r="E1086" s="27">
        <v>44320.604166666664</v>
      </c>
      <c r="F1086" s="23">
        <v>55.7</v>
      </c>
      <c r="G1086" s="31">
        <v>2.9600000000000001E-2</v>
      </c>
      <c r="H1086" s="23">
        <v>1492.23</v>
      </c>
      <c r="I1086" s="31">
        <v>2.9600000000000001E-2</v>
      </c>
      <c r="J1086" s="23">
        <v>932.64589999999998</v>
      </c>
      <c r="K1086" s="23">
        <v>50456.14</v>
      </c>
      <c r="L1086" s="23">
        <v>92305.54</v>
      </c>
      <c r="M1086" s="23">
        <v>29</v>
      </c>
      <c r="N1086" s="23">
        <v>51.46</v>
      </c>
      <c r="O1086" s="31">
        <v>-8.3000000000000001E-3</v>
      </c>
      <c r="P1086" s="31">
        <v>6.1899999999999997E-2</v>
      </c>
      <c r="Q1086" s="23" t="s">
        <v>24</v>
      </c>
      <c r="R1086" s="23">
        <v>0</v>
      </c>
      <c r="S1086" s="23">
        <v>53.04</v>
      </c>
      <c r="U1086" s="47">
        <f>VLOOKUP(AU1086,[1]expiry_dates!$B$2:$C$2894,2,FALSE)</f>
        <v>44343</v>
      </c>
      <c r="V1086" s="23" t="s">
        <v>133</v>
      </c>
      <c r="W1086" s="23" t="s">
        <v>23</v>
      </c>
      <c r="X1086" s="49">
        <v>44319.604166666664</v>
      </c>
      <c r="Y1086" s="23">
        <v>2.85</v>
      </c>
      <c r="Z1086" s="23">
        <v>44320.604166666664</v>
      </c>
      <c r="AA1086" s="23">
        <v>1.95</v>
      </c>
      <c r="AB1086" s="23">
        <v>-0.31580000000000003</v>
      </c>
      <c r="AC1086" s="23">
        <v>20775.78</v>
      </c>
      <c r="AD1086" s="23">
        <v>0.31580000000000003</v>
      </c>
      <c r="AE1086" s="23">
        <v>23084.21</v>
      </c>
      <c r="AF1086" s="23">
        <v>65789.98</v>
      </c>
      <c r="AG1086" s="23">
        <v>3173714.55</v>
      </c>
      <c r="AH1086" s="23">
        <v>29</v>
      </c>
      <c r="AI1086" s="23">
        <v>716.41</v>
      </c>
      <c r="AJ1086" s="23">
        <v>-0.1404</v>
      </c>
      <c r="AK1086" s="23">
        <v>0.47370000000000001</v>
      </c>
      <c r="AL1086" s="23" t="s">
        <v>24</v>
      </c>
      <c r="AM1086" s="23">
        <v>54.1</v>
      </c>
      <c r="AN1086" s="23">
        <v>32492.25</v>
      </c>
      <c r="AO1086" s="23">
        <v>53.04</v>
      </c>
      <c r="AP1086" s="23">
        <v>0</v>
      </c>
      <c r="AR1086" s="46"/>
      <c r="AS1086" s="44"/>
      <c r="AT1086" s="45"/>
      <c r="AU1086" s="2">
        <v>44319</v>
      </c>
      <c r="AV1086" s="52">
        <v>0.10416666666666667</v>
      </c>
      <c r="AW1086" s="2" t="s">
        <v>213</v>
      </c>
      <c r="AY1086" s="3"/>
      <c r="BA1086" s="3"/>
      <c r="BG1086" s="3"/>
      <c r="BH1086" s="3"/>
    </row>
    <row r="1087" spans="1:60">
      <c r="A1087" s="23" t="s">
        <v>22</v>
      </c>
      <c r="B1087" s="23" t="s">
        <v>23</v>
      </c>
      <c r="C1087" s="27">
        <v>44320.604166666664</v>
      </c>
      <c r="D1087" s="23">
        <v>55.7</v>
      </c>
      <c r="E1087" s="27">
        <v>44321.395833333336</v>
      </c>
      <c r="F1087" s="23">
        <v>56.6</v>
      </c>
      <c r="G1087" s="31">
        <v>1.6199999999999999E-2</v>
      </c>
      <c r="H1087" s="23">
        <v>-815.44</v>
      </c>
      <c r="I1087" s="31">
        <v>-1.6199999999999999E-2</v>
      </c>
      <c r="J1087" s="23">
        <v>906.04409999999996</v>
      </c>
      <c r="K1087" s="23">
        <v>50466.66</v>
      </c>
      <c r="L1087" s="23">
        <v>91490.1</v>
      </c>
      <c r="M1087" s="23">
        <v>9</v>
      </c>
      <c r="N1087" s="23">
        <v>-90.6</v>
      </c>
      <c r="O1087" s="31">
        <v>-2.4199999999999999E-2</v>
      </c>
      <c r="P1087" s="31">
        <v>3.5999999999999999E-3</v>
      </c>
      <c r="Q1087" s="23" t="s">
        <v>24</v>
      </c>
      <c r="R1087" s="23">
        <v>0</v>
      </c>
      <c r="S1087" s="23">
        <v>57.42</v>
      </c>
      <c r="U1087" s="47">
        <f>VLOOKUP(AU1087,[1]expiry_dates!$B$2:$C$2894,2,FALSE)</f>
        <v>44343</v>
      </c>
      <c r="V1087" s="23" t="s">
        <v>132</v>
      </c>
      <c r="W1087" s="23" t="s">
        <v>23</v>
      </c>
      <c r="X1087" s="49">
        <v>44320.604166666664</v>
      </c>
      <c r="Y1087" s="23">
        <v>2.9</v>
      </c>
      <c r="Z1087" s="23">
        <v>44321.395833333336</v>
      </c>
      <c r="AA1087" s="23">
        <v>3.2</v>
      </c>
      <c r="AB1087" s="23">
        <v>0.10340000000000001</v>
      </c>
      <c r="AC1087" s="23">
        <v>-6817.57</v>
      </c>
      <c r="AD1087" s="23">
        <v>-0.10340000000000001</v>
      </c>
      <c r="AE1087" s="23">
        <v>22725.24</v>
      </c>
      <c r="AF1087" s="23">
        <v>65903.199999999997</v>
      </c>
      <c r="AG1087" s="23">
        <v>3166896.98</v>
      </c>
      <c r="AH1087" s="23">
        <v>9</v>
      </c>
      <c r="AI1087" s="23">
        <v>-757.51</v>
      </c>
      <c r="AJ1087" s="23">
        <v>-0.22409999999999999</v>
      </c>
      <c r="AK1087" s="23">
        <v>3.4500000000000003E-2</v>
      </c>
      <c r="AL1087" s="23" t="s">
        <v>24</v>
      </c>
      <c r="AM1087" s="23">
        <v>55.7</v>
      </c>
      <c r="AN1087" s="23">
        <v>32268.55</v>
      </c>
      <c r="AO1087" s="23">
        <v>57.42</v>
      </c>
      <c r="AP1087" s="23">
        <v>0</v>
      </c>
      <c r="AR1087" s="46"/>
      <c r="AS1087" s="44"/>
      <c r="AT1087" s="45"/>
      <c r="AU1087" s="2">
        <v>44320</v>
      </c>
      <c r="AV1087" s="52">
        <v>0.10416666666666667</v>
      </c>
      <c r="AW1087" s="2" t="s">
        <v>213</v>
      </c>
      <c r="AY1087" s="3"/>
      <c r="BA1087" s="3"/>
      <c r="BG1087" s="3"/>
      <c r="BH1087" s="3"/>
    </row>
    <row r="1088" spans="1:60">
      <c r="A1088" s="23" t="s">
        <v>22</v>
      </c>
      <c r="B1088" s="23" t="s">
        <v>25</v>
      </c>
      <c r="C1088" s="27">
        <v>44321.395833333336</v>
      </c>
      <c r="D1088" s="23">
        <v>56.6</v>
      </c>
      <c r="E1088" s="27">
        <v>44321.479166666664</v>
      </c>
      <c r="F1088" s="23">
        <v>56.15</v>
      </c>
      <c r="G1088" s="31">
        <v>-8.0000000000000002E-3</v>
      </c>
      <c r="H1088" s="23">
        <v>-401.18</v>
      </c>
      <c r="I1088" s="31">
        <v>-8.0000000000000002E-3</v>
      </c>
      <c r="J1088" s="23">
        <v>891.51440000000002</v>
      </c>
      <c r="K1088" s="23">
        <v>50459.71</v>
      </c>
      <c r="L1088" s="23">
        <v>91088.92</v>
      </c>
      <c r="M1088" s="23">
        <v>9</v>
      </c>
      <c r="N1088" s="23">
        <v>-44.58</v>
      </c>
      <c r="O1088" s="31">
        <v>-9.7000000000000003E-3</v>
      </c>
      <c r="P1088" s="31">
        <v>5.3E-3</v>
      </c>
      <c r="Q1088" s="23" t="s">
        <v>24</v>
      </c>
      <c r="R1088" s="23">
        <v>0</v>
      </c>
      <c r="S1088" s="23">
        <v>55.53</v>
      </c>
      <c r="U1088" s="47">
        <f>VLOOKUP(AU1088,[1]expiry_dates!$B$2:$C$2894,2,FALSE)</f>
        <v>44343</v>
      </c>
      <c r="V1088" s="23" t="s">
        <v>183</v>
      </c>
      <c r="W1088" s="23" t="s">
        <v>23</v>
      </c>
      <c r="X1088" s="49">
        <v>44321.395833333336</v>
      </c>
      <c r="Y1088" s="23">
        <v>3.25</v>
      </c>
      <c r="Z1088" s="23">
        <v>44321.479166666664</v>
      </c>
      <c r="AA1088" s="23">
        <v>3.4</v>
      </c>
      <c r="AB1088" s="23">
        <v>4.6199999999999998E-2</v>
      </c>
      <c r="AC1088" s="23">
        <v>-3039.3</v>
      </c>
      <c r="AD1088" s="23">
        <v>-4.6199999999999998E-2</v>
      </c>
      <c r="AE1088" s="23">
        <v>20262.009999999998</v>
      </c>
      <c r="AF1088" s="23">
        <v>65851.53</v>
      </c>
      <c r="AG1088" s="23">
        <v>3163857.68</v>
      </c>
      <c r="AH1088" s="23">
        <v>9</v>
      </c>
      <c r="AI1088" s="23">
        <v>-337.7</v>
      </c>
      <c r="AJ1088" s="23">
        <v>-9.2299999999999993E-2</v>
      </c>
      <c r="AK1088" s="23">
        <v>7.6899999999999996E-2</v>
      </c>
      <c r="AL1088" s="23" t="s">
        <v>24</v>
      </c>
      <c r="AM1088" s="23">
        <v>56.6</v>
      </c>
      <c r="AN1088" s="23">
        <v>32460</v>
      </c>
      <c r="AO1088" s="23">
        <v>55.53</v>
      </c>
      <c r="AP1088" s="23">
        <v>0</v>
      </c>
      <c r="AR1088" s="46"/>
      <c r="AS1088" s="44"/>
      <c r="AT1088" s="45"/>
      <c r="AU1088" s="2">
        <v>44321</v>
      </c>
      <c r="AV1088" s="52">
        <v>0.39583333333333331</v>
      </c>
      <c r="AW1088" s="2" t="s">
        <v>212</v>
      </c>
      <c r="AY1088" s="3"/>
      <c r="BA1088" s="3"/>
      <c r="BG1088" s="3"/>
      <c r="BH1088" s="3"/>
    </row>
    <row r="1089" spans="1:60">
      <c r="A1089" s="23" t="s">
        <v>22</v>
      </c>
      <c r="B1089" s="23" t="s">
        <v>23</v>
      </c>
      <c r="C1089" s="27">
        <v>44321.479166666664</v>
      </c>
      <c r="D1089" s="23">
        <v>56.15</v>
      </c>
      <c r="E1089" s="27">
        <v>44321.635416666664</v>
      </c>
      <c r="F1089" s="23">
        <v>56.4</v>
      </c>
      <c r="G1089" s="31">
        <v>4.4999999999999997E-3</v>
      </c>
      <c r="H1089" s="23">
        <v>-224.65</v>
      </c>
      <c r="I1089" s="31">
        <v>-4.4999999999999997E-3</v>
      </c>
      <c r="J1089" s="23">
        <v>898.59109999999998</v>
      </c>
      <c r="K1089" s="23">
        <v>50455.89</v>
      </c>
      <c r="L1089" s="23">
        <v>90864.27</v>
      </c>
      <c r="M1089" s="23">
        <v>16</v>
      </c>
      <c r="N1089" s="23">
        <v>-14.04</v>
      </c>
      <c r="O1089" s="31">
        <v>-7.1000000000000004E-3</v>
      </c>
      <c r="P1089" s="31">
        <v>8.0000000000000002E-3</v>
      </c>
      <c r="Q1089" s="23" t="s">
        <v>24</v>
      </c>
      <c r="R1089" s="23">
        <v>0</v>
      </c>
      <c r="S1089" s="23">
        <v>56.9</v>
      </c>
      <c r="U1089" s="47">
        <f>VLOOKUP(AU1089,[1]expiry_dates!$B$2:$C$2894,2,FALSE)</f>
        <v>44343</v>
      </c>
      <c r="V1089" s="23" t="s">
        <v>132</v>
      </c>
      <c r="W1089" s="23" t="s">
        <v>23</v>
      </c>
      <c r="X1089" s="49">
        <v>44321.479166666664</v>
      </c>
      <c r="Y1089" s="23">
        <v>2.9</v>
      </c>
      <c r="Z1089" s="23">
        <v>44321.635416666664</v>
      </c>
      <c r="AA1089" s="23">
        <v>3.1</v>
      </c>
      <c r="AB1089" s="23">
        <v>6.9000000000000006E-2</v>
      </c>
      <c r="AC1089" s="23">
        <v>-4539.6099999999997</v>
      </c>
      <c r="AD1089" s="23">
        <v>-6.9000000000000006E-2</v>
      </c>
      <c r="AE1089" s="23">
        <v>22698.05</v>
      </c>
      <c r="AF1089" s="23">
        <v>65824.350000000006</v>
      </c>
      <c r="AG1089" s="23">
        <v>3159318.07</v>
      </c>
      <c r="AH1089" s="23">
        <v>16</v>
      </c>
      <c r="AI1089" s="23">
        <v>-283.73</v>
      </c>
      <c r="AJ1089" s="23">
        <v>-8.6199999999999999E-2</v>
      </c>
      <c r="AK1089" s="23">
        <v>3.4500000000000003E-2</v>
      </c>
      <c r="AL1089" s="23" t="s">
        <v>24</v>
      </c>
      <c r="AM1089" s="23">
        <v>56.15</v>
      </c>
      <c r="AN1089" s="23">
        <v>32533.55</v>
      </c>
      <c r="AO1089" s="23">
        <v>56.9</v>
      </c>
      <c r="AP1089" s="23">
        <v>0</v>
      </c>
      <c r="AR1089" s="46"/>
      <c r="AS1089" s="44"/>
      <c r="AT1089" s="45"/>
      <c r="AU1089" s="2">
        <v>44321</v>
      </c>
      <c r="AV1089" s="52">
        <v>0.47916666666666669</v>
      </c>
      <c r="AW1089" s="2" t="s">
        <v>212</v>
      </c>
      <c r="AY1089" s="3"/>
      <c r="BA1089" s="3"/>
      <c r="BG1089" s="3"/>
      <c r="BH1089" s="3"/>
    </row>
    <row r="1090" spans="1:60">
      <c r="A1090" s="23" t="s">
        <v>22</v>
      </c>
      <c r="B1090" s="23" t="s">
        <v>25</v>
      </c>
      <c r="C1090" s="27">
        <v>44321.635416666664</v>
      </c>
      <c r="D1090" s="23">
        <v>56.4</v>
      </c>
      <c r="E1090" s="27">
        <v>44322.427083333336</v>
      </c>
      <c r="F1090" s="23">
        <v>56</v>
      </c>
      <c r="G1090" s="31">
        <v>-7.1000000000000004E-3</v>
      </c>
      <c r="H1090" s="23">
        <v>-357.84</v>
      </c>
      <c r="I1090" s="31">
        <v>-7.1000000000000004E-3</v>
      </c>
      <c r="J1090" s="23">
        <v>894.6</v>
      </c>
      <c r="K1090" s="23">
        <v>50455.45</v>
      </c>
      <c r="L1090" s="23">
        <v>90506.43</v>
      </c>
      <c r="M1090" s="23">
        <v>9</v>
      </c>
      <c r="N1090" s="23">
        <v>-39.76</v>
      </c>
      <c r="O1090" s="31">
        <v>-7.1000000000000004E-3</v>
      </c>
      <c r="P1090" s="31">
        <v>8.0000000000000002E-3</v>
      </c>
      <c r="Q1090" s="23" t="s">
        <v>24</v>
      </c>
      <c r="R1090" s="23">
        <v>0</v>
      </c>
      <c r="S1090" s="23">
        <v>55.71</v>
      </c>
      <c r="U1090" s="47">
        <f>VLOOKUP(AU1090,[1]expiry_dates!$B$2:$C$2894,2,FALSE)</f>
        <v>44343</v>
      </c>
      <c r="V1090" s="23" t="s">
        <v>207</v>
      </c>
      <c r="W1090" s="23" t="s">
        <v>23</v>
      </c>
      <c r="X1090" s="49">
        <v>44321.635416666664</v>
      </c>
      <c r="Y1090" s="23">
        <v>2.6</v>
      </c>
      <c r="Z1090" s="23">
        <v>44322.427083333336</v>
      </c>
      <c r="AA1090" s="23">
        <v>2.85</v>
      </c>
      <c r="AB1090" s="23">
        <v>9.6199999999999994E-2</v>
      </c>
      <c r="AC1090" s="23">
        <v>-6328.23</v>
      </c>
      <c r="AD1090" s="23">
        <v>-9.6199999999999994E-2</v>
      </c>
      <c r="AE1090" s="23">
        <v>25312.93</v>
      </c>
      <c r="AF1090" s="23">
        <v>65813.62</v>
      </c>
      <c r="AG1090" s="23">
        <v>3152989.84</v>
      </c>
      <c r="AH1090" s="23">
        <v>9</v>
      </c>
      <c r="AI1090" s="23">
        <v>-703.14</v>
      </c>
      <c r="AJ1090" s="23">
        <v>-9.6199999999999994E-2</v>
      </c>
      <c r="AK1090" s="23">
        <v>5.7700000000000001E-2</v>
      </c>
      <c r="AL1090" s="23" t="s">
        <v>24</v>
      </c>
      <c r="AM1090" s="23">
        <v>56.4</v>
      </c>
      <c r="AN1090" s="23">
        <v>32851.550000000003</v>
      </c>
      <c r="AO1090" s="23">
        <v>55.71</v>
      </c>
      <c r="AP1090" s="23">
        <v>0</v>
      </c>
      <c r="AR1090" s="46"/>
      <c r="AS1090" s="44"/>
      <c r="AT1090" s="45"/>
      <c r="AU1090" s="2">
        <v>44321</v>
      </c>
      <c r="AV1090" s="52">
        <v>0.13541666666666666</v>
      </c>
      <c r="AW1090" s="2" t="s">
        <v>213</v>
      </c>
      <c r="AY1090" s="3"/>
      <c r="BA1090" s="3"/>
      <c r="BG1090" s="3"/>
      <c r="BH1090" s="3"/>
    </row>
    <row r="1091" spans="1:60">
      <c r="A1091" s="23" t="s">
        <v>22</v>
      </c>
      <c r="B1091" s="23" t="s">
        <v>23</v>
      </c>
      <c r="C1091" s="27">
        <v>44322.427083333336</v>
      </c>
      <c r="D1091" s="23">
        <v>56</v>
      </c>
      <c r="E1091" s="27">
        <v>44322.541666666664</v>
      </c>
      <c r="F1091" s="23">
        <v>56.3</v>
      </c>
      <c r="G1091" s="31">
        <v>5.4000000000000003E-3</v>
      </c>
      <c r="H1091" s="23">
        <v>-270.27999999999997</v>
      </c>
      <c r="I1091" s="31">
        <v>-5.4000000000000003E-3</v>
      </c>
      <c r="J1091" s="23">
        <v>900.94209999999998</v>
      </c>
      <c r="K1091" s="23">
        <v>50452.76</v>
      </c>
      <c r="L1091" s="23">
        <v>90236.15</v>
      </c>
      <c r="M1091" s="23">
        <v>12</v>
      </c>
      <c r="N1091" s="23">
        <v>-22.52</v>
      </c>
      <c r="O1091" s="31">
        <v>-5.4000000000000003E-3</v>
      </c>
      <c r="P1091" s="31">
        <v>3.5999999999999999E-3</v>
      </c>
      <c r="Q1091" s="23" t="s">
        <v>24</v>
      </c>
      <c r="R1091" s="23">
        <v>0</v>
      </c>
      <c r="S1091" s="23">
        <v>56.81</v>
      </c>
      <c r="U1091" s="47">
        <f>VLOOKUP(AU1091,[1]expiry_dates!$B$2:$C$2894,2,FALSE)</f>
        <v>44343</v>
      </c>
      <c r="V1091" s="23" t="s">
        <v>132</v>
      </c>
      <c r="W1091" s="23" t="s">
        <v>23</v>
      </c>
      <c r="X1091" s="49">
        <v>44322.427083333336</v>
      </c>
      <c r="Y1091" s="23">
        <v>2.8</v>
      </c>
      <c r="Z1091" s="23">
        <v>44322.541666666664</v>
      </c>
      <c r="AA1091" s="23">
        <v>3.1</v>
      </c>
      <c r="AB1091" s="23">
        <v>0.1071</v>
      </c>
      <c r="AC1091" s="23">
        <v>-7047.6</v>
      </c>
      <c r="AD1091" s="23">
        <v>-0.1071</v>
      </c>
      <c r="AE1091" s="23">
        <v>23492</v>
      </c>
      <c r="AF1091" s="23">
        <v>65777.600000000006</v>
      </c>
      <c r="AG1091" s="23">
        <v>3145942.24</v>
      </c>
      <c r="AH1091" s="23">
        <v>12</v>
      </c>
      <c r="AI1091" s="23">
        <v>-587.29999999999995</v>
      </c>
      <c r="AJ1091" s="23">
        <v>-0.1071</v>
      </c>
      <c r="AK1091" s="23">
        <v>1.7899999999999999E-2</v>
      </c>
      <c r="AL1091" s="23" t="s">
        <v>24</v>
      </c>
      <c r="AM1091" s="23">
        <v>56</v>
      </c>
      <c r="AN1091" s="23">
        <v>32672.25</v>
      </c>
      <c r="AO1091" s="23">
        <v>56.81</v>
      </c>
      <c r="AP1091" s="23">
        <v>0</v>
      </c>
      <c r="AR1091" s="46"/>
      <c r="AS1091" s="44"/>
      <c r="AT1091" s="45"/>
      <c r="AU1091" s="2">
        <v>44322</v>
      </c>
      <c r="AV1091" s="52">
        <v>0.42708333333333331</v>
      </c>
      <c r="AW1091" s="2" t="s">
        <v>212</v>
      </c>
      <c r="AY1091" s="3"/>
      <c r="BA1091" s="3"/>
      <c r="BG1091" s="3"/>
      <c r="BH1091" s="3"/>
    </row>
    <row r="1092" spans="1:60">
      <c r="A1092" s="23" t="s">
        <v>22</v>
      </c>
      <c r="B1092" s="23" t="s">
        <v>25</v>
      </c>
      <c r="C1092" s="27">
        <v>44322.541666666664</v>
      </c>
      <c r="D1092" s="23">
        <v>56.3</v>
      </c>
      <c r="E1092" s="27">
        <v>44323.447916666664</v>
      </c>
      <c r="F1092" s="23">
        <v>57</v>
      </c>
      <c r="G1092" s="31">
        <v>1.24E-2</v>
      </c>
      <c r="H1092" s="23">
        <v>627.29</v>
      </c>
      <c r="I1092" s="31">
        <v>1.24E-2</v>
      </c>
      <c r="J1092" s="23">
        <v>896.12540000000001</v>
      </c>
      <c r="K1092" s="23">
        <v>50451.86</v>
      </c>
      <c r="L1092" s="23">
        <v>90863.44</v>
      </c>
      <c r="M1092" s="23">
        <v>20</v>
      </c>
      <c r="N1092" s="23">
        <v>31.36</v>
      </c>
      <c r="O1092" s="31">
        <v>-4.4000000000000003E-3</v>
      </c>
      <c r="P1092" s="31">
        <v>2.1299999999999999E-2</v>
      </c>
      <c r="Q1092" s="23" t="s">
        <v>24</v>
      </c>
      <c r="R1092" s="23">
        <v>0</v>
      </c>
      <c r="S1092" s="23">
        <v>55.82</v>
      </c>
      <c r="U1092" s="47">
        <f>VLOOKUP(AU1092,[1]expiry_dates!$B$2:$C$2894,2,FALSE)</f>
        <v>44343</v>
      </c>
      <c r="V1092" s="23" t="s">
        <v>133</v>
      </c>
      <c r="W1092" s="23" t="s">
        <v>23</v>
      </c>
      <c r="X1092" s="49">
        <v>44322.541666666664</v>
      </c>
      <c r="Y1092" s="23">
        <v>1.7</v>
      </c>
      <c r="Z1092" s="23">
        <v>44323.447916666664</v>
      </c>
      <c r="AA1092" s="23">
        <v>1.45</v>
      </c>
      <c r="AB1092" s="23">
        <v>-0.14710000000000001</v>
      </c>
      <c r="AC1092" s="23">
        <v>9667.86</v>
      </c>
      <c r="AD1092" s="23">
        <v>0.14710000000000001</v>
      </c>
      <c r="AE1092" s="23">
        <v>38671.449999999997</v>
      </c>
      <c r="AF1092" s="23">
        <v>65741.460000000006</v>
      </c>
      <c r="AG1092" s="23">
        <v>3155610.1</v>
      </c>
      <c r="AH1092" s="23">
        <v>20</v>
      </c>
      <c r="AI1092" s="23">
        <v>483.39</v>
      </c>
      <c r="AJ1092" s="23">
        <v>-2.9399999999999999E-2</v>
      </c>
      <c r="AK1092" s="23">
        <v>0.26469999999999999</v>
      </c>
      <c r="AL1092" s="23" t="s">
        <v>24</v>
      </c>
      <c r="AM1092" s="23">
        <v>56.3</v>
      </c>
      <c r="AN1092" s="23">
        <v>32875.300000000003</v>
      </c>
      <c r="AO1092" s="23">
        <v>55.82</v>
      </c>
      <c r="AP1092" s="23">
        <v>0</v>
      </c>
      <c r="AR1092" s="46"/>
      <c r="AS1092" s="44"/>
      <c r="AT1092" s="45"/>
      <c r="AU1092" s="2">
        <v>44322</v>
      </c>
      <c r="AV1092" s="52">
        <v>4.1666666666666664E-2</v>
      </c>
      <c r="AW1092" s="2" t="s">
        <v>213</v>
      </c>
      <c r="AY1092" s="3"/>
      <c r="BA1092" s="3"/>
      <c r="BG1092" s="3"/>
      <c r="BH1092" s="3"/>
    </row>
    <row r="1093" spans="1:60">
      <c r="A1093" s="23" t="s">
        <v>22</v>
      </c>
      <c r="B1093" s="23" t="s">
        <v>23</v>
      </c>
      <c r="C1093" s="27">
        <v>44323.447916666664</v>
      </c>
      <c r="D1093" s="23">
        <v>57</v>
      </c>
      <c r="E1093" s="27">
        <v>44323.552083333336</v>
      </c>
      <c r="F1093" s="23">
        <v>56.95</v>
      </c>
      <c r="G1093" s="31">
        <v>-8.9999999999999998E-4</v>
      </c>
      <c r="H1093" s="23">
        <v>44.26</v>
      </c>
      <c r="I1093" s="31">
        <v>8.9999999999999998E-4</v>
      </c>
      <c r="J1093" s="23">
        <v>885.13990000000001</v>
      </c>
      <c r="K1093" s="23">
        <v>50452.97</v>
      </c>
      <c r="L1093" s="23">
        <v>90907.69</v>
      </c>
      <c r="M1093" s="23">
        <v>11</v>
      </c>
      <c r="N1093" s="23">
        <v>4.0199999999999996</v>
      </c>
      <c r="O1093" s="31">
        <v>-1.8E-3</v>
      </c>
      <c r="P1093" s="31">
        <v>8.8000000000000005E-3</v>
      </c>
      <c r="Q1093" s="23" t="s">
        <v>24</v>
      </c>
      <c r="R1093" s="23">
        <v>0</v>
      </c>
      <c r="S1093" s="23">
        <v>57.46</v>
      </c>
      <c r="U1093" s="47">
        <f>VLOOKUP(AU1093,[1]expiry_dates!$B$2:$C$2894,2,FALSE)</f>
        <v>44343</v>
      </c>
      <c r="V1093" s="23" t="s">
        <v>206</v>
      </c>
      <c r="W1093" s="23" t="s">
        <v>23</v>
      </c>
      <c r="X1093" s="49">
        <v>44323.447916666664</v>
      </c>
      <c r="Y1093" s="23">
        <v>2.8</v>
      </c>
      <c r="Z1093" s="23">
        <v>44323.552083333336</v>
      </c>
      <c r="AA1093" s="23">
        <v>2.75</v>
      </c>
      <c r="AB1093" s="23">
        <v>-1.7899999999999999E-2</v>
      </c>
      <c r="AC1093" s="23">
        <v>1174.6099999999999</v>
      </c>
      <c r="AD1093" s="23">
        <v>1.7899999999999999E-2</v>
      </c>
      <c r="AE1093" s="23">
        <v>23492.16</v>
      </c>
      <c r="AF1093" s="23">
        <v>65778.05</v>
      </c>
      <c r="AG1093" s="23">
        <v>3156784.71</v>
      </c>
      <c r="AH1093" s="23">
        <v>11</v>
      </c>
      <c r="AI1093" s="23">
        <v>106.78</v>
      </c>
      <c r="AJ1093" s="23">
        <v>0</v>
      </c>
      <c r="AK1093" s="23">
        <v>0.1071</v>
      </c>
      <c r="AL1093" s="23" t="s">
        <v>24</v>
      </c>
      <c r="AM1093" s="23">
        <v>57</v>
      </c>
      <c r="AN1093" s="23">
        <v>33026.199999999997</v>
      </c>
      <c r="AO1093" s="23">
        <v>57.46</v>
      </c>
      <c r="AP1093" s="23">
        <v>0</v>
      </c>
      <c r="AR1093" s="46"/>
      <c r="AS1093" s="44"/>
      <c r="AT1093" s="45"/>
      <c r="AU1093" s="2">
        <v>44323</v>
      </c>
      <c r="AV1093" s="52">
        <v>0.44791666666666669</v>
      </c>
      <c r="AW1093" s="2" t="s">
        <v>212</v>
      </c>
      <c r="AY1093" s="3"/>
      <c r="BA1093" s="3"/>
      <c r="BG1093" s="3"/>
      <c r="BH1093" s="3"/>
    </row>
    <row r="1094" spans="1:60">
      <c r="A1094" s="23" t="s">
        <v>22</v>
      </c>
      <c r="B1094" s="23" t="s">
        <v>25</v>
      </c>
      <c r="C1094" s="27">
        <v>44323.552083333336</v>
      </c>
      <c r="D1094" s="23">
        <v>56.95</v>
      </c>
      <c r="E1094" s="27">
        <v>44323.625</v>
      </c>
      <c r="F1094" s="23">
        <v>56.8</v>
      </c>
      <c r="G1094" s="31">
        <v>-2.5999999999999999E-3</v>
      </c>
      <c r="H1094" s="23">
        <v>-132.88999999999999</v>
      </c>
      <c r="I1094" s="31">
        <v>-2.5999999999999999E-3</v>
      </c>
      <c r="J1094" s="23">
        <v>885.95230000000004</v>
      </c>
      <c r="K1094" s="23">
        <v>50454.98</v>
      </c>
      <c r="L1094" s="23">
        <v>90774.8</v>
      </c>
      <c r="M1094" s="23">
        <v>8</v>
      </c>
      <c r="N1094" s="23">
        <v>-16.61</v>
      </c>
      <c r="O1094" s="31">
        <v>-2.5999999999999999E-3</v>
      </c>
      <c r="P1094" s="31">
        <v>2.5999999999999999E-3</v>
      </c>
      <c r="Q1094" s="23" t="s">
        <v>24</v>
      </c>
      <c r="R1094" s="23">
        <v>0</v>
      </c>
      <c r="S1094" s="23">
        <v>56.51</v>
      </c>
      <c r="U1094" s="47">
        <f>VLOOKUP(AU1094,[1]expiry_dates!$B$2:$C$2894,2,FALSE)</f>
        <v>44343</v>
      </c>
      <c r="V1094" s="23" t="s">
        <v>130</v>
      </c>
      <c r="W1094" s="23" t="s">
        <v>23</v>
      </c>
      <c r="X1094" s="49">
        <v>44323.552083333336</v>
      </c>
      <c r="Y1094" s="23">
        <v>1.6</v>
      </c>
      <c r="Z1094" s="23">
        <v>44323.625</v>
      </c>
      <c r="AA1094" s="23">
        <v>1.65</v>
      </c>
      <c r="AB1094" s="23">
        <v>3.1199999999999999E-2</v>
      </c>
      <c r="AC1094" s="23">
        <v>-2056.11</v>
      </c>
      <c r="AD1094" s="23">
        <v>-3.1199999999999999E-2</v>
      </c>
      <c r="AE1094" s="23">
        <v>41122.29</v>
      </c>
      <c r="AF1094" s="23">
        <v>65795.67</v>
      </c>
      <c r="AG1094" s="23">
        <v>3154728.59</v>
      </c>
      <c r="AH1094" s="23">
        <v>8</v>
      </c>
      <c r="AI1094" s="23">
        <v>-257.01</v>
      </c>
      <c r="AJ1094" s="23">
        <v>-9.3700000000000006E-2</v>
      </c>
      <c r="AK1094" s="23">
        <v>0</v>
      </c>
      <c r="AL1094" s="23" t="s">
        <v>24</v>
      </c>
      <c r="AM1094" s="23">
        <v>56.95</v>
      </c>
      <c r="AN1094" s="23">
        <v>32860.400000000001</v>
      </c>
      <c r="AO1094" s="23">
        <v>56.51</v>
      </c>
      <c r="AP1094" s="23">
        <v>0</v>
      </c>
      <c r="AR1094" s="46"/>
      <c r="AS1094" s="44"/>
      <c r="AT1094" s="45"/>
      <c r="AU1094" s="2">
        <v>44323</v>
      </c>
      <c r="AV1094" s="52">
        <v>5.2083333333333336E-2</v>
      </c>
      <c r="AW1094" s="2" t="s">
        <v>213</v>
      </c>
      <c r="AY1094" s="3"/>
      <c r="BA1094" s="3"/>
      <c r="BG1094" s="3"/>
      <c r="BH1094" s="3"/>
    </row>
    <row r="1095" spans="1:60">
      <c r="A1095" s="23" t="s">
        <v>22</v>
      </c>
      <c r="B1095" s="23" t="s">
        <v>23</v>
      </c>
      <c r="C1095" s="27">
        <v>44323.625</v>
      </c>
      <c r="D1095" s="23">
        <v>56.8</v>
      </c>
      <c r="E1095" s="27">
        <v>44327.385416666664</v>
      </c>
      <c r="F1095" s="23">
        <v>55.6</v>
      </c>
      <c r="G1095" s="31">
        <v>-2.1100000000000001E-2</v>
      </c>
      <c r="H1095" s="23">
        <v>1065.93</v>
      </c>
      <c r="I1095" s="31">
        <v>2.1100000000000001E-2</v>
      </c>
      <c r="J1095" s="23">
        <v>888.27639999999997</v>
      </c>
      <c r="K1095" s="23">
        <v>50454.1</v>
      </c>
      <c r="L1095" s="23">
        <v>91840.73</v>
      </c>
      <c r="M1095" s="23">
        <v>34</v>
      </c>
      <c r="N1095" s="23">
        <v>31.35</v>
      </c>
      <c r="O1095" s="31">
        <v>-3.5000000000000001E-3</v>
      </c>
      <c r="P1095" s="31">
        <v>3.3500000000000002E-2</v>
      </c>
      <c r="Q1095" s="23" t="s">
        <v>24</v>
      </c>
      <c r="R1095" s="23">
        <v>0</v>
      </c>
      <c r="S1095" s="23">
        <v>57.1</v>
      </c>
      <c r="U1095" s="47">
        <f>VLOOKUP(AU1095,[1]expiry_dates!$B$2:$C$2894,2,FALSE)</f>
        <v>44343</v>
      </c>
      <c r="V1095" s="23" t="s">
        <v>206</v>
      </c>
      <c r="W1095" s="23" t="s">
        <v>23</v>
      </c>
      <c r="X1095" s="49">
        <v>44323.625</v>
      </c>
      <c r="Y1095" s="23">
        <v>2.65</v>
      </c>
      <c r="Z1095" s="23">
        <v>44327.385416666664</v>
      </c>
      <c r="AA1095" s="23">
        <v>1.8</v>
      </c>
      <c r="AB1095" s="23">
        <v>-0.32079999999999997</v>
      </c>
      <c r="AC1095" s="23">
        <v>21100.5</v>
      </c>
      <c r="AD1095" s="23">
        <v>0.32079999999999997</v>
      </c>
      <c r="AE1095" s="23">
        <v>24824.12</v>
      </c>
      <c r="AF1095" s="23">
        <v>65783.92</v>
      </c>
      <c r="AG1095" s="23">
        <v>3175829.09</v>
      </c>
      <c r="AH1095" s="23">
        <v>34</v>
      </c>
      <c r="AI1095" s="23">
        <v>620.6</v>
      </c>
      <c r="AJ1095" s="23">
        <v>-1.89E-2</v>
      </c>
      <c r="AK1095" s="23">
        <v>0.67920000000000003</v>
      </c>
      <c r="AL1095" s="23" t="s">
        <v>24</v>
      </c>
      <c r="AM1095" s="23">
        <v>56.8</v>
      </c>
      <c r="AN1095" s="23">
        <v>32914.75</v>
      </c>
      <c r="AO1095" s="23">
        <v>57.1</v>
      </c>
      <c r="AP1095" s="23">
        <v>0</v>
      </c>
      <c r="AR1095" s="46"/>
      <c r="AS1095" s="44"/>
      <c r="AT1095" s="45"/>
      <c r="AU1095" s="2">
        <v>44323</v>
      </c>
      <c r="AV1095" s="52">
        <v>0.125</v>
      </c>
      <c r="AW1095" s="2" t="s">
        <v>213</v>
      </c>
      <c r="AY1095" s="3"/>
      <c r="BA1095" s="3"/>
      <c r="BG1095" s="3"/>
      <c r="BH1095" s="3"/>
    </row>
    <row r="1096" spans="1:60">
      <c r="A1096" s="23" t="s">
        <v>22</v>
      </c>
      <c r="B1096" s="23" t="s">
        <v>25</v>
      </c>
      <c r="C1096" s="27">
        <v>44327.385416666664</v>
      </c>
      <c r="D1096" s="23">
        <v>55.6</v>
      </c>
      <c r="E1096" s="27">
        <v>44327.541666666664</v>
      </c>
      <c r="F1096" s="23">
        <v>55.25</v>
      </c>
      <c r="G1096" s="31">
        <v>-6.3E-3</v>
      </c>
      <c r="H1096" s="23">
        <v>-317.66000000000003</v>
      </c>
      <c r="I1096" s="31">
        <v>-6.3E-3</v>
      </c>
      <c r="J1096" s="23">
        <v>907.58759999999995</v>
      </c>
      <c r="K1096" s="23">
        <v>50461.87</v>
      </c>
      <c r="L1096" s="23">
        <v>91523.08</v>
      </c>
      <c r="M1096" s="23">
        <v>16</v>
      </c>
      <c r="N1096" s="23">
        <v>-19.850000000000001</v>
      </c>
      <c r="O1096" s="31">
        <v>-2.1600000000000001E-2</v>
      </c>
      <c r="P1096" s="31">
        <v>7.1999999999999998E-3</v>
      </c>
      <c r="Q1096" s="23" t="s">
        <v>24</v>
      </c>
      <c r="R1096" s="23">
        <v>0</v>
      </c>
      <c r="S1096" s="23">
        <v>54.4</v>
      </c>
      <c r="U1096" s="47">
        <f>VLOOKUP(AU1096,[1]expiry_dates!$B$2:$C$2894,2,FALSE)</f>
        <v>44343</v>
      </c>
      <c r="V1096" s="23" t="s">
        <v>207</v>
      </c>
      <c r="W1096" s="23" t="s">
        <v>23</v>
      </c>
      <c r="X1096" s="49">
        <v>44327.385416666664</v>
      </c>
      <c r="Y1096" s="23">
        <v>2.4</v>
      </c>
      <c r="Z1096" s="23">
        <v>44327.541666666664</v>
      </c>
      <c r="AA1096" s="23">
        <v>2.65</v>
      </c>
      <c r="AB1096" s="23">
        <v>0.1042</v>
      </c>
      <c r="AC1096" s="23">
        <v>-6861.76</v>
      </c>
      <c r="AD1096" s="23">
        <v>-0.1042</v>
      </c>
      <c r="AE1096" s="23">
        <v>27447.06</v>
      </c>
      <c r="AF1096" s="23">
        <v>65872.94</v>
      </c>
      <c r="AG1096" s="23">
        <v>3168967.33</v>
      </c>
      <c r="AH1096" s="23">
        <v>16</v>
      </c>
      <c r="AI1096" s="23">
        <v>-428.86</v>
      </c>
      <c r="AJ1096" s="23">
        <v>-0.125</v>
      </c>
      <c r="AK1096" s="23">
        <v>6.25E-2</v>
      </c>
      <c r="AL1096" s="23" t="s">
        <v>24</v>
      </c>
      <c r="AM1096" s="23">
        <v>55.6</v>
      </c>
      <c r="AN1096" s="23">
        <v>32778.65</v>
      </c>
      <c r="AO1096" s="23">
        <v>54.4</v>
      </c>
      <c r="AP1096" s="23">
        <v>0</v>
      </c>
      <c r="AR1096" s="46"/>
      <c r="AS1096" s="44"/>
      <c r="AT1096" s="45"/>
      <c r="AU1096" s="2">
        <v>44327</v>
      </c>
      <c r="AV1096" s="52">
        <v>0.38541666666666669</v>
      </c>
      <c r="AW1096" s="2" t="s">
        <v>212</v>
      </c>
      <c r="AY1096" s="3"/>
      <c r="BA1096" s="3"/>
      <c r="BG1096" s="3"/>
      <c r="BH1096" s="3"/>
    </row>
    <row r="1097" spans="1:60">
      <c r="A1097" s="23" t="s">
        <v>22</v>
      </c>
      <c r="B1097" s="23" t="s">
        <v>23</v>
      </c>
      <c r="C1097" s="27">
        <v>44327.541666666664</v>
      </c>
      <c r="D1097" s="23">
        <v>55.25</v>
      </c>
      <c r="E1097" s="27">
        <v>44327.59375</v>
      </c>
      <c r="F1097" s="23">
        <v>55.65</v>
      </c>
      <c r="G1097" s="31">
        <v>7.1999999999999998E-3</v>
      </c>
      <c r="H1097" s="23">
        <v>-365.31</v>
      </c>
      <c r="I1097" s="31">
        <v>-7.1999999999999998E-3</v>
      </c>
      <c r="J1097" s="23">
        <v>913.27229999999997</v>
      </c>
      <c r="K1097" s="23">
        <v>50458.3</v>
      </c>
      <c r="L1097" s="23">
        <v>91157.77</v>
      </c>
      <c r="M1097" s="23">
        <v>6</v>
      </c>
      <c r="N1097" s="23">
        <v>-60.88</v>
      </c>
      <c r="O1097" s="31">
        <v>-7.1999999999999998E-3</v>
      </c>
      <c r="P1097" s="31">
        <v>3.5999999999999999E-3</v>
      </c>
      <c r="Q1097" s="23" t="s">
        <v>24</v>
      </c>
      <c r="R1097" s="23">
        <v>0</v>
      </c>
      <c r="S1097" s="23">
        <v>55.97</v>
      </c>
      <c r="U1097" s="47">
        <f>VLOOKUP(AU1097,[1]expiry_dates!$B$2:$C$2894,2,FALSE)</f>
        <v>44343</v>
      </c>
      <c r="V1097" s="23" t="s">
        <v>131</v>
      </c>
      <c r="W1097" s="23" t="s">
        <v>23</v>
      </c>
      <c r="X1097" s="49">
        <v>44327.541666666664</v>
      </c>
      <c r="Y1097" s="23">
        <v>2.65</v>
      </c>
      <c r="Z1097" s="23">
        <v>44327.59375</v>
      </c>
      <c r="AA1097" s="23">
        <v>2.9</v>
      </c>
      <c r="AB1097" s="23">
        <v>9.4299999999999995E-2</v>
      </c>
      <c r="AC1097" s="23">
        <v>-6213.72</v>
      </c>
      <c r="AD1097" s="23">
        <v>-9.4299999999999995E-2</v>
      </c>
      <c r="AE1097" s="23">
        <v>24854.880000000001</v>
      </c>
      <c r="AF1097" s="23">
        <v>65865.42</v>
      </c>
      <c r="AG1097" s="23">
        <v>3162753.61</v>
      </c>
      <c r="AH1097" s="23">
        <v>6</v>
      </c>
      <c r="AI1097" s="23">
        <v>-1035.6199999999999</v>
      </c>
      <c r="AJ1097" s="23">
        <v>-9.4299999999999995E-2</v>
      </c>
      <c r="AK1097" s="23">
        <v>5.6599999999999998E-2</v>
      </c>
      <c r="AL1097" s="23" t="s">
        <v>24</v>
      </c>
      <c r="AM1097" s="23">
        <v>55.25</v>
      </c>
      <c r="AN1097" s="23">
        <v>32897.800000000003</v>
      </c>
      <c r="AO1097" s="23">
        <v>55.97</v>
      </c>
      <c r="AP1097" s="23">
        <v>0</v>
      </c>
      <c r="AR1097" s="46"/>
      <c r="AS1097" s="44"/>
      <c r="AT1097" s="45"/>
      <c r="AU1097" s="2">
        <v>44327</v>
      </c>
      <c r="AV1097" s="52">
        <v>4.1666666666666664E-2</v>
      </c>
      <c r="AW1097" s="2" t="s">
        <v>213</v>
      </c>
      <c r="AY1097" s="3"/>
      <c r="BA1097" s="3"/>
      <c r="BG1097" s="3"/>
      <c r="BH1097" s="3"/>
    </row>
    <row r="1098" spans="1:60">
      <c r="A1098" s="23" t="s">
        <v>22</v>
      </c>
      <c r="B1098" s="23" t="s">
        <v>25</v>
      </c>
      <c r="C1098" s="27">
        <v>44327.59375</v>
      </c>
      <c r="D1098" s="23">
        <v>55.65</v>
      </c>
      <c r="E1098" s="27">
        <v>44328.447916666664</v>
      </c>
      <c r="F1098" s="23">
        <v>55.85</v>
      </c>
      <c r="G1098" s="31">
        <v>3.5999999999999999E-3</v>
      </c>
      <c r="H1098" s="23">
        <v>181.33</v>
      </c>
      <c r="I1098" s="31">
        <v>3.5999999999999999E-3</v>
      </c>
      <c r="J1098" s="23">
        <v>906.67110000000002</v>
      </c>
      <c r="K1098" s="23">
        <v>50456.25</v>
      </c>
      <c r="L1098" s="23">
        <v>91339.1</v>
      </c>
      <c r="M1098" s="23">
        <v>15</v>
      </c>
      <c r="N1098" s="23">
        <v>12.09</v>
      </c>
      <c r="O1098" s="31">
        <v>-2.7000000000000001E-3</v>
      </c>
      <c r="P1098" s="31">
        <v>2.1600000000000001E-2</v>
      </c>
      <c r="Q1098" s="23" t="s">
        <v>24</v>
      </c>
      <c r="R1098" s="23">
        <v>0</v>
      </c>
      <c r="S1098" s="23">
        <v>55.06</v>
      </c>
      <c r="U1098" s="47">
        <f>VLOOKUP(AU1098,[1]expiry_dates!$B$2:$C$2894,2,FALSE)</f>
        <v>44343</v>
      </c>
      <c r="V1098" s="23" t="s">
        <v>207</v>
      </c>
      <c r="W1098" s="23" t="s">
        <v>23</v>
      </c>
      <c r="X1098" s="49">
        <v>44327.59375</v>
      </c>
      <c r="Y1098" s="23">
        <v>2.35</v>
      </c>
      <c r="Z1098" s="23">
        <v>44328.447916666664</v>
      </c>
      <c r="AA1098" s="23">
        <v>2.35</v>
      </c>
      <c r="AB1098" s="23">
        <v>0</v>
      </c>
      <c r="AC1098" s="23">
        <v>0</v>
      </c>
      <c r="AD1098" s="23">
        <v>0</v>
      </c>
      <c r="AE1098" s="23">
        <v>28011.15</v>
      </c>
      <c r="AF1098" s="23">
        <v>65826.2</v>
      </c>
      <c r="AG1098" s="23">
        <v>3162753.61</v>
      </c>
      <c r="AH1098" s="23">
        <v>15</v>
      </c>
      <c r="AI1098" s="23">
        <v>0</v>
      </c>
      <c r="AJ1098" s="23">
        <v>-2.1299999999999999E-2</v>
      </c>
      <c r="AK1098" s="23">
        <v>0.21279999999999999</v>
      </c>
      <c r="AL1098" s="23" t="s">
        <v>24</v>
      </c>
      <c r="AM1098" s="23">
        <v>55.65</v>
      </c>
      <c r="AN1098" s="23">
        <v>32822.9</v>
      </c>
      <c r="AO1098" s="23">
        <v>55.06</v>
      </c>
      <c r="AP1098" s="23">
        <v>0</v>
      </c>
      <c r="AR1098" s="46"/>
      <c r="AS1098" s="44"/>
      <c r="AT1098" s="45"/>
      <c r="AU1098" s="2">
        <v>44327</v>
      </c>
      <c r="AV1098" s="52">
        <v>9.375E-2</v>
      </c>
      <c r="AW1098" s="2" t="s">
        <v>213</v>
      </c>
      <c r="AY1098" s="3"/>
      <c r="BA1098" s="3"/>
      <c r="BG1098" s="3"/>
      <c r="BH1098" s="3"/>
    </row>
    <row r="1099" spans="1:60">
      <c r="A1099" s="23" t="s">
        <v>22</v>
      </c>
      <c r="B1099" s="23" t="s">
        <v>23</v>
      </c>
      <c r="C1099" s="27">
        <v>44328.447916666664</v>
      </c>
      <c r="D1099" s="23">
        <v>55.85</v>
      </c>
      <c r="E1099" s="27">
        <v>44333.385416666664</v>
      </c>
      <c r="F1099" s="23">
        <v>54.75</v>
      </c>
      <c r="G1099" s="31">
        <v>-1.9699999999999999E-2</v>
      </c>
      <c r="H1099" s="23">
        <v>993.8</v>
      </c>
      <c r="I1099" s="31">
        <v>1.9699999999999999E-2</v>
      </c>
      <c r="J1099" s="23">
        <v>903.45669999999996</v>
      </c>
      <c r="K1099" s="23">
        <v>50458.06</v>
      </c>
      <c r="L1099" s="23">
        <v>92332.91</v>
      </c>
      <c r="M1099" s="23">
        <v>51</v>
      </c>
      <c r="N1099" s="23">
        <v>19.489999999999998</v>
      </c>
      <c r="O1099" s="31">
        <v>-7.1999999999999998E-3</v>
      </c>
      <c r="P1099" s="31">
        <v>3.49E-2</v>
      </c>
      <c r="Q1099" s="23" t="s">
        <v>24</v>
      </c>
      <c r="R1099" s="23">
        <v>0</v>
      </c>
      <c r="S1099" s="23">
        <v>56.85</v>
      </c>
      <c r="U1099" s="47">
        <f>VLOOKUP(AU1099,[1]expiry_dates!$B$2:$C$2894,2,FALSE)</f>
        <v>44343</v>
      </c>
      <c r="V1099" s="23" t="s">
        <v>132</v>
      </c>
      <c r="W1099" s="23" t="s">
        <v>23</v>
      </c>
      <c r="X1099" s="49">
        <v>44328.447916666664</v>
      </c>
      <c r="Y1099" s="23">
        <v>2.5</v>
      </c>
      <c r="Z1099" s="23">
        <v>44333.385416666664</v>
      </c>
      <c r="AA1099" s="23">
        <v>1.5</v>
      </c>
      <c r="AB1099" s="23">
        <v>-0.4</v>
      </c>
      <c r="AC1099" s="23">
        <v>26333.91</v>
      </c>
      <c r="AD1099" s="23">
        <v>0.4</v>
      </c>
      <c r="AE1099" s="23">
        <v>26333.91</v>
      </c>
      <c r="AF1099" s="23">
        <v>65834.77</v>
      </c>
      <c r="AG1099" s="23">
        <v>3189087.52</v>
      </c>
      <c r="AH1099" s="23">
        <v>51</v>
      </c>
      <c r="AI1099" s="23">
        <v>516.35</v>
      </c>
      <c r="AJ1099" s="23">
        <v>-0.04</v>
      </c>
      <c r="AK1099" s="23">
        <v>0.44</v>
      </c>
      <c r="AL1099" s="23" t="s">
        <v>24</v>
      </c>
      <c r="AM1099" s="23">
        <v>55.85</v>
      </c>
      <c r="AN1099" s="23">
        <v>32584.9</v>
      </c>
      <c r="AO1099" s="23">
        <v>56.85</v>
      </c>
      <c r="AP1099" s="23">
        <v>0</v>
      </c>
      <c r="AR1099" s="46"/>
      <c r="AS1099" s="44"/>
      <c r="AT1099" s="45"/>
      <c r="AU1099" s="2">
        <v>44328</v>
      </c>
      <c r="AV1099" s="52">
        <v>0.44791666666666669</v>
      </c>
      <c r="AW1099" s="2" t="s">
        <v>212</v>
      </c>
      <c r="AY1099" s="3"/>
      <c r="BA1099" s="3"/>
      <c r="BG1099" s="3"/>
      <c r="BH1099" s="3"/>
    </row>
    <row r="1100" spans="1:60">
      <c r="A1100" s="23" t="s">
        <v>22</v>
      </c>
      <c r="B1100" s="23" t="s">
        <v>25</v>
      </c>
      <c r="C1100" s="27">
        <v>44333.385416666664</v>
      </c>
      <c r="D1100" s="23">
        <v>54.75</v>
      </c>
      <c r="E1100" s="27">
        <v>44334.510416666664</v>
      </c>
      <c r="F1100" s="23">
        <v>56.2</v>
      </c>
      <c r="G1100" s="31">
        <v>2.6499999999999999E-2</v>
      </c>
      <c r="H1100" s="23">
        <v>1336.48</v>
      </c>
      <c r="I1100" s="31">
        <v>2.6499999999999999E-2</v>
      </c>
      <c r="J1100" s="23">
        <v>921.70719999999994</v>
      </c>
      <c r="K1100" s="23">
        <v>50463.47</v>
      </c>
      <c r="L1100" s="23">
        <v>93669.38</v>
      </c>
      <c r="M1100" s="23">
        <v>41</v>
      </c>
      <c r="N1100" s="23">
        <v>32.6</v>
      </c>
      <c r="O1100" s="31">
        <v>-1.46E-2</v>
      </c>
      <c r="P1100" s="31">
        <v>4.7500000000000001E-2</v>
      </c>
      <c r="Q1100" s="23" t="s">
        <v>24</v>
      </c>
      <c r="R1100" s="23">
        <v>0</v>
      </c>
      <c r="S1100" s="23">
        <v>53.94</v>
      </c>
      <c r="U1100" s="47">
        <f>VLOOKUP(AU1100,[1]expiry_dates!$B$2:$C$2894,2,FALSE)</f>
        <v>44343</v>
      </c>
      <c r="V1100" s="23" t="s">
        <v>130</v>
      </c>
      <c r="W1100" s="23" t="s">
        <v>23</v>
      </c>
      <c r="X1100" s="49">
        <v>44333.385416666664</v>
      </c>
      <c r="Y1100" s="23">
        <v>1.9</v>
      </c>
      <c r="Z1100" s="23">
        <v>44334.510416666664</v>
      </c>
      <c r="AA1100" s="23">
        <v>1.05</v>
      </c>
      <c r="AB1100" s="23">
        <v>-0.44740000000000002</v>
      </c>
      <c r="AC1100" s="23">
        <v>29507.8</v>
      </c>
      <c r="AD1100" s="23">
        <v>0.44740000000000002</v>
      </c>
      <c r="AE1100" s="23">
        <v>34715.050000000003</v>
      </c>
      <c r="AF1100" s="23">
        <v>65958.600000000006</v>
      </c>
      <c r="AG1100" s="23">
        <v>3218595.32</v>
      </c>
      <c r="AH1100" s="23">
        <v>41</v>
      </c>
      <c r="AI1100" s="23">
        <v>719.7</v>
      </c>
      <c r="AJ1100" s="23">
        <v>-0.13159999999999999</v>
      </c>
      <c r="AK1100" s="23">
        <v>0.65790000000000004</v>
      </c>
      <c r="AL1100" s="23" t="s">
        <v>24</v>
      </c>
      <c r="AM1100" s="23">
        <v>54.75</v>
      </c>
      <c r="AN1100" s="23">
        <v>32557.45</v>
      </c>
      <c r="AO1100" s="23">
        <v>53.94</v>
      </c>
      <c r="AP1100" s="23">
        <v>0</v>
      </c>
      <c r="AR1100" s="46"/>
      <c r="AS1100" s="44"/>
      <c r="AT1100" s="45"/>
      <c r="AU1100" s="2">
        <v>44333</v>
      </c>
      <c r="AV1100" s="52">
        <v>0.38541666666666669</v>
      </c>
      <c r="AW1100" s="2" t="s">
        <v>212</v>
      </c>
      <c r="AY1100" s="3"/>
      <c r="BA1100" s="3"/>
      <c r="BG1100" s="3"/>
      <c r="BH1100" s="3"/>
    </row>
    <row r="1101" spans="1:60">
      <c r="A1101" s="23" t="s">
        <v>22</v>
      </c>
      <c r="B1101" s="23" t="s">
        <v>23</v>
      </c>
      <c r="C1101" s="27">
        <v>44334.510416666664</v>
      </c>
      <c r="D1101" s="23">
        <v>56.2</v>
      </c>
      <c r="E1101" s="27">
        <v>44335.5</v>
      </c>
      <c r="F1101" s="23">
        <v>55.8</v>
      </c>
      <c r="G1101" s="31">
        <v>-7.1000000000000004E-3</v>
      </c>
      <c r="H1101" s="23">
        <v>359.21</v>
      </c>
      <c r="I1101" s="31">
        <v>7.1000000000000004E-3</v>
      </c>
      <c r="J1101" s="23">
        <v>898.03380000000004</v>
      </c>
      <c r="K1101" s="23">
        <v>50469.5</v>
      </c>
      <c r="L1101" s="23">
        <v>94028.59</v>
      </c>
      <c r="M1101" s="23">
        <v>28</v>
      </c>
      <c r="N1101" s="23">
        <v>12.83</v>
      </c>
      <c r="O1101" s="31">
        <v>-5.3E-3</v>
      </c>
      <c r="P1101" s="31">
        <v>1.2500000000000001E-2</v>
      </c>
      <c r="Q1101" s="23" t="s">
        <v>24</v>
      </c>
      <c r="R1101" s="23">
        <v>0</v>
      </c>
      <c r="S1101" s="23">
        <v>57.33</v>
      </c>
      <c r="U1101" s="47">
        <f>VLOOKUP(AU1101,[1]expiry_dates!$B$2:$C$2894,2,FALSE)</f>
        <v>44343</v>
      </c>
      <c r="V1101" s="23" t="s">
        <v>132</v>
      </c>
      <c r="W1101" s="23" t="s">
        <v>23</v>
      </c>
      <c r="X1101" s="49">
        <v>44334.510416666664</v>
      </c>
      <c r="Y1101" s="23">
        <v>2</v>
      </c>
      <c r="Z1101" s="23">
        <v>44335.5</v>
      </c>
      <c r="AA1101" s="23">
        <v>1.7</v>
      </c>
      <c r="AB1101" s="23">
        <v>-0.15</v>
      </c>
      <c r="AC1101" s="23">
        <v>9917.85</v>
      </c>
      <c r="AD1101" s="23">
        <v>0.15</v>
      </c>
      <c r="AE1101" s="23">
        <v>33059.51</v>
      </c>
      <c r="AF1101" s="23">
        <v>66119.02</v>
      </c>
      <c r="AG1101" s="23">
        <v>3228513.17</v>
      </c>
      <c r="AH1101" s="23">
        <v>28</v>
      </c>
      <c r="AI1101" s="23">
        <v>354.21</v>
      </c>
      <c r="AJ1101" s="23">
        <v>-0.05</v>
      </c>
      <c r="AK1101" s="23">
        <v>0.22500000000000001</v>
      </c>
      <c r="AL1101" s="23" t="s">
        <v>24</v>
      </c>
      <c r="AM1101" s="23">
        <v>56.2</v>
      </c>
      <c r="AN1101" s="23">
        <v>33941.1</v>
      </c>
      <c r="AO1101" s="23">
        <v>57.33</v>
      </c>
      <c r="AP1101" s="23">
        <v>0</v>
      </c>
      <c r="AR1101" s="46"/>
      <c r="AS1101" s="44"/>
      <c r="AT1101" s="45"/>
      <c r="AU1101" s="2">
        <v>44334</v>
      </c>
      <c r="AV1101" s="52">
        <v>0.51041666666666663</v>
      </c>
      <c r="AW1101" s="2" t="s">
        <v>213</v>
      </c>
      <c r="AY1101" s="3"/>
      <c r="BA1101" s="3"/>
      <c r="BG1101" s="3"/>
      <c r="BH1101" s="3"/>
    </row>
    <row r="1102" spans="1:60">
      <c r="A1102" s="23" t="s">
        <v>22</v>
      </c>
      <c r="B1102" s="23" t="s">
        <v>25</v>
      </c>
      <c r="C1102" s="27">
        <v>44335.5</v>
      </c>
      <c r="D1102" s="23">
        <v>55.8</v>
      </c>
      <c r="E1102" s="27">
        <v>44335.552083333336</v>
      </c>
      <c r="F1102" s="23">
        <v>55.65</v>
      </c>
      <c r="G1102" s="31">
        <v>-2.7000000000000001E-3</v>
      </c>
      <c r="H1102" s="23">
        <v>-135.66999999999999</v>
      </c>
      <c r="I1102" s="31">
        <v>-2.7000000000000001E-3</v>
      </c>
      <c r="J1102" s="23">
        <v>904.47879999999998</v>
      </c>
      <c r="K1102" s="23">
        <v>50469.919999999998</v>
      </c>
      <c r="L1102" s="23">
        <v>93892.92</v>
      </c>
      <c r="M1102" s="23">
        <v>6</v>
      </c>
      <c r="N1102" s="23">
        <v>-22.61</v>
      </c>
      <c r="O1102" s="31">
        <v>-2.7000000000000001E-3</v>
      </c>
      <c r="P1102" s="31">
        <v>2.7000000000000001E-3</v>
      </c>
      <c r="Q1102" s="23" t="s">
        <v>24</v>
      </c>
      <c r="R1102" s="23">
        <v>0</v>
      </c>
      <c r="S1102" s="23">
        <v>55.5</v>
      </c>
      <c r="U1102" s="47">
        <f>VLOOKUP(AU1102,[1]expiry_dates!$B$2:$C$2894,2,FALSE)</f>
        <v>44343</v>
      </c>
      <c r="V1102" s="23" t="s">
        <v>129</v>
      </c>
      <c r="W1102" s="23" t="s">
        <v>23</v>
      </c>
      <c r="X1102" s="49">
        <v>44335.5</v>
      </c>
      <c r="Y1102" s="23">
        <v>0.45</v>
      </c>
      <c r="Z1102" s="23">
        <v>44335.552083333336</v>
      </c>
      <c r="AA1102" s="23">
        <v>0.5</v>
      </c>
      <c r="AB1102" s="23">
        <v>0.1111</v>
      </c>
      <c r="AC1102" s="23">
        <v>-7350.09</v>
      </c>
      <c r="AD1102" s="23">
        <v>-0.1111</v>
      </c>
      <c r="AE1102" s="23">
        <v>147001.79999999999</v>
      </c>
      <c r="AF1102" s="23">
        <v>66150.83</v>
      </c>
      <c r="AG1102" s="23">
        <v>3221163.08</v>
      </c>
      <c r="AH1102" s="23">
        <v>6</v>
      </c>
      <c r="AI1102" s="23">
        <v>-1225.02</v>
      </c>
      <c r="AJ1102" s="23">
        <v>-0.1111</v>
      </c>
      <c r="AK1102" s="23">
        <v>0</v>
      </c>
      <c r="AL1102" s="23" t="s">
        <v>24</v>
      </c>
      <c r="AM1102" s="23">
        <v>55.8</v>
      </c>
      <c r="AN1102" s="23">
        <v>33844.949999999997</v>
      </c>
      <c r="AO1102" s="23">
        <v>55.5</v>
      </c>
      <c r="AP1102" s="23">
        <v>0</v>
      </c>
      <c r="AR1102" s="46"/>
      <c r="AS1102" s="44"/>
      <c r="AT1102" s="45"/>
      <c r="AU1102" s="2">
        <v>44335</v>
      </c>
      <c r="AV1102" s="52">
        <v>0.5</v>
      </c>
      <c r="AW1102" s="2" t="s">
        <v>213</v>
      </c>
      <c r="AY1102" s="3"/>
      <c r="BA1102" s="3"/>
      <c r="BG1102" s="3"/>
      <c r="BH1102" s="3"/>
    </row>
    <row r="1103" spans="1:60">
      <c r="A1103" s="23" t="s">
        <v>22</v>
      </c>
      <c r="B1103" s="23" t="s">
        <v>23</v>
      </c>
      <c r="C1103" s="27">
        <v>44335.552083333336</v>
      </c>
      <c r="D1103" s="23">
        <v>55.65</v>
      </c>
      <c r="E1103" s="27">
        <v>44336.385416666664</v>
      </c>
      <c r="F1103" s="23">
        <v>55.45</v>
      </c>
      <c r="G1103" s="31">
        <v>-3.5999999999999999E-3</v>
      </c>
      <c r="H1103" s="23">
        <v>181.38</v>
      </c>
      <c r="I1103" s="31">
        <v>3.5999999999999999E-3</v>
      </c>
      <c r="J1103" s="23">
        <v>906.91669999999999</v>
      </c>
      <c r="K1103" s="23">
        <v>50469.919999999998</v>
      </c>
      <c r="L1103" s="23">
        <v>94074.31</v>
      </c>
      <c r="M1103" s="23">
        <v>13</v>
      </c>
      <c r="N1103" s="23">
        <v>13.95</v>
      </c>
      <c r="O1103" s="31">
        <v>-2.7000000000000001E-3</v>
      </c>
      <c r="P1103" s="31">
        <v>4.4999999999999997E-3</v>
      </c>
      <c r="Q1103" s="23" t="s">
        <v>24</v>
      </c>
      <c r="R1103" s="23">
        <v>0</v>
      </c>
      <c r="S1103" s="23">
        <v>55.95</v>
      </c>
      <c r="U1103" s="47">
        <f>VLOOKUP(AU1103,[1]expiry_dates!$B$2:$C$2894,2,FALSE)</f>
        <v>44343</v>
      </c>
      <c r="V1103" s="23" t="s">
        <v>132</v>
      </c>
      <c r="W1103" s="23" t="s">
        <v>23</v>
      </c>
      <c r="X1103" s="49">
        <v>44335.552083333336</v>
      </c>
      <c r="Y1103" s="23">
        <v>1.55</v>
      </c>
      <c r="Z1103" s="23">
        <v>44336.385416666664</v>
      </c>
      <c r="AA1103" s="23">
        <v>1.25</v>
      </c>
      <c r="AB1103" s="23">
        <v>-0.19350000000000001</v>
      </c>
      <c r="AC1103" s="23">
        <v>12794.67</v>
      </c>
      <c r="AD1103" s="23">
        <v>0.19350000000000001</v>
      </c>
      <c r="AE1103" s="23">
        <v>42648.91</v>
      </c>
      <c r="AF1103" s="23">
        <v>66105.81</v>
      </c>
      <c r="AG1103" s="23">
        <v>3233957.75</v>
      </c>
      <c r="AH1103" s="23">
        <v>13</v>
      </c>
      <c r="AI1103" s="23">
        <v>984.21</v>
      </c>
      <c r="AJ1103" s="23">
        <v>-3.2300000000000002E-2</v>
      </c>
      <c r="AK1103" s="23">
        <v>0.19350000000000001</v>
      </c>
      <c r="AL1103" s="23" t="s">
        <v>24</v>
      </c>
      <c r="AM1103" s="23">
        <v>55.65</v>
      </c>
      <c r="AN1103" s="23">
        <v>33719.800000000003</v>
      </c>
      <c r="AO1103" s="23">
        <v>55.95</v>
      </c>
      <c r="AP1103" s="23">
        <v>0</v>
      </c>
      <c r="AR1103" s="46"/>
      <c r="AS1103" s="44"/>
      <c r="AT1103" s="45"/>
      <c r="AU1103" s="2">
        <v>44335</v>
      </c>
      <c r="AV1103" s="52">
        <v>5.2083333333333336E-2</v>
      </c>
      <c r="AW1103" s="2" t="s">
        <v>213</v>
      </c>
      <c r="AY1103" s="3"/>
      <c r="BA1103" s="3"/>
      <c r="BG1103" s="3"/>
      <c r="BH1103" s="3"/>
    </row>
    <row r="1104" spans="1:60">
      <c r="A1104" s="23" t="s">
        <v>22</v>
      </c>
      <c r="B1104" s="23" t="s">
        <v>25</v>
      </c>
      <c r="C1104" s="27">
        <v>44336.385416666664</v>
      </c>
      <c r="D1104" s="23">
        <v>55.45</v>
      </c>
      <c r="E1104" s="27">
        <v>44336.395833333336</v>
      </c>
      <c r="F1104" s="23">
        <v>55.45</v>
      </c>
      <c r="G1104" s="31">
        <v>0</v>
      </c>
      <c r="H1104" s="23">
        <v>0</v>
      </c>
      <c r="I1104" s="31">
        <v>0</v>
      </c>
      <c r="J1104" s="23">
        <v>910.17970000000003</v>
      </c>
      <c r="K1104" s="23">
        <v>50469.46</v>
      </c>
      <c r="L1104" s="23">
        <v>94074.31</v>
      </c>
      <c r="M1104" s="23">
        <v>2</v>
      </c>
      <c r="N1104" s="23">
        <v>0</v>
      </c>
      <c r="O1104" s="31">
        <v>0</v>
      </c>
      <c r="P1104" s="31">
        <v>9.9000000000000008E-3</v>
      </c>
      <c r="Q1104" s="23" t="s">
        <v>24</v>
      </c>
      <c r="R1104" s="23">
        <v>0</v>
      </c>
      <c r="S1104" s="23">
        <v>55.42</v>
      </c>
      <c r="U1104" s="47">
        <f>VLOOKUP(AU1104,[1]expiry_dates!$B$2:$C$2894,2,FALSE)</f>
        <v>44343</v>
      </c>
      <c r="V1104" s="23" t="s">
        <v>130</v>
      </c>
      <c r="W1104" s="23" t="s">
        <v>23</v>
      </c>
      <c r="X1104" s="49">
        <v>44336.385416666664</v>
      </c>
      <c r="Y1104" s="23">
        <v>1.1000000000000001</v>
      </c>
      <c r="Z1104" s="23">
        <v>44336.395833333336</v>
      </c>
      <c r="AA1104" s="23">
        <v>1.2</v>
      </c>
      <c r="AB1104" s="23">
        <v>9.0899999999999995E-2</v>
      </c>
      <c r="AC1104" s="23">
        <v>-6012.53</v>
      </c>
      <c r="AD1104" s="23">
        <v>-9.0899999999999995E-2</v>
      </c>
      <c r="AE1104" s="23">
        <v>60125.27</v>
      </c>
      <c r="AF1104" s="23">
        <v>66137.8</v>
      </c>
      <c r="AG1104" s="23">
        <v>3227945.23</v>
      </c>
      <c r="AH1104" s="23">
        <v>2</v>
      </c>
      <c r="AI1104" s="23">
        <v>-3006.26</v>
      </c>
      <c r="AJ1104" s="23">
        <v>-9.0899999999999995E-2</v>
      </c>
      <c r="AK1104" s="23">
        <v>0.18179999999999999</v>
      </c>
      <c r="AL1104" s="23" t="s">
        <v>24</v>
      </c>
      <c r="AM1104" s="23">
        <v>55.45</v>
      </c>
      <c r="AN1104" s="23">
        <v>33651.949999999997</v>
      </c>
      <c r="AO1104" s="23">
        <v>55.42</v>
      </c>
      <c r="AP1104" s="23">
        <v>0</v>
      </c>
      <c r="AR1104" s="46"/>
      <c r="AS1104" s="44"/>
      <c r="AT1104" s="45"/>
      <c r="AU1104" s="2">
        <v>44336</v>
      </c>
      <c r="AV1104" s="52">
        <v>0.38541666666666669</v>
      </c>
      <c r="AW1104" s="2" t="s">
        <v>212</v>
      </c>
      <c r="AY1104" s="3"/>
      <c r="BA1104" s="3"/>
      <c r="BG1104" s="3"/>
      <c r="BH1104" s="3"/>
    </row>
    <row r="1105" spans="1:60">
      <c r="A1105" s="23" t="s">
        <v>22</v>
      </c>
      <c r="B1105" s="23" t="s">
        <v>23</v>
      </c>
      <c r="C1105" s="27">
        <v>44336.395833333336</v>
      </c>
      <c r="D1105" s="23">
        <v>55.45</v>
      </c>
      <c r="E1105" s="27">
        <v>44336.447916666664</v>
      </c>
      <c r="F1105" s="23">
        <v>55.8</v>
      </c>
      <c r="G1105" s="31">
        <v>6.3E-3</v>
      </c>
      <c r="H1105" s="23">
        <v>-318.57</v>
      </c>
      <c r="I1105" s="31">
        <v>-6.3E-3</v>
      </c>
      <c r="J1105" s="23">
        <v>910.19600000000003</v>
      </c>
      <c r="K1105" s="23">
        <v>50470.37</v>
      </c>
      <c r="L1105" s="23">
        <v>93755.74</v>
      </c>
      <c r="M1105" s="23">
        <v>6</v>
      </c>
      <c r="N1105" s="23">
        <v>-53.09</v>
      </c>
      <c r="O1105" s="31">
        <v>-6.3E-3</v>
      </c>
      <c r="P1105" s="31">
        <v>7.1999999999999998E-3</v>
      </c>
      <c r="Q1105" s="23" t="s">
        <v>24</v>
      </c>
      <c r="R1105" s="23">
        <v>0</v>
      </c>
      <c r="S1105" s="23">
        <v>55.96</v>
      </c>
      <c r="U1105" s="47">
        <f>VLOOKUP(AU1105,[1]expiry_dates!$B$2:$C$2894,2,FALSE)</f>
        <v>44343</v>
      </c>
      <c r="V1105" s="23" t="s">
        <v>131</v>
      </c>
      <c r="W1105" s="23" t="s">
        <v>23</v>
      </c>
      <c r="X1105" s="49">
        <v>44336.395833333336</v>
      </c>
      <c r="Y1105" s="23">
        <v>1.65</v>
      </c>
      <c r="Z1105" s="23">
        <v>44336.447916666664</v>
      </c>
      <c r="AA1105" s="23">
        <v>1.85</v>
      </c>
      <c r="AB1105" s="23">
        <v>0.1212</v>
      </c>
      <c r="AC1105" s="23">
        <v>-8020.58</v>
      </c>
      <c r="AD1105" s="23">
        <v>-0.1212</v>
      </c>
      <c r="AE1105" s="23">
        <v>40102.9</v>
      </c>
      <c r="AF1105" s="23">
        <v>66169.789999999994</v>
      </c>
      <c r="AG1105" s="23">
        <v>3219924.64</v>
      </c>
      <c r="AH1105" s="23">
        <v>6</v>
      </c>
      <c r="AI1105" s="23">
        <v>-1336.76</v>
      </c>
      <c r="AJ1105" s="23">
        <v>-0.1212</v>
      </c>
      <c r="AK1105" s="23">
        <v>0.1212</v>
      </c>
      <c r="AL1105" s="23" t="s">
        <v>24</v>
      </c>
      <c r="AM1105" s="23">
        <v>55.45</v>
      </c>
      <c r="AN1105" s="23">
        <v>33691.050000000003</v>
      </c>
      <c r="AO1105" s="23">
        <v>55.96</v>
      </c>
      <c r="AP1105" s="23">
        <v>0</v>
      </c>
      <c r="AR1105" s="46"/>
      <c r="AS1105" s="44"/>
      <c r="AT1105" s="45"/>
      <c r="AU1105" s="2">
        <v>44336</v>
      </c>
      <c r="AV1105" s="52">
        <v>0.39583333333333331</v>
      </c>
      <c r="AW1105" s="2" t="s">
        <v>212</v>
      </c>
      <c r="AY1105" s="3"/>
      <c r="BA1105" s="3"/>
      <c r="BG1105" s="3"/>
      <c r="BH1105" s="3"/>
    </row>
    <row r="1106" spans="1:60">
      <c r="A1106" s="23" t="s">
        <v>22</v>
      </c>
      <c r="B1106" s="23" t="s">
        <v>25</v>
      </c>
      <c r="C1106" s="27">
        <v>44336.447916666664</v>
      </c>
      <c r="D1106" s="23">
        <v>55.8</v>
      </c>
      <c r="E1106" s="27">
        <v>44336.541666666664</v>
      </c>
      <c r="F1106" s="23">
        <v>55.4</v>
      </c>
      <c r="G1106" s="31">
        <v>-7.1999999999999998E-3</v>
      </c>
      <c r="H1106" s="23">
        <v>-361.79</v>
      </c>
      <c r="I1106" s="31">
        <v>-7.1999999999999998E-3</v>
      </c>
      <c r="J1106" s="23">
        <v>904.47469999999998</v>
      </c>
      <c r="K1106" s="23">
        <v>50469.69</v>
      </c>
      <c r="L1106" s="23">
        <v>93393.95</v>
      </c>
      <c r="M1106" s="23">
        <v>10</v>
      </c>
      <c r="N1106" s="23">
        <v>-36.18</v>
      </c>
      <c r="O1106" s="31">
        <v>-7.1999999999999998E-3</v>
      </c>
      <c r="P1106" s="31">
        <v>1.8E-3</v>
      </c>
      <c r="Q1106" s="23" t="s">
        <v>24</v>
      </c>
      <c r="R1106" s="23">
        <v>0</v>
      </c>
      <c r="S1106" s="23">
        <v>55.06</v>
      </c>
      <c r="U1106" s="47">
        <f>VLOOKUP(AU1106,[1]expiry_dates!$B$2:$C$2894,2,FALSE)</f>
        <v>44343</v>
      </c>
      <c r="V1106" s="23" t="s">
        <v>133</v>
      </c>
      <c r="W1106" s="23" t="s">
        <v>23</v>
      </c>
      <c r="X1106" s="49">
        <v>44336.447916666664</v>
      </c>
      <c r="Y1106" s="23">
        <v>0.65</v>
      </c>
      <c r="Z1106" s="23">
        <v>44336.541666666664</v>
      </c>
      <c r="AA1106" s="23">
        <v>0.7</v>
      </c>
      <c r="AB1106" s="23">
        <v>7.6899999999999996E-2</v>
      </c>
      <c r="AC1106" s="23">
        <v>-5084.59</v>
      </c>
      <c r="AD1106" s="23">
        <v>-7.6899999999999996E-2</v>
      </c>
      <c r="AE1106" s="23">
        <v>101691.7</v>
      </c>
      <c r="AF1106" s="23">
        <v>66099.63</v>
      </c>
      <c r="AG1106" s="23">
        <v>3214840.06</v>
      </c>
      <c r="AH1106" s="23">
        <v>10</v>
      </c>
      <c r="AI1106" s="23">
        <v>-508.46</v>
      </c>
      <c r="AJ1106" s="23">
        <v>-7.6899999999999996E-2</v>
      </c>
      <c r="AK1106" s="23">
        <v>0</v>
      </c>
      <c r="AL1106" s="23" t="s">
        <v>24</v>
      </c>
      <c r="AM1106" s="23">
        <v>55.8</v>
      </c>
      <c r="AN1106" s="23">
        <v>33700.85</v>
      </c>
      <c r="AO1106" s="23">
        <v>55.06</v>
      </c>
      <c r="AP1106" s="23">
        <v>0</v>
      </c>
      <c r="AR1106" s="46"/>
      <c r="AS1106" s="44"/>
      <c r="AT1106" s="45"/>
      <c r="AU1106" s="2">
        <v>44336</v>
      </c>
      <c r="AV1106" s="52">
        <v>0.44791666666666669</v>
      </c>
      <c r="AW1106" s="2" t="s">
        <v>212</v>
      </c>
      <c r="AY1106" s="3"/>
      <c r="BA1106" s="3"/>
      <c r="BG1106" s="3"/>
      <c r="BH1106" s="3"/>
    </row>
    <row r="1107" spans="1:60">
      <c r="A1107" s="23" t="s">
        <v>22</v>
      </c>
      <c r="B1107" s="23" t="s">
        <v>23</v>
      </c>
      <c r="C1107" s="27">
        <v>44336.541666666664</v>
      </c>
      <c r="D1107" s="23">
        <v>55.4</v>
      </c>
      <c r="E1107" s="27">
        <v>44337.385416666664</v>
      </c>
      <c r="F1107" s="23">
        <v>56</v>
      </c>
      <c r="G1107" s="31">
        <v>1.0800000000000001E-2</v>
      </c>
      <c r="H1107" s="23">
        <v>-546.58000000000004</v>
      </c>
      <c r="I1107" s="31">
        <v>-1.0800000000000001E-2</v>
      </c>
      <c r="J1107" s="23">
        <v>910.96429999999998</v>
      </c>
      <c r="K1107" s="23">
        <v>50467.42</v>
      </c>
      <c r="L1107" s="23">
        <v>92847.37</v>
      </c>
      <c r="M1107" s="23">
        <v>14</v>
      </c>
      <c r="N1107" s="23">
        <v>-39.04</v>
      </c>
      <c r="O1107" s="31">
        <v>-1.0800000000000001E-2</v>
      </c>
      <c r="P1107" s="31">
        <v>7.1999999999999998E-3</v>
      </c>
      <c r="Q1107" s="23" t="s">
        <v>24</v>
      </c>
      <c r="R1107" s="23">
        <v>0</v>
      </c>
      <c r="S1107" s="23">
        <v>55.9</v>
      </c>
      <c r="U1107" s="47">
        <f>VLOOKUP(AU1107,[1]expiry_dates!$B$2:$C$2894,2,FALSE)</f>
        <v>44343</v>
      </c>
      <c r="V1107" s="23" t="s">
        <v>131</v>
      </c>
      <c r="W1107" s="23" t="s">
        <v>23</v>
      </c>
      <c r="X1107" s="49">
        <v>44336.541666666664</v>
      </c>
      <c r="Y1107" s="23">
        <v>1.65</v>
      </c>
      <c r="Z1107" s="23">
        <v>44337.385416666664</v>
      </c>
      <c r="AA1107" s="23">
        <v>1.8</v>
      </c>
      <c r="AB1107" s="23">
        <v>9.0899999999999995E-2</v>
      </c>
      <c r="AC1107" s="23">
        <v>-6009.06</v>
      </c>
      <c r="AD1107" s="23">
        <v>-9.0899999999999995E-2</v>
      </c>
      <c r="AE1107" s="23">
        <v>40060.379999999997</v>
      </c>
      <c r="AF1107" s="23">
        <v>66099.63</v>
      </c>
      <c r="AG1107" s="23">
        <v>3208831</v>
      </c>
      <c r="AH1107" s="23">
        <v>14</v>
      </c>
      <c r="AI1107" s="23">
        <v>-429.22</v>
      </c>
      <c r="AJ1107" s="23">
        <v>-9.0899999999999995E-2</v>
      </c>
      <c r="AK1107" s="23">
        <v>0.18179999999999999</v>
      </c>
      <c r="AL1107" s="23" t="s">
        <v>24</v>
      </c>
      <c r="AM1107" s="23">
        <v>55.4</v>
      </c>
      <c r="AN1107" s="23">
        <v>33590.199999999997</v>
      </c>
      <c r="AO1107" s="23">
        <v>55.9</v>
      </c>
      <c r="AP1107" s="23">
        <v>0</v>
      </c>
      <c r="AR1107" s="46"/>
      <c r="AS1107" s="44"/>
      <c r="AT1107" s="45"/>
      <c r="AU1107" s="2">
        <v>44336</v>
      </c>
      <c r="AV1107" s="52">
        <v>4.1666666666666664E-2</v>
      </c>
      <c r="AW1107" s="2" t="s">
        <v>213</v>
      </c>
      <c r="AY1107" s="3"/>
      <c r="BA1107" s="3"/>
      <c r="BG1107" s="3"/>
      <c r="BH1107" s="3"/>
    </row>
    <row r="1108" spans="1:60">
      <c r="A1108" s="23" t="s">
        <v>22</v>
      </c>
      <c r="B1108" s="23" t="s">
        <v>25</v>
      </c>
      <c r="C1108" s="27">
        <v>44337.385416666664</v>
      </c>
      <c r="D1108" s="23">
        <v>56</v>
      </c>
      <c r="E1108" s="27">
        <v>44337.5</v>
      </c>
      <c r="F1108" s="23">
        <v>55.55</v>
      </c>
      <c r="G1108" s="31">
        <v>-8.0000000000000002E-3</v>
      </c>
      <c r="H1108" s="23">
        <v>-405.53</v>
      </c>
      <c r="I1108" s="31">
        <v>-8.0000000000000002E-3</v>
      </c>
      <c r="J1108" s="23">
        <v>901.18370000000004</v>
      </c>
      <c r="K1108" s="23">
        <v>50466.29</v>
      </c>
      <c r="L1108" s="23">
        <v>92441.84</v>
      </c>
      <c r="M1108" s="23">
        <v>12</v>
      </c>
      <c r="N1108" s="23">
        <v>-33.79</v>
      </c>
      <c r="O1108" s="31">
        <v>-8.8999999999999999E-3</v>
      </c>
      <c r="P1108" s="31">
        <v>4.4999999999999997E-3</v>
      </c>
      <c r="Q1108" s="23" t="s">
        <v>24</v>
      </c>
      <c r="R1108" s="23">
        <v>0</v>
      </c>
      <c r="S1108" s="23">
        <v>55.04</v>
      </c>
      <c r="U1108" s="47">
        <f>VLOOKUP(AU1108,[1]expiry_dates!$B$2:$C$2894,2,FALSE)</f>
        <v>44343</v>
      </c>
      <c r="V1108" s="23" t="s">
        <v>207</v>
      </c>
      <c r="W1108" s="23" t="s">
        <v>23</v>
      </c>
      <c r="X1108" s="49">
        <v>44337.385416666664</v>
      </c>
      <c r="Y1108" s="23">
        <v>1.25</v>
      </c>
      <c r="Z1108" s="23">
        <v>44337.5</v>
      </c>
      <c r="AA1108" s="23">
        <v>1.35</v>
      </c>
      <c r="AB1108" s="23">
        <v>0.08</v>
      </c>
      <c r="AC1108" s="23">
        <v>-5289.14</v>
      </c>
      <c r="AD1108" s="23">
        <v>-0.08</v>
      </c>
      <c r="AE1108" s="23">
        <v>52891.41</v>
      </c>
      <c r="AF1108" s="23">
        <v>66114.27</v>
      </c>
      <c r="AG1108" s="23">
        <v>3203541.86</v>
      </c>
      <c r="AH1108" s="23">
        <v>12</v>
      </c>
      <c r="AI1108" s="23">
        <v>-440.76</v>
      </c>
      <c r="AJ1108" s="23">
        <v>-0.12</v>
      </c>
      <c r="AK1108" s="23">
        <v>0.08</v>
      </c>
      <c r="AL1108" s="23" t="s">
        <v>24</v>
      </c>
      <c r="AM1108" s="23">
        <v>56</v>
      </c>
      <c r="AN1108" s="23">
        <v>33798.35</v>
      </c>
      <c r="AO1108" s="23">
        <v>55.04</v>
      </c>
      <c r="AP1108" s="23">
        <v>0</v>
      </c>
      <c r="AR1108" s="46"/>
      <c r="AS1108" s="44"/>
      <c r="AT1108" s="45"/>
      <c r="AU1108" s="2">
        <v>44337</v>
      </c>
      <c r="AV1108" s="52">
        <v>0.38541666666666669</v>
      </c>
      <c r="AW1108" s="2" t="s">
        <v>212</v>
      </c>
      <c r="AY1108" s="3"/>
      <c r="BA1108" s="3"/>
      <c r="BG1108" s="3"/>
      <c r="BH1108" s="3"/>
    </row>
    <row r="1109" spans="1:60">
      <c r="A1109" s="23" t="s">
        <v>22</v>
      </c>
      <c r="B1109" s="23" t="s">
        <v>23</v>
      </c>
      <c r="C1109" s="27">
        <v>44337.5</v>
      </c>
      <c r="D1109" s="23">
        <v>55.55</v>
      </c>
      <c r="E1109" s="27">
        <v>44337.604166666664</v>
      </c>
      <c r="F1109" s="23">
        <v>56.15</v>
      </c>
      <c r="G1109" s="31">
        <v>1.0800000000000001E-2</v>
      </c>
      <c r="H1109" s="23">
        <v>-545.04999999999995</v>
      </c>
      <c r="I1109" s="31">
        <v>-1.0800000000000001E-2</v>
      </c>
      <c r="J1109" s="23">
        <v>908.41869999999994</v>
      </c>
      <c r="K1109" s="23">
        <v>50462.66</v>
      </c>
      <c r="L1109" s="23">
        <v>91896.78</v>
      </c>
      <c r="M1109" s="23">
        <v>11</v>
      </c>
      <c r="N1109" s="23">
        <v>-49.55</v>
      </c>
      <c r="O1109" s="31">
        <v>-1.0800000000000001E-2</v>
      </c>
      <c r="P1109" s="31">
        <v>4.4999999999999997E-3</v>
      </c>
      <c r="Q1109" s="23" t="s">
        <v>24</v>
      </c>
      <c r="R1109" s="23">
        <v>0</v>
      </c>
      <c r="S1109" s="23">
        <v>56.22</v>
      </c>
      <c r="U1109" s="47">
        <f>VLOOKUP(AU1109,[1]expiry_dates!$B$2:$C$2894,2,FALSE)</f>
        <v>44343</v>
      </c>
      <c r="V1109" s="23" t="s">
        <v>132</v>
      </c>
      <c r="W1109" s="23" t="s">
        <v>23</v>
      </c>
      <c r="X1109" s="49">
        <v>44337.5</v>
      </c>
      <c r="Y1109" s="23">
        <v>1.2</v>
      </c>
      <c r="Z1109" s="23">
        <v>44337.604166666664</v>
      </c>
      <c r="AA1109" s="23">
        <v>1.45</v>
      </c>
      <c r="AB1109" s="23">
        <v>0.20830000000000001</v>
      </c>
      <c r="AC1109" s="23">
        <v>-13753.69</v>
      </c>
      <c r="AD1109" s="23">
        <v>-0.20830000000000001</v>
      </c>
      <c r="AE1109" s="23">
        <v>55014.75</v>
      </c>
      <c r="AF1109" s="23">
        <v>66017.710000000006</v>
      </c>
      <c r="AG1109" s="23">
        <v>3189788.17</v>
      </c>
      <c r="AH1109" s="23">
        <v>11</v>
      </c>
      <c r="AI1109" s="23">
        <v>-1250.3399999999999</v>
      </c>
      <c r="AJ1109" s="23">
        <v>-0.20830000000000001</v>
      </c>
      <c r="AK1109" s="23">
        <v>0.16669999999999999</v>
      </c>
      <c r="AL1109" s="23" t="s">
        <v>24</v>
      </c>
      <c r="AM1109" s="23">
        <v>55.55</v>
      </c>
      <c r="AN1109" s="23">
        <v>34075.35</v>
      </c>
      <c r="AO1109" s="23">
        <v>56.22</v>
      </c>
      <c r="AP1109" s="23">
        <v>0</v>
      </c>
      <c r="AR1109" s="46"/>
      <c r="AS1109" s="44"/>
      <c r="AT1109" s="45"/>
      <c r="AU1109" s="2">
        <v>44337</v>
      </c>
      <c r="AV1109" s="52">
        <v>0.5</v>
      </c>
      <c r="AW1109" s="2" t="s">
        <v>213</v>
      </c>
      <c r="AY1109" s="3"/>
      <c r="BA1109" s="3"/>
      <c r="BG1109" s="3"/>
      <c r="BH1109" s="3"/>
    </row>
    <row r="1110" spans="1:60">
      <c r="A1110" s="23" t="s">
        <v>22</v>
      </c>
      <c r="B1110" s="23" t="s">
        <v>25</v>
      </c>
      <c r="C1110" s="27">
        <v>44337.604166666664</v>
      </c>
      <c r="D1110" s="23">
        <v>56.15</v>
      </c>
      <c r="E1110" s="27">
        <v>44341.40625</v>
      </c>
      <c r="F1110" s="23">
        <v>59</v>
      </c>
      <c r="G1110" s="31">
        <v>5.0799999999999998E-2</v>
      </c>
      <c r="H1110" s="23">
        <v>2561.25</v>
      </c>
      <c r="I1110" s="31">
        <v>5.0799999999999998E-2</v>
      </c>
      <c r="J1110" s="23">
        <v>898.68340000000001</v>
      </c>
      <c r="K1110" s="23">
        <v>50461.07</v>
      </c>
      <c r="L1110" s="23">
        <v>94458.03</v>
      </c>
      <c r="M1110" s="23">
        <v>38</v>
      </c>
      <c r="N1110" s="23">
        <v>67.400000000000006</v>
      </c>
      <c r="O1110" s="31">
        <v>-8.0000000000000002E-3</v>
      </c>
      <c r="P1110" s="31">
        <v>7.1199999999999999E-2</v>
      </c>
      <c r="Q1110" s="23" t="s">
        <v>24</v>
      </c>
      <c r="R1110" s="23">
        <v>0</v>
      </c>
      <c r="S1110" s="23">
        <v>55.33</v>
      </c>
      <c r="U1110" s="47">
        <f>VLOOKUP(AU1110,[1]expiry_dates!$B$2:$C$2894,2,FALSE)</f>
        <v>44343</v>
      </c>
      <c r="V1110" s="23" t="s">
        <v>207</v>
      </c>
      <c r="W1110" s="23" t="s">
        <v>23</v>
      </c>
      <c r="X1110" s="49">
        <v>44337.604166666664</v>
      </c>
      <c r="Y1110" s="23">
        <v>1.05</v>
      </c>
      <c r="Z1110" s="23">
        <v>44341.40625</v>
      </c>
      <c r="AA1110" s="23">
        <v>0.15</v>
      </c>
      <c r="AB1110" s="23">
        <v>-0.85709999999999997</v>
      </c>
      <c r="AC1110" s="23">
        <v>56586.61</v>
      </c>
      <c r="AD1110" s="23">
        <v>0.85709999999999997</v>
      </c>
      <c r="AE1110" s="23">
        <v>62874.01</v>
      </c>
      <c r="AF1110" s="23">
        <v>66017.710000000006</v>
      </c>
      <c r="AG1110" s="23">
        <v>3246374.78</v>
      </c>
      <c r="AH1110" s="23">
        <v>38</v>
      </c>
      <c r="AI1110" s="23">
        <v>1489.12</v>
      </c>
      <c r="AJ1110" s="23">
        <v>-9.5200000000000007E-2</v>
      </c>
      <c r="AK1110" s="23">
        <v>0.95240000000000002</v>
      </c>
      <c r="AL1110" s="23" t="s">
        <v>24</v>
      </c>
      <c r="AM1110" s="23">
        <v>56.15</v>
      </c>
      <c r="AN1110" s="23">
        <v>34462</v>
      </c>
      <c r="AO1110" s="23">
        <v>55.33</v>
      </c>
      <c r="AP1110" s="23">
        <v>0</v>
      </c>
      <c r="AR1110" s="46"/>
      <c r="AS1110" s="44"/>
      <c r="AT1110" s="45"/>
      <c r="AU1110" s="2">
        <v>44337</v>
      </c>
      <c r="AV1110" s="52">
        <v>0.10416666666666667</v>
      </c>
      <c r="AW1110" s="2" t="s">
        <v>213</v>
      </c>
      <c r="AY1110" s="3"/>
      <c r="BA1110" s="3"/>
      <c r="BG1110" s="3"/>
      <c r="BH1110" s="3"/>
    </row>
    <row r="1111" spans="1:60">
      <c r="A1111" s="23" t="s">
        <v>22</v>
      </c>
      <c r="B1111" s="23" t="s">
        <v>23</v>
      </c>
      <c r="C1111" s="27">
        <v>44341.40625</v>
      </c>
      <c r="D1111" s="23">
        <v>59</v>
      </c>
      <c r="E1111" s="27">
        <v>44341.583333333336</v>
      </c>
      <c r="F1111" s="23">
        <v>58.75</v>
      </c>
      <c r="G1111" s="31">
        <v>-4.1999999999999997E-3</v>
      </c>
      <c r="H1111" s="23">
        <v>213.87</v>
      </c>
      <c r="I1111" s="31">
        <v>4.1999999999999997E-3</v>
      </c>
      <c r="J1111" s="23">
        <v>855.49300000000005</v>
      </c>
      <c r="K1111" s="23">
        <v>50474.09</v>
      </c>
      <c r="L1111" s="23">
        <v>94671.91</v>
      </c>
      <c r="M1111" s="23">
        <v>18</v>
      </c>
      <c r="N1111" s="23">
        <v>11.88</v>
      </c>
      <c r="O1111" s="31">
        <v>-5.8999999999999999E-3</v>
      </c>
      <c r="P1111" s="31">
        <v>1.0200000000000001E-2</v>
      </c>
      <c r="Q1111" s="23" t="s">
        <v>24</v>
      </c>
      <c r="R1111" s="23">
        <v>0</v>
      </c>
      <c r="S1111" s="23">
        <v>60.13</v>
      </c>
      <c r="U1111" s="47">
        <f>VLOOKUP(AU1111,[1]expiry_dates!$B$2:$C$2894,2,FALSE)</f>
        <v>44343</v>
      </c>
      <c r="V1111" s="23" t="s">
        <v>205</v>
      </c>
      <c r="W1111" s="23" t="s">
        <v>23</v>
      </c>
      <c r="X1111" s="49">
        <v>44341.40625</v>
      </c>
      <c r="Y1111" s="23">
        <v>1.1499999999999999</v>
      </c>
      <c r="Z1111" s="23">
        <v>44341.583333333336</v>
      </c>
      <c r="AA1111" s="23">
        <v>1.05</v>
      </c>
      <c r="AB1111" s="23">
        <v>-8.6999999999999994E-2</v>
      </c>
      <c r="AC1111" s="23">
        <v>5762.03</v>
      </c>
      <c r="AD1111" s="23">
        <v>8.6999999999999994E-2</v>
      </c>
      <c r="AE1111" s="23">
        <v>57620.27</v>
      </c>
      <c r="AF1111" s="23">
        <v>66263.31</v>
      </c>
      <c r="AG1111" s="23">
        <v>3252136.81</v>
      </c>
      <c r="AH1111" s="23">
        <v>18</v>
      </c>
      <c r="AI1111" s="23">
        <v>320.11</v>
      </c>
      <c r="AJ1111" s="23">
        <v>-0.1739</v>
      </c>
      <c r="AK1111" s="23">
        <v>0.30430000000000001</v>
      </c>
      <c r="AL1111" s="23" t="s">
        <v>24</v>
      </c>
      <c r="AM1111" s="23">
        <v>59</v>
      </c>
      <c r="AN1111" s="23">
        <v>34758.400000000001</v>
      </c>
      <c r="AO1111" s="23">
        <v>60.13</v>
      </c>
      <c r="AP1111" s="23">
        <v>0</v>
      </c>
      <c r="AR1111" s="46"/>
      <c r="AS1111" s="44"/>
      <c r="AT1111" s="45"/>
      <c r="AU1111" s="2">
        <v>44341</v>
      </c>
      <c r="AV1111" s="52">
        <v>0.40625</v>
      </c>
      <c r="AW1111" s="2" t="s">
        <v>212</v>
      </c>
      <c r="AY1111" s="3"/>
      <c r="BA1111" s="3"/>
      <c r="BG1111" s="3"/>
      <c r="BH1111" s="3"/>
    </row>
    <row r="1112" spans="1:60">
      <c r="A1112" s="23" t="s">
        <v>22</v>
      </c>
      <c r="B1112" s="23" t="s">
        <v>25</v>
      </c>
      <c r="C1112" s="27">
        <v>44341.583333333336</v>
      </c>
      <c r="D1112" s="23">
        <v>58.75</v>
      </c>
      <c r="E1112" s="27">
        <v>44342.385416666664</v>
      </c>
      <c r="F1112" s="23">
        <v>58.3</v>
      </c>
      <c r="G1112" s="31">
        <v>-7.7000000000000002E-3</v>
      </c>
      <c r="H1112" s="23">
        <v>-386.6</v>
      </c>
      <c r="I1112" s="31">
        <v>-7.7000000000000002E-3</v>
      </c>
      <c r="J1112" s="23">
        <v>859.11369999999999</v>
      </c>
      <c r="K1112" s="23">
        <v>50472.93</v>
      </c>
      <c r="L1112" s="23">
        <v>94285.3</v>
      </c>
      <c r="M1112" s="23">
        <v>10</v>
      </c>
      <c r="N1112" s="23">
        <v>-38.659999999999997</v>
      </c>
      <c r="O1112" s="31">
        <v>-7.7000000000000002E-3</v>
      </c>
      <c r="P1112" s="31">
        <v>9.4000000000000004E-3</v>
      </c>
      <c r="Q1112" s="23" t="s">
        <v>24</v>
      </c>
      <c r="R1112" s="23">
        <v>0</v>
      </c>
      <c r="S1112" s="23">
        <v>58.42</v>
      </c>
      <c r="U1112" s="47">
        <f>VLOOKUP(AU1112,[1]expiry_dates!$B$2:$C$2894,2,FALSE)</f>
        <v>44343</v>
      </c>
      <c r="V1112" s="23" t="s">
        <v>201</v>
      </c>
      <c r="W1112" s="23" t="s">
        <v>23</v>
      </c>
      <c r="X1112" s="49">
        <v>44341.583333333336</v>
      </c>
      <c r="Y1112" s="23">
        <v>1.05</v>
      </c>
      <c r="Z1112" s="23">
        <v>44342.385416666664</v>
      </c>
      <c r="AA1112" s="23">
        <v>1.1499999999999999</v>
      </c>
      <c r="AB1112" s="23">
        <v>9.5200000000000007E-2</v>
      </c>
      <c r="AC1112" s="23">
        <v>-6311.91</v>
      </c>
      <c r="AD1112" s="23">
        <v>-9.5200000000000007E-2</v>
      </c>
      <c r="AE1112" s="23">
        <v>63119.14</v>
      </c>
      <c r="AF1112" s="23">
        <v>66275.09</v>
      </c>
      <c r="AG1112" s="23">
        <v>3245824.9</v>
      </c>
      <c r="AH1112" s="23">
        <v>10</v>
      </c>
      <c r="AI1112" s="23">
        <v>-631.19000000000005</v>
      </c>
      <c r="AJ1112" s="23">
        <v>-9.5200000000000007E-2</v>
      </c>
      <c r="AK1112" s="23">
        <v>0.33329999999999999</v>
      </c>
      <c r="AL1112" s="23" t="s">
        <v>24</v>
      </c>
      <c r="AM1112" s="23">
        <v>58.75</v>
      </c>
      <c r="AN1112" s="23">
        <v>34444.15</v>
      </c>
      <c r="AO1112" s="23">
        <v>58.42</v>
      </c>
      <c r="AP1112" s="23">
        <v>0</v>
      </c>
      <c r="AR1112" s="46"/>
      <c r="AS1112" s="44"/>
      <c r="AT1112" s="45"/>
      <c r="AU1112" s="2">
        <v>44341</v>
      </c>
      <c r="AV1112" s="52">
        <v>8.3333333333333329E-2</v>
      </c>
      <c r="AW1112" s="2" t="s">
        <v>213</v>
      </c>
      <c r="AY1112" s="3"/>
      <c r="BA1112" s="3"/>
      <c r="BG1112" s="3"/>
      <c r="BH1112" s="3"/>
    </row>
    <row r="1113" spans="1:60">
      <c r="A1113" s="23" t="s">
        <v>22</v>
      </c>
      <c r="B1113" s="23" t="s">
        <v>23</v>
      </c>
      <c r="C1113" s="27">
        <v>44342.385416666664</v>
      </c>
      <c r="D1113" s="23">
        <v>58.3</v>
      </c>
      <c r="E1113" s="27">
        <v>44342.46875</v>
      </c>
      <c r="F1113" s="23">
        <v>58.8</v>
      </c>
      <c r="G1113" s="31">
        <v>8.6E-3</v>
      </c>
      <c r="H1113" s="23">
        <v>-432.89</v>
      </c>
      <c r="I1113" s="31">
        <v>-8.6E-3</v>
      </c>
      <c r="J1113" s="23">
        <v>865.77809999999999</v>
      </c>
      <c r="K1113" s="23">
        <v>50474.86</v>
      </c>
      <c r="L1113" s="23">
        <v>93852.42</v>
      </c>
      <c r="M1113" s="23">
        <v>9</v>
      </c>
      <c r="N1113" s="23">
        <v>-48.1</v>
      </c>
      <c r="O1113" s="31">
        <v>-1.72E-2</v>
      </c>
      <c r="P1113" s="31">
        <v>6.0000000000000001E-3</v>
      </c>
      <c r="Q1113" s="23" t="s">
        <v>24</v>
      </c>
      <c r="R1113" s="23">
        <v>0</v>
      </c>
      <c r="S1113" s="23">
        <v>59.3</v>
      </c>
      <c r="U1113" s="47">
        <f>VLOOKUP(AU1113,[1]expiry_dates!$B$2:$C$2894,2,FALSE)</f>
        <v>44343</v>
      </c>
      <c r="V1113" s="23" t="s">
        <v>184</v>
      </c>
      <c r="W1113" s="23" t="s">
        <v>23</v>
      </c>
      <c r="X1113" s="49">
        <v>44342.385416666664</v>
      </c>
      <c r="Y1113" s="23">
        <v>0.8</v>
      </c>
      <c r="Z1113" s="23">
        <v>44342.46875</v>
      </c>
      <c r="AA1113" s="23">
        <v>1.2</v>
      </c>
      <c r="AB1113" s="23">
        <v>0.5</v>
      </c>
      <c r="AC1113" s="23">
        <v>-33185.57</v>
      </c>
      <c r="AD1113" s="23">
        <v>-0.5</v>
      </c>
      <c r="AE1113" s="23">
        <v>82963.929999999993</v>
      </c>
      <c r="AF1113" s="23">
        <v>66371.149999999994</v>
      </c>
      <c r="AG1113" s="23">
        <v>3212639.32</v>
      </c>
      <c r="AH1113" s="23">
        <v>9</v>
      </c>
      <c r="AI1113" s="23">
        <v>-3687.29</v>
      </c>
      <c r="AJ1113" s="23">
        <v>-0.5</v>
      </c>
      <c r="AK1113" s="23">
        <v>6.25E-2</v>
      </c>
      <c r="AL1113" s="23" t="s">
        <v>24</v>
      </c>
      <c r="AM1113" s="23">
        <v>58.3</v>
      </c>
      <c r="AN1113" s="23">
        <v>34563</v>
      </c>
      <c r="AO1113" s="23">
        <v>59.3</v>
      </c>
      <c r="AP1113" s="23">
        <v>0</v>
      </c>
      <c r="AR1113" s="46"/>
      <c r="AS1113" s="44"/>
      <c r="AT1113" s="45"/>
      <c r="AU1113" s="2">
        <v>44342</v>
      </c>
      <c r="AV1113" s="52">
        <v>0.38541666666666669</v>
      </c>
      <c r="AW1113" s="2" t="s">
        <v>212</v>
      </c>
      <c r="AY1113" s="3"/>
      <c r="BA1113" s="3"/>
      <c r="BG1113" s="3"/>
      <c r="BH1113" s="3"/>
    </row>
    <row r="1114" spans="1:60">
      <c r="A1114" s="23" t="s">
        <v>22</v>
      </c>
      <c r="B1114" s="23" t="s">
        <v>25</v>
      </c>
      <c r="C1114" s="27">
        <v>44342.46875</v>
      </c>
      <c r="D1114" s="23">
        <v>58.8</v>
      </c>
      <c r="E1114" s="27">
        <v>44342.53125</v>
      </c>
      <c r="F1114" s="23">
        <v>58.2</v>
      </c>
      <c r="G1114" s="31">
        <v>-1.0200000000000001E-2</v>
      </c>
      <c r="H1114" s="23">
        <v>-514.99</v>
      </c>
      <c r="I1114" s="31">
        <v>-1.0200000000000001E-2</v>
      </c>
      <c r="J1114" s="23">
        <v>858.32079999999996</v>
      </c>
      <c r="K1114" s="23">
        <v>50469.26</v>
      </c>
      <c r="L1114" s="23">
        <v>93337.42</v>
      </c>
      <c r="M1114" s="23">
        <v>7</v>
      </c>
      <c r="N1114" s="23">
        <v>-73.569999999999993</v>
      </c>
      <c r="O1114" s="31">
        <v>-1.0200000000000001E-2</v>
      </c>
      <c r="P1114" s="31">
        <v>3.3999999999999998E-3</v>
      </c>
      <c r="Q1114" s="23" t="s">
        <v>24</v>
      </c>
      <c r="R1114" s="23">
        <v>0</v>
      </c>
      <c r="S1114" s="23">
        <v>57.99</v>
      </c>
      <c r="U1114" s="47">
        <f>VLOOKUP(AU1114,[1]expiry_dates!$B$2:$C$2894,2,FALSE)</f>
        <v>44343</v>
      </c>
      <c r="V1114" s="23" t="s">
        <v>201</v>
      </c>
      <c r="W1114" s="23" t="s">
        <v>23</v>
      </c>
      <c r="X1114" s="49">
        <v>44342.46875</v>
      </c>
      <c r="Y1114" s="23">
        <v>0.7</v>
      </c>
      <c r="Z1114" s="23">
        <v>44342.53125</v>
      </c>
      <c r="AA1114" s="23">
        <v>1</v>
      </c>
      <c r="AB1114" s="23">
        <v>0.42859999999999998</v>
      </c>
      <c r="AC1114" s="23">
        <v>-28321.69</v>
      </c>
      <c r="AD1114" s="23">
        <v>-0.42859999999999998</v>
      </c>
      <c r="AE1114" s="23">
        <v>94405.63</v>
      </c>
      <c r="AF1114" s="23">
        <v>66083.94</v>
      </c>
      <c r="AG1114" s="23">
        <v>3184317.64</v>
      </c>
      <c r="AH1114" s="23">
        <v>7</v>
      </c>
      <c r="AI1114" s="23">
        <v>-4045.96</v>
      </c>
      <c r="AJ1114" s="23">
        <v>-0.42859999999999998</v>
      </c>
      <c r="AK1114" s="23">
        <v>7.1400000000000005E-2</v>
      </c>
      <c r="AL1114" s="23" t="s">
        <v>24</v>
      </c>
      <c r="AM1114" s="23">
        <v>58.8</v>
      </c>
      <c r="AN1114" s="23">
        <v>34782.25</v>
      </c>
      <c r="AO1114" s="23">
        <v>57.99</v>
      </c>
      <c r="AP1114" s="23">
        <v>0</v>
      </c>
      <c r="AR1114" s="46"/>
      <c r="AS1114" s="44"/>
      <c r="AT1114" s="45"/>
      <c r="AU1114" s="2">
        <v>44342</v>
      </c>
      <c r="AV1114" s="52">
        <v>0.46875</v>
      </c>
      <c r="AW1114" s="2" t="s">
        <v>212</v>
      </c>
      <c r="AY1114" s="3"/>
      <c r="BA1114" s="3"/>
      <c r="BG1114" s="3"/>
      <c r="BH1114" s="3"/>
    </row>
    <row r="1115" spans="1:60">
      <c r="A1115" s="23" t="s">
        <v>22</v>
      </c>
      <c r="B1115" s="23" t="s">
        <v>23</v>
      </c>
      <c r="C1115" s="27">
        <v>44342.53125</v>
      </c>
      <c r="D1115" s="23">
        <v>58.2</v>
      </c>
      <c r="E1115" s="27">
        <v>44343.479166666664</v>
      </c>
      <c r="F1115" s="23">
        <v>57.85</v>
      </c>
      <c r="G1115" s="31">
        <v>-6.0000000000000001E-3</v>
      </c>
      <c r="H1115" s="23">
        <v>303.5</v>
      </c>
      <c r="I1115" s="31">
        <v>6.0000000000000001E-3</v>
      </c>
      <c r="J1115" s="23">
        <v>867.13620000000003</v>
      </c>
      <c r="K1115" s="23">
        <v>50467.33</v>
      </c>
      <c r="L1115" s="23">
        <v>93640.92</v>
      </c>
      <c r="M1115" s="23">
        <v>24</v>
      </c>
      <c r="N1115" s="23">
        <v>12.65</v>
      </c>
      <c r="O1115" s="31">
        <v>-3.3999999999999998E-3</v>
      </c>
      <c r="P1115" s="31">
        <v>1.7999999999999999E-2</v>
      </c>
      <c r="Q1115" s="23" t="s">
        <v>24</v>
      </c>
      <c r="R1115" s="23">
        <v>0</v>
      </c>
      <c r="S1115" s="23">
        <v>59</v>
      </c>
      <c r="U1115" s="47">
        <f>VLOOKUP(AU1115,[1]expiry_dates!$B$2:$C$2894,2,FALSE)</f>
        <v>44343</v>
      </c>
      <c r="V1115" s="23" t="s">
        <v>184</v>
      </c>
      <c r="W1115" s="23" t="s">
        <v>23</v>
      </c>
      <c r="X1115" s="49">
        <v>44342.53125</v>
      </c>
      <c r="Y1115" s="23">
        <v>0.8</v>
      </c>
      <c r="Z1115" s="23">
        <v>44343.479166666664</v>
      </c>
      <c r="AA1115" s="23">
        <v>0.5</v>
      </c>
      <c r="AB1115" s="23">
        <v>-0.375</v>
      </c>
      <c r="AC1115" s="23">
        <v>24729.45</v>
      </c>
      <c r="AD1115" s="23">
        <v>0.375</v>
      </c>
      <c r="AE1115" s="23">
        <v>82431.48</v>
      </c>
      <c r="AF1115" s="23">
        <v>65945.19</v>
      </c>
      <c r="AG1115" s="23">
        <v>3209047.08</v>
      </c>
      <c r="AH1115" s="23">
        <v>24</v>
      </c>
      <c r="AI1115" s="23">
        <v>1030.3900000000001</v>
      </c>
      <c r="AJ1115" s="23">
        <v>-0.1875</v>
      </c>
      <c r="AK1115" s="23">
        <v>0.8125</v>
      </c>
      <c r="AL1115" s="23" t="s">
        <v>24</v>
      </c>
      <c r="AM1115" s="23">
        <v>58.2</v>
      </c>
      <c r="AN1115" s="23">
        <v>34825.5</v>
      </c>
      <c r="AO1115" s="23">
        <v>59</v>
      </c>
      <c r="AP1115" s="23">
        <v>0</v>
      </c>
      <c r="AR1115" s="46"/>
      <c r="AS1115" s="44"/>
      <c r="AT1115" s="45"/>
      <c r="AU1115" s="2">
        <v>44342</v>
      </c>
      <c r="AV1115" s="52">
        <v>0.53125</v>
      </c>
      <c r="AW1115" s="2" t="s">
        <v>213</v>
      </c>
      <c r="AY1115" s="3"/>
      <c r="BA1115" s="3"/>
      <c r="BG1115" s="3"/>
      <c r="BH1115" s="3"/>
    </row>
    <row r="1116" spans="1:60">
      <c r="A1116" s="23" t="s">
        <v>22</v>
      </c>
      <c r="B1116" s="23" t="s">
        <v>25</v>
      </c>
      <c r="C1116" s="27">
        <v>44343.479166666664</v>
      </c>
      <c r="D1116" s="23">
        <v>57.85</v>
      </c>
      <c r="E1116" s="27">
        <v>44343.583333333336</v>
      </c>
      <c r="F1116" s="23">
        <v>57.8</v>
      </c>
      <c r="G1116" s="31">
        <v>-8.9999999999999998E-4</v>
      </c>
      <c r="H1116" s="23">
        <v>-43.62</v>
      </c>
      <c r="I1116" s="31">
        <v>-8.9999999999999998E-4</v>
      </c>
      <c r="J1116" s="23">
        <v>872.40139999999997</v>
      </c>
      <c r="K1116" s="23">
        <v>50468.42</v>
      </c>
      <c r="L1116" s="23">
        <v>93597.3</v>
      </c>
      <c r="M1116" s="23">
        <v>11</v>
      </c>
      <c r="N1116" s="23">
        <v>-3.97</v>
      </c>
      <c r="O1116" s="31">
        <v>-2.5999999999999999E-3</v>
      </c>
      <c r="P1116" s="31">
        <v>1.2999999999999999E-2</v>
      </c>
      <c r="Q1116" s="23" t="s">
        <v>24</v>
      </c>
      <c r="R1116" s="23">
        <v>0</v>
      </c>
      <c r="S1116" s="23">
        <v>57.17</v>
      </c>
      <c r="U1116" s="47">
        <f>VLOOKUP(AU1116,[1]expiry_dates!$B$2:$C$2894,2,FALSE)</f>
        <v>44343</v>
      </c>
      <c r="V1116" s="23" t="s">
        <v>185</v>
      </c>
      <c r="W1116" s="23" t="s">
        <v>23</v>
      </c>
      <c r="X1116" s="49">
        <v>44343.479166666664</v>
      </c>
      <c r="Y1116" s="23">
        <v>0.55000000000000004</v>
      </c>
      <c r="Z1116" s="23">
        <v>44343.583333333336</v>
      </c>
      <c r="AA1116" s="23">
        <v>0.45</v>
      </c>
      <c r="AB1116" s="23">
        <v>-0.18179999999999999</v>
      </c>
      <c r="AC1116" s="23">
        <v>12023.21</v>
      </c>
      <c r="AD1116" s="23">
        <v>0.18179999999999999</v>
      </c>
      <c r="AE1116" s="23">
        <v>120232.1</v>
      </c>
      <c r="AF1116" s="23">
        <v>66127.66</v>
      </c>
      <c r="AG1116" s="23">
        <v>3221070.29</v>
      </c>
      <c r="AH1116" s="23">
        <v>11</v>
      </c>
      <c r="AI1116" s="23">
        <v>1093.02</v>
      </c>
      <c r="AJ1116" s="23">
        <v>0</v>
      </c>
      <c r="AK1116" s="23">
        <v>0.81820000000000004</v>
      </c>
      <c r="AL1116" s="23" t="s">
        <v>24</v>
      </c>
      <c r="AM1116" s="23">
        <v>57.85</v>
      </c>
      <c r="AN1116" s="23">
        <v>34731.85</v>
      </c>
      <c r="AO1116" s="23">
        <v>57.17</v>
      </c>
      <c r="AP1116" s="23">
        <v>0</v>
      </c>
      <c r="AR1116" s="46"/>
      <c r="AS1116" s="44"/>
      <c r="AT1116" s="45"/>
      <c r="AU1116" s="2">
        <v>44343</v>
      </c>
      <c r="AV1116" s="52">
        <v>0.47916666666666669</v>
      </c>
      <c r="AW1116" s="2" t="s">
        <v>212</v>
      </c>
      <c r="AY1116" s="3"/>
      <c r="BA1116" s="3"/>
      <c r="BG1116" s="3"/>
      <c r="BH1116" s="3"/>
    </row>
    <row r="1117" spans="1:60">
      <c r="A1117" s="23" t="s">
        <v>22</v>
      </c>
      <c r="B1117" s="23" t="s">
        <v>23</v>
      </c>
      <c r="C1117" s="27">
        <v>44343.583333333336</v>
      </c>
      <c r="D1117" s="23">
        <v>57.8</v>
      </c>
      <c r="E1117" s="27">
        <v>44343.697916666664</v>
      </c>
      <c r="F1117" s="23">
        <v>57.9</v>
      </c>
      <c r="G1117" s="31">
        <v>1.6999999999999999E-3</v>
      </c>
      <c r="H1117" s="23">
        <v>-87.32</v>
      </c>
      <c r="I1117" s="31">
        <v>-1.6999999999999999E-3</v>
      </c>
      <c r="J1117" s="23">
        <v>873.18629999999996</v>
      </c>
      <c r="K1117" s="23">
        <v>50470.17</v>
      </c>
      <c r="L1117" s="23">
        <v>93509.98</v>
      </c>
      <c r="M1117" s="23">
        <v>8</v>
      </c>
      <c r="N1117" s="23">
        <v>-10.91</v>
      </c>
      <c r="O1117" s="31">
        <v>-8.6999999999999994E-3</v>
      </c>
      <c r="P1117" s="31">
        <v>5.1999999999999998E-3</v>
      </c>
      <c r="Q1117" s="23" t="s">
        <v>24</v>
      </c>
      <c r="R1117" s="23">
        <v>0</v>
      </c>
      <c r="S1117" s="23">
        <v>58.6</v>
      </c>
      <c r="U1117" s="47">
        <f>VLOOKUP(AU1117,[1]expiry_dates!$B$2:$C$2894,2,FALSE)</f>
        <v>44343</v>
      </c>
      <c r="V1117" s="23" t="s">
        <v>184</v>
      </c>
      <c r="W1117" s="23" t="s">
        <v>23</v>
      </c>
      <c r="X1117" s="49">
        <v>44343.583333333336</v>
      </c>
      <c r="Y1117" s="23">
        <v>0.35</v>
      </c>
      <c r="Z1117" s="23">
        <v>44343.697916666664</v>
      </c>
      <c r="AA1117" s="23">
        <v>0.05</v>
      </c>
      <c r="AB1117" s="23">
        <v>-0.85709999999999997</v>
      </c>
      <c r="AC1117" s="23">
        <v>56842.080000000002</v>
      </c>
      <c r="AD1117" s="23">
        <v>0.85709999999999997</v>
      </c>
      <c r="AE1117" s="23">
        <v>189473.6</v>
      </c>
      <c r="AF1117" s="23">
        <v>66315.759999999995</v>
      </c>
      <c r="AG1117" s="23">
        <v>3277912.37</v>
      </c>
      <c r="AH1117" s="23">
        <v>8</v>
      </c>
      <c r="AI1117" s="23">
        <v>7105.26</v>
      </c>
      <c r="AJ1117" s="23">
        <v>-0.71430000000000005</v>
      </c>
      <c r="AK1117" s="23">
        <v>0.85709999999999997</v>
      </c>
      <c r="AL1117" s="23" t="s">
        <v>24</v>
      </c>
      <c r="AM1117" s="23">
        <v>57.8</v>
      </c>
      <c r="AN1117" s="23">
        <v>34824.199999999997</v>
      </c>
      <c r="AO1117" s="23">
        <v>58.6</v>
      </c>
      <c r="AP1117" s="23">
        <v>0</v>
      </c>
      <c r="AR1117" s="46"/>
      <c r="AS1117" s="44"/>
      <c r="AT1117" s="45"/>
      <c r="AU1117" s="2">
        <v>44343</v>
      </c>
      <c r="AV1117" s="52">
        <v>8.3333333333333329E-2</v>
      </c>
      <c r="AW1117" s="2" t="s">
        <v>213</v>
      </c>
      <c r="AY1117" s="3"/>
      <c r="BA1117" s="3"/>
      <c r="BG1117" s="3"/>
      <c r="BH1117" s="3"/>
    </row>
    <row r="1118" spans="1:60">
      <c r="A1118" s="23" t="s">
        <v>22</v>
      </c>
      <c r="B1118" s="23" t="s">
        <v>25</v>
      </c>
      <c r="C1118" s="27">
        <v>44344.385416666664</v>
      </c>
      <c r="D1118" s="23">
        <v>58.25</v>
      </c>
      <c r="E1118" s="27">
        <v>44344.604166666664</v>
      </c>
      <c r="F1118" s="23">
        <v>58.85</v>
      </c>
      <c r="G1118" s="31">
        <v>1.03E-2</v>
      </c>
      <c r="H1118" s="23">
        <v>519.84</v>
      </c>
      <c r="I1118" s="31">
        <v>1.03E-2</v>
      </c>
      <c r="J1118" s="23">
        <v>866.39570000000003</v>
      </c>
      <c r="K1118" s="23">
        <v>50467.55</v>
      </c>
      <c r="L1118" s="23">
        <v>94029.82</v>
      </c>
      <c r="M1118" s="23">
        <v>22</v>
      </c>
      <c r="N1118" s="23">
        <v>23.63</v>
      </c>
      <c r="O1118" s="31">
        <v>-5.1999999999999998E-3</v>
      </c>
      <c r="P1118" s="31">
        <v>2.1499999999999998E-2</v>
      </c>
      <c r="Q1118" s="23" t="s">
        <v>24</v>
      </c>
      <c r="R1118" s="23">
        <v>0</v>
      </c>
      <c r="S1118" s="23">
        <v>57.56</v>
      </c>
      <c r="U1118" s="47">
        <f>VLOOKUP(AU1118,[1]expiry_dates!$B$2:$C$2894,2,FALSE)</f>
        <v>44371</v>
      </c>
      <c r="V1118" s="23" t="s">
        <v>185</v>
      </c>
      <c r="W1118" s="23" t="s">
        <v>23</v>
      </c>
      <c r="X1118" s="49">
        <v>44344.385416666664</v>
      </c>
      <c r="Y1118" s="23">
        <v>3.15</v>
      </c>
      <c r="Z1118" s="23">
        <v>44344.604166666664</v>
      </c>
      <c r="AA1118" s="23">
        <v>2.7</v>
      </c>
      <c r="AB1118" s="23">
        <v>-0.1429</v>
      </c>
      <c r="AC1118" s="23">
        <v>9484.2199999999993</v>
      </c>
      <c r="AD1118" s="23">
        <v>0.1429</v>
      </c>
      <c r="AE1118" s="23">
        <v>21076.05</v>
      </c>
      <c r="AF1118" s="23">
        <v>66389.56</v>
      </c>
      <c r="AG1118" s="23">
        <v>3287396.59</v>
      </c>
      <c r="AH1118" s="23">
        <v>22</v>
      </c>
      <c r="AI1118" s="23">
        <v>431.1</v>
      </c>
      <c r="AJ1118" s="23">
        <v>-3.1699999999999999E-2</v>
      </c>
      <c r="AK1118" s="23">
        <v>0.1905</v>
      </c>
      <c r="AL1118" s="23" t="s">
        <v>24</v>
      </c>
      <c r="AM1118" s="23">
        <v>58.25</v>
      </c>
      <c r="AN1118" s="23">
        <v>35350.25</v>
      </c>
      <c r="AO1118" s="23">
        <v>57.56</v>
      </c>
      <c r="AP1118" s="23">
        <v>0</v>
      </c>
      <c r="AR1118" s="46"/>
      <c r="AS1118" s="44"/>
      <c r="AT1118" s="45"/>
      <c r="AU1118" s="2">
        <v>44344</v>
      </c>
      <c r="AV1118" s="52">
        <v>0.38541666666666669</v>
      </c>
      <c r="AW1118" s="2" t="s">
        <v>212</v>
      </c>
      <c r="AY1118" s="3"/>
      <c r="BA1118" s="3"/>
      <c r="BG1118" s="3"/>
      <c r="BH1118" s="3"/>
    </row>
    <row r="1119" spans="1:60">
      <c r="A1119" s="23" t="s">
        <v>22</v>
      </c>
      <c r="B1119" s="23" t="s">
        <v>23</v>
      </c>
      <c r="C1119" s="27">
        <v>44344.604166666664</v>
      </c>
      <c r="D1119" s="23">
        <v>58.85</v>
      </c>
      <c r="E1119" s="27">
        <v>44344.635416666664</v>
      </c>
      <c r="F1119" s="23">
        <v>59.15</v>
      </c>
      <c r="G1119" s="31">
        <v>5.1000000000000004E-3</v>
      </c>
      <c r="H1119" s="23">
        <v>-257.29000000000002</v>
      </c>
      <c r="I1119" s="31">
        <v>-5.1000000000000004E-3</v>
      </c>
      <c r="J1119" s="23">
        <v>857.62130000000002</v>
      </c>
      <c r="K1119" s="23">
        <v>50471.02</v>
      </c>
      <c r="L1119" s="23">
        <v>93772.53</v>
      </c>
      <c r="M1119" s="23">
        <v>4</v>
      </c>
      <c r="N1119" s="23">
        <v>-64.319999999999993</v>
      </c>
      <c r="O1119" s="31">
        <v>-5.8999999999999999E-3</v>
      </c>
      <c r="P1119" s="31">
        <v>3.3999999999999998E-3</v>
      </c>
      <c r="Q1119" s="23" t="s">
        <v>24</v>
      </c>
      <c r="R1119" s="23">
        <v>0</v>
      </c>
      <c r="S1119" s="23">
        <v>59.49</v>
      </c>
      <c r="U1119" s="47">
        <f>VLOOKUP(AU1119,[1]expiry_dates!$B$2:$C$2894,2,FALSE)</f>
        <v>44371</v>
      </c>
      <c r="V1119" s="23" t="s">
        <v>205</v>
      </c>
      <c r="W1119" s="23" t="s">
        <v>23</v>
      </c>
      <c r="X1119" s="49">
        <v>44344.604166666664</v>
      </c>
      <c r="Y1119" s="23">
        <v>3.55</v>
      </c>
      <c r="Z1119" s="23">
        <v>44344.635416666664</v>
      </c>
      <c r="AA1119" s="23">
        <v>3.7</v>
      </c>
      <c r="AB1119" s="23">
        <v>4.2299999999999997E-2</v>
      </c>
      <c r="AC1119" s="23">
        <v>-2807.42</v>
      </c>
      <c r="AD1119" s="23">
        <v>-4.2299999999999997E-2</v>
      </c>
      <c r="AE1119" s="23">
        <v>18716.13</v>
      </c>
      <c r="AF1119" s="23">
        <v>66442.25</v>
      </c>
      <c r="AG1119" s="23">
        <v>3284589.18</v>
      </c>
      <c r="AH1119" s="23">
        <v>4</v>
      </c>
      <c r="AI1119" s="23">
        <v>-701.85</v>
      </c>
      <c r="AJ1119" s="23">
        <v>-4.2299999999999997E-2</v>
      </c>
      <c r="AK1119" s="23">
        <v>5.6300000000000003E-2</v>
      </c>
      <c r="AL1119" s="23" t="s">
        <v>24</v>
      </c>
      <c r="AM1119" s="23">
        <v>58.85</v>
      </c>
      <c r="AN1119" s="23">
        <v>35080.300000000003</v>
      </c>
      <c r="AO1119" s="23">
        <v>59.49</v>
      </c>
      <c r="AP1119" s="23">
        <v>0</v>
      </c>
      <c r="AR1119" s="46"/>
      <c r="AS1119" s="44"/>
      <c r="AT1119" s="45"/>
      <c r="AU1119" s="2">
        <v>44344</v>
      </c>
      <c r="AV1119" s="52">
        <v>0.10416666666666667</v>
      </c>
      <c r="AW1119" s="2" t="s">
        <v>213</v>
      </c>
      <c r="AY1119" s="3"/>
      <c r="BA1119" s="3"/>
      <c r="BG1119" s="3"/>
      <c r="BH1119" s="3"/>
    </row>
    <row r="1120" spans="1:60">
      <c r="A1120" s="23" t="s">
        <v>22</v>
      </c>
      <c r="B1120" s="23" t="s">
        <v>25</v>
      </c>
      <c r="C1120" s="27">
        <v>44344.635416666664</v>
      </c>
      <c r="D1120" s="23">
        <v>59.15</v>
      </c>
      <c r="E1120" s="27">
        <v>44347.385416666664</v>
      </c>
      <c r="F1120" s="23">
        <v>58.45</v>
      </c>
      <c r="G1120" s="31">
        <v>-1.18E-2</v>
      </c>
      <c r="H1120" s="23">
        <v>-597.27</v>
      </c>
      <c r="I1120" s="31">
        <v>-1.18E-2</v>
      </c>
      <c r="J1120" s="23">
        <v>853.23879999999997</v>
      </c>
      <c r="K1120" s="23">
        <v>50469.08</v>
      </c>
      <c r="L1120" s="23">
        <v>93175.27</v>
      </c>
      <c r="M1120" s="23">
        <v>5</v>
      </c>
      <c r="N1120" s="23">
        <v>-119.45</v>
      </c>
      <c r="O1120" s="31">
        <v>-1.18E-2</v>
      </c>
      <c r="P1120" s="31">
        <v>5.1000000000000004E-3</v>
      </c>
      <c r="Q1120" s="23" t="s">
        <v>24</v>
      </c>
      <c r="R1120" s="23">
        <v>0</v>
      </c>
      <c r="S1120" s="23">
        <v>58.67</v>
      </c>
      <c r="U1120" s="47">
        <f>VLOOKUP(AU1120,[1]expiry_dates!$B$2:$C$2894,2,FALSE)</f>
        <v>44371</v>
      </c>
      <c r="V1120" s="23" t="s">
        <v>201</v>
      </c>
      <c r="W1120" s="23" t="s">
        <v>23</v>
      </c>
      <c r="X1120" s="49">
        <v>44344.635416666664</v>
      </c>
      <c r="Y1120" s="23">
        <v>3.05</v>
      </c>
      <c r="Z1120" s="23">
        <v>44347.385416666664</v>
      </c>
      <c r="AA1120" s="23">
        <v>3.5</v>
      </c>
      <c r="AB1120" s="23">
        <v>0.14749999999999999</v>
      </c>
      <c r="AC1120" s="23">
        <v>-9801.49</v>
      </c>
      <c r="AD1120" s="23">
        <v>-0.14749999999999999</v>
      </c>
      <c r="AE1120" s="23">
        <v>21781.08</v>
      </c>
      <c r="AF1120" s="23">
        <v>66432.3</v>
      </c>
      <c r="AG1120" s="23">
        <v>3274787.69</v>
      </c>
      <c r="AH1120" s="23">
        <v>5</v>
      </c>
      <c r="AI1120" s="23">
        <v>-1960.3</v>
      </c>
      <c r="AJ1120" s="23">
        <v>-0.14749999999999999</v>
      </c>
      <c r="AK1120" s="23">
        <v>0</v>
      </c>
      <c r="AL1120" s="23" t="s">
        <v>24</v>
      </c>
      <c r="AM1120" s="23">
        <v>59.15</v>
      </c>
      <c r="AN1120" s="23">
        <v>35222.65</v>
      </c>
      <c r="AO1120" s="23">
        <v>58.67</v>
      </c>
      <c r="AP1120" s="23">
        <v>0</v>
      </c>
      <c r="AR1120" s="46"/>
      <c r="AS1120" s="44"/>
      <c r="AT1120" s="45"/>
      <c r="AU1120" s="2">
        <v>44344</v>
      </c>
      <c r="AV1120" s="52">
        <v>0.13541666666666666</v>
      </c>
      <c r="AW1120" s="2" t="s">
        <v>213</v>
      </c>
      <c r="AY1120" s="3"/>
      <c r="BA1120" s="3"/>
      <c r="BG1120" s="3"/>
      <c r="BH1120" s="3"/>
    </row>
    <row r="1121" spans="1:60">
      <c r="A1121" s="23" t="s">
        <v>22</v>
      </c>
      <c r="B1121" s="23" t="s">
        <v>23</v>
      </c>
      <c r="C1121" s="27">
        <v>44347.385416666664</v>
      </c>
      <c r="D1121" s="23">
        <v>58.45</v>
      </c>
      <c r="E1121" s="27">
        <v>44347.520833333336</v>
      </c>
      <c r="F1121" s="23">
        <v>58.75</v>
      </c>
      <c r="G1121" s="31">
        <v>5.1000000000000004E-3</v>
      </c>
      <c r="H1121" s="23">
        <v>-259.04000000000002</v>
      </c>
      <c r="I1121" s="31">
        <v>-5.1000000000000004E-3</v>
      </c>
      <c r="J1121" s="23">
        <v>863.45360000000005</v>
      </c>
      <c r="K1121" s="23">
        <v>50468.86</v>
      </c>
      <c r="L1121" s="23">
        <v>92916.23</v>
      </c>
      <c r="M1121" s="23">
        <v>14</v>
      </c>
      <c r="N1121" s="23">
        <v>-18.5</v>
      </c>
      <c r="O1121" s="31">
        <v>-1.2E-2</v>
      </c>
      <c r="P1121" s="31">
        <v>5.1000000000000004E-3</v>
      </c>
      <c r="Q1121" s="23" t="s">
        <v>24</v>
      </c>
      <c r="R1121" s="23">
        <v>0</v>
      </c>
      <c r="S1121" s="23">
        <v>59.41</v>
      </c>
      <c r="U1121" s="47">
        <f>VLOOKUP(AU1121,[1]expiry_dates!$B$2:$C$2894,2,FALSE)</f>
        <v>44371</v>
      </c>
      <c r="V1121" s="23" t="s">
        <v>184</v>
      </c>
      <c r="W1121" s="23" t="s">
        <v>23</v>
      </c>
      <c r="X1121" s="49">
        <v>44347.385416666664</v>
      </c>
      <c r="Y1121" s="23">
        <v>3.65</v>
      </c>
      <c r="Z1121" s="23">
        <v>44347.520833333336</v>
      </c>
      <c r="AA1121" s="23">
        <v>3.75</v>
      </c>
      <c r="AB1121" s="23">
        <v>2.7400000000000001E-2</v>
      </c>
      <c r="AC1121" s="23">
        <v>-1819.81</v>
      </c>
      <c r="AD1121" s="23">
        <v>-2.7400000000000001E-2</v>
      </c>
      <c r="AE1121" s="23">
        <v>18198.07</v>
      </c>
      <c r="AF1121" s="23">
        <v>66422.95</v>
      </c>
      <c r="AG1121" s="23">
        <v>3272967.88</v>
      </c>
      <c r="AH1121" s="23">
        <v>14</v>
      </c>
      <c r="AI1121" s="23">
        <v>-129.99</v>
      </c>
      <c r="AJ1121" s="23">
        <v>-6.8500000000000005E-2</v>
      </c>
      <c r="AK1121" s="23">
        <v>4.1099999999999998E-2</v>
      </c>
      <c r="AL1121" s="23" t="s">
        <v>24</v>
      </c>
      <c r="AM1121" s="23">
        <v>58.45</v>
      </c>
      <c r="AN1121" s="23">
        <v>35019.65</v>
      </c>
      <c r="AO1121" s="23">
        <v>59.41</v>
      </c>
      <c r="AP1121" s="23">
        <v>0</v>
      </c>
      <c r="AR1121" s="46"/>
      <c r="AS1121" s="44"/>
      <c r="AT1121" s="45"/>
      <c r="AU1121" s="2">
        <v>44347</v>
      </c>
      <c r="AV1121" s="52">
        <v>0.38541666666666669</v>
      </c>
      <c r="AW1121" s="2" t="s">
        <v>212</v>
      </c>
      <c r="AY1121" s="3"/>
      <c r="BA1121" s="3"/>
      <c r="BG1121" s="3"/>
      <c r="BH1121" s="3"/>
    </row>
    <row r="1122" spans="1:60">
      <c r="A1122" s="23" t="s">
        <v>22</v>
      </c>
      <c r="B1122" s="23" t="s">
        <v>25</v>
      </c>
      <c r="C1122" s="27">
        <v>44347.520833333336</v>
      </c>
      <c r="D1122" s="23">
        <v>58.75</v>
      </c>
      <c r="E1122" s="27">
        <v>44347.614583333336</v>
      </c>
      <c r="F1122" s="23">
        <v>58.45</v>
      </c>
      <c r="G1122" s="31">
        <v>-5.1000000000000004E-3</v>
      </c>
      <c r="H1122" s="23">
        <v>-257.69</v>
      </c>
      <c r="I1122" s="31">
        <v>-5.1000000000000004E-3</v>
      </c>
      <c r="J1122" s="23">
        <v>858.98260000000005</v>
      </c>
      <c r="K1122" s="23">
        <v>50465.23</v>
      </c>
      <c r="L1122" s="23">
        <v>92658.54</v>
      </c>
      <c r="M1122" s="23">
        <v>10</v>
      </c>
      <c r="N1122" s="23">
        <v>-25.77</v>
      </c>
      <c r="O1122" s="31">
        <v>-6.7999999999999996E-3</v>
      </c>
      <c r="P1122" s="31">
        <v>8.9999999999999998E-4</v>
      </c>
      <c r="Q1122" s="23" t="s">
        <v>24</v>
      </c>
      <c r="R1122" s="23">
        <v>0</v>
      </c>
      <c r="S1122" s="23">
        <v>58.16</v>
      </c>
      <c r="U1122" s="47">
        <f>VLOOKUP(AU1122,[1]expiry_dates!$B$2:$C$2894,2,FALSE)</f>
        <v>44371</v>
      </c>
      <c r="V1122" s="23" t="s">
        <v>129</v>
      </c>
      <c r="W1122" s="23" t="s">
        <v>23</v>
      </c>
      <c r="X1122" s="49">
        <v>44347.520833333336</v>
      </c>
      <c r="Y1122" s="23">
        <v>0.95</v>
      </c>
      <c r="Z1122" s="23">
        <v>44347.614583333336</v>
      </c>
      <c r="AA1122" s="23">
        <v>0.95</v>
      </c>
      <c r="AB1122" s="23">
        <v>0</v>
      </c>
      <c r="AC1122" s="23">
        <v>0</v>
      </c>
      <c r="AD1122" s="23">
        <v>0</v>
      </c>
      <c r="AE1122" s="23">
        <v>69862.52</v>
      </c>
      <c r="AF1122" s="23">
        <v>66369.39</v>
      </c>
      <c r="AG1122" s="23">
        <v>3272967.88</v>
      </c>
      <c r="AH1122" s="23">
        <v>10</v>
      </c>
      <c r="AI1122" s="23">
        <v>0</v>
      </c>
      <c r="AJ1122" s="23">
        <v>-5.2600000000000001E-2</v>
      </c>
      <c r="AK1122" s="23">
        <v>5.2600000000000001E-2</v>
      </c>
      <c r="AL1122" s="23" t="s">
        <v>24</v>
      </c>
      <c r="AM1122" s="23">
        <v>58.75</v>
      </c>
      <c r="AN1122" s="23">
        <v>35397.550000000003</v>
      </c>
      <c r="AO1122" s="23">
        <v>58.16</v>
      </c>
      <c r="AP1122" s="23">
        <v>0</v>
      </c>
      <c r="AR1122" s="46"/>
      <c r="AS1122" s="44"/>
      <c r="AT1122" s="45"/>
      <c r="AU1122" s="2">
        <v>44347</v>
      </c>
      <c r="AV1122" s="52">
        <v>0.52083333333333337</v>
      </c>
      <c r="AW1122" s="2" t="s">
        <v>213</v>
      </c>
      <c r="AY1122" s="3"/>
      <c r="BA1122" s="3"/>
      <c r="BG1122" s="3"/>
      <c r="BH1122" s="3"/>
    </row>
    <row r="1123" spans="1:60">
      <c r="A1123" s="23" t="s">
        <v>22</v>
      </c>
      <c r="B1123" s="23" t="s">
        <v>23</v>
      </c>
      <c r="C1123" s="27">
        <v>44347.614583333336</v>
      </c>
      <c r="D1123" s="23">
        <v>58.45</v>
      </c>
      <c r="E1123" s="27">
        <v>44348.385416666664</v>
      </c>
      <c r="F1123" s="23">
        <v>58.9</v>
      </c>
      <c r="G1123" s="31">
        <v>7.7000000000000002E-3</v>
      </c>
      <c r="H1123" s="23">
        <v>-388.51</v>
      </c>
      <c r="I1123" s="31">
        <v>-7.7000000000000002E-3</v>
      </c>
      <c r="J1123" s="23">
        <v>863.35829999999999</v>
      </c>
      <c r="K1123" s="23">
        <v>50463.29</v>
      </c>
      <c r="L1123" s="23">
        <v>92270.02</v>
      </c>
      <c r="M1123" s="23">
        <v>7</v>
      </c>
      <c r="N1123" s="23">
        <v>-55.5</v>
      </c>
      <c r="O1123" s="31">
        <v>-7.7000000000000002E-3</v>
      </c>
      <c r="P1123" s="31">
        <v>8.9999999999999998E-4</v>
      </c>
      <c r="Q1123" s="23" t="s">
        <v>24</v>
      </c>
      <c r="R1123" s="23">
        <v>0</v>
      </c>
      <c r="S1123" s="23">
        <v>58.8</v>
      </c>
      <c r="U1123" s="47">
        <f>VLOOKUP(AU1123,[1]expiry_dates!$B$2:$C$2894,2,FALSE)</f>
        <v>44371</v>
      </c>
      <c r="V1123" s="23" t="s">
        <v>205</v>
      </c>
      <c r="W1123" s="23" t="s">
        <v>23</v>
      </c>
      <c r="X1123" s="49">
        <v>44347.614583333336</v>
      </c>
      <c r="Y1123" s="23">
        <v>3.15</v>
      </c>
      <c r="Z1123" s="23">
        <v>44348.385416666664</v>
      </c>
      <c r="AA1123" s="23">
        <v>3.3</v>
      </c>
      <c r="AB1123" s="23">
        <v>4.7600000000000003E-2</v>
      </c>
      <c r="AC1123" s="23">
        <v>-3159.4</v>
      </c>
      <c r="AD1123" s="23">
        <v>-4.7600000000000003E-2</v>
      </c>
      <c r="AE1123" s="23">
        <v>21062.66</v>
      </c>
      <c r="AF1123" s="23">
        <v>66347.38</v>
      </c>
      <c r="AG1123" s="23">
        <v>3269808.48</v>
      </c>
      <c r="AH1123" s="23">
        <v>7</v>
      </c>
      <c r="AI1123" s="23">
        <v>-451.34</v>
      </c>
      <c r="AJ1123" s="23">
        <v>-4.7600000000000003E-2</v>
      </c>
      <c r="AK1123" s="23">
        <v>0</v>
      </c>
      <c r="AL1123" s="23" t="s">
        <v>24</v>
      </c>
      <c r="AM1123" s="23">
        <v>58.45</v>
      </c>
      <c r="AN1123" s="23">
        <v>35428.199999999997</v>
      </c>
      <c r="AO1123" s="23">
        <v>58.8</v>
      </c>
      <c r="AP1123" s="23">
        <v>0</v>
      </c>
      <c r="AR1123" s="46"/>
      <c r="AS1123" s="44"/>
      <c r="AT1123" s="45"/>
      <c r="AU1123" s="2">
        <v>44347</v>
      </c>
      <c r="AV1123" s="52">
        <v>0.11458333333333333</v>
      </c>
      <c r="AW1123" s="2" t="s">
        <v>213</v>
      </c>
      <c r="AY1123" s="3"/>
      <c r="BA1123" s="3"/>
      <c r="BG1123" s="3"/>
      <c r="BH1123" s="3"/>
    </row>
    <row r="1124" spans="1:60">
      <c r="A1124" s="23" t="s">
        <v>22</v>
      </c>
      <c r="B1124" s="23" t="s">
        <v>25</v>
      </c>
      <c r="C1124" s="27">
        <v>44348.385416666664</v>
      </c>
      <c r="D1124" s="23">
        <v>58.9</v>
      </c>
      <c r="E1124" s="27">
        <v>44348.416666666664</v>
      </c>
      <c r="F1124" s="23">
        <v>58.349989999999998</v>
      </c>
      <c r="G1124" s="31">
        <v>-9.2999999999999992E-3</v>
      </c>
      <c r="H1124" s="23">
        <v>-471.22</v>
      </c>
      <c r="I1124" s="31">
        <v>-9.2999999999999992E-3</v>
      </c>
      <c r="J1124" s="23">
        <v>856.75480000000005</v>
      </c>
      <c r="K1124" s="23">
        <v>50462.86</v>
      </c>
      <c r="L1124" s="23">
        <v>91798.81</v>
      </c>
      <c r="M1124" s="23">
        <v>4</v>
      </c>
      <c r="N1124" s="23">
        <v>-117.8</v>
      </c>
      <c r="O1124" s="31">
        <v>-9.2999999999999992E-3</v>
      </c>
      <c r="P1124" s="31">
        <v>2.5000000000000001E-3</v>
      </c>
      <c r="Q1124" s="23" t="s">
        <v>24</v>
      </c>
      <c r="R1124" s="23">
        <v>0</v>
      </c>
      <c r="S1124" s="23">
        <v>58.42</v>
      </c>
      <c r="U1124" s="47">
        <f>VLOOKUP(AU1124,[1]expiry_dates!$B$2:$C$2894,2,FALSE)</f>
        <v>44371</v>
      </c>
      <c r="V1124" s="23" t="s">
        <v>201</v>
      </c>
      <c r="W1124" s="23" t="s">
        <v>23</v>
      </c>
      <c r="X1124" s="49">
        <v>44348.385416666664</v>
      </c>
      <c r="Y1124" s="23">
        <v>3.1</v>
      </c>
      <c r="Z1124" s="23">
        <v>44348.416666666664</v>
      </c>
      <c r="AA1124" s="23">
        <v>3.35</v>
      </c>
      <c r="AB1124" s="23">
        <v>8.0600000000000005E-2</v>
      </c>
      <c r="AC1124" s="23">
        <v>-5351.15</v>
      </c>
      <c r="AD1124" s="23">
        <v>-8.0600000000000005E-2</v>
      </c>
      <c r="AE1124" s="23">
        <v>21404.62</v>
      </c>
      <c r="AF1124" s="23">
        <v>66354.3</v>
      </c>
      <c r="AG1124" s="23">
        <v>3264457.33</v>
      </c>
      <c r="AH1124" s="23">
        <v>4</v>
      </c>
      <c r="AI1124" s="23">
        <v>-1337.79</v>
      </c>
      <c r="AJ1124" s="23">
        <v>-8.0600000000000005E-2</v>
      </c>
      <c r="AK1124" s="23">
        <v>1.61E-2</v>
      </c>
      <c r="AL1124" s="23" t="s">
        <v>24</v>
      </c>
      <c r="AM1124" s="23">
        <v>58.9</v>
      </c>
      <c r="AN1124" s="23">
        <v>35673.4</v>
      </c>
      <c r="AO1124" s="23">
        <v>58.42</v>
      </c>
      <c r="AP1124" s="23">
        <v>0</v>
      </c>
      <c r="AR1124" s="46"/>
      <c r="AS1124" s="44"/>
      <c r="AT1124" s="45"/>
      <c r="AU1124" s="2">
        <v>44348</v>
      </c>
      <c r="AV1124" s="52">
        <v>0.38541666666666669</v>
      </c>
      <c r="AW1124" s="2" t="s">
        <v>212</v>
      </c>
      <c r="AY1124" s="3"/>
      <c r="BA1124" s="3"/>
      <c r="BG1124" s="3"/>
      <c r="BH1124" s="3"/>
    </row>
    <row r="1125" spans="1:60">
      <c r="A1125" s="23" t="s">
        <v>22</v>
      </c>
      <c r="B1125" s="23" t="s">
        <v>23</v>
      </c>
      <c r="C1125" s="27">
        <v>44348.416666666664</v>
      </c>
      <c r="D1125" s="23">
        <v>58.35</v>
      </c>
      <c r="E1125" s="27">
        <v>44349.385416666664</v>
      </c>
      <c r="F1125" s="23">
        <v>57.849989999999998</v>
      </c>
      <c r="G1125" s="31">
        <v>-8.6E-3</v>
      </c>
      <c r="H1125" s="23">
        <v>432.39</v>
      </c>
      <c r="I1125" s="31">
        <v>8.6E-3</v>
      </c>
      <c r="J1125" s="23">
        <v>864.77530000000002</v>
      </c>
      <c r="K1125" s="23">
        <v>50459.64</v>
      </c>
      <c r="L1125" s="23">
        <v>92231.2</v>
      </c>
      <c r="M1125" s="23">
        <v>26</v>
      </c>
      <c r="N1125" s="23">
        <v>16.63</v>
      </c>
      <c r="O1125" s="31">
        <v>-5.1000000000000004E-3</v>
      </c>
      <c r="P1125" s="31">
        <v>1.89E-2</v>
      </c>
      <c r="Q1125" s="23" t="s">
        <v>24</v>
      </c>
      <c r="R1125" s="23">
        <v>0</v>
      </c>
      <c r="S1125" s="23">
        <v>59.02</v>
      </c>
      <c r="U1125" s="47">
        <f>VLOOKUP(AU1125,[1]expiry_dates!$B$2:$C$2894,2,FALSE)</f>
        <v>44371</v>
      </c>
      <c r="V1125" s="23" t="s">
        <v>184</v>
      </c>
      <c r="W1125" s="23" t="s">
        <v>23</v>
      </c>
      <c r="X1125" s="49">
        <v>44348.416666666664</v>
      </c>
      <c r="Y1125" s="23">
        <v>3.45</v>
      </c>
      <c r="Z1125" s="23">
        <v>44349.385416666664</v>
      </c>
      <c r="AA1125" s="23">
        <v>3</v>
      </c>
      <c r="AB1125" s="23">
        <v>-0.13039999999999999</v>
      </c>
      <c r="AC1125" s="23">
        <v>8652.83</v>
      </c>
      <c r="AD1125" s="23">
        <v>0.13039999999999999</v>
      </c>
      <c r="AE1125" s="23">
        <v>19228.5</v>
      </c>
      <c r="AF1125" s="23">
        <v>66338.34</v>
      </c>
      <c r="AG1125" s="23">
        <v>3273110.16</v>
      </c>
      <c r="AH1125" s="23">
        <v>26</v>
      </c>
      <c r="AI1125" s="23">
        <v>332.8</v>
      </c>
      <c r="AJ1125" s="23">
        <v>-5.8000000000000003E-2</v>
      </c>
      <c r="AK1125" s="23">
        <v>0.15939999999999999</v>
      </c>
      <c r="AL1125" s="23" t="s">
        <v>24</v>
      </c>
      <c r="AM1125" s="23">
        <v>58.35</v>
      </c>
      <c r="AN1125" s="23">
        <v>35402.6</v>
      </c>
      <c r="AO1125" s="23">
        <v>59.02</v>
      </c>
      <c r="AP1125" s="23">
        <v>0</v>
      </c>
      <c r="AR1125" s="46"/>
      <c r="AS1125" s="44"/>
      <c r="AT1125" s="45"/>
      <c r="AU1125" s="2">
        <v>44348</v>
      </c>
      <c r="AV1125" s="52">
        <v>0.41666666666666669</v>
      </c>
      <c r="AW1125" s="2" t="s">
        <v>212</v>
      </c>
      <c r="AY1125" s="3"/>
      <c r="BA1125" s="3"/>
      <c r="BG1125" s="3"/>
      <c r="BH1125" s="3"/>
    </row>
    <row r="1126" spans="1:60">
      <c r="A1126" s="23" t="s">
        <v>22</v>
      </c>
      <c r="B1126" s="23" t="s">
        <v>25</v>
      </c>
      <c r="C1126" s="27">
        <v>44349.385416666664</v>
      </c>
      <c r="D1126" s="23">
        <v>57.85</v>
      </c>
      <c r="E1126" s="27">
        <v>44350.46875</v>
      </c>
      <c r="F1126" s="23">
        <v>60.8</v>
      </c>
      <c r="G1126" s="31">
        <v>5.0999999999999997E-2</v>
      </c>
      <c r="H1126" s="23">
        <v>2573.31</v>
      </c>
      <c r="I1126" s="31">
        <v>5.0999999999999997E-2</v>
      </c>
      <c r="J1126" s="23">
        <v>872.30939999999998</v>
      </c>
      <c r="K1126" s="23">
        <v>50463.1</v>
      </c>
      <c r="L1126" s="23">
        <v>94804.51</v>
      </c>
      <c r="M1126" s="23">
        <v>37</v>
      </c>
      <c r="N1126" s="23">
        <v>69.55</v>
      </c>
      <c r="O1126" s="31">
        <v>-1.04E-2</v>
      </c>
      <c r="P1126" s="31">
        <v>6.9099999999999995E-2</v>
      </c>
      <c r="Q1126" s="23" t="s">
        <v>24</v>
      </c>
      <c r="R1126" s="23">
        <v>0</v>
      </c>
      <c r="S1126" s="23">
        <v>57.25</v>
      </c>
      <c r="U1126" s="47">
        <f>VLOOKUP(AU1126,[1]expiry_dates!$B$2:$C$2894,2,FALSE)</f>
        <v>44371</v>
      </c>
      <c r="V1126" s="23" t="s">
        <v>183</v>
      </c>
      <c r="W1126" s="23" t="s">
        <v>23</v>
      </c>
      <c r="X1126" s="49">
        <v>44349.385416666664</v>
      </c>
      <c r="Y1126" s="23">
        <v>2.4500000000000002</v>
      </c>
      <c r="Z1126" s="23">
        <v>44350.46875</v>
      </c>
      <c r="AA1126" s="23">
        <v>1.2</v>
      </c>
      <c r="AB1126" s="23">
        <v>-0.51019999999999999</v>
      </c>
      <c r="AC1126" s="23">
        <v>33862.43</v>
      </c>
      <c r="AD1126" s="23">
        <v>0.51019999999999999</v>
      </c>
      <c r="AE1126" s="23">
        <v>27089.94</v>
      </c>
      <c r="AF1126" s="23">
        <v>66370.36</v>
      </c>
      <c r="AG1126" s="23">
        <v>3306972.58</v>
      </c>
      <c r="AH1126" s="23">
        <v>37</v>
      </c>
      <c r="AI1126" s="23">
        <v>915.2</v>
      </c>
      <c r="AJ1126" s="23">
        <v>-2.0400000000000001E-2</v>
      </c>
      <c r="AK1126" s="23">
        <v>0.59179999999999999</v>
      </c>
      <c r="AL1126" s="23" t="s">
        <v>24</v>
      </c>
      <c r="AM1126" s="23">
        <v>57.85</v>
      </c>
      <c r="AN1126" s="23">
        <v>35111</v>
      </c>
      <c r="AO1126" s="23">
        <v>57.25</v>
      </c>
      <c r="AP1126" s="23">
        <v>0</v>
      </c>
      <c r="AR1126" s="46"/>
      <c r="AS1126" s="44"/>
      <c r="AT1126" s="45"/>
      <c r="AU1126" s="2">
        <v>44349</v>
      </c>
      <c r="AV1126" s="52">
        <v>0.38541666666666669</v>
      </c>
      <c r="AW1126" s="2" t="s">
        <v>212</v>
      </c>
      <c r="AY1126" s="3"/>
      <c r="BA1126" s="3"/>
      <c r="BG1126" s="3"/>
      <c r="BH1126" s="3"/>
    </row>
    <row r="1127" spans="1:60">
      <c r="A1127" s="23" t="s">
        <v>22</v>
      </c>
      <c r="B1127" s="23" t="s">
        <v>23</v>
      </c>
      <c r="C1127" s="27">
        <v>44350.46875</v>
      </c>
      <c r="D1127" s="23">
        <v>60.8</v>
      </c>
      <c r="E1127" s="27">
        <v>44351.395833333336</v>
      </c>
      <c r="F1127" s="23">
        <v>60.8</v>
      </c>
      <c r="G1127" s="31">
        <v>0</v>
      </c>
      <c r="H1127" s="23">
        <v>0</v>
      </c>
      <c r="I1127" s="31">
        <v>0</v>
      </c>
      <c r="J1127" s="23">
        <v>830.15769999999998</v>
      </c>
      <c r="K1127" s="23">
        <v>50473.59</v>
      </c>
      <c r="L1127" s="23">
        <v>94804.51</v>
      </c>
      <c r="M1127" s="23">
        <v>22</v>
      </c>
      <c r="N1127" s="23">
        <v>0</v>
      </c>
      <c r="O1127" s="31">
        <v>-8.9999999999999993E-3</v>
      </c>
      <c r="P1127" s="31">
        <v>6.6E-3</v>
      </c>
      <c r="Q1127" s="23" t="s">
        <v>24</v>
      </c>
      <c r="R1127" s="23">
        <v>0</v>
      </c>
      <c r="S1127" s="23">
        <v>61.82</v>
      </c>
      <c r="U1127" s="47">
        <f>VLOOKUP(AU1127,[1]expiry_dates!$B$2:$C$2894,2,FALSE)</f>
        <v>44371</v>
      </c>
      <c r="V1127" s="23" t="s">
        <v>186</v>
      </c>
      <c r="W1127" s="23" t="s">
        <v>23</v>
      </c>
      <c r="X1127" s="49">
        <v>44350.46875</v>
      </c>
      <c r="Y1127" s="23">
        <v>3.05</v>
      </c>
      <c r="Z1127" s="23">
        <v>44351.395833333336</v>
      </c>
      <c r="AA1127" s="23">
        <v>3</v>
      </c>
      <c r="AB1127" s="23">
        <v>-1.6400000000000001E-2</v>
      </c>
      <c r="AC1127" s="23">
        <v>1090.74</v>
      </c>
      <c r="AD1127" s="23">
        <v>1.6400000000000001E-2</v>
      </c>
      <c r="AE1127" s="23">
        <v>21814.71</v>
      </c>
      <c r="AF1127" s="23">
        <v>66534.86</v>
      </c>
      <c r="AG1127" s="23">
        <v>3308063.32</v>
      </c>
      <c r="AH1127" s="23">
        <v>22</v>
      </c>
      <c r="AI1127" s="23">
        <v>49.58</v>
      </c>
      <c r="AJ1127" s="23">
        <v>-6.5600000000000006E-2</v>
      </c>
      <c r="AK1127" s="23">
        <v>8.2000000000000003E-2</v>
      </c>
      <c r="AL1127" s="23" t="s">
        <v>24</v>
      </c>
      <c r="AM1127" s="23">
        <v>60.8</v>
      </c>
      <c r="AN1127" s="23">
        <v>35486.449999999997</v>
      </c>
      <c r="AO1127" s="23">
        <v>61.82</v>
      </c>
      <c r="AP1127" s="23">
        <v>0</v>
      </c>
      <c r="AR1127" s="46"/>
      <c r="AS1127" s="44"/>
      <c r="AT1127" s="45"/>
      <c r="AU1127" s="2">
        <v>44350</v>
      </c>
      <c r="AV1127" s="52">
        <v>0.46875</v>
      </c>
      <c r="AW1127" s="2" t="s">
        <v>212</v>
      </c>
      <c r="AY1127" s="3"/>
      <c r="BA1127" s="3"/>
      <c r="BG1127" s="3"/>
      <c r="BH1127" s="3"/>
    </row>
    <row r="1128" spans="1:60">
      <c r="A1128" s="23" t="s">
        <v>22</v>
      </c>
      <c r="B1128" s="23" t="s">
        <v>25</v>
      </c>
      <c r="C1128" s="27">
        <v>44351.395833333336</v>
      </c>
      <c r="D1128" s="23">
        <v>60.8</v>
      </c>
      <c r="E1128" s="27">
        <v>44351.40625</v>
      </c>
      <c r="F1128" s="23">
        <v>60.65</v>
      </c>
      <c r="G1128" s="31">
        <v>-2.5000000000000001E-3</v>
      </c>
      <c r="H1128" s="23">
        <v>-124.52</v>
      </c>
      <c r="I1128" s="31">
        <v>-2.5000000000000001E-3</v>
      </c>
      <c r="J1128" s="23">
        <v>830.16139999999996</v>
      </c>
      <c r="K1128" s="23">
        <v>50473.82</v>
      </c>
      <c r="L1128" s="23">
        <v>94679.98</v>
      </c>
      <c r="M1128" s="23">
        <v>2</v>
      </c>
      <c r="N1128" s="23">
        <v>-62.26</v>
      </c>
      <c r="O1128" s="31">
        <v>-2.5000000000000001E-3</v>
      </c>
      <c r="P1128" s="31">
        <v>5.7999999999999996E-3</v>
      </c>
      <c r="Q1128" s="23" t="s">
        <v>24</v>
      </c>
      <c r="R1128" s="23">
        <v>0</v>
      </c>
      <c r="S1128" s="23">
        <v>60.43</v>
      </c>
      <c r="U1128" s="47">
        <f>VLOOKUP(AU1128,[1]expiry_dates!$B$2:$C$2894,2,FALSE)</f>
        <v>44371</v>
      </c>
      <c r="V1128" s="23" t="s">
        <v>204</v>
      </c>
      <c r="W1128" s="23" t="s">
        <v>23</v>
      </c>
      <c r="X1128" s="49">
        <v>44351.395833333336</v>
      </c>
      <c r="Y1128" s="23">
        <v>2.75</v>
      </c>
      <c r="Z1128" s="23">
        <v>44351.40625</v>
      </c>
      <c r="AA1128" s="23">
        <v>3</v>
      </c>
      <c r="AB1128" s="23">
        <v>9.0899999999999995E-2</v>
      </c>
      <c r="AC1128" s="23">
        <v>-6049.12</v>
      </c>
      <c r="AD1128" s="23">
        <v>-9.0899999999999995E-2</v>
      </c>
      <c r="AE1128" s="23">
        <v>24196.48</v>
      </c>
      <c r="AF1128" s="23">
        <v>66540.31</v>
      </c>
      <c r="AG1128" s="23">
        <v>3302014.2</v>
      </c>
      <c r="AH1128" s="23">
        <v>2</v>
      </c>
      <c r="AI1128" s="23">
        <v>-3024.56</v>
      </c>
      <c r="AJ1128" s="23">
        <v>-9.0899999999999995E-2</v>
      </c>
      <c r="AK1128" s="23">
        <v>3.6400000000000002E-2</v>
      </c>
      <c r="AL1128" s="23" t="s">
        <v>24</v>
      </c>
      <c r="AM1128" s="23">
        <v>60.8</v>
      </c>
      <c r="AN1128" s="23">
        <v>35715.5</v>
      </c>
      <c r="AO1128" s="23">
        <v>60.43</v>
      </c>
      <c r="AP1128" s="23">
        <v>0</v>
      </c>
      <c r="AR1128" s="46"/>
      <c r="AS1128" s="44"/>
      <c r="AT1128" s="45"/>
      <c r="AU1128" s="2">
        <v>44351</v>
      </c>
      <c r="AV1128" s="52">
        <v>0.39583333333333331</v>
      </c>
      <c r="AW1128" s="2" t="s">
        <v>212</v>
      </c>
      <c r="AY1128" s="3"/>
      <c r="BA1128" s="3"/>
      <c r="BG1128" s="3"/>
      <c r="BH1128" s="3"/>
    </row>
    <row r="1129" spans="1:60">
      <c r="A1129" s="23" t="s">
        <v>22</v>
      </c>
      <c r="B1129" s="23" t="s">
        <v>23</v>
      </c>
      <c r="C1129" s="27">
        <v>44351.40625</v>
      </c>
      <c r="D1129" s="23">
        <v>60.65</v>
      </c>
      <c r="E1129" s="27">
        <v>44354.385416666664</v>
      </c>
      <c r="F1129" s="23">
        <v>60.5</v>
      </c>
      <c r="G1129" s="31">
        <v>-2.5000000000000001E-3</v>
      </c>
      <c r="H1129" s="23">
        <v>124.83</v>
      </c>
      <c r="I1129" s="31">
        <v>2.5000000000000001E-3</v>
      </c>
      <c r="J1129" s="23">
        <v>832.21799999999996</v>
      </c>
      <c r="K1129" s="23">
        <v>50474.02</v>
      </c>
      <c r="L1129" s="23">
        <v>94804.82</v>
      </c>
      <c r="M1129" s="23">
        <v>27</v>
      </c>
      <c r="N1129" s="23">
        <v>4.62</v>
      </c>
      <c r="O1129" s="31">
        <v>-5.7999999999999996E-3</v>
      </c>
      <c r="P1129" s="31">
        <v>1.9800000000000002E-2</v>
      </c>
      <c r="Q1129" s="23" t="s">
        <v>24</v>
      </c>
      <c r="R1129" s="23">
        <v>0</v>
      </c>
      <c r="S1129" s="23">
        <v>61.15</v>
      </c>
      <c r="U1129" s="47">
        <f>VLOOKUP(AU1129,[1]expiry_dates!$B$2:$C$2894,2,FALSE)</f>
        <v>44371</v>
      </c>
      <c r="V1129" s="23" t="s">
        <v>186</v>
      </c>
      <c r="W1129" s="23" t="s">
        <v>23</v>
      </c>
      <c r="X1129" s="49">
        <v>44351.40625</v>
      </c>
      <c r="Y1129" s="23">
        <v>2.8</v>
      </c>
      <c r="Z1129" s="23">
        <v>44354.385416666664</v>
      </c>
      <c r="AA1129" s="23">
        <v>2.5499999999999998</v>
      </c>
      <c r="AB1129" s="23">
        <v>-8.9300000000000004E-2</v>
      </c>
      <c r="AC1129" s="23">
        <v>5941.1</v>
      </c>
      <c r="AD1129" s="23">
        <v>8.9300000000000004E-2</v>
      </c>
      <c r="AE1129" s="23">
        <v>23764.400000000001</v>
      </c>
      <c r="AF1129" s="23">
        <v>66540.31</v>
      </c>
      <c r="AG1129" s="23">
        <v>3307955.3</v>
      </c>
      <c r="AH1129" s="23">
        <v>27</v>
      </c>
      <c r="AI1129" s="23">
        <v>220.04</v>
      </c>
      <c r="AJ1129" s="23">
        <v>-7.1400000000000005E-2</v>
      </c>
      <c r="AK1129" s="23">
        <v>0.19639999999999999</v>
      </c>
      <c r="AL1129" s="23" t="s">
        <v>24</v>
      </c>
      <c r="AM1129" s="23">
        <v>60.65</v>
      </c>
      <c r="AN1129" s="23">
        <v>35659.949999999997</v>
      </c>
      <c r="AO1129" s="23">
        <v>61.15</v>
      </c>
      <c r="AP1129" s="23">
        <v>0</v>
      </c>
      <c r="AR1129" s="46"/>
      <c r="AS1129" s="44"/>
      <c r="AT1129" s="45"/>
      <c r="AU1129" s="2">
        <v>44351</v>
      </c>
      <c r="AV1129" s="52">
        <v>0.40625</v>
      </c>
      <c r="AW1129" s="2" t="s">
        <v>212</v>
      </c>
      <c r="AY1129" s="3"/>
      <c r="BA1129" s="3"/>
      <c r="BG1129" s="3"/>
      <c r="BH1129" s="3"/>
    </row>
    <row r="1130" spans="1:60">
      <c r="A1130" s="23" t="s">
        <v>22</v>
      </c>
      <c r="B1130" s="23" t="s">
        <v>25</v>
      </c>
      <c r="C1130" s="27">
        <v>44354.385416666664</v>
      </c>
      <c r="D1130" s="23">
        <v>60.5</v>
      </c>
      <c r="E1130" s="27">
        <v>44354.614583333336</v>
      </c>
      <c r="F1130" s="23">
        <v>60.4</v>
      </c>
      <c r="G1130" s="31">
        <v>-1.6999999999999999E-3</v>
      </c>
      <c r="H1130" s="23">
        <v>-83.43</v>
      </c>
      <c r="I1130" s="31">
        <v>-1.6999999999999999E-3</v>
      </c>
      <c r="J1130" s="23">
        <v>834.29520000000002</v>
      </c>
      <c r="K1130" s="23">
        <v>50474.86</v>
      </c>
      <c r="L1130" s="23">
        <v>94721.39</v>
      </c>
      <c r="M1130" s="23">
        <v>23</v>
      </c>
      <c r="N1130" s="23">
        <v>-3.63</v>
      </c>
      <c r="O1130" s="31">
        <v>-8.3000000000000001E-3</v>
      </c>
      <c r="P1130" s="31">
        <v>5.0000000000000001E-3</v>
      </c>
      <c r="Q1130" s="23" t="s">
        <v>24</v>
      </c>
      <c r="R1130" s="23">
        <v>0</v>
      </c>
      <c r="S1130" s="23">
        <v>59.51</v>
      </c>
      <c r="U1130" s="47">
        <f>VLOOKUP(AU1130,[1]expiry_dates!$B$2:$C$2894,2,FALSE)</f>
        <v>44371</v>
      </c>
      <c r="V1130" s="23" t="s">
        <v>204</v>
      </c>
      <c r="W1130" s="23" t="s">
        <v>23</v>
      </c>
      <c r="X1130" s="49">
        <v>44354.385416666664</v>
      </c>
      <c r="Y1130" s="23">
        <v>2.95</v>
      </c>
      <c r="Z1130" s="23">
        <v>44354.614583333336</v>
      </c>
      <c r="AA1130" s="23">
        <v>2.85</v>
      </c>
      <c r="AB1130" s="23">
        <v>-3.39E-2</v>
      </c>
      <c r="AC1130" s="23">
        <v>2256.39</v>
      </c>
      <c r="AD1130" s="23">
        <v>3.39E-2</v>
      </c>
      <c r="AE1130" s="23">
        <v>22563.91</v>
      </c>
      <c r="AF1130" s="23">
        <v>66563.539999999994</v>
      </c>
      <c r="AG1130" s="23">
        <v>3310211.69</v>
      </c>
      <c r="AH1130" s="23">
        <v>23</v>
      </c>
      <c r="AI1130" s="23">
        <v>98.1</v>
      </c>
      <c r="AJ1130" s="23">
        <v>-3.39E-2</v>
      </c>
      <c r="AK1130" s="23">
        <v>8.4699999999999998E-2</v>
      </c>
      <c r="AL1130" s="23" t="s">
        <v>24</v>
      </c>
      <c r="AM1130" s="23">
        <v>60.5</v>
      </c>
      <c r="AN1130" s="23">
        <v>35427.15</v>
      </c>
      <c r="AO1130" s="23">
        <v>59.51</v>
      </c>
      <c r="AP1130" s="23">
        <v>0</v>
      </c>
      <c r="AR1130" s="46"/>
      <c r="AS1130" s="44"/>
      <c r="AT1130" s="45"/>
      <c r="AU1130" s="2">
        <v>44354</v>
      </c>
      <c r="AV1130" s="52">
        <v>0.38541666666666669</v>
      </c>
      <c r="AW1130" s="2" t="s">
        <v>212</v>
      </c>
      <c r="AY1130" s="3"/>
      <c r="BA1130" s="3"/>
      <c r="BG1130" s="3"/>
      <c r="BH1130" s="3"/>
    </row>
    <row r="1131" spans="1:60">
      <c r="A1131" s="23" t="s">
        <v>22</v>
      </c>
      <c r="B1131" s="23" t="s">
        <v>23</v>
      </c>
      <c r="C1131" s="27">
        <v>44354.614583333336</v>
      </c>
      <c r="D1131" s="23">
        <v>60.4</v>
      </c>
      <c r="E1131" s="27">
        <v>44355.604166666664</v>
      </c>
      <c r="F1131" s="23">
        <v>59.35</v>
      </c>
      <c r="G1131" s="31">
        <v>-1.7399999999999999E-2</v>
      </c>
      <c r="H1131" s="23">
        <v>877.45</v>
      </c>
      <c r="I1131" s="31">
        <v>1.7399999999999999E-2</v>
      </c>
      <c r="J1131" s="23">
        <v>835.66959999999995</v>
      </c>
      <c r="K1131" s="23">
        <v>50474.44</v>
      </c>
      <c r="L1131" s="23">
        <v>95598.84</v>
      </c>
      <c r="M1131" s="23">
        <v>28</v>
      </c>
      <c r="N1131" s="23">
        <v>31.34</v>
      </c>
      <c r="O1131" s="31">
        <v>-5.0000000000000001E-3</v>
      </c>
      <c r="P1131" s="31">
        <v>2.5700000000000001E-2</v>
      </c>
      <c r="Q1131" s="23" t="s">
        <v>24</v>
      </c>
      <c r="R1131" s="23">
        <v>0</v>
      </c>
      <c r="S1131" s="23">
        <v>60.79</v>
      </c>
      <c r="U1131" s="47">
        <f>VLOOKUP(AU1131,[1]expiry_dates!$B$2:$C$2894,2,FALSE)</f>
        <v>44371</v>
      </c>
      <c r="V1131" s="23" t="s">
        <v>202</v>
      </c>
      <c r="W1131" s="23" t="s">
        <v>23</v>
      </c>
      <c r="X1131" s="49">
        <v>44354.614583333336</v>
      </c>
      <c r="Y1131" s="23">
        <v>3.05</v>
      </c>
      <c r="Z1131" s="23">
        <v>44355.604166666664</v>
      </c>
      <c r="AA1131" s="23">
        <v>2.5</v>
      </c>
      <c r="AB1131" s="23">
        <v>-0.18029999999999999</v>
      </c>
      <c r="AC1131" s="23">
        <v>12003.05</v>
      </c>
      <c r="AD1131" s="23">
        <v>0.18029999999999999</v>
      </c>
      <c r="AE1131" s="23">
        <v>21823.72</v>
      </c>
      <c r="AF1131" s="23">
        <v>66562.34</v>
      </c>
      <c r="AG1131" s="23">
        <v>3322214.73</v>
      </c>
      <c r="AH1131" s="23">
        <v>28</v>
      </c>
      <c r="AI1131" s="23">
        <v>428.68</v>
      </c>
      <c r="AJ1131" s="23">
        <v>-8.2000000000000003E-2</v>
      </c>
      <c r="AK1131" s="23">
        <v>0.2787</v>
      </c>
      <c r="AL1131" s="23" t="s">
        <v>24</v>
      </c>
      <c r="AM1131" s="23">
        <v>60.4</v>
      </c>
      <c r="AN1131" s="23">
        <v>35469.75</v>
      </c>
      <c r="AO1131" s="23">
        <v>60.79</v>
      </c>
      <c r="AP1131" s="23">
        <v>0</v>
      </c>
      <c r="AR1131" s="46"/>
      <c r="AS1131" s="44"/>
      <c r="AT1131" s="45"/>
      <c r="AU1131" s="2">
        <v>44354</v>
      </c>
      <c r="AV1131" s="52">
        <v>0.11458333333333333</v>
      </c>
      <c r="AW1131" s="2" t="s">
        <v>213</v>
      </c>
      <c r="AY1131" s="3"/>
      <c r="BA1131" s="3"/>
      <c r="BG1131" s="3"/>
      <c r="BH1131" s="3"/>
    </row>
    <row r="1132" spans="1:60">
      <c r="A1132" s="23" t="s">
        <v>22</v>
      </c>
      <c r="B1132" s="23" t="s">
        <v>25</v>
      </c>
      <c r="C1132" s="27">
        <v>44355.604166666664</v>
      </c>
      <c r="D1132" s="23">
        <v>59.35</v>
      </c>
      <c r="E1132" s="27">
        <v>44356.385416666664</v>
      </c>
      <c r="F1132" s="23">
        <v>59.5</v>
      </c>
      <c r="G1132" s="31">
        <v>2.5000000000000001E-3</v>
      </c>
      <c r="H1132" s="23">
        <v>127.58</v>
      </c>
      <c r="I1132" s="31">
        <v>2.5000000000000001E-3</v>
      </c>
      <c r="J1132" s="23">
        <v>850.51390000000004</v>
      </c>
      <c r="K1132" s="23">
        <v>50478</v>
      </c>
      <c r="L1132" s="23">
        <v>95726.42</v>
      </c>
      <c r="M1132" s="23">
        <v>8</v>
      </c>
      <c r="N1132" s="23">
        <v>15.95</v>
      </c>
      <c r="O1132" s="31">
        <v>-1.6999999999999999E-3</v>
      </c>
      <c r="P1132" s="31">
        <v>5.8999999999999999E-3</v>
      </c>
      <c r="Q1132" s="23" t="s">
        <v>24</v>
      </c>
      <c r="R1132" s="23">
        <v>0</v>
      </c>
      <c r="S1132" s="23">
        <v>58.86</v>
      </c>
      <c r="U1132" s="47">
        <f>VLOOKUP(AU1132,[1]expiry_dates!$B$2:$C$2894,2,FALSE)</f>
        <v>44371</v>
      </c>
      <c r="V1132" s="23" t="s">
        <v>203</v>
      </c>
      <c r="W1132" s="23" t="s">
        <v>23</v>
      </c>
      <c r="X1132" s="49">
        <v>44355.604166666664</v>
      </c>
      <c r="Y1132" s="23">
        <v>2.8</v>
      </c>
      <c r="Z1132" s="23">
        <v>44356.385416666664</v>
      </c>
      <c r="AA1132" s="23">
        <v>2.75</v>
      </c>
      <c r="AB1132" s="23">
        <v>-1.7899999999999999E-2</v>
      </c>
      <c r="AC1132" s="23">
        <v>1189.58</v>
      </c>
      <c r="AD1132" s="23">
        <v>1.7899999999999999E-2</v>
      </c>
      <c r="AE1132" s="23">
        <v>23791.62</v>
      </c>
      <c r="AF1132" s="23">
        <v>66616.52</v>
      </c>
      <c r="AG1132" s="23">
        <v>3323404.31</v>
      </c>
      <c r="AH1132" s="23">
        <v>8</v>
      </c>
      <c r="AI1132" s="23">
        <v>148.69999999999999</v>
      </c>
      <c r="AJ1132" s="23">
        <v>-3.5700000000000003E-2</v>
      </c>
      <c r="AK1132" s="23">
        <v>1.7899999999999999E-2</v>
      </c>
      <c r="AL1132" s="23" t="s">
        <v>24</v>
      </c>
      <c r="AM1132" s="23">
        <v>59.35</v>
      </c>
      <c r="AN1132" s="23">
        <v>35092.449999999997</v>
      </c>
      <c r="AO1132" s="23">
        <v>58.86</v>
      </c>
      <c r="AP1132" s="23">
        <v>0</v>
      </c>
      <c r="AR1132" s="46"/>
      <c r="AS1132" s="44"/>
      <c r="AT1132" s="45"/>
      <c r="AU1132" s="2">
        <v>44355</v>
      </c>
      <c r="AV1132" s="52">
        <v>0.10416666666666667</v>
      </c>
      <c r="AW1132" s="2" t="s">
        <v>213</v>
      </c>
      <c r="AY1132" s="3"/>
      <c r="BA1132" s="3"/>
      <c r="BG1132" s="3"/>
      <c r="BH1132" s="3"/>
    </row>
    <row r="1133" spans="1:60">
      <c r="A1133" s="23" t="s">
        <v>22</v>
      </c>
      <c r="B1133" s="23" t="s">
        <v>23</v>
      </c>
      <c r="C1133" s="27">
        <v>44356.385416666664</v>
      </c>
      <c r="D1133" s="23">
        <v>59.5</v>
      </c>
      <c r="E1133" s="27">
        <v>44356.395833333336</v>
      </c>
      <c r="F1133" s="23">
        <v>59.95</v>
      </c>
      <c r="G1133" s="31">
        <v>7.6E-3</v>
      </c>
      <c r="H1133" s="23">
        <v>-381.77</v>
      </c>
      <c r="I1133" s="31">
        <v>-7.6E-3</v>
      </c>
      <c r="J1133" s="23">
        <v>848.38040000000001</v>
      </c>
      <c r="K1133" s="23">
        <v>50478.63</v>
      </c>
      <c r="L1133" s="23">
        <v>95344.65</v>
      </c>
      <c r="M1133" s="23">
        <v>2</v>
      </c>
      <c r="N1133" s="23">
        <v>-190.89</v>
      </c>
      <c r="O1133" s="31">
        <v>-7.6E-3</v>
      </c>
      <c r="P1133" s="31">
        <v>8.3999999999999995E-3</v>
      </c>
      <c r="Q1133" s="23" t="s">
        <v>24</v>
      </c>
      <c r="R1133" s="23">
        <v>0</v>
      </c>
      <c r="S1133" s="23">
        <v>59.7</v>
      </c>
      <c r="U1133" s="47">
        <f>VLOOKUP(AU1133,[1]expiry_dates!$B$2:$C$2894,2,FALSE)</f>
        <v>44371</v>
      </c>
      <c r="V1133" s="23" t="s">
        <v>202</v>
      </c>
      <c r="W1133" s="23" t="s">
        <v>23</v>
      </c>
      <c r="X1133" s="49">
        <v>44356.385416666664</v>
      </c>
      <c r="Y1133" s="23">
        <v>2.5499999999999998</v>
      </c>
      <c r="Z1133" s="23">
        <v>44356.395833333336</v>
      </c>
      <c r="AA1133" s="23">
        <v>2.7</v>
      </c>
      <c r="AB1133" s="23">
        <v>5.8799999999999998E-2</v>
      </c>
      <c r="AC1133" s="23">
        <v>-3917.95</v>
      </c>
      <c r="AD1133" s="23">
        <v>-5.8799999999999998E-2</v>
      </c>
      <c r="AE1133" s="23">
        <v>26119.66</v>
      </c>
      <c r="AF1133" s="23">
        <v>66605.13</v>
      </c>
      <c r="AG1133" s="23">
        <v>3319486.37</v>
      </c>
      <c r="AH1133" s="23">
        <v>2</v>
      </c>
      <c r="AI1133" s="23">
        <v>-1958.97</v>
      </c>
      <c r="AJ1133" s="23">
        <v>-5.8799999999999998E-2</v>
      </c>
      <c r="AK1133" s="23">
        <v>9.8000000000000004E-2</v>
      </c>
      <c r="AL1133" s="23" t="s">
        <v>24</v>
      </c>
      <c r="AM1133" s="23">
        <v>59.5</v>
      </c>
      <c r="AN1133" s="23">
        <v>35119.1</v>
      </c>
      <c r="AO1133" s="23">
        <v>59.7</v>
      </c>
      <c r="AP1133" s="23">
        <v>0</v>
      </c>
      <c r="AR1133" s="46"/>
      <c r="AS1133" s="44"/>
      <c r="AT1133" s="45"/>
      <c r="AU1133" s="2">
        <v>44356</v>
      </c>
      <c r="AV1133" s="52">
        <v>0.38541666666666669</v>
      </c>
      <c r="AW1133" s="2" t="s">
        <v>212</v>
      </c>
      <c r="AY1133" s="3"/>
      <c r="BA1133" s="3"/>
      <c r="BG1133" s="3"/>
      <c r="BH1133" s="3"/>
    </row>
    <row r="1134" spans="1:60">
      <c r="A1134" s="23" t="s">
        <v>22</v>
      </c>
      <c r="B1134" s="23" t="s">
        <v>25</v>
      </c>
      <c r="C1134" s="27">
        <v>44356.395833333336</v>
      </c>
      <c r="D1134" s="23">
        <v>59.95</v>
      </c>
      <c r="E1134" s="27">
        <v>44356.541666666664</v>
      </c>
      <c r="F1134" s="23">
        <v>60.05</v>
      </c>
      <c r="G1134" s="31">
        <v>1.6999999999999999E-3</v>
      </c>
      <c r="H1134" s="23">
        <v>84.2</v>
      </c>
      <c r="I1134" s="31">
        <v>1.6999999999999999E-3</v>
      </c>
      <c r="J1134" s="23">
        <v>842.01220000000001</v>
      </c>
      <c r="K1134" s="23">
        <v>50478.63</v>
      </c>
      <c r="L1134" s="23">
        <v>95428.85</v>
      </c>
      <c r="M1134" s="23">
        <v>15</v>
      </c>
      <c r="N1134" s="23">
        <v>5.61</v>
      </c>
      <c r="O1134" s="31">
        <v>-7.4999999999999997E-3</v>
      </c>
      <c r="P1134" s="31">
        <v>3.4200000000000001E-2</v>
      </c>
      <c r="Q1134" s="23" t="s">
        <v>24</v>
      </c>
      <c r="R1134" s="23">
        <v>0</v>
      </c>
      <c r="S1134" s="23">
        <v>59.04</v>
      </c>
      <c r="U1134" s="47">
        <f>VLOOKUP(AU1134,[1]expiry_dates!$B$2:$C$2894,2,FALSE)</f>
        <v>44371</v>
      </c>
      <c r="V1134" s="23" t="s">
        <v>203</v>
      </c>
      <c r="W1134" s="23" t="s">
        <v>23</v>
      </c>
      <c r="X1134" s="49">
        <v>44356.395833333336</v>
      </c>
      <c r="Y1134" s="23">
        <v>2.5499999999999998</v>
      </c>
      <c r="Z1134" s="23">
        <v>44356.541666666664</v>
      </c>
      <c r="AA1134" s="23">
        <v>2.4500000000000002</v>
      </c>
      <c r="AB1134" s="23">
        <v>-3.9199999999999999E-2</v>
      </c>
      <c r="AC1134" s="23">
        <v>2612.4299999999998</v>
      </c>
      <c r="AD1134" s="23">
        <v>3.9199999999999999E-2</v>
      </c>
      <c r="AE1134" s="23">
        <v>26124.32</v>
      </c>
      <c r="AF1134" s="23">
        <v>66617.02</v>
      </c>
      <c r="AG1134" s="23">
        <v>3322098.8</v>
      </c>
      <c r="AH1134" s="23">
        <v>15</v>
      </c>
      <c r="AI1134" s="23">
        <v>174.16</v>
      </c>
      <c r="AJ1134" s="23">
        <v>-7.8399999999999997E-2</v>
      </c>
      <c r="AK1134" s="23">
        <v>0.39219999999999999</v>
      </c>
      <c r="AL1134" s="23" t="s">
        <v>24</v>
      </c>
      <c r="AM1134" s="23">
        <v>59.95</v>
      </c>
      <c r="AN1134" s="23">
        <v>35256.949999999997</v>
      </c>
      <c r="AO1134" s="23">
        <v>59.04</v>
      </c>
      <c r="AP1134" s="23">
        <v>0</v>
      </c>
      <c r="AR1134" s="46"/>
      <c r="AS1134" s="44"/>
      <c r="AT1134" s="45"/>
      <c r="AU1134" s="2">
        <v>44356</v>
      </c>
      <c r="AV1134" s="52">
        <v>0.39583333333333331</v>
      </c>
      <c r="AW1134" s="2" t="s">
        <v>212</v>
      </c>
      <c r="AY1134" s="3"/>
      <c r="BA1134" s="3"/>
      <c r="BG1134" s="3"/>
      <c r="BH1134" s="3"/>
    </row>
    <row r="1135" spans="1:60">
      <c r="A1135" s="23" t="s">
        <v>22</v>
      </c>
      <c r="B1135" s="23" t="s">
        <v>23</v>
      </c>
      <c r="C1135" s="27">
        <v>44356.541666666664</v>
      </c>
      <c r="D1135" s="23">
        <v>60.05</v>
      </c>
      <c r="E1135" s="27">
        <v>44357.395833333336</v>
      </c>
      <c r="F1135" s="23">
        <v>60.5</v>
      </c>
      <c r="G1135" s="31">
        <v>7.4999999999999997E-3</v>
      </c>
      <c r="H1135" s="23">
        <v>-378.31</v>
      </c>
      <c r="I1135" s="31">
        <v>-7.4999999999999997E-3</v>
      </c>
      <c r="J1135" s="23">
        <v>840.69389999999999</v>
      </c>
      <c r="K1135" s="23">
        <v>50483.67</v>
      </c>
      <c r="L1135" s="23">
        <v>95050.54</v>
      </c>
      <c r="M1135" s="23">
        <v>15</v>
      </c>
      <c r="N1135" s="23">
        <v>-25.22</v>
      </c>
      <c r="O1135" s="31">
        <v>-2.6599999999999999E-2</v>
      </c>
      <c r="P1135" s="31">
        <v>1.67E-2</v>
      </c>
      <c r="Q1135" s="23" t="s">
        <v>24</v>
      </c>
      <c r="R1135" s="23">
        <v>0</v>
      </c>
      <c r="S1135" s="23">
        <v>62</v>
      </c>
      <c r="U1135" s="47">
        <f>VLOOKUP(AU1135,[1]expiry_dates!$B$2:$C$2894,2,FALSE)</f>
        <v>44371</v>
      </c>
      <c r="V1135" s="23" t="s">
        <v>202</v>
      </c>
      <c r="W1135" s="23" t="s">
        <v>23</v>
      </c>
      <c r="X1135" s="49">
        <v>44356.541666666664</v>
      </c>
      <c r="Y1135" s="23">
        <v>2.8</v>
      </c>
      <c r="Z1135" s="23">
        <v>44357.395833333336</v>
      </c>
      <c r="AA1135" s="23">
        <v>3.25</v>
      </c>
      <c r="AB1135" s="23">
        <v>0.16070000000000001</v>
      </c>
      <c r="AC1135" s="23">
        <v>-10721</v>
      </c>
      <c r="AD1135" s="23">
        <v>-0.16070000000000001</v>
      </c>
      <c r="AE1135" s="23">
        <v>23824.45</v>
      </c>
      <c r="AF1135" s="23">
        <v>66708.460000000006</v>
      </c>
      <c r="AG1135" s="23">
        <v>3311377.8</v>
      </c>
      <c r="AH1135" s="23">
        <v>15</v>
      </c>
      <c r="AI1135" s="23">
        <v>-714.73</v>
      </c>
      <c r="AJ1135" s="23">
        <v>-0.33929999999999999</v>
      </c>
      <c r="AK1135" s="23">
        <v>0.1071</v>
      </c>
      <c r="AL1135" s="23" t="s">
        <v>24</v>
      </c>
      <c r="AM1135" s="23">
        <v>60.05</v>
      </c>
      <c r="AN1135" s="23">
        <v>34903.199999999997</v>
      </c>
      <c r="AO1135" s="23">
        <v>62</v>
      </c>
      <c r="AP1135" s="23">
        <v>0</v>
      </c>
      <c r="AR1135" s="46"/>
      <c r="AS1135" s="44"/>
      <c r="AT1135" s="45"/>
      <c r="AU1135" s="2">
        <v>44356</v>
      </c>
      <c r="AV1135" s="52">
        <v>4.1666666666666664E-2</v>
      </c>
      <c r="AW1135" s="2" t="s">
        <v>213</v>
      </c>
      <c r="AY1135" s="3"/>
      <c r="BA1135" s="3"/>
      <c r="BG1135" s="3"/>
      <c r="BH1135" s="3"/>
    </row>
    <row r="1136" spans="1:60">
      <c r="A1136" s="23" t="s">
        <v>22</v>
      </c>
      <c r="B1136" s="23" t="s">
        <v>25</v>
      </c>
      <c r="C1136" s="27">
        <v>44357.395833333336</v>
      </c>
      <c r="D1136" s="23">
        <v>60.5</v>
      </c>
      <c r="E1136" s="27">
        <v>44357.489583333336</v>
      </c>
      <c r="F1136" s="23">
        <v>59.95</v>
      </c>
      <c r="G1136" s="31">
        <v>-9.1000000000000004E-3</v>
      </c>
      <c r="H1136" s="23">
        <v>-458.88</v>
      </c>
      <c r="I1136" s="31">
        <v>-9.1000000000000004E-3</v>
      </c>
      <c r="J1136" s="23">
        <v>834.3329</v>
      </c>
      <c r="K1136" s="23">
        <v>50477.14</v>
      </c>
      <c r="L1136" s="23">
        <v>94591.65</v>
      </c>
      <c r="M1136" s="23">
        <v>10</v>
      </c>
      <c r="N1136" s="23">
        <v>-45.89</v>
      </c>
      <c r="O1136" s="31">
        <v>-9.1000000000000004E-3</v>
      </c>
      <c r="P1136" s="31">
        <v>9.9000000000000008E-3</v>
      </c>
      <c r="Q1136" s="23" t="s">
        <v>24</v>
      </c>
      <c r="R1136" s="23">
        <v>0</v>
      </c>
      <c r="S1136" s="23">
        <v>59.08</v>
      </c>
      <c r="U1136" s="47">
        <f>VLOOKUP(AU1136,[1]expiry_dates!$B$2:$C$2894,2,FALSE)</f>
        <v>44371</v>
      </c>
      <c r="V1136" s="23" t="s">
        <v>204</v>
      </c>
      <c r="W1136" s="23" t="s">
        <v>23</v>
      </c>
      <c r="X1136" s="49">
        <v>44357.395833333336</v>
      </c>
      <c r="Y1136" s="23">
        <v>3.1</v>
      </c>
      <c r="Z1136" s="23">
        <v>44357.489583333336</v>
      </c>
      <c r="AA1136" s="23">
        <v>3.35</v>
      </c>
      <c r="AB1136" s="23">
        <v>8.0600000000000005E-2</v>
      </c>
      <c r="AC1136" s="23">
        <v>-5371.33</v>
      </c>
      <c r="AD1136" s="23">
        <v>-8.0600000000000005E-2</v>
      </c>
      <c r="AE1136" s="23">
        <v>21485.34</v>
      </c>
      <c r="AF1136" s="23">
        <v>66604.539999999994</v>
      </c>
      <c r="AG1136" s="23">
        <v>3306006.46</v>
      </c>
      <c r="AH1136" s="23">
        <v>10</v>
      </c>
      <c r="AI1136" s="23">
        <v>-537.13</v>
      </c>
      <c r="AJ1136" s="23">
        <v>-8.0600000000000005E-2</v>
      </c>
      <c r="AK1136" s="23">
        <v>9.6799999999999997E-2</v>
      </c>
      <c r="AL1136" s="23" t="s">
        <v>24</v>
      </c>
      <c r="AM1136" s="23">
        <v>60.5</v>
      </c>
      <c r="AN1136" s="23">
        <v>34893.5</v>
      </c>
      <c r="AO1136" s="23">
        <v>59.08</v>
      </c>
      <c r="AP1136" s="23">
        <v>0</v>
      </c>
      <c r="AR1136" s="46"/>
      <c r="AS1136" s="44"/>
      <c r="AT1136" s="45"/>
      <c r="AU1136" s="2">
        <v>44357</v>
      </c>
      <c r="AV1136" s="52">
        <v>0.39583333333333331</v>
      </c>
      <c r="AW1136" s="2" t="s">
        <v>212</v>
      </c>
      <c r="AY1136" s="3"/>
      <c r="BA1136" s="3"/>
      <c r="BG1136" s="3"/>
      <c r="BH1136" s="3"/>
    </row>
    <row r="1137" spans="1:60">
      <c r="A1137" s="23" t="s">
        <v>22</v>
      </c>
      <c r="B1137" s="23" t="s">
        <v>23</v>
      </c>
      <c r="C1137" s="27">
        <v>44357.489583333336</v>
      </c>
      <c r="D1137" s="23">
        <v>59.95</v>
      </c>
      <c r="E1137" s="27">
        <v>44357.59375</v>
      </c>
      <c r="F1137" s="23">
        <v>60.6</v>
      </c>
      <c r="G1137" s="31">
        <v>1.0800000000000001E-2</v>
      </c>
      <c r="H1137" s="23">
        <v>-547.27</v>
      </c>
      <c r="I1137" s="31">
        <v>-1.0800000000000001E-2</v>
      </c>
      <c r="J1137" s="23">
        <v>841.94889999999998</v>
      </c>
      <c r="K1137" s="23">
        <v>50474.84</v>
      </c>
      <c r="L1137" s="23">
        <v>94044.39</v>
      </c>
      <c r="M1137" s="23">
        <v>11</v>
      </c>
      <c r="N1137" s="23">
        <v>-49.75</v>
      </c>
      <c r="O1137" s="31">
        <v>-1.0800000000000001E-2</v>
      </c>
      <c r="P1137" s="31">
        <v>3.3E-3</v>
      </c>
      <c r="Q1137" s="23" t="s">
        <v>24</v>
      </c>
      <c r="R1137" s="23">
        <v>0</v>
      </c>
      <c r="S1137" s="23">
        <v>61.08</v>
      </c>
      <c r="U1137" s="47">
        <f>VLOOKUP(AU1137,[1]expiry_dates!$B$2:$C$2894,2,FALSE)</f>
        <v>44371</v>
      </c>
      <c r="V1137" s="23" t="s">
        <v>202</v>
      </c>
      <c r="W1137" s="23" t="s">
        <v>23</v>
      </c>
      <c r="X1137" s="49">
        <v>44357.489583333336</v>
      </c>
      <c r="Y1137" s="23">
        <v>2.85</v>
      </c>
      <c r="Z1137" s="23">
        <v>44357.59375</v>
      </c>
      <c r="AA1137" s="23">
        <v>3.2</v>
      </c>
      <c r="AB1137" s="23">
        <v>0.12280000000000001</v>
      </c>
      <c r="AC1137" s="23">
        <v>-8172.99</v>
      </c>
      <c r="AD1137" s="23">
        <v>-0.12280000000000001</v>
      </c>
      <c r="AE1137" s="23">
        <v>23351.41</v>
      </c>
      <c r="AF1137" s="23">
        <v>66551.520000000004</v>
      </c>
      <c r="AG1137" s="23">
        <v>3297833.47</v>
      </c>
      <c r="AH1137" s="23">
        <v>11</v>
      </c>
      <c r="AI1137" s="23">
        <v>-743</v>
      </c>
      <c r="AJ1137" s="23">
        <v>-0.12280000000000001</v>
      </c>
      <c r="AK1137" s="23">
        <v>0</v>
      </c>
      <c r="AL1137" s="23" t="s">
        <v>24</v>
      </c>
      <c r="AM1137" s="23">
        <v>59.95</v>
      </c>
      <c r="AN1137" s="23">
        <v>34867.15</v>
      </c>
      <c r="AO1137" s="23">
        <v>61.08</v>
      </c>
      <c r="AP1137" s="23">
        <v>0</v>
      </c>
      <c r="AR1137" s="46"/>
      <c r="AS1137" s="44"/>
      <c r="AT1137" s="45"/>
      <c r="AU1137" s="2">
        <v>44357</v>
      </c>
      <c r="AV1137" s="52">
        <v>0.48958333333333331</v>
      </c>
      <c r="AW1137" s="2" t="s">
        <v>212</v>
      </c>
      <c r="AY1137" s="3"/>
      <c r="BA1137" s="3"/>
      <c r="BG1137" s="3"/>
      <c r="BH1137" s="3"/>
    </row>
    <row r="1138" spans="1:60">
      <c r="A1138" s="23" t="s">
        <v>22</v>
      </c>
      <c r="B1138" s="23" t="s">
        <v>25</v>
      </c>
      <c r="C1138" s="27">
        <v>44357.59375</v>
      </c>
      <c r="D1138" s="23">
        <v>60.6</v>
      </c>
      <c r="E1138" s="27">
        <v>44358.4375</v>
      </c>
      <c r="F1138" s="23">
        <v>60.55</v>
      </c>
      <c r="G1138" s="31">
        <v>-8.0000000000000004E-4</v>
      </c>
      <c r="H1138" s="23">
        <v>-41.64</v>
      </c>
      <c r="I1138" s="31">
        <v>-8.0000000000000004E-4</v>
      </c>
      <c r="J1138" s="23">
        <v>832.84889999999996</v>
      </c>
      <c r="K1138" s="23">
        <v>50470.64</v>
      </c>
      <c r="L1138" s="23">
        <v>94002.74</v>
      </c>
      <c r="M1138" s="23">
        <v>14</v>
      </c>
      <c r="N1138" s="23">
        <v>-2.97</v>
      </c>
      <c r="O1138" s="31">
        <v>-6.6E-3</v>
      </c>
      <c r="P1138" s="31">
        <v>1.5699999999999999E-2</v>
      </c>
      <c r="Q1138" s="23" t="s">
        <v>24</v>
      </c>
      <c r="R1138" s="23">
        <v>0</v>
      </c>
      <c r="S1138" s="23">
        <v>59.77</v>
      </c>
      <c r="U1138" s="47">
        <f>VLOOKUP(AU1138,[1]expiry_dates!$B$2:$C$2894,2,FALSE)</f>
        <v>44371</v>
      </c>
      <c r="V1138" s="23" t="s">
        <v>203</v>
      </c>
      <c r="W1138" s="23" t="s">
        <v>23</v>
      </c>
      <c r="X1138" s="49">
        <v>44357.59375</v>
      </c>
      <c r="Y1138" s="23">
        <v>2.35</v>
      </c>
      <c r="Z1138" s="23">
        <v>44358.4375</v>
      </c>
      <c r="AA1138" s="23">
        <v>2.4</v>
      </c>
      <c r="AB1138" s="23">
        <v>2.1299999999999999E-2</v>
      </c>
      <c r="AC1138" s="23">
        <v>-1414.79</v>
      </c>
      <c r="AD1138" s="23">
        <v>-2.1299999999999999E-2</v>
      </c>
      <c r="AE1138" s="23">
        <v>28295.75</v>
      </c>
      <c r="AF1138" s="23">
        <v>66495.009999999995</v>
      </c>
      <c r="AG1138" s="23">
        <v>3296418.68</v>
      </c>
      <c r="AH1138" s="23">
        <v>14</v>
      </c>
      <c r="AI1138" s="23">
        <v>-101.06</v>
      </c>
      <c r="AJ1138" s="23">
        <v>-0.10639999999999999</v>
      </c>
      <c r="AK1138" s="23">
        <v>0.17019999999999999</v>
      </c>
      <c r="AL1138" s="23" t="s">
        <v>24</v>
      </c>
      <c r="AM1138" s="23">
        <v>60.6</v>
      </c>
      <c r="AN1138" s="23">
        <v>35067.9</v>
      </c>
      <c r="AO1138" s="23">
        <v>59.77</v>
      </c>
      <c r="AP1138" s="23">
        <v>0</v>
      </c>
      <c r="AR1138" s="46"/>
      <c r="AS1138" s="44"/>
      <c r="AT1138" s="45"/>
      <c r="AU1138" s="2">
        <v>44357</v>
      </c>
      <c r="AV1138" s="52">
        <v>9.375E-2</v>
      </c>
      <c r="AW1138" s="2" t="s">
        <v>213</v>
      </c>
      <c r="AY1138" s="3"/>
      <c r="BA1138" s="3"/>
      <c r="BG1138" s="3"/>
      <c r="BH1138" s="3"/>
    </row>
    <row r="1139" spans="1:60">
      <c r="A1139" s="23" t="s">
        <v>22</v>
      </c>
      <c r="B1139" s="23" t="s">
        <v>23</v>
      </c>
      <c r="C1139" s="27">
        <v>44358.4375</v>
      </c>
      <c r="D1139" s="23">
        <v>60.55</v>
      </c>
      <c r="E1139" s="27">
        <v>44361.520833333336</v>
      </c>
      <c r="F1139" s="23">
        <v>58.8</v>
      </c>
      <c r="G1139" s="31">
        <v>-2.8899999999999999E-2</v>
      </c>
      <c r="H1139" s="23">
        <v>1458.69</v>
      </c>
      <c r="I1139" s="31">
        <v>2.8899999999999999E-2</v>
      </c>
      <c r="J1139" s="23">
        <v>833.53660000000002</v>
      </c>
      <c r="K1139" s="23">
        <v>50470.64</v>
      </c>
      <c r="L1139" s="23">
        <v>95461.43</v>
      </c>
      <c r="M1139" s="23">
        <v>37</v>
      </c>
      <c r="N1139" s="23">
        <v>39.42</v>
      </c>
      <c r="O1139" s="31">
        <v>-2.5000000000000001E-3</v>
      </c>
      <c r="P1139" s="31">
        <v>4.2900000000000001E-2</v>
      </c>
      <c r="Q1139" s="23" t="s">
        <v>24</v>
      </c>
      <c r="R1139" s="23">
        <v>0</v>
      </c>
      <c r="S1139" s="23">
        <v>61.5</v>
      </c>
      <c r="U1139" s="47">
        <f>VLOOKUP(AU1139,[1]expiry_dates!$B$2:$C$2894,2,FALSE)</f>
        <v>44371</v>
      </c>
      <c r="V1139" s="23" t="s">
        <v>186</v>
      </c>
      <c r="W1139" s="23" t="s">
        <v>23</v>
      </c>
      <c r="X1139" s="49">
        <v>44358.4375</v>
      </c>
      <c r="Y1139" s="23">
        <v>2.75</v>
      </c>
      <c r="Z1139" s="23">
        <v>44361.520833333336</v>
      </c>
      <c r="AA1139" s="23">
        <v>1.9</v>
      </c>
      <c r="AB1139" s="23">
        <v>-0.30909999999999999</v>
      </c>
      <c r="AC1139" s="23">
        <v>20546.82</v>
      </c>
      <c r="AD1139" s="23">
        <v>0.30909999999999999</v>
      </c>
      <c r="AE1139" s="23">
        <v>24172.73</v>
      </c>
      <c r="AF1139" s="23">
        <v>66475.02</v>
      </c>
      <c r="AG1139" s="23">
        <v>3316965.5</v>
      </c>
      <c r="AH1139" s="23">
        <v>37</v>
      </c>
      <c r="AI1139" s="23">
        <v>555.32000000000005</v>
      </c>
      <c r="AJ1139" s="23">
        <v>-3.6400000000000002E-2</v>
      </c>
      <c r="AK1139" s="23">
        <v>0.43640000000000001</v>
      </c>
      <c r="AL1139" s="23" t="s">
        <v>24</v>
      </c>
      <c r="AM1139" s="23">
        <v>60.55</v>
      </c>
      <c r="AN1139" s="23">
        <v>35158.25</v>
      </c>
      <c r="AO1139" s="23">
        <v>61.5</v>
      </c>
      <c r="AP1139" s="23">
        <v>0</v>
      </c>
      <c r="AR1139" s="46"/>
      <c r="AS1139" s="44"/>
      <c r="AT1139" s="45"/>
      <c r="AU1139" s="2">
        <v>44358</v>
      </c>
      <c r="AV1139" s="52">
        <v>0.4375</v>
      </c>
      <c r="AW1139" s="2" t="s">
        <v>212</v>
      </c>
      <c r="AY1139" s="3"/>
      <c r="BA1139" s="3"/>
      <c r="BG1139" s="3"/>
      <c r="BH1139" s="3"/>
    </row>
    <row r="1140" spans="1:60">
      <c r="A1140" s="23" t="s">
        <v>22</v>
      </c>
      <c r="B1140" s="23" t="s">
        <v>25</v>
      </c>
      <c r="C1140" s="27">
        <v>44361.520833333336</v>
      </c>
      <c r="D1140" s="23">
        <v>58.8</v>
      </c>
      <c r="E1140" s="27">
        <v>44362.541666666664</v>
      </c>
      <c r="F1140" s="23">
        <v>59.85</v>
      </c>
      <c r="G1140" s="31">
        <v>1.7899999999999999E-2</v>
      </c>
      <c r="H1140" s="23">
        <v>901.37</v>
      </c>
      <c r="I1140" s="31">
        <v>1.7899999999999999E-2</v>
      </c>
      <c r="J1140" s="23">
        <v>858.447</v>
      </c>
      <c r="K1140" s="23">
        <v>50476.68</v>
      </c>
      <c r="L1140" s="23">
        <v>96362.8</v>
      </c>
      <c r="M1140" s="23">
        <v>31</v>
      </c>
      <c r="N1140" s="23">
        <v>29.08</v>
      </c>
      <c r="O1140" s="31">
        <v>-1.6999999999999999E-3</v>
      </c>
      <c r="P1140" s="31">
        <v>2.98E-2</v>
      </c>
      <c r="Q1140" s="23" t="s">
        <v>24</v>
      </c>
      <c r="R1140" s="23">
        <v>0</v>
      </c>
      <c r="S1140" s="23">
        <v>57.97</v>
      </c>
      <c r="U1140" s="47">
        <f>VLOOKUP(AU1140,[1]expiry_dates!$B$2:$C$2894,2,FALSE)</f>
        <v>44371</v>
      </c>
      <c r="V1140" s="23" t="s">
        <v>201</v>
      </c>
      <c r="W1140" s="23" t="s">
        <v>23</v>
      </c>
      <c r="X1140" s="49">
        <v>44361.520833333336</v>
      </c>
      <c r="Y1140" s="23">
        <v>2.65</v>
      </c>
      <c r="Z1140" s="23">
        <v>44362.541666666664</v>
      </c>
      <c r="AA1140" s="23">
        <v>1.95</v>
      </c>
      <c r="AB1140" s="23">
        <v>-0.26419999999999999</v>
      </c>
      <c r="AC1140" s="23">
        <v>17588.439999999999</v>
      </c>
      <c r="AD1140" s="23">
        <v>0.26419999999999999</v>
      </c>
      <c r="AE1140" s="23">
        <v>25126.35</v>
      </c>
      <c r="AF1140" s="23">
        <v>66584.83</v>
      </c>
      <c r="AG1140" s="23">
        <v>3334553.95</v>
      </c>
      <c r="AH1140" s="23">
        <v>31</v>
      </c>
      <c r="AI1140" s="23">
        <v>567.37</v>
      </c>
      <c r="AJ1140" s="23">
        <v>0</v>
      </c>
      <c r="AK1140" s="23">
        <v>0.33960000000000001</v>
      </c>
      <c r="AL1140" s="23" t="s">
        <v>24</v>
      </c>
      <c r="AM1140" s="23">
        <v>58.8</v>
      </c>
      <c r="AN1140" s="23">
        <v>34660.35</v>
      </c>
      <c r="AO1140" s="23">
        <v>57.97</v>
      </c>
      <c r="AP1140" s="23">
        <v>0</v>
      </c>
      <c r="AR1140" s="46"/>
      <c r="AS1140" s="44"/>
      <c r="AT1140" s="45"/>
      <c r="AU1140" s="2">
        <v>44361</v>
      </c>
      <c r="AV1140" s="52">
        <v>0.52083333333333337</v>
      </c>
      <c r="AW1140" s="2" t="s">
        <v>213</v>
      </c>
      <c r="AY1140" s="3"/>
      <c r="BA1140" s="3"/>
      <c r="BG1140" s="3"/>
      <c r="BH1140" s="3"/>
    </row>
    <row r="1141" spans="1:60">
      <c r="A1141" s="23" t="s">
        <v>22</v>
      </c>
      <c r="B1141" s="23" t="s">
        <v>23</v>
      </c>
      <c r="C1141" s="27">
        <v>44362.541666666664</v>
      </c>
      <c r="D1141" s="23">
        <v>59.85</v>
      </c>
      <c r="E1141" s="27">
        <v>44364.395833333336</v>
      </c>
      <c r="F1141" s="23">
        <v>59</v>
      </c>
      <c r="G1141" s="31">
        <v>-1.4200000000000001E-2</v>
      </c>
      <c r="H1141" s="23">
        <v>716.95</v>
      </c>
      <c r="I1141" s="31">
        <v>1.4200000000000001E-2</v>
      </c>
      <c r="J1141" s="23">
        <v>843.47230000000002</v>
      </c>
      <c r="K1141" s="23">
        <v>50481.82</v>
      </c>
      <c r="L1141" s="23">
        <v>97079.75</v>
      </c>
      <c r="M1141" s="23">
        <v>43</v>
      </c>
      <c r="N1141" s="23">
        <v>16.670000000000002</v>
      </c>
      <c r="O1141" s="31">
        <v>-1.6999999999999999E-3</v>
      </c>
      <c r="P1141" s="31">
        <v>3.7600000000000001E-2</v>
      </c>
      <c r="Q1141" s="23" t="s">
        <v>24</v>
      </c>
      <c r="R1141" s="23">
        <v>0</v>
      </c>
      <c r="S1141" s="23">
        <v>60.53</v>
      </c>
      <c r="U1141" s="47">
        <f>VLOOKUP(AU1141,[1]expiry_dates!$B$2:$C$2894,2,FALSE)</f>
        <v>44371</v>
      </c>
      <c r="V1141" s="23" t="s">
        <v>202</v>
      </c>
      <c r="W1141" s="23" t="s">
        <v>23</v>
      </c>
      <c r="X1141" s="49">
        <v>44362.541666666664</v>
      </c>
      <c r="Y1141" s="23">
        <v>2.4</v>
      </c>
      <c r="Z1141" s="23">
        <v>44364.395833333336</v>
      </c>
      <c r="AA1141" s="23">
        <v>1.8</v>
      </c>
      <c r="AB1141" s="23">
        <v>-0.25</v>
      </c>
      <c r="AC1141" s="23">
        <v>16668.189999999999</v>
      </c>
      <c r="AD1141" s="23">
        <v>0.25</v>
      </c>
      <c r="AE1141" s="23">
        <v>27780.32</v>
      </c>
      <c r="AF1141" s="23">
        <v>66672.77</v>
      </c>
      <c r="AG1141" s="23">
        <v>3351222.14</v>
      </c>
      <c r="AH1141" s="23">
        <v>43</v>
      </c>
      <c r="AI1141" s="23">
        <v>387.63</v>
      </c>
      <c r="AJ1141" s="23">
        <v>-4.1700000000000001E-2</v>
      </c>
      <c r="AK1141" s="23">
        <v>0.5</v>
      </c>
      <c r="AL1141" s="23" t="s">
        <v>24</v>
      </c>
      <c r="AM1141" s="23">
        <v>59.85</v>
      </c>
      <c r="AN1141" s="23">
        <v>35225.599999999999</v>
      </c>
      <c r="AO1141" s="23">
        <v>60.53</v>
      </c>
      <c r="AP1141" s="23">
        <v>0</v>
      </c>
      <c r="AR1141" s="46"/>
      <c r="AS1141" s="44"/>
      <c r="AT1141" s="45"/>
      <c r="AU1141" s="2">
        <v>44362</v>
      </c>
      <c r="AV1141" s="52">
        <v>4.1666666666666664E-2</v>
      </c>
      <c r="AW1141" s="2" t="s">
        <v>213</v>
      </c>
      <c r="AY1141" s="3"/>
      <c r="BA1141" s="3"/>
      <c r="BG1141" s="3"/>
      <c r="BH1141" s="3"/>
    </row>
    <row r="1142" spans="1:60">
      <c r="A1142" s="23" t="s">
        <v>22</v>
      </c>
      <c r="B1142" s="23" t="s">
        <v>25</v>
      </c>
      <c r="C1142" s="27">
        <v>44364.395833333336</v>
      </c>
      <c r="D1142" s="23">
        <v>59</v>
      </c>
      <c r="E1142" s="27">
        <v>44364.583333333336</v>
      </c>
      <c r="F1142" s="23">
        <v>58.3</v>
      </c>
      <c r="G1142" s="31">
        <v>-1.1900000000000001E-2</v>
      </c>
      <c r="H1142" s="23">
        <v>-598.99</v>
      </c>
      <c r="I1142" s="31">
        <v>-1.1900000000000001E-2</v>
      </c>
      <c r="J1142" s="23">
        <v>855.69899999999996</v>
      </c>
      <c r="K1142" s="23">
        <v>50486.239999999998</v>
      </c>
      <c r="L1142" s="23">
        <v>96480.76</v>
      </c>
      <c r="M1142" s="23">
        <v>19</v>
      </c>
      <c r="N1142" s="23">
        <v>-31.53</v>
      </c>
      <c r="O1142" s="31">
        <v>-1.1900000000000001E-2</v>
      </c>
      <c r="P1142" s="31">
        <v>7.6E-3</v>
      </c>
      <c r="Q1142" s="23" t="s">
        <v>24</v>
      </c>
      <c r="R1142" s="23">
        <v>0</v>
      </c>
      <c r="S1142" s="23">
        <v>57.66</v>
      </c>
      <c r="U1142" s="47">
        <f>VLOOKUP(AU1142,[1]expiry_dates!$B$2:$C$2894,2,FALSE)</f>
        <v>44371</v>
      </c>
      <c r="V1142" s="23" t="s">
        <v>201</v>
      </c>
      <c r="W1142" s="23" t="s">
        <v>23</v>
      </c>
      <c r="X1142" s="49">
        <v>44364.395833333336</v>
      </c>
      <c r="Y1142" s="23">
        <v>2</v>
      </c>
      <c r="Z1142" s="23">
        <v>44364.583333333336</v>
      </c>
      <c r="AA1142" s="23">
        <v>2.15</v>
      </c>
      <c r="AB1142" s="23">
        <v>7.4999999999999997E-2</v>
      </c>
      <c r="AC1142" s="23">
        <v>-5009.3100000000004</v>
      </c>
      <c r="AD1142" s="23">
        <v>-7.4999999999999997E-2</v>
      </c>
      <c r="AE1142" s="23">
        <v>33395.42</v>
      </c>
      <c r="AF1142" s="23">
        <v>66790.84</v>
      </c>
      <c r="AG1142" s="23">
        <v>3346212.83</v>
      </c>
      <c r="AH1142" s="23">
        <v>19</v>
      </c>
      <c r="AI1142" s="23">
        <v>-263.64999999999998</v>
      </c>
      <c r="AJ1142" s="23">
        <v>-7.4999999999999997E-2</v>
      </c>
      <c r="AK1142" s="23">
        <v>0.1</v>
      </c>
      <c r="AL1142" s="23" t="s">
        <v>24</v>
      </c>
      <c r="AM1142" s="23">
        <v>59</v>
      </c>
      <c r="AN1142" s="23">
        <v>34805.65</v>
      </c>
      <c r="AO1142" s="23">
        <v>57.66</v>
      </c>
      <c r="AP1142" s="23">
        <v>0</v>
      </c>
      <c r="AR1142" s="46"/>
      <c r="AS1142" s="44"/>
      <c r="AT1142" s="45"/>
      <c r="AU1142" s="2">
        <v>44364</v>
      </c>
      <c r="AV1142" s="52">
        <v>0.39583333333333331</v>
      </c>
      <c r="AW1142" s="2" t="s">
        <v>212</v>
      </c>
      <c r="AY1142" s="3"/>
      <c r="BA1142" s="3"/>
      <c r="BG1142" s="3"/>
      <c r="BH1142" s="3"/>
    </row>
    <row r="1143" spans="1:60">
      <c r="A1143" s="23" t="s">
        <v>22</v>
      </c>
      <c r="B1143" s="23" t="s">
        <v>23</v>
      </c>
      <c r="C1143" s="27">
        <v>44364.583333333336</v>
      </c>
      <c r="D1143" s="23">
        <v>58.3</v>
      </c>
      <c r="E1143" s="27">
        <v>44365.572916666664</v>
      </c>
      <c r="F1143" s="23">
        <v>56.7</v>
      </c>
      <c r="G1143" s="31">
        <v>-2.7400000000000001E-2</v>
      </c>
      <c r="H1143" s="23">
        <v>1385.52</v>
      </c>
      <c r="I1143" s="31">
        <v>2.7400000000000001E-2</v>
      </c>
      <c r="J1143" s="23">
        <v>865.95150000000001</v>
      </c>
      <c r="K1143" s="23">
        <v>50484.97</v>
      </c>
      <c r="L1143" s="23">
        <v>97866.29</v>
      </c>
      <c r="M1143" s="23">
        <v>28</v>
      </c>
      <c r="N1143" s="23">
        <v>49.48</v>
      </c>
      <c r="O1143" s="31">
        <v>-1.11E-2</v>
      </c>
      <c r="P1143" s="31">
        <v>5.4899999999999997E-2</v>
      </c>
      <c r="Q1143" s="23" t="s">
        <v>24</v>
      </c>
      <c r="R1143" s="23">
        <v>0</v>
      </c>
      <c r="S1143" s="23">
        <v>59.42</v>
      </c>
      <c r="U1143" s="47">
        <f>VLOOKUP(AU1143,[1]expiry_dates!$B$2:$C$2894,2,FALSE)</f>
        <v>44371</v>
      </c>
      <c r="V1143" s="23" t="s">
        <v>184</v>
      </c>
      <c r="W1143" s="23" t="s">
        <v>23</v>
      </c>
      <c r="X1143" s="49">
        <v>44364.583333333336</v>
      </c>
      <c r="Y1143" s="23">
        <v>2</v>
      </c>
      <c r="Z1143" s="23">
        <v>44365.572916666664</v>
      </c>
      <c r="AA1143" s="23">
        <v>0.9</v>
      </c>
      <c r="AB1143" s="23">
        <v>-0.55000000000000004</v>
      </c>
      <c r="AC1143" s="23">
        <v>36725.040000000001</v>
      </c>
      <c r="AD1143" s="23">
        <v>0.55000000000000004</v>
      </c>
      <c r="AE1143" s="23">
        <v>33386.400000000001</v>
      </c>
      <c r="AF1143" s="23">
        <v>66772.800000000003</v>
      </c>
      <c r="AG1143" s="23">
        <v>3382937.87</v>
      </c>
      <c r="AH1143" s="23">
        <v>28</v>
      </c>
      <c r="AI1143" s="23">
        <v>1311.61</v>
      </c>
      <c r="AJ1143" s="23">
        <v>-0.15</v>
      </c>
      <c r="AK1143" s="23">
        <v>0.7</v>
      </c>
      <c r="AL1143" s="23" t="s">
        <v>24</v>
      </c>
      <c r="AM1143" s="23">
        <v>58.3</v>
      </c>
      <c r="AN1143" s="23">
        <v>34549.75</v>
      </c>
      <c r="AO1143" s="23">
        <v>59.42</v>
      </c>
      <c r="AP1143" s="23">
        <v>0</v>
      </c>
      <c r="AR1143" s="46"/>
      <c r="AS1143" s="44"/>
      <c r="AT1143" s="45"/>
      <c r="AU1143" s="2">
        <v>44364</v>
      </c>
      <c r="AV1143" s="52">
        <v>8.3333333333333329E-2</v>
      </c>
      <c r="AW1143" s="2" t="s">
        <v>213</v>
      </c>
      <c r="AY1143" s="3"/>
      <c r="BA1143" s="3"/>
      <c r="BG1143" s="3"/>
      <c r="BH1143" s="3"/>
    </row>
    <row r="1144" spans="1:60">
      <c r="A1144" s="23" t="s">
        <v>22</v>
      </c>
      <c r="B1144" s="23" t="s">
        <v>25</v>
      </c>
      <c r="C1144" s="27">
        <v>44365.572916666664</v>
      </c>
      <c r="D1144" s="23">
        <v>56.7</v>
      </c>
      <c r="E1144" s="27">
        <v>44369.520833333336</v>
      </c>
      <c r="F1144" s="23">
        <v>58.85</v>
      </c>
      <c r="G1144" s="31">
        <v>3.7900000000000003E-2</v>
      </c>
      <c r="H1144" s="23">
        <v>1914.53</v>
      </c>
      <c r="I1144" s="31">
        <v>3.7900000000000003E-2</v>
      </c>
      <c r="J1144" s="23">
        <v>890.47969999999998</v>
      </c>
      <c r="K1144" s="23">
        <v>50490.2</v>
      </c>
      <c r="L1144" s="23">
        <v>99780.82</v>
      </c>
      <c r="M1144" s="23">
        <v>52</v>
      </c>
      <c r="N1144" s="23">
        <v>36.82</v>
      </c>
      <c r="O1144" s="31">
        <v>-9.7000000000000003E-3</v>
      </c>
      <c r="P1144" s="31">
        <v>4.9399999999999999E-2</v>
      </c>
      <c r="Q1144" s="23" t="s">
        <v>24</v>
      </c>
      <c r="R1144" s="23">
        <v>0</v>
      </c>
      <c r="S1144" s="23">
        <v>55.1</v>
      </c>
      <c r="U1144" s="47">
        <f>VLOOKUP(AU1144,[1]expiry_dates!$B$2:$C$2894,2,FALSE)</f>
        <v>44371</v>
      </c>
      <c r="V1144" s="23" t="s">
        <v>183</v>
      </c>
      <c r="W1144" s="23" t="s">
        <v>23</v>
      </c>
      <c r="X1144" s="49">
        <v>44365.572916666664</v>
      </c>
      <c r="Y1144" s="23">
        <v>1.5</v>
      </c>
      <c r="Z1144" s="23">
        <v>44369.520833333336</v>
      </c>
      <c r="AA1144" s="23">
        <v>0.45</v>
      </c>
      <c r="AB1144" s="23">
        <v>-0.7</v>
      </c>
      <c r="AC1144" s="23">
        <v>46851.97</v>
      </c>
      <c r="AD1144" s="23">
        <v>0.7</v>
      </c>
      <c r="AE1144" s="23">
        <v>44620.92</v>
      </c>
      <c r="AF1144" s="23">
        <v>66931.38</v>
      </c>
      <c r="AG1144" s="23">
        <v>3429789.84</v>
      </c>
      <c r="AH1144" s="23">
        <v>52</v>
      </c>
      <c r="AI1144" s="23">
        <v>901</v>
      </c>
      <c r="AJ1144" s="23">
        <v>-0.3</v>
      </c>
      <c r="AK1144" s="23">
        <v>0.8</v>
      </c>
      <c r="AL1144" s="23" t="s">
        <v>24</v>
      </c>
      <c r="AM1144" s="23">
        <v>56.7</v>
      </c>
      <c r="AN1144" s="23">
        <v>34333.599999999999</v>
      </c>
      <c r="AO1144" s="23">
        <v>55.1</v>
      </c>
      <c r="AP1144" s="23">
        <v>0</v>
      </c>
      <c r="AR1144" s="46"/>
      <c r="AS1144" s="44"/>
      <c r="AT1144" s="45"/>
      <c r="AU1144" s="2">
        <v>44365</v>
      </c>
      <c r="AV1144" s="52">
        <v>7.2916666666666671E-2</v>
      </c>
      <c r="AW1144" s="2" t="s">
        <v>213</v>
      </c>
      <c r="AY1144" s="3"/>
      <c r="BA1144" s="3"/>
      <c r="BG1144" s="3"/>
      <c r="BH1144" s="3"/>
    </row>
    <row r="1145" spans="1:60">
      <c r="A1145" s="23" t="s">
        <v>22</v>
      </c>
      <c r="B1145" s="23" t="s">
        <v>23</v>
      </c>
      <c r="C1145" s="27">
        <v>44369.520833333336</v>
      </c>
      <c r="D1145" s="23">
        <v>58.85</v>
      </c>
      <c r="E1145" s="27">
        <v>44370.5</v>
      </c>
      <c r="F1145" s="23">
        <v>58.35</v>
      </c>
      <c r="G1145" s="31">
        <v>-8.5000000000000006E-3</v>
      </c>
      <c r="H1145" s="23">
        <v>429.05</v>
      </c>
      <c r="I1145" s="31">
        <v>8.5000000000000006E-3</v>
      </c>
      <c r="J1145" s="23">
        <v>858.09910000000002</v>
      </c>
      <c r="K1145" s="23">
        <v>50499.13</v>
      </c>
      <c r="L1145" s="23">
        <v>100209.87</v>
      </c>
      <c r="M1145" s="23">
        <v>27</v>
      </c>
      <c r="N1145" s="23">
        <v>15.89</v>
      </c>
      <c r="O1145" s="31">
        <v>-1.6999999999999999E-3</v>
      </c>
      <c r="P1145" s="31">
        <v>2.2100000000000002E-2</v>
      </c>
      <c r="Q1145" s="23" t="s">
        <v>24</v>
      </c>
      <c r="R1145" s="23">
        <v>0</v>
      </c>
      <c r="S1145" s="23">
        <v>59.48</v>
      </c>
      <c r="U1145" s="47">
        <f>VLOOKUP(AU1145,[1]expiry_dates!$B$2:$C$2894,2,FALSE)</f>
        <v>44371</v>
      </c>
      <c r="V1145" s="23" t="s">
        <v>205</v>
      </c>
      <c r="W1145" s="23" t="s">
        <v>23</v>
      </c>
      <c r="X1145" s="49">
        <v>44369.520833333336</v>
      </c>
      <c r="Y1145" s="23">
        <v>1.1000000000000001</v>
      </c>
      <c r="Z1145" s="23">
        <v>44370.5</v>
      </c>
      <c r="AA1145" s="23">
        <v>0.4</v>
      </c>
      <c r="AB1145" s="23">
        <v>-0.63639999999999997</v>
      </c>
      <c r="AC1145" s="23">
        <v>42745.35</v>
      </c>
      <c r="AD1145" s="23">
        <v>0.63639999999999997</v>
      </c>
      <c r="AE1145" s="23">
        <v>61064.78</v>
      </c>
      <c r="AF1145" s="23">
        <v>67171.259999999995</v>
      </c>
      <c r="AG1145" s="23">
        <v>3472535.19</v>
      </c>
      <c r="AH1145" s="23">
        <v>27</v>
      </c>
      <c r="AI1145" s="23">
        <v>1583.16</v>
      </c>
      <c r="AJ1145" s="23">
        <v>0</v>
      </c>
      <c r="AK1145" s="23">
        <v>0.77270000000000005</v>
      </c>
      <c r="AL1145" s="23" t="s">
        <v>24</v>
      </c>
      <c r="AM1145" s="23">
        <v>58.85</v>
      </c>
      <c r="AN1145" s="23">
        <v>35037.599999999999</v>
      </c>
      <c r="AO1145" s="23">
        <v>59.48</v>
      </c>
      <c r="AP1145" s="23">
        <v>0</v>
      </c>
      <c r="AR1145" s="46"/>
      <c r="AS1145" s="44"/>
      <c r="AT1145" s="45"/>
      <c r="AU1145" s="2">
        <v>44369</v>
      </c>
      <c r="AV1145" s="52">
        <v>0.52083333333333337</v>
      </c>
      <c r="AW1145" s="2" t="s">
        <v>213</v>
      </c>
      <c r="AY1145" s="3"/>
      <c r="BA1145" s="3"/>
      <c r="BG1145" s="3"/>
      <c r="BH1145" s="3"/>
    </row>
    <row r="1146" spans="1:60">
      <c r="A1146" s="23" t="s">
        <v>22</v>
      </c>
      <c r="B1146" s="23" t="s">
        <v>25</v>
      </c>
      <c r="C1146" s="27">
        <v>44370.5</v>
      </c>
      <c r="D1146" s="23">
        <v>58.35</v>
      </c>
      <c r="E1146" s="27">
        <v>44370.5625</v>
      </c>
      <c r="F1146" s="23">
        <v>57.95</v>
      </c>
      <c r="G1146" s="31">
        <v>-6.8999999999999999E-3</v>
      </c>
      <c r="H1146" s="23">
        <v>-346.2</v>
      </c>
      <c r="I1146" s="31">
        <v>-6.8999999999999999E-3</v>
      </c>
      <c r="J1146" s="23">
        <v>865.50710000000004</v>
      </c>
      <c r="K1146" s="23">
        <v>50502.34</v>
      </c>
      <c r="L1146" s="23">
        <v>99863.66</v>
      </c>
      <c r="M1146" s="23">
        <v>7</v>
      </c>
      <c r="N1146" s="23">
        <v>-49.46</v>
      </c>
      <c r="O1146" s="31">
        <v>-8.6E-3</v>
      </c>
      <c r="P1146" s="31">
        <v>1.6999999999999999E-3</v>
      </c>
      <c r="Q1146" s="23" t="s">
        <v>24</v>
      </c>
      <c r="R1146" s="23">
        <v>0</v>
      </c>
      <c r="S1146" s="23">
        <v>57.56</v>
      </c>
      <c r="U1146" s="47">
        <f>VLOOKUP(AU1146,[1]expiry_dates!$B$2:$C$2894,2,FALSE)</f>
        <v>44371</v>
      </c>
      <c r="V1146" s="23" t="s">
        <v>185</v>
      </c>
      <c r="W1146" s="23" t="s">
        <v>23</v>
      </c>
      <c r="X1146" s="49">
        <v>44370.5</v>
      </c>
      <c r="Y1146" s="23">
        <v>0.35</v>
      </c>
      <c r="Z1146" s="23">
        <v>44370.5625</v>
      </c>
      <c r="AA1146" s="23">
        <v>0.75000009999999995</v>
      </c>
      <c r="AB1146" s="23">
        <v>1.1429</v>
      </c>
      <c r="AC1146" s="23">
        <v>-77020.81</v>
      </c>
      <c r="AD1146" s="23">
        <v>-1.1429</v>
      </c>
      <c r="AE1146" s="23">
        <v>192552</v>
      </c>
      <c r="AF1146" s="23">
        <v>67393.210000000006</v>
      </c>
      <c r="AG1146" s="23">
        <v>3395514.37</v>
      </c>
      <c r="AH1146" s="23">
        <v>7</v>
      </c>
      <c r="AI1146" s="23">
        <v>-11002.97</v>
      </c>
      <c r="AJ1146" s="23">
        <v>-1.1429</v>
      </c>
      <c r="AK1146" s="23">
        <v>0</v>
      </c>
      <c r="AL1146" s="23" t="s">
        <v>24</v>
      </c>
      <c r="AM1146" s="23">
        <v>58.35</v>
      </c>
      <c r="AN1146" s="23">
        <v>34767.35</v>
      </c>
      <c r="AO1146" s="23">
        <v>57.56</v>
      </c>
      <c r="AP1146" s="23">
        <v>0</v>
      </c>
      <c r="AR1146" s="46"/>
      <c r="AS1146" s="44"/>
      <c r="AT1146" s="45"/>
      <c r="AU1146" s="2">
        <v>44370</v>
      </c>
      <c r="AV1146" s="52">
        <v>0.5</v>
      </c>
      <c r="AW1146" s="2" t="s">
        <v>213</v>
      </c>
      <c r="AY1146" s="3"/>
      <c r="BA1146" s="3"/>
      <c r="BG1146" s="3"/>
      <c r="BH1146" s="3"/>
    </row>
    <row r="1147" spans="1:60">
      <c r="A1147" s="23" t="s">
        <v>22</v>
      </c>
      <c r="B1147" s="23" t="s">
        <v>23</v>
      </c>
      <c r="C1147" s="27">
        <v>44370.5625</v>
      </c>
      <c r="D1147" s="23">
        <v>57.95</v>
      </c>
      <c r="E1147" s="27">
        <v>44371.385416666664</v>
      </c>
      <c r="F1147" s="23">
        <v>57.8</v>
      </c>
      <c r="G1147" s="31">
        <v>-2.5999999999999999E-3</v>
      </c>
      <c r="H1147" s="23">
        <v>130.71</v>
      </c>
      <c r="I1147" s="31">
        <v>2.5999999999999999E-3</v>
      </c>
      <c r="J1147" s="23">
        <v>871.42909999999995</v>
      </c>
      <c r="K1147" s="23">
        <v>50499.32</v>
      </c>
      <c r="L1147" s="23">
        <v>99994.38</v>
      </c>
      <c r="M1147" s="23">
        <v>12</v>
      </c>
      <c r="N1147" s="23">
        <v>10.89</v>
      </c>
      <c r="O1147" s="31">
        <v>-6.0000000000000001E-3</v>
      </c>
      <c r="P1147" s="31">
        <v>6.8999999999999999E-3</v>
      </c>
      <c r="Q1147" s="23" t="s">
        <v>24</v>
      </c>
      <c r="R1147" s="23">
        <v>0</v>
      </c>
      <c r="S1147" s="23">
        <v>58.42</v>
      </c>
      <c r="U1147" s="47">
        <f>VLOOKUP(AU1147,[1]expiry_dates!$B$2:$C$2894,2,FALSE)</f>
        <v>44371</v>
      </c>
      <c r="V1147" s="23" t="s">
        <v>184</v>
      </c>
      <c r="W1147" s="23" t="s">
        <v>23</v>
      </c>
      <c r="X1147" s="49">
        <v>44370.5625</v>
      </c>
      <c r="Y1147" s="23">
        <v>0.5</v>
      </c>
      <c r="Z1147" s="23">
        <v>44371.385416666664</v>
      </c>
      <c r="AA1147" s="23">
        <v>0.3</v>
      </c>
      <c r="AB1147" s="23">
        <v>-0.4</v>
      </c>
      <c r="AC1147" s="23">
        <v>26887.31</v>
      </c>
      <c r="AD1147" s="23">
        <v>0.4</v>
      </c>
      <c r="AE1147" s="23">
        <v>134436.5</v>
      </c>
      <c r="AF1147" s="23">
        <v>67218.27</v>
      </c>
      <c r="AG1147" s="23">
        <v>3422401.68</v>
      </c>
      <c r="AH1147" s="23">
        <v>12</v>
      </c>
      <c r="AI1147" s="23">
        <v>2240.61</v>
      </c>
      <c r="AJ1147" s="23">
        <v>-0.3</v>
      </c>
      <c r="AK1147" s="23">
        <v>0.5</v>
      </c>
      <c r="AL1147" s="23" t="s">
        <v>24</v>
      </c>
      <c r="AM1147" s="23">
        <v>57.95</v>
      </c>
      <c r="AN1147" s="23">
        <v>34743.550000000003</v>
      </c>
      <c r="AO1147" s="23">
        <v>58.42</v>
      </c>
      <c r="AP1147" s="23">
        <v>0</v>
      </c>
      <c r="AR1147" s="46"/>
      <c r="AS1147" s="44"/>
      <c r="AT1147" s="45"/>
      <c r="AU1147" s="2">
        <v>44370</v>
      </c>
      <c r="AV1147" s="52">
        <v>6.25E-2</v>
      </c>
      <c r="AW1147" s="2" t="s">
        <v>213</v>
      </c>
      <c r="AY1147" s="3"/>
      <c r="BA1147" s="3"/>
      <c r="BG1147" s="3"/>
      <c r="BH1147" s="3"/>
    </row>
    <row r="1148" spans="1:60">
      <c r="A1148" s="23" t="s">
        <v>22</v>
      </c>
      <c r="B1148" s="23" t="s">
        <v>25</v>
      </c>
      <c r="C1148" s="27">
        <v>44371.385416666664</v>
      </c>
      <c r="D1148" s="23">
        <v>57.8</v>
      </c>
      <c r="E1148" s="27">
        <v>44371.395833333336</v>
      </c>
      <c r="F1148" s="23">
        <v>58</v>
      </c>
      <c r="G1148" s="31">
        <v>3.5000000000000001E-3</v>
      </c>
      <c r="H1148" s="23">
        <v>174.74</v>
      </c>
      <c r="I1148" s="31">
        <v>3.5000000000000001E-3</v>
      </c>
      <c r="J1148" s="23">
        <v>873.69439999999997</v>
      </c>
      <c r="K1148" s="23">
        <v>50499.54</v>
      </c>
      <c r="L1148" s="23">
        <v>100169.12</v>
      </c>
      <c r="M1148" s="23">
        <v>2</v>
      </c>
      <c r="N1148" s="23">
        <v>87.37</v>
      </c>
      <c r="O1148" s="31">
        <v>-8.9999999999999998E-4</v>
      </c>
      <c r="P1148" s="31">
        <v>7.7999999999999996E-3</v>
      </c>
      <c r="Q1148" s="23" t="s">
        <v>24</v>
      </c>
      <c r="R1148" s="23">
        <v>0</v>
      </c>
      <c r="S1148" s="23">
        <v>57.58</v>
      </c>
      <c r="U1148" s="47">
        <f>VLOOKUP(AU1148,[1]expiry_dates!$B$2:$C$2894,2,FALSE)</f>
        <v>44371</v>
      </c>
      <c r="V1148" s="23" t="s">
        <v>185</v>
      </c>
      <c r="W1148" s="23" t="s">
        <v>23</v>
      </c>
      <c r="X1148" s="49">
        <v>44371.385416666664</v>
      </c>
      <c r="Y1148" s="23">
        <v>0.5</v>
      </c>
      <c r="Z1148" s="23">
        <v>44371.395833333336</v>
      </c>
      <c r="AA1148" s="23">
        <v>0.35</v>
      </c>
      <c r="AB1148" s="23">
        <v>-0.3</v>
      </c>
      <c r="AC1148" s="23">
        <v>20103.349999999999</v>
      </c>
      <c r="AD1148" s="23">
        <v>0.3</v>
      </c>
      <c r="AE1148" s="23">
        <v>134022.39999999999</v>
      </c>
      <c r="AF1148" s="23">
        <v>67011.179999999993</v>
      </c>
      <c r="AG1148" s="23">
        <v>3442505.03</v>
      </c>
      <c r="AH1148" s="23">
        <v>2</v>
      </c>
      <c r="AI1148" s="23">
        <v>10051.68</v>
      </c>
      <c r="AJ1148" s="23">
        <v>-0.5</v>
      </c>
      <c r="AK1148" s="23">
        <v>0.4</v>
      </c>
      <c r="AL1148" s="23" t="s">
        <v>24</v>
      </c>
      <c r="AM1148" s="23">
        <v>57.8</v>
      </c>
      <c r="AN1148" s="23">
        <v>34741.75</v>
      </c>
      <c r="AO1148" s="23">
        <v>57.58</v>
      </c>
      <c r="AP1148" s="23">
        <v>0</v>
      </c>
      <c r="AR1148" s="46"/>
      <c r="AS1148" s="44"/>
      <c r="AT1148" s="45"/>
      <c r="AU1148" s="2">
        <v>44371</v>
      </c>
      <c r="AV1148" s="52">
        <v>0.38541666666666669</v>
      </c>
      <c r="AW1148" s="2" t="s">
        <v>212</v>
      </c>
      <c r="AY1148" s="3"/>
      <c r="BA1148" s="3"/>
      <c r="BG1148" s="3"/>
      <c r="BH1148" s="3"/>
    </row>
    <row r="1149" spans="1:60">
      <c r="A1149" s="23" t="s">
        <v>22</v>
      </c>
      <c r="B1149" s="23" t="s">
        <v>23</v>
      </c>
      <c r="C1149" s="27">
        <v>44371.395833333336</v>
      </c>
      <c r="D1149" s="23">
        <v>58</v>
      </c>
      <c r="E1149" s="27">
        <v>44371.697916666664</v>
      </c>
      <c r="F1149" s="23">
        <v>56.9</v>
      </c>
      <c r="G1149" s="31">
        <v>-1.9E-2</v>
      </c>
      <c r="H1149" s="23">
        <v>957.76</v>
      </c>
      <c r="I1149" s="31">
        <v>1.9E-2</v>
      </c>
      <c r="J1149" s="23">
        <v>870.68910000000005</v>
      </c>
      <c r="K1149" s="23">
        <v>50499.97</v>
      </c>
      <c r="L1149" s="23">
        <v>101126.88</v>
      </c>
      <c r="M1149" s="23">
        <v>26</v>
      </c>
      <c r="N1149" s="23">
        <v>36.840000000000003</v>
      </c>
      <c r="O1149" s="31">
        <v>-1.6999999999999999E-3</v>
      </c>
      <c r="P1149" s="31">
        <v>2.1600000000000001E-2</v>
      </c>
      <c r="Q1149" s="23" t="s">
        <v>24</v>
      </c>
      <c r="R1149" s="23">
        <v>0</v>
      </c>
      <c r="S1149" s="23">
        <v>58.24</v>
      </c>
      <c r="U1149" s="47">
        <f>VLOOKUP(AU1149,[1]expiry_dates!$B$2:$C$2894,2,FALSE)</f>
        <v>44371</v>
      </c>
      <c r="V1149" s="23" t="s">
        <v>184</v>
      </c>
      <c r="W1149" s="23" t="s">
        <v>23</v>
      </c>
      <c r="X1149" s="49">
        <v>44371.395833333336</v>
      </c>
      <c r="Y1149" s="23">
        <v>0.4</v>
      </c>
      <c r="Z1149" s="23">
        <v>44371.697916666664</v>
      </c>
      <c r="AA1149" s="23">
        <v>0.05</v>
      </c>
      <c r="AB1149" s="23">
        <v>-0.875</v>
      </c>
      <c r="AC1149" s="23">
        <v>58723.01</v>
      </c>
      <c r="AD1149" s="23">
        <v>0.875</v>
      </c>
      <c r="AE1149" s="23">
        <v>167780</v>
      </c>
      <c r="AF1149" s="23">
        <v>67112.009999999995</v>
      </c>
      <c r="AG1149" s="23">
        <v>3501228.04</v>
      </c>
      <c r="AH1149" s="23">
        <v>26</v>
      </c>
      <c r="AI1149" s="23">
        <v>2258.58</v>
      </c>
      <c r="AJ1149" s="23">
        <v>0</v>
      </c>
      <c r="AK1149" s="23">
        <v>0.875</v>
      </c>
      <c r="AL1149" s="23" t="s">
        <v>24</v>
      </c>
      <c r="AM1149" s="23">
        <v>58</v>
      </c>
      <c r="AN1149" s="23">
        <v>34804.9</v>
      </c>
      <c r="AO1149" s="23">
        <v>58.24</v>
      </c>
      <c r="AP1149" s="23">
        <v>0</v>
      </c>
      <c r="AR1149" s="46"/>
      <c r="AS1149" s="44"/>
      <c r="AT1149" s="45"/>
      <c r="AU1149" s="2">
        <v>44371</v>
      </c>
      <c r="AV1149" s="52">
        <v>0.39583333333333331</v>
      </c>
      <c r="AW1149" s="2" t="s">
        <v>212</v>
      </c>
      <c r="AY1149" s="3"/>
      <c r="BA1149" s="3"/>
      <c r="BG1149" s="3"/>
      <c r="BH1149" s="3"/>
    </row>
    <row r="1150" spans="1:60">
      <c r="A1150" s="23" t="s">
        <v>22</v>
      </c>
      <c r="B1150" s="23" t="s">
        <v>25</v>
      </c>
      <c r="C1150" s="27">
        <v>44372.385416666664</v>
      </c>
      <c r="D1150" s="23">
        <v>57.6</v>
      </c>
      <c r="E1150" s="27">
        <v>44375.4375</v>
      </c>
      <c r="F1150" s="23">
        <v>57.9</v>
      </c>
      <c r="G1150" s="31">
        <v>5.1999999999999998E-3</v>
      </c>
      <c r="H1150" s="23">
        <v>263.05</v>
      </c>
      <c r="I1150" s="31">
        <v>5.1999999999999998E-3</v>
      </c>
      <c r="J1150" s="23">
        <v>876.83389999999997</v>
      </c>
      <c r="K1150" s="23">
        <v>50505.63</v>
      </c>
      <c r="L1150" s="23">
        <v>101389.93</v>
      </c>
      <c r="M1150" s="23">
        <v>34</v>
      </c>
      <c r="N1150" s="23">
        <v>7.74</v>
      </c>
      <c r="O1150" s="31">
        <v>-6.8999999999999999E-3</v>
      </c>
      <c r="P1150" s="31">
        <v>2.0799999999999999E-2</v>
      </c>
      <c r="Q1150" s="23" t="s">
        <v>24</v>
      </c>
      <c r="R1150" s="23">
        <v>0</v>
      </c>
      <c r="S1150" s="23">
        <v>56.79</v>
      </c>
      <c r="U1150" s="47">
        <f>VLOOKUP(AU1150,[1]expiry_dates!$B$2:$C$2894,2,FALSE)</f>
        <v>44406</v>
      </c>
      <c r="V1150" s="23" t="s">
        <v>185</v>
      </c>
      <c r="W1150" s="23" t="s">
        <v>23</v>
      </c>
      <c r="X1150" s="49">
        <v>44372.385416666664</v>
      </c>
      <c r="Y1150" s="23">
        <v>2.7</v>
      </c>
      <c r="Z1150" s="23">
        <v>44375.4375</v>
      </c>
      <c r="AA1150" s="23">
        <v>2.5</v>
      </c>
      <c r="AB1150" s="23">
        <v>-7.4099999999999999E-2</v>
      </c>
      <c r="AC1150" s="23">
        <v>5000.45</v>
      </c>
      <c r="AD1150" s="23">
        <v>7.4099999999999999E-2</v>
      </c>
      <c r="AE1150" s="23">
        <v>25002.27</v>
      </c>
      <c r="AF1150" s="23">
        <v>67506.14</v>
      </c>
      <c r="AG1150" s="23">
        <v>3506228.49</v>
      </c>
      <c r="AH1150" s="23">
        <v>34</v>
      </c>
      <c r="AI1150" s="23">
        <v>147.07</v>
      </c>
      <c r="AJ1150" s="23">
        <v>-0.1111</v>
      </c>
      <c r="AK1150" s="23">
        <v>0.2407</v>
      </c>
      <c r="AL1150" s="23" t="s">
        <v>24</v>
      </c>
      <c r="AM1150" s="23">
        <v>57.6</v>
      </c>
      <c r="AN1150" s="23">
        <v>34999.1</v>
      </c>
      <c r="AO1150" s="23">
        <v>56.79</v>
      </c>
      <c r="AP1150" s="23">
        <v>0</v>
      </c>
      <c r="AR1150" s="46"/>
      <c r="AS1150" s="44"/>
      <c r="AT1150" s="45"/>
      <c r="AU1150" s="2">
        <v>44372</v>
      </c>
      <c r="AV1150" s="52">
        <v>0.38541666666666669</v>
      </c>
      <c r="AW1150" s="2" t="s">
        <v>212</v>
      </c>
      <c r="AY1150" s="3"/>
      <c r="BA1150" s="3"/>
      <c r="BG1150" s="3"/>
      <c r="BH1150" s="3"/>
    </row>
    <row r="1151" spans="1:60">
      <c r="A1151" s="23" t="s">
        <v>22</v>
      </c>
      <c r="B1151" s="23" t="s">
        <v>23</v>
      </c>
      <c r="C1151" s="27">
        <v>44375.4375</v>
      </c>
      <c r="D1151" s="23">
        <v>57.9</v>
      </c>
      <c r="E1151" s="27">
        <v>44378.385416666664</v>
      </c>
      <c r="F1151" s="23">
        <v>54.15</v>
      </c>
      <c r="G1151" s="31">
        <v>-6.4799999999999996E-2</v>
      </c>
      <c r="H1151" s="23">
        <v>3271.32</v>
      </c>
      <c r="I1151" s="31">
        <v>6.4799999999999996E-2</v>
      </c>
      <c r="J1151" s="23">
        <v>872.35130000000004</v>
      </c>
      <c r="K1151" s="23">
        <v>50509.14</v>
      </c>
      <c r="L1151" s="23">
        <v>104661.24</v>
      </c>
      <c r="M1151" s="23">
        <v>80</v>
      </c>
      <c r="N1151" s="23">
        <v>40.89</v>
      </c>
      <c r="O1151" s="31">
        <v>-9.4999999999999998E-3</v>
      </c>
      <c r="P1151" s="31">
        <v>7.6899999999999996E-2</v>
      </c>
      <c r="Q1151" s="23" t="s">
        <v>24</v>
      </c>
      <c r="R1151" s="23">
        <v>0</v>
      </c>
      <c r="S1151" s="23">
        <v>58.79</v>
      </c>
      <c r="U1151" s="47">
        <f>VLOOKUP(AU1151,[1]expiry_dates!$B$2:$C$2894,2,FALSE)</f>
        <v>44406</v>
      </c>
      <c r="V1151" s="23" t="s">
        <v>184</v>
      </c>
      <c r="W1151" s="23" t="s">
        <v>23</v>
      </c>
      <c r="X1151" s="49">
        <v>44375.4375</v>
      </c>
      <c r="Y1151" s="23">
        <v>2.75</v>
      </c>
      <c r="Z1151" s="23">
        <v>44378.385416666664</v>
      </c>
      <c r="AA1151" s="23">
        <v>1.35</v>
      </c>
      <c r="AB1151" s="23">
        <v>-0.5091</v>
      </c>
      <c r="AC1151" s="23">
        <v>34398.58</v>
      </c>
      <c r="AD1151" s="23">
        <v>0.5091</v>
      </c>
      <c r="AE1151" s="23">
        <v>24570.42</v>
      </c>
      <c r="AF1151" s="23">
        <v>67568.639999999999</v>
      </c>
      <c r="AG1151" s="23">
        <v>3540627.08</v>
      </c>
      <c r="AH1151" s="23">
        <v>80</v>
      </c>
      <c r="AI1151" s="23">
        <v>429.98</v>
      </c>
      <c r="AJ1151" s="23">
        <v>-0.1091</v>
      </c>
      <c r="AK1151" s="23">
        <v>0.52729999999999999</v>
      </c>
      <c r="AL1151" s="23" t="s">
        <v>24</v>
      </c>
      <c r="AM1151" s="23">
        <v>57.9</v>
      </c>
      <c r="AN1151" s="23">
        <v>35270.300000000003</v>
      </c>
      <c r="AO1151" s="23">
        <v>58.79</v>
      </c>
      <c r="AP1151" s="23">
        <v>0</v>
      </c>
      <c r="AR1151" s="46"/>
      <c r="AS1151" s="44"/>
      <c r="AT1151" s="45"/>
      <c r="AU1151" s="2">
        <v>44375</v>
      </c>
      <c r="AV1151" s="52">
        <v>0.4375</v>
      </c>
      <c r="AW1151" s="2" t="s">
        <v>212</v>
      </c>
      <c r="AY1151" s="3"/>
      <c r="BA1151" s="3"/>
      <c r="BG1151" s="3"/>
      <c r="BH1151" s="3"/>
    </row>
    <row r="1152" spans="1:60">
      <c r="A1152" s="23" t="s">
        <v>22</v>
      </c>
      <c r="B1152" s="23" t="s">
        <v>25</v>
      </c>
      <c r="C1152" s="27">
        <v>44378.385416666664</v>
      </c>
      <c r="D1152" s="23">
        <v>54.15</v>
      </c>
      <c r="E1152" s="27">
        <v>44378.520833333336</v>
      </c>
      <c r="F1152" s="23">
        <v>54.4</v>
      </c>
      <c r="G1152" s="31">
        <v>4.5999999999999999E-3</v>
      </c>
      <c r="H1152" s="23">
        <v>233.25</v>
      </c>
      <c r="I1152" s="31">
        <v>4.5999999999999999E-3</v>
      </c>
      <c r="J1152" s="23">
        <v>933.00890000000004</v>
      </c>
      <c r="K1152" s="23">
        <v>50522.43</v>
      </c>
      <c r="L1152" s="23">
        <v>104894.5</v>
      </c>
      <c r="M1152" s="23">
        <v>14</v>
      </c>
      <c r="N1152" s="23">
        <v>16.66</v>
      </c>
      <c r="O1152" s="31">
        <v>-4.5999999999999999E-3</v>
      </c>
      <c r="P1152" s="31">
        <v>1.5699999999999999E-2</v>
      </c>
      <c r="Q1152" s="23" t="s">
        <v>24</v>
      </c>
      <c r="R1152" s="23">
        <v>0</v>
      </c>
      <c r="S1152" s="23">
        <v>53.49</v>
      </c>
      <c r="U1152" s="47">
        <f>VLOOKUP(AU1152,[1]expiry_dates!$B$2:$C$2894,2,FALSE)</f>
        <v>44406</v>
      </c>
      <c r="V1152" s="23" t="s">
        <v>133</v>
      </c>
      <c r="W1152" s="23" t="s">
        <v>23</v>
      </c>
      <c r="X1152" s="49">
        <v>44378.385416666664</v>
      </c>
      <c r="Y1152" s="23">
        <v>2.4</v>
      </c>
      <c r="Z1152" s="23">
        <v>44378.520833333336</v>
      </c>
      <c r="AA1152" s="23">
        <v>2.15</v>
      </c>
      <c r="AB1152" s="23">
        <v>-0.1042</v>
      </c>
      <c r="AC1152" s="23">
        <v>7051.77</v>
      </c>
      <c r="AD1152" s="23">
        <v>0.1042</v>
      </c>
      <c r="AE1152" s="23">
        <v>28207.08</v>
      </c>
      <c r="AF1152" s="23">
        <v>67696.990000000005</v>
      </c>
      <c r="AG1152" s="23">
        <v>3547678.85</v>
      </c>
      <c r="AH1152" s="23">
        <v>14</v>
      </c>
      <c r="AI1152" s="23">
        <v>503.7</v>
      </c>
      <c r="AJ1152" s="23">
        <v>0</v>
      </c>
      <c r="AK1152" s="23">
        <v>0.20830000000000001</v>
      </c>
      <c r="AL1152" s="23" t="s">
        <v>24</v>
      </c>
      <c r="AM1152" s="23">
        <v>54.15</v>
      </c>
      <c r="AN1152" s="23">
        <v>34732.300000000003</v>
      </c>
      <c r="AO1152" s="23">
        <v>53.49</v>
      </c>
      <c r="AP1152" s="23">
        <v>0</v>
      </c>
      <c r="AR1152" s="46"/>
      <c r="AS1152" s="44"/>
      <c r="AT1152" s="45"/>
      <c r="AU1152" s="2">
        <v>44378</v>
      </c>
      <c r="AV1152" s="52">
        <v>0.38541666666666669</v>
      </c>
      <c r="AW1152" s="2" t="s">
        <v>212</v>
      </c>
      <c r="AY1152" s="3"/>
      <c r="BA1152" s="3"/>
      <c r="BG1152" s="3"/>
      <c r="BH1152" s="3"/>
    </row>
    <row r="1153" spans="1:60">
      <c r="A1153" s="23" t="s">
        <v>22</v>
      </c>
      <c r="B1153" s="23" t="s">
        <v>23</v>
      </c>
      <c r="C1153" s="27">
        <v>44378.520833333336</v>
      </c>
      <c r="D1153" s="23">
        <v>54.4</v>
      </c>
      <c r="E1153" s="27">
        <v>44379.427083333336</v>
      </c>
      <c r="F1153" s="23">
        <v>54.4</v>
      </c>
      <c r="G1153" s="31">
        <v>0</v>
      </c>
      <c r="H1153" s="23">
        <v>0</v>
      </c>
      <c r="I1153" s="31">
        <v>0</v>
      </c>
      <c r="J1153" s="23">
        <v>928.75440000000003</v>
      </c>
      <c r="K1153" s="23">
        <v>50524.24</v>
      </c>
      <c r="L1153" s="23">
        <v>104894.5</v>
      </c>
      <c r="M1153" s="23">
        <v>20</v>
      </c>
      <c r="N1153" s="23">
        <v>0</v>
      </c>
      <c r="O1153" s="31">
        <v>-4.5999999999999999E-3</v>
      </c>
      <c r="P1153" s="31">
        <v>8.3000000000000001E-3</v>
      </c>
      <c r="Q1153" s="23" t="s">
        <v>24</v>
      </c>
      <c r="R1153" s="23">
        <v>0</v>
      </c>
      <c r="S1153" s="23">
        <v>54.97</v>
      </c>
      <c r="U1153" s="47">
        <f>VLOOKUP(AU1153,[1]expiry_dates!$B$2:$C$2894,2,FALSE)</f>
        <v>44406</v>
      </c>
      <c r="V1153" s="23" t="s">
        <v>128</v>
      </c>
      <c r="W1153" s="23" t="s">
        <v>23</v>
      </c>
      <c r="X1153" s="49">
        <v>44378.520833333336</v>
      </c>
      <c r="Y1153" s="23">
        <v>2.7</v>
      </c>
      <c r="Z1153" s="23">
        <v>44379.427083333336</v>
      </c>
      <c r="AA1153" s="23">
        <v>2.7</v>
      </c>
      <c r="AB1153" s="23">
        <v>0</v>
      </c>
      <c r="AC1153" s="23">
        <v>0</v>
      </c>
      <c r="AD1153" s="23">
        <v>0</v>
      </c>
      <c r="AE1153" s="23">
        <v>25088.29</v>
      </c>
      <c r="AF1153" s="23">
        <v>67738.39</v>
      </c>
      <c r="AG1153" s="23">
        <v>3547678.85</v>
      </c>
      <c r="AH1153" s="23">
        <v>20</v>
      </c>
      <c r="AI1153" s="23">
        <v>0</v>
      </c>
      <c r="AJ1153" s="23">
        <v>-0.1111</v>
      </c>
      <c r="AK1153" s="23">
        <v>7.4099999999999999E-2</v>
      </c>
      <c r="AL1153" s="23" t="s">
        <v>24</v>
      </c>
      <c r="AM1153" s="23">
        <v>54.4</v>
      </c>
      <c r="AN1153" s="23">
        <v>34793.85</v>
      </c>
      <c r="AO1153" s="23">
        <v>54.97</v>
      </c>
      <c r="AP1153" s="23">
        <v>0</v>
      </c>
      <c r="AR1153" s="46"/>
      <c r="AS1153" s="44"/>
      <c r="AT1153" s="45"/>
      <c r="AU1153" s="2">
        <v>44378</v>
      </c>
      <c r="AV1153" s="52">
        <v>0.52083333333333337</v>
      </c>
      <c r="AW1153" s="2" t="s">
        <v>213</v>
      </c>
      <c r="AY1153" s="3"/>
      <c r="BA1153" s="3"/>
      <c r="BG1153" s="3"/>
      <c r="BH1153" s="3"/>
    </row>
    <row r="1154" spans="1:60">
      <c r="A1154" s="23" t="s">
        <v>22</v>
      </c>
      <c r="B1154" s="23" t="s">
        <v>25</v>
      </c>
      <c r="C1154" s="27">
        <v>44379.427083333336</v>
      </c>
      <c r="D1154" s="23">
        <v>54.4</v>
      </c>
      <c r="E1154" s="27">
        <v>44379.46875</v>
      </c>
      <c r="F1154" s="23">
        <v>54.1</v>
      </c>
      <c r="G1154" s="31">
        <v>-5.4999999999999997E-3</v>
      </c>
      <c r="H1154" s="23">
        <v>-278.63</v>
      </c>
      <c r="I1154" s="31">
        <v>-5.4999999999999997E-3</v>
      </c>
      <c r="J1154" s="23">
        <v>928.75869999999998</v>
      </c>
      <c r="K1154" s="23">
        <v>50524.47</v>
      </c>
      <c r="L1154" s="23">
        <v>104615.87</v>
      </c>
      <c r="M1154" s="23">
        <v>5</v>
      </c>
      <c r="N1154" s="23">
        <v>-55.73</v>
      </c>
      <c r="O1154" s="31">
        <v>-7.4000000000000003E-3</v>
      </c>
      <c r="P1154" s="31">
        <v>8.9999999999999998E-4</v>
      </c>
      <c r="Q1154" s="23" t="s">
        <v>24</v>
      </c>
      <c r="R1154" s="23">
        <v>0</v>
      </c>
      <c r="S1154" s="23">
        <v>53.95</v>
      </c>
      <c r="U1154" s="47">
        <f>VLOOKUP(AU1154,[1]expiry_dates!$B$2:$C$2894,2,FALSE)</f>
        <v>44406</v>
      </c>
      <c r="V1154" s="23" t="s">
        <v>133</v>
      </c>
      <c r="W1154" s="23" t="s">
        <v>23</v>
      </c>
      <c r="X1154" s="49">
        <v>44379.427083333336</v>
      </c>
      <c r="Y1154" s="23">
        <v>2</v>
      </c>
      <c r="Z1154" s="23">
        <v>44379.46875</v>
      </c>
      <c r="AA1154" s="23">
        <v>2.15</v>
      </c>
      <c r="AB1154" s="23">
        <v>7.4999999999999997E-2</v>
      </c>
      <c r="AC1154" s="23">
        <v>-5079.91</v>
      </c>
      <c r="AD1154" s="23">
        <v>-7.4999999999999997E-2</v>
      </c>
      <c r="AE1154" s="23">
        <v>33866.06</v>
      </c>
      <c r="AF1154" s="23">
        <v>67732.13</v>
      </c>
      <c r="AG1154" s="23">
        <v>3542598.94</v>
      </c>
      <c r="AH1154" s="23">
        <v>5</v>
      </c>
      <c r="AI1154" s="23">
        <v>-1015.98</v>
      </c>
      <c r="AJ1154" s="23">
        <v>-0.125</v>
      </c>
      <c r="AK1154" s="23">
        <v>0</v>
      </c>
      <c r="AL1154" s="23" t="s">
        <v>24</v>
      </c>
      <c r="AM1154" s="23">
        <v>54.4</v>
      </c>
      <c r="AN1154" s="23">
        <v>34796.400000000001</v>
      </c>
      <c r="AO1154" s="23">
        <v>53.95</v>
      </c>
      <c r="AP1154" s="23">
        <v>0</v>
      </c>
      <c r="AR1154" s="46"/>
      <c r="AS1154" s="44"/>
      <c r="AT1154" s="45"/>
      <c r="AU1154" s="2">
        <v>44379</v>
      </c>
      <c r="AV1154" s="52">
        <v>0.42708333333333331</v>
      </c>
      <c r="AW1154" s="2" t="s">
        <v>212</v>
      </c>
      <c r="AY1154" s="3"/>
      <c r="BA1154" s="3"/>
      <c r="BG1154" s="3"/>
      <c r="BH1154" s="3"/>
    </row>
    <row r="1155" spans="1:60">
      <c r="A1155" s="23" t="s">
        <v>22</v>
      </c>
      <c r="B1155" s="23" t="s">
        <v>23</v>
      </c>
      <c r="C1155" s="27">
        <v>44379.46875</v>
      </c>
      <c r="D1155" s="23">
        <v>54.1</v>
      </c>
      <c r="E1155" s="27">
        <v>44379.635416666664</v>
      </c>
      <c r="F1155" s="23">
        <v>54</v>
      </c>
      <c r="G1155" s="31">
        <v>-1.8E-3</v>
      </c>
      <c r="H1155" s="23">
        <v>93.39</v>
      </c>
      <c r="I1155" s="31">
        <v>1.8E-3</v>
      </c>
      <c r="J1155" s="23">
        <v>933.88319999999999</v>
      </c>
      <c r="K1155" s="23">
        <v>50523.08</v>
      </c>
      <c r="L1155" s="23">
        <v>104709.26</v>
      </c>
      <c r="M1155" s="23">
        <v>17</v>
      </c>
      <c r="N1155" s="23">
        <v>5.49</v>
      </c>
      <c r="O1155" s="31">
        <v>-1.8E-3</v>
      </c>
      <c r="P1155" s="31">
        <v>9.1999999999999998E-3</v>
      </c>
      <c r="Q1155" s="23" t="s">
        <v>24</v>
      </c>
      <c r="R1155" s="23">
        <v>0</v>
      </c>
      <c r="S1155" s="23">
        <v>54.45</v>
      </c>
      <c r="U1155" s="47">
        <f>VLOOKUP(AU1155,[1]expiry_dates!$B$2:$C$2894,2,FALSE)</f>
        <v>44406</v>
      </c>
      <c r="V1155" s="23" t="s">
        <v>128</v>
      </c>
      <c r="W1155" s="23" t="s">
        <v>23</v>
      </c>
      <c r="X1155" s="49">
        <v>44379.46875</v>
      </c>
      <c r="Y1155" s="23">
        <v>2.5</v>
      </c>
      <c r="Z1155" s="23">
        <v>44379.635416666664</v>
      </c>
      <c r="AA1155" s="23">
        <v>2.5</v>
      </c>
      <c r="AB1155" s="23">
        <v>0</v>
      </c>
      <c r="AC1155" s="23">
        <v>0</v>
      </c>
      <c r="AD1155" s="23">
        <v>0</v>
      </c>
      <c r="AE1155" s="23">
        <v>27085.200000000001</v>
      </c>
      <c r="AF1155" s="23">
        <v>67712.990000000005</v>
      </c>
      <c r="AG1155" s="23">
        <v>3542598.94</v>
      </c>
      <c r="AH1155" s="23">
        <v>17</v>
      </c>
      <c r="AI1155" s="23">
        <v>0</v>
      </c>
      <c r="AJ1155" s="23">
        <v>-0.02</v>
      </c>
      <c r="AK1155" s="23">
        <v>0.1</v>
      </c>
      <c r="AL1155" s="23" t="s">
        <v>24</v>
      </c>
      <c r="AM1155" s="23">
        <v>54.1</v>
      </c>
      <c r="AN1155" s="23">
        <v>34753.9</v>
      </c>
      <c r="AO1155" s="23">
        <v>54.45</v>
      </c>
      <c r="AP1155" s="23">
        <v>0</v>
      </c>
      <c r="AR1155" s="46"/>
      <c r="AS1155" s="44"/>
      <c r="AT1155" s="45"/>
      <c r="AU1155" s="2">
        <v>44379</v>
      </c>
      <c r="AV1155" s="52">
        <v>0.46875</v>
      </c>
      <c r="AW1155" s="2" t="s">
        <v>212</v>
      </c>
      <c r="AY1155" s="3"/>
      <c r="BA1155" s="3"/>
      <c r="BG1155" s="3"/>
      <c r="BH1155" s="3"/>
    </row>
    <row r="1156" spans="1:60">
      <c r="A1156" s="23" t="s">
        <v>22</v>
      </c>
      <c r="B1156" s="23" t="s">
        <v>25</v>
      </c>
      <c r="C1156" s="27">
        <v>44379.635416666664</v>
      </c>
      <c r="D1156" s="23">
        <v>54</v>
      </c>
      <c r="E1156" s="27">
        <v>44382.479166666664</v>
      </c>
      <c r="F1156" s="23">
        <v>54.1</v>
      </c>
      <c r="G1156" s="31">
        <v>1.9E-3</v>
      </c>
      <c r="H1156" s="23">
        <v>93.56</v>
      </c>
      <c r="I1156" s="31">
        <v>1.9E-3</v>
      </c>
      <c r="J1156" s="23">
        <v>935.62120000000004</v>
      </c>
      <c r="K1156" s="23">
        <v>50523.55</v>
      </c>
      <c r="L1156" s="23">
        <v>104802.82</v>
      </c>
      <c r="M1156" s="23">
        <v>14</v>
      </c>
      <c r="N1156" s="23">
        <v>6.68</v>
      </c>
      <c r="O1156" s="31">
        <v>-8.9999999999999998E-4</v>
      </c>
      <c r="P1156" s="31">
        <v>1.5699999999999999E-2</v>
      </c>
      <c r="Q1156" s="23" t="s">
        <v>24</v>
      </c>
      <c r="R1156" s="23">
        <v>0</v>
      </c>
      <c r="S1156" s="23">
        <v>53.62</v>
      </c>
      <c r="U1156" s="47">
        <f>VLOOKUP(AU1156,[1]expiry_dates!$B$2:$C$2894,2,FALSE)</f>
        <v>44406</v>
      </c>
      <c r="V1156" s="23" t="s">
        <v>133</v>
      </c>
      <c r="W1156" s="23" t="s">
        <v>23</v>
      </c>
      <c r="X1156" s="49">
        <v>44379.635416666664</v>
      </c>
      <c r="Y1156" s="23">
        <v>2.15</v>
      </c>
      <c r="Z1156" s="23">
        <v>44382.479166666664</v>
      </c>
      <c r="AA1156" s="23">
        <v>2.15</v>
      </c>
      <c r="AB1156" s="23">
        <v>0</v>
      </c>
      <c r="AC1156" s="23">
        <v>0</v>
      </c>
      <c r="AD1156" s="23">
        <v>0</v>
      </c>
      <c r="AE1156" s="23">
        <v>31497.56</v>
      </c>
      <c r="AF1156" s="23">
        <v>67719.77</v>
      </c>
      <c r="AG1156" s="23">
        <v>3542598.94</v>
      </c>
      <c r="AH1156" s="23">
        <v>14</v>
      </c>
      <c r="AI1156" s="23">
        <v>0</v>
      </c>
      <c r="AJ1156" s="23">
        <v>-2.3300000000000001E-2</v>
      </c>
      <c r="AK1156" s="23">
        <v>0.1628</v>
      </c>
      <c r="AL1156" s="23" t="s">
        <v>24</v>
      </c>
      <c r="AM1156" s="23">
        <v>54</v>
      </c>
      <c r="AN1156" s="23">
        <v>34829.15</v>
      </c>
      <c r="AO1156" s="23">
        <v>53.62</v>
      </c>
      <c r="AP1156" s="23">
        <v>0</v>
      </c>
      <c r="AR1156" s="46"/>
      <c r="AS1156" s="44"/>
      <c r="AT1156" s="45"/>
      <c r="AU1156" s="2">
        <v>44379</v>
      </c>
      <c r="AV1156" s="52">
        <v>0.13541666666666666</v>
      </c>
      <c r="AW1156" s="2" t="s">
        <v>213</v>
      </c>
      <c r="AY1156" s="3"/>
      <c r="BA1156" s="3"/>
      <c r="BG1156" s="3"/>
      <c r="BH1156" s="3"/>
    </row>
    <row r="1157" spans="1:60">
      <c r="A1157" s="23" t="s">
        <v>22</v>
      </c>
      <c r="B1157" s="23" t="s">
        <v>23</v>
      </c>
      <c r="C1157" s="27">
        <v>44382.479166666664</v>
      </c>
      <c r="D1157" s="23">
        <v>54.1</v>
      </c>
      <c r="E1157" s="27">
        <v>44382.614583333336</v>
      </c>
      <c r="F1157" s="23">
        <v>54.3</v>
      </c>
      <c r="G1157" s="31">
        <v>3.7000000000000002E-3</v>
      </c>
      <c r="H1157" s="23">
        <v>-186.78</v>
      </c>
      <c r="I1157" s="31">
        <v>-3.7000000000000002E-3</v>
      </c>
      <c r="J1157" s="23">
        <v>933.9135</v>
      </c>
      <c r="K1157" s="23">
        <v>50524.71</v>
      </c>
      <c r="L1157" s="23">
        <v>104616.04</v>
      </c>
      <c r="M1157" s="23">
        <v>14</v>
      </c>
      <c r="N1157" s="23">
        <v>-13.34</v>
      </c>
      <c r="O1157" s="31">
        <v>-3.7000000000000002E-3</v>
      </c>
      <c r="P1157" s="31">
        <v>5.4999999999999997E-3</v>
      </c>
      <c r="Q1157" s="23" t="s">
        <v>24</v>
      </c>
      <c r="R1157" s="23">
        <v>0</v>
      </c>
      <c r="S1157" s="23">
        <v>54.82</v>
      </c>
      <c r="U1157" s="47">
        <f>VLOOKUP(AU1157,[1]expiry_dates!$B$2:$C$2894,2,FALSE)</f>
        <v>44406</v>
      </c>
      <c r="V1157" s="23" t="s">
        <v>128</v>
      </c>
      <c r="W1157" s="23" t="s">
        <v>23</v>
      </c>
      <c r="X1157" s="49">
        <v>44382.479166666664</v>
      </c>
      <c r="Y1157" s="23">
        <v>2.4500000000000002</v>
      </c>
      <c r="Z1157" s="23">
        <v>44382.614583333336</v>
      </c>
      <c r="AA1157" s="23">
        <v>2.6</v>
      </c>
      <c r="AB1157" s="23">
        <v>6.1199999999999997E-2</v>
      </c>
      <c r="AC1157" s="23">
        <v>-4145.6899999999996</v>
      </c>
      <c r="AD1157" s="23">
        <v>-6.1199999999999997E-2</v>
      </c>
      <c r="AE1157" s="23">
        <v>27637.96</v>
      </c>
      <c r="AF1157" s="23">
        <v>67712.990000000005</v>
      </c>
      <c r="AG1157" s="23">
        <v>3538453.24</v>
      </c>
      <c r="AH1157" s="23">
        <v>14</v>
      </c>
      <c r="AI1157" s="23">
        <v>-296.12</v>
      </c>
      <c r="AJ1157" s="23">
        <v>-6.1199999999999997E-2</v>
      </c>
      <c r="AK1157" s="23">
        <v>4.0800000000000003E-2</v>
      </c>
      <c r="AL1157" s="23" t="s">
        <v>24</v>
      </c>
      <c r="AM1157" s="23">
        <v>54.1</v>
      </c>
      <c r="AN1157" s="23">
        <v>35072.5</v>
      </c>
      <c r="AO1157" s="23">
        <v>54.82</v>
      </c>
      <c r="AP1157" s="23">
        <v>0</v>
      </c>
      <c r="AR1157" s="46"/>
      <c r="AS1157" s="44"/>
      <c r="AT1157" s="45"/>
      <c r="AU1157" s="2">
        <v>44382</v>
      </c>
      <c r="AV1157" s="52">
        <v>0.47916666666666669</v>
      </c>
      <c r="AW1157" s="2" t="s">
        <v>212</v>
      </c>
      <c r="AY1157" s="3"/>
      <c r="BA1157" s="3"/>
      <c r="BG1157" s="3"/>
      <c r="BH1157" s="3"/>
    </row>
    <row r="1158" spans="1:60">
      <c r="A1158" s="23" t="s">
        <v>22</v>
      </c>
      <c r="B1158" s="23" t="s">
        <v>25</v>
      </c>
      <c r="C1158" s="27">
        <v>44382.614583333336</v>
      </c>
      <c r="D1158" s="23">
        <v>54.3</v>
      </c>
      <c r="E1158" s="27">
        <v>44383.385416666664</v>
      </c>
      <c r="F1158" s="23">
        <v>54.1</v>
      </c>
      <c r="G1158" s="31">
        <v>-3.7000000000000002E-3</v>
      </c>
      <c r="H1158" s="23">
        <v>-186.09</v>
      </c>
      <c r="I1158" s="31">
        <v>-3.7000000000000002E-3</v>
      </c>
      <c r="J1158" s="23">
        <v>930.44780000000003</v>
      </c>
      <c r="K1158" s="23">
        <v>50523.31</v>
      </c>
      <c r="L1158" s="23">
        <v>104429.95</v>
      </c>
      <c r="M1158" s="23">
        <v>7</v>
      </c>
      <c r="N1158" s="23">
        <v>-26.58</v>
      </c>
      <c r="O1158" s="31">
        <v>-3.7000000000000002E-3</v>
      </c>
      <c r="P1158" s="31">
        <v>5.4999999999999997E-3</v>
      </c>
      <c r="Q1158" s="23" t="s">
        <v>24</v>
      </c>
      <c r="R1158" s="23">
        <v>0</v>
      </c>
      <c r="S1158" s="23">
        <v>53.82</v>
      </c>
      <c r="U1158" s="47">
        <f>VLOOKUP(AU1158,[1]expiry_dates!$B$2:$C$2894,2,FALSE)</f>
        <v>44406</v>
      </c>
      <c r="V1158" s="23" t="s">
        <v>129</v>
      </c>
      <c r="W1158" s="23" t="s">
        <v>23</v>
      </c>
      <c r="X1158" s="49">
        <v>44382.614583333336</v>
      </c>
      <c r="Y1158" s="23">
        <v>1.5</v>
      </c>
      <c r="Z1158" s="23">
        <v>44383.385416666664</v>
      </c>
      <c r="AA1158" s="23">
        <v>1.65</v>
      </c>
      <c r="AB1158" s="23">
        <v>0.1</v>
      </c>
      <c r="AC1158" s="23">
        <v>-6769.92</v>
      </c>
      <c r="AD1158" s="23">
        <v>-0.1</v>
      </c>
      <c r="AE1158" s="23">
        <v>45132.79</v>
      </c>
      <c r="AF1158" s="23">
        <v>67699.179999999993</v>
      </c>
      <c r="AG1158" s="23">
        <v>3531683.33</v>
      </c>
      <c r="AH1158" s="23">
        <v>7</v>
      </c>
      <c r="AI1158" s="23">
        <v>-967.13</v>
      </c>
      <c r="AJ1158" s="23">
        <v>-0.1</v>
      </c>
      <c r="AK1158" s="23">
        <v>6.6699999999999995E-2</v>
      </c>
      <c r="AL1158" s="23" t="s">
        <v>24</v>
      </c>
      <c r="AM1158" s="23">
        <v>54.3</v>
      </c>
      <c r="AN1158" s="23">
        <v>35199.050000000003</v>
      </c>
      <c r="AO1158" s="23">
        <v>53.82</v>
      </c>
      <c r="AP1158" s="23">
        <v>0</v>
      </c>
      <c r="AR1158" s="46"/>
      <c r="AS1158" s="44"/>
      <c r="AT1158" s="45"/>
      <c r="AU1158" s="2">
        <v>44382</v>
      </c>
      <c r="AV1158" s="52">
        <v>0.11458333333333333</v>
      </c>
      <c r="AW1158" s="2" t="s">
        <v>213</v>
      </c>
      <c r="AY1158" s="3"/>
      <c r="BA1158" s="3"/>
      <c r="BG1158" s="3"/>
      <c r="BH1158" s="3"/>
    </row>
    <row r="1159" spans="1:60">
      <c r="A1159" s="23" t="s">
        <v>22</v>
      </c>
      <c r="B1159" s="23" t="s">
        <v>23</v>
      </c>
      <c r="C1159" s="27">
        <v>44383.385416666664</v>
      </c>
      <c r="D1159" s="23">
        <v>54.1</v>
      </c>
      <c r="E1159" s="27">
        <v>44384.385416666664</v>
      </c>
      <c r="F1159" s="23">
        <v>53.8</v>
      </c>
      <c r="G1159" s="31">
        <v>-5.4999999999999997E-3</v>
      </c>
      <c r="H1159" s="23">
        <v>280.17</v>
      </c>
      <c r="I1159" s="31">
        <v>5.4999999999999997E-3</v>
      </c>
      <c r="J1159" s="23">
        <v>933.90899999999999</v>
      </c>
      <c r="K1159" s="23">
        <v>50524.480000000003</v>
      </c>
      <c r="L1159" s="23">
        <v>104710.12</v>
      </c>
      <c r="M1159" s="23">
        <v>29</v>
      </c>
      <c r="N1159" s="23">
        <v>9.66</v>
      </c>
      <c r="O1159" s="31">
        <v>-1.0200000000000001E-2</v>
      </c>
      <c r="P1159" s="31">
        <v>1.2E-2</v>
      </c>
      <c r="Q1159" s="23" t="s">
        <v>24</v>
      </c>
      <c r="R1159" s="23">
        <v>0</v>
      </c>
      <c r="S1159" s="23">
        <v>54.65</v>
      </c>
      <c r="U1159" s="47">
        <f>VLOOKUP(AU1159,[1]expiry_dates!$B$2:$C$2894,2,FALSE)</f>
        <v>44406</v>
      </c>
      <c r="V1159" s="23" t="s">
        <v>128</v>
      </c>
      <c r="W1159" s="23" t="s">
        <v>23</v>
      </c>
      <c r="X1159" s="49">
        <v>44383.385416666664</v>
      </c>
      <c r="Y1159" s="23">
        <v>2.4500000000000002</v>
      </c>
      <c r="Z1159" s="23">
        <v>44384.385416666664</v>
      </c>
      <c r="AA1159" s="23">
        <v>2.2000000000000002</v>
      </c>
      <c r="AB1159" s="23">
        <v>-0.10199999999999999</v>
      </c>
      <c r="AC1159" s="23">
        <v>6909.68</v>
      </c>
      <c r="AD1159" s="23">
        <v>0.10199999999999999</v>
      </c>
      <c r="AE1159" s="23">
        <v>27638.71</v>
      </c>
      <c r="AF1159" s="23">
        <v>67714.84</v>
      </c>
      <c r="AG1159" s="23">
        <v>3538593</v>
      </c>
      <c r="AH1159" s="23">
        <v>29</v>
      </c>
      <c r="AI1159" s="23">
        <v>238.26</v>
      </c>
      <c r="AJ1159" s="23">
        <v>-0.12239999999999999</v>
      </c>
      <c r="AK1159" s="23">
        <v>0.1429</v>
      </c>
      <c r="AL1159" s="23" t="s">
        <v>24</v>
      </c>
      <c r="AM1159" s="23">
        <v>54.1</v>
      </c>
      <c r="AN1159" s="23">
        <v>35323.449999999997</v>
      </c>
      <c r="AO1159" s="23">
        <v>54.65</v>
      </c>
      <c r="AP1159" s="23">
        <v>0</v>
      </c>
      <c r="AR1159" s="46"/>
      <c r="AS1159" s="44"/>
      <c r="AT1159" s="45"/>
      <c r="AU1159" s="2">
        <v>44383</v>
      </c>
      <c r="AV1159" s="52">
        <v>0.38541666666666669</v>
      </c>
      <c r="AW1159" s="2" t="s">
        <v>212</v>
      </c>
      <c r="AY1159" s="3"/>
      <c r="BA1159" s="3"/>
      <c r="BG1159" s="3"/>
      <c r="BH1159" s="3"/>
    </row>
    <row r="1160" spans="1:60">
      <c r="A1160" s="23" t="s">
        <v>22</v>
      </c>
      <c r="B1160" s="23" t="s">
        <v>25</v>
      </c>
      <c r="C1160" s="27">
        <v>44384.385416666664</v>
      </c>
      <c r="D1160" s="23">
        <v>53.8</v>
      </c>
      <c r="E1160" s="27">
        <v>44384.40625</v>
      </c>
      <c r="F1160" s="23">
        <v>53.5</v>
      </c>
      <c r="G1160" s="31">
        <v>-5.5999999999999999E-3</v>
      </c>
      <c r="H1160" s="23">
        <v>-281.73</v>
      </c>
      <c r="I1160" s="31">
        <v>-5.5999999999999999E-3</v>
      </c>
      <c r="J1160" s="23">
        <v>939.10820000000001</v>
      </c>
      <c r="K1160" s="23">
        <v>50524.02</v>
      </c>
      <c r="L1160" s="23">
        <v>104428.39</v>
      </c>
      <c r="M1160" s="23">
        <v>3</v>
      </c>
      <c r="N1160" s="23">
        <v>-93.91</v>
      </c>
      <c r="O1160" s="31">
        <v>-6.4999999999999997E-3</v>
      </c>
      <c r="P1160" s="31">
        <v>3.7000000000000002E-3</v>
      </c>
      <c r="Q1160" s="23" t="s">
        <v>24</v>
      </c>
      <c r="R1160" s="23">
        <v>0</v>
      </c>
      <c r="S1160" s="23">
        <v>53.45</v>
      </c>
      <c r="U1160" s="47">
        <f>VLOOKUP(AU1160,[1]expiry_dates!$B$2:$C$2894,2,FALSE)</f>
        <v>44406</v>
      </c>
      <c r="V1160" s="23" t="s">
        <v>133</v>
      </c>
      <c r="W1160" s="23" t="s">
        <v>23</v>
      </c>
      <c r="X1160" s="49">
        <v>44384.385416666664</v>
      </c>
      <c r="Y1160" s="23">
        <v>2.2999999999999998</v>
      </c>
      <c r="Z1160" s="23">
        <v>44384.40625</v>
      </c>
      <c r="AA1160" s="23">
        <v>2.5</v>
      </c>
      <c r="AB1160" s="23">
        <v>8.6999999999999994E-2</v>
      </c>
      <c r="AC1160" s="23">
        <v>-5886.34</v>
      </c>
      <c r="AD1160" s="23">
        <v>-8.6999999999999994E-2</v>
      </c>
      <c r="AE1160" s="23">
        <v>29431.72</v>
      </c>
      <c r="AF1160" s="23">
        <v>67692.97</v>
      </c>
      <c r="AG1160" s="23">
        <v>3532706.66</v>
      </c>
      <c r="AH1160" s="23">
        <v>3</v>
      </c>
      <c r="AI1160" s="23">
        <v>-1962.11</v>
      </c>
      <c r="AJ1160" s="23">
        <v>-0.1087</v>
      </c>
      <c r="AK1160" s="23">
        <v>6.5199999999999994E-2</v>
      </c>
      <c r="AL1160" s="23" t="s">
        <v>24</v>
      </c>
      <c r="AM1160" s="23">
        <v>53.8</v>
      </c>
      <c r="AN1160" s="23">
        <v>35624.25</v>
      </c>
      <c r="AO1160" s="23">
        <v>53.45</v>
      </c>
      <c r="AP1160" s="23">
        <v>0</v>
      </c>
      <c r="AR1160" s="46"/>
      <c r="AS1160" s="44"/>
      <c r="AT1160" s="45"/>
      <c r="AU1160" s="2">
        <v>44384</v>
      </c>
      <c r="AV1160" s="52">
        <v>0.38541666666666669</v>
      </c>
      <c r="AW1160" s="2" t="s">
        <v>212</v>
      </c>
      <c r="AY1160" s="3"/>
      <c r="BA1160" s="3"/>
      <c r="BG1160" s="3"/>
      <c r="BH1160" s="3"/>
    </row>
    <row r="1161" spans="1:60">
      <c r="A1161" s="23" t="s">
        <v>22</v>
      </c>
      <c r="B1161" s="23" t="s">
        <v>23</v>
      </c>
      <c r="C1161" s="27">
        <v>44384.40625</v>
      </c>
      <c r="D1161" s="23">
        <v>53.5</v>
      </c>
      <c r="E1161" s="27">
        <v>44384.583333333336</v>
      </c>
      <c r="F1161" s="23">
        <v>53.6</v>
      </c>
      <c r="G1161" s="31">
        <v>1.9E-3</v>
      </c>
      <c r="H1161" s="23">
        <v>-94.44</v>
      </c>
      <c r="I1161" s="31">
        <v>-1.9E-3</v>
      </c>
      <c r="J1161" s="23">
        <v>944.36099999999999</v>
      </c>
      <c r="K1161" s="23">
        <v>50523.32</v>
      </c>
      <c r="L1161" s="23">
        <v>104333.95</v>
      </c>
      <c r="M1161" s="23">
        <v>18</v>
      </c>
      <c r="N1161" s="23">
        <v>-5.25</v>
      </c>
      <c r="O1161" s="31">
        <v>-5.5999999999999999E-3</v>
      </c>
      <c r="P1161" s="31">
        <v>6.4999999999999997E-3</v>
      </c>
      <c r="Q1161" s="23" t="s">
        <v>24</v>
      </c>
      <c r="R1161" s="23">
        <v>0</v>
      </c>
      <c r="S1161" s="23">
        <v>53.99</v>
      </c>
      <c r="U1161" s="47">
        <f>VLOOKUP(AU1161,[1]expiry_dates!$B$2:$C$2894,2,FALSE)</f>
        <v>44406</v>
      </c>
      <c r="V1161" s="23" t="s">
        <v>128</v>
      </c>
      <c r="W1161" s="23" t="s">
        <v>23</v>
      </c>
      <c r="X1161" s="49">
        <v>44384.40625</v>
      </c>
      <c r="Y1161" s="23">
        <v>2.1</v>
      </c>
      <c r="Z1161" s="23">
        <v>44384.583333333336</v>
      </c>
      <c r="AA1161" s="23">
        <v>2.0499999999999998</v>
      </c>
      <c r="AB1161" s="23">
        <v>-2.3800000000000002E-2</v>
      </c>
      <c r="AC1161" s="23">
        <v>1612.09</v>
      </c>
      <c r="AD1161" s="23">
        <v>2.3800000000000002E-2</v>
      </c>
      <c r="AE1161" s="23">
        <v>32241.75</v>
      </c>
      <c r="AF1161" s="23">
        <v>67707.679999999993</v>
      </c>
      <c r="AG1161" s="23">
        <v>3534318.75</v>
      </c>
      <c r="AH1161" s="23">
        <v>18</v>
      </c>
      <c r="AI1161" s="23">
        <v>89.56</v>
      </c>
      <c r="AJ1161" s="23">
        <v>-4.7600000000000003E-2</v>
      </c>
      <c r="AK1161" s="23">
        <v>9.5200000000000007E-2</v>
      </c>
      <c r="AL1161" s="23" t="s">
        <v>24</v>
      </c>
      <c r="AM1161" s="23">
        <v>53.5</v>
      </c>
      <c r="AN1161" s="23">
        <v>35634.15</v>
      </c>
      <c r="AO1161" s="23">
        <v>53.99</v>
      </c>
      <c r="AP1161" s="23">
        <v>0</v>
      </c>
      <c r="AR1161" s="46"/>
      <c r="AS1161" s="44"/>
      <c r="AT1161" s="45"/>
      <c r="AU1161" s="2">
        <v>44384</v>
      </c>
      <c r="AV1161" s="52">
        <v>0.40625</v>
      </c>
      <c r="AW1161" s="2" t="s">
        <v>212</v>
      </c>
      <c r="AY1161" s="3"/>
      <c r="BA1161" s="3"/>
      <c r="BG1161" s="3"/>
      <c r="BH1161" s="3"/>
    </row>
    <row r="1162" spans="1:60">
      <c r="A1162" s="23" t="s">
        <v>22</v>
      </c>
      <c r="B1162" s="23" t="s">
        <v>25</v>
      </c>
      <c r="C1162" s="27">
        <v>44384.583333333336</v>
      </c>
      <c r="D1162" s="23">
        <v>53.6</v>
      </c>
      <c r="E1162" s="27">
        <v>44385.479166666664</v>
      </c>
      <c r="F1162" s="23">
        <v>53.85</v>
      </c>
      <c r="G1162" s="31">
        <v>4.7000000000000002E-3</v>
      </c>
      <c r="H1162" s="23">
        <v>235.65</v>
      </c>
      <c r="I1162" s="31">
        <v>4.7000000000000002E-3</v>
      </c>
      <c r="J1162" s="23">
        <v>942.58169999999996</v>
      </c>
      <c r="K1162" s="23">
        <v>50522.38</v>
      </c>
      <c r="L1162" s="23">
        <v>104569.60000000001</v>
      </c>
      <c r="M1162" s="23">
        <v>19</v>
      </c>
      <c r="N1162" s="23">
        <v>12.4</v>
      </c>
      <c r="O1162" s="31">
        <v>-3.7000000000000002E-3</v>
      </c>
      <c r="P1162" s="31">
        <v>1.3100000000000001E-2</v>
      </c>
      <c r="Q1162" s="23" t="s">
        <v>24</v>
      </c>
      <c r="R1162" s="23">
        <v>0</v>
      </c>
      <c r="S1162" s="23">
        <v>53.17</v>
      </c>
      <c r="U1162" s="47">
        <f>VLOOKUP(AU1162,[1]expiry_dates!$B$2:$C$2894,2,FALSE)</f>
        <v>44406</v>
      </c>
      <c r="V1162" s="23" t="s">
        <v>133</v>
      </c>
      <c r="W1162" s="23" t="s">
        <v>23</v>
      </c>
      <c r="X1162" s="49">
        <v>44384.583333333336</v>
      </c>
      <c r="Y1162" s="23">
        <v>2.25</v>
      </c>
      <c r="Z1162" s="23">
        <v>44385.479166666664</v>
      </c>
      <c r="AA1162" s="23">
        <v>2.15</v>
      </c>
      <c r="AB1162" s="23">
        <v>-4.4400000000000002E-2</v>
      </c>
      <c r="AC1162" s="23">
        <v>3007.63</v>
      </c>
      <c r="AD1162" s="23">
        <v>4.4400000000000002E-2</v>
      </c>
      <c r="AE1162" s="23">
        <v>30076.26</v>
      </c>
      <c r="AF1162" s="23">
        <v>67671.59</v>
      </c>
      <c r="AG1162" s="23">
        <v>3537326.37</v>
      </c>
      <c r="AH1162" s="23">
        <v>19</v>
      </c>
      <c r="AI1162" s="23">
        <v>158.30000000000001</v>
      </c>
      <c r="AJ1162" s="23">
        <v>-2.2200000000000001E-2</v>
      </c>
      <c r="AK1162" s="23">
        <v>0.15559999999999999</v>
      </c>
      <c r="AL1162" s="23" t="s">
        <v>24</v>
      </c>
      <c r="AM1162" s="23">
        <v>53.6</v>
      </c>
      <c r="AN1162" s="23">
        <v>35720.449999999997</v>
      </c>
      <c r="AO1162" s="23">
        <v>53.17</v>
      </c>
      <c r="AP1162" s="23">
        <v>0</v>
      </c>
      <c r="AR1162" s="46"/>
      <c r="AS1162" s="44"/>
      <c r="AT1162" s="45"/>
      <c r="AU1162" s="2">
        <v>44384</v>
      </c>
      <c r="AV1162" s="52">
        <v>8.3333333333333329E-2</v>
      </c>
      <c r="AW1162" s="2" t="s">
        <v>213</v>
      </c>
      <c r="AY1162" s="3"/>
      <c r="BA1162" s="3"/>
      <c r="BG1162" s="3"/>
      <c r="BH1162" s="3"/>
    </row>
    <row r="1163" spans="1:60">
      <c r="A1163" s="23" t="s">
        <v>22</v>
      </c>
      <c r="B1163" s="23" t="s">
        <v>23</v>
      </c>
      <c r="C1163" s="27">
        <v>44385.479166666664</v>
      </c>
      <c r="D1163" s="23">
        <v>53.85</v>
      </c>
      <c r="E1163" s="27">
        <v>44386.520833333336</v>
      </c>
      <c r="F1163" s="23">
        <v>53</v>
      </c>
      <c r="G1163" s="31">
        <v>-1.5800000000000002E-2</v>
      </c>
      <c r="H1163" s="23">
        <v>797.49</v>
      </c>
      <c r="I1163" s="31">
        <v>1.5800000000000002E-2</v>
      </c>
      <c r="J1163" s="23">
        <v>938.22760000000005</v>
      </c>
      <c r="K1163" s="23">
        <v>50523.55</v>
      </c>
      <c r="L1163" s="23">
        <v>105367.09</v>
      </c>
      <c r="M1163" s="23">
        <v>33</v>
      </c>
      <c r="N1163" s="23">
        <v>24.17</v>
      </c>
      <c r="O1163" s="31">
        <v>-2.8E-3</v>
      </c>
      <c r="P1163" s="31">
        <v>2.41E-2</v>
      </c>
      <c r="Q1163" s="23" t="s">
        <v>24</v>
      </c>
      <c r="R1163" s="23">
        <v>0</v>
      </c>
      <c r="S1163" s="23">
        <v>54.3</v>
      </c>
      <c r="U1163" s="47">
        <f>VLOOKUP(AU1163,[1]expiry_dates!$B$2:$C$2894,2,FALSE)</f>
        <v>44406</v>
      </c>
      <c r="V1163" s="23" t="s">
        <v>128</v>
      </c>
      <c r="W1163" s="23" t="s">
        <v>23</v>
      </c>
      <c r="X1163" s="49">
        <v>44385.479166666664</v>
      </c>
      <c r="Y1163" s="23">
        <v>2.2000000000000002</v>
      </c>
      <c r="Z1163" s="23">
        <v>44386.520833333336</v>
      </c>
      <c r="AA1163" s="23">
        <v>1.75</v>
      </c>
      <c r="AB1163" s="23">
        <v>-0.20449999999999999</v>
      </c>
      <c r="AC1163" s="23">
        <v>13848.07</v>
      </c>
      <c r="AD1163" s="23">
        <v>0.20449999999999999</v>
      </c>
      <c r="AE1163" s="23">
        <v>30773.49</v>
      </c>
      <c r="AF1163" s="23">
        <v>67701.67</v>
      </c>
      <c r="AG1163" s="23">
        <v>3551174.44</v>
      </c>
      <c r="AH1163" s="23">
        <v>33</v>
      </c>
      <c r="AI1163" s="23">
        <v>419.64</v>
      </c>
      <c r="AJ1163" s="23">
        <v>0</v>
      </c>
      <c r="AK1163" s="23">
        <v>0.2727</v>
      </c>
      <c r="AL1163" s="23" t="s">
        <v>24</v>
      </c>
      <c r="AM1163" s="23">
        <v>53.85</v>
      </c>
      <c r="AN1163" s="23">
        <v>35660.1</v>
      </c>
      <c r="AO1163" s="23">
        <v>54.3</v>
      </c>
      <c r="AP1163" s="23">
        <v>0</v>
      </c>
      <c r="AR1163" s="46"/>
      <c r="AS1163" s="44"/>
      <c r="AT1163" s="45"/>
      <c r="AU1163" s="2">
        <v>44385</v>
      </c>
      <c r="AV1163" s="52">
        <v>0.47916666666666669</v>
      </c>
      <c r="AW1163" s="2" t="s">
        <v>212</v>
      </c>
      <c r="AY1163" s="3"/>
      <c r="BA1163" s="3"/>
      <c r="BG1163" s="3"/>
      <c r="BH1163" s="3"/>
    </row>
    <row r="1164" spans="1:60">
      <c r="A1164" s="23" t="s">
        <v>22</v>
      </c>
      <c r="B1164" s="23" t="s">
        <v>25</v>
      </c>
      <c r="C1164" s="27">
        <v>44386.520833333336</v>
      </c>
      <c r="D1164" s="23">
        <v>53</v>
      </c>
      <c r="E1164" s="27">
        <v>44389.541666666664</v>
      </c>
      <c r="F1164" s="23">
        <v>54.1</v>
      </c>
      <c r="G1164" s="31">
        <v>2.0799999999999999E-2</v>
      </c>
      <c r="H1164" s="23">
        <v>1048.68</v>
      </c>
      <c r="I1164" s="31">
        <v>2.0799999999999999E-2</v>
      </c>
      <c r="J1164" s="23">
        <v>953.34540000000004</v>
      </c>
      <c r="K1164" s="23">
        <v>50527.3</v>
      </c>
      <c r="L1164" s="23">
        <v>106415.77</v>
      </c>
      <c r="M1164" s="23">
        <v>31</v>
      </c>
      <c r="N1164" s="23">
        <v>33.83</v>
      </c>
      <c r="O1164" s="31">
        <v>-1.9E-3</v>
      </c>
      <c r="P1164" s="31">
        <v>3.4000000000000002E-2</v>
      </c>
      <c r="Q1164" s="23" t="s">
        <v>24</v>
      </c>
      <c r="R1164" s="23">
        <v>0</v>
      </c>
      <c r="S1164" s="23">
        <v>52.57</v>
      </c>
      <c r="U1164" s="47">
        <f>VLOOKUP(AU1164,[1]expiry_dates!$B$2:$C$2894,2,FALSE)</f>
        <v>44406</v>
      </c>
      <c r="V1164" s="23" t="s">
        <v>129</v>
      </c>
      <c r="W1164" s="23" t="s">
        <v>23</v>
      </c>
      <c r="X1164" s="49">
        <v>44386.520833333336</v>
      </c>
      <c r="Y1164" s="23">
        <v>1.8</v>
      </c>
      <c r="Z1164" s="23">
        <v>44389.541666666664</v>
      </c>
      <c r="AA1164" s="23">
        <v>1.3</v>
      </c>
      <c r="AB1164" s="23">
        <v>-0.27779999999999999</v>
      </c>
      <c r="AC1164" s="23">
        <v>18823.21</v>
      </c>
      <c r="AD1164" s="23">
        <v>0.27779999999999999</v>
      </c>
      <c r="AE1164" s="23">
        <v>37646.43</v>
      </c>
      <c r="AF1164" s="23">
        <v>67763.56</v>
      </c>
      <c r="AG1164" s="23">
        <v>3569997.65</v>
      </c>
      <c r="AH1164" s="23">
        <v>31</v>
      </c>
      <c r="AI1164" s="23">
        <v>607.20000000000005</v>
      </c>
      <c r="AJ1164" s="23">
        <v>-5.5599999999999997E-2</v>
      </c>
      <c r="AK1164" s="23">
        <v>0.41670000000000001</v>
      </c>
      <c r="AL1164" s="23" t="s">
        <v>24</v>
      </c>
      <c r="AM1164" s="23">
        <v>53</v>
      </c>
      <c r="AN1164" s="23">
        <v>35083.800000000003</v>
      </c>
      <c r="AO1164" s="23">
        <v>52.57</v>
      </c>
      <c r="AP1164" s="23">
        <v>0</v>
      </c>
      <c r="AR1164" s="46"/>
      <c r="AS1164" s="44"/>
      <c r="AT1164" s="45"/>
      <c r="AU1164" s="2">
        <v>44386</v>
      </c>
      <c r="AV1164" s="52">
        <v>0.52083333333333337</v>
      </c>
      <c r="AW1164" s="2" t="s">
        <v>213</v>
      </c>
      <c r="AY1164" s="3"/>
      <c r="BA1164" s="3"/>
      <c r="BG1164" s="3"/>
      <c r="BH1164" s="3"/>
    </row>
    <row r="1165" spans="1:60">
      <c r="A1165" s="23" t="s">
        <v>22</v>
      </c>
      <c r="B1165" s="23" t="s">
        <v>23</v>
      </c>
      <c r="C1165" s="27">
        <v>44389.541666666664</v>
      </c>
      <c r="D1165" s="23">
        <v>54.1</v>
      </c>
      <c r="E1165" s="27">
        <v>44390.385416666664</v>
      </c>
      <c r="F1165" s="23">
        <v>54.05</v>
      </c>
      <c r="G1165" s="31">
        <v>-8.9999999999999998E-4</v>
      </c>
      <c r="H1165" s="23">
        <v>46.7</v>
      </c>
      <c r="I1165" s="31">
        <v>8.9999999999999998E-4</v>
      </c>
      <c r="J1165" s="23">
        <v>934.09360000000004</v>
      </c>
      <c r="K1165" s="23">
        <v>50534.46</v>
      </c>
      <c r="L1165" s="23">
        <v>106462.47</v>
      </c>
      <c r="M1165" s="23">
        <v>14</v>
      </c>
      <c r="N1165" s="23">
        <v>3.34</v>
      </c>
      <c r="O1165" s="31">
        <v>-9.1999999999999998E-3</v>
      </c>
      <c r="P1165" s="31">
        <v>6.4999999999999997E-3</v>
      </c>
      <c r="Q1165" s="23" t="s">
        <v>24</v>
      </c>
      <c r="R1165" s="23">
        <v>0</v>
      </c>
      <c r="S1165" s="23">
        <v>54.8</v>
      </c>
      <c r="U1165" s="47">
        <f>VLOOKUP(AU1165,[1]expiry_dates!$B$2:$C$2894,2,FALSE)</f>
        <v>44406</v>
      </c>
      <c r="V1165" s="23" t="s">
        <v>128</v>
      </c>
      <c r="W1165" s="23" t="s">
        <v>23</v>
      </c>
      <c r="X1165" s="49">
        <v>44389.541666666664</v>
      </c>
      <c r="Y1165" s="23">
        <v>2.1</v>
      </c>
      <c r="Z1165" s="23">
        <v>44390.385416666664</v>
      </c>
      <c r="AA1165" s="23">
        <v>2.0499999999999998</v>
      </c>
      <c r="AB1165" s="23">
        <v>-2.3800000000000002E-2</v>
      </c>
      <c r="AC1165" s="23">
        <v>1616.37</v>
      </c>
      <c r="AD1165" s="23">
        <v>2.3800000000000002E-2</v>
      </c>
      <c r="AE1165" s="23">
        <v>32327.45</v>
      </c>
      <c r="AF1165" s="23">
        <v>67887.63</v>
      </c>
      <c r="AG1165" s="23">
        <v>3571614.03</v>
      </c>
      <c r="AH1165" s="23">
        <v>14</v>
      </c>
      <c r="AI1165" s="23">
        <v>115.46</v>
      </c>
      <c r="AJ1165" s="23">
        <v>-0.11899999999999999</v>
      </c>
      <c r="AK1165" s="23">
        <v>9.5200000000000007E-2</v>
      </c>
      <c r="AL1165" s="23" t="s">
        <v>24</v>
      </c>
      <c r="AM1165" s="23">
        <v>54.1</v>
      </c>
      <c r="AN1165" s="23">
        <v>35188.75</v>
      </c>
      <c r="AO1165" s="23">
        <v>54.8</v>
      </c>
      <c r="AP1165" s="23">
        <v>0</v>
      </c>
      <c r="AR1165" s="46"/>
      <c r="AS1165" s="44"/>
      <c r="AT1165" s="45"/>
      <c r="AU1165" s="2">
        <v>44389</v>
      </c>
      <c r="AV1165" s="52">
        <v>4.1666666666666664E-2</v>
      </c>
      <c r="AW1165" s="2" t="s">
        <v>213</v>
      </c>
      <c r="AY1165" s="3"/>
      <c r="BA1165" s="3"/>
      <c r="BG1165" s="3"/>
      <c r="BH1165" s="3"/>
    </row>
    <row r="1166" spans="1:60">
      <c r="A1166" s="23" t="s">
        <v>22</v>
      </c>
      <c r="B1166" s="23" t="s">
        <v>25</v>
      </c>
      <c r="C1166" s="27">
        <v>44390.385416666664</v>
      </c>
      <c r="D1166" s="23">
        <v>54.05</v>
      </c>
      <c r="E1166" s="27">
        <v>44390.40625</v>
      </c>
      <c r="F1166" s="23">
        <v>53.9</v>
      </c>
      <c r="G1166" s="31">
        <v>-2.8E-3</v>
      </c>
      <c r="H1166" s="23">
        <v>-140.22999999999999</v>
      </c>
      <c r="I1166" s="31">
        <v>-2.8E-3</v>
      </c>
      <c r="J1166" s="23">
        <v>934.8877</v>
      </c>
      <c r="K1166" s="23">
        <v>50530.68</v>
      </c>
      <c r="L1166" s="23">
        <v>106322.24000000001</v>
      </c>
      <c r="M1166" s="23">
        <v>3</v>
      </c>
      <c r="N1166" s="23">
        <v>-46.74</v>
      </c>
      <c r="O1166" s="31">
        <v>-3.7000000000000002E-3</v>
      </c>
      <c r="P1166" s="31">
        <v>4.5999999999999999E-3</v>
      </c>
      <c r="Q1166" s="23" t="s">
        <v>24</v>
      </c>
      <c r="R1166" s="23">
        <v>0</v>
      </c>
      <c r="S1166" s="23">
        <v>53.79</v>
      </c>
      <c r="U1166" s="47">
        <f>VLOOKUP(AU1166,[1]expiry_dates!$B$2:$C$2894,2,FALSE)</f>
        <v>44406</v>
      </c>
      <c r="V1166" s="23" t="s">
        <v>133</v>
      </c>
      <c r="W1166" s="23" t="s">
        <v>23</v>
      </c>
      <c r="X1166" s="49">
        <v>44390.385416666664</v>
      </c>
      <c r="Y1166" s="23">
        <v>1.75</v>
      </c>
      <c r="Z1166" s="23">
        <v>44390.40625</v>
      </c>
      <c r="AA1166" s="23">
        <v>1.8</v>
      </c>
      <c r="AB1166" s="23">
        <v>2.86E-2</v>
      </c>
      <c r="AC1166" s="23">
        <v>-1939.03</v>
      </c>
      <c r="AD1166" s="23">
        <v>-2.86E-2</v>
      </c>
      <c r="AE1166" s="23">
        <v>38780.660000000003</v>
      </c>
      <c r="AF1166" s="23">
        <v>67866.16</v>
      </c>
      <c r="AG1166" s="23">
        <v>3569674.99</v>
      </c>
      <c r="AH1166" s="23">
        <v>3</v>
      </c>
      <c r="AI1166" s="23">
        <v>-646.34</v>
      </c>
      <c r="AJ1166" s="23">
        <v>-2.86E-2</v>
      </c>
      <c r="AK1166" s="23">
        <v>0</v>
      </c>
      <c r="AL1166" s="23" t="s">
        <v>24</v>
      </c>
      <c r="AM1166" s="23">
        <v>54.05</v>
      </c>
      <c r="AN1166" s="23">
        <v>35411.800000000003</v>
      </c>
      <c r="AO1166" s="23">
        <v>53.79</v>
      </c>
      <c r="AP1166" s="23">
        <v>0</v>
      </c>
      <c r="AR1166" s="46"/>
      <c r="AS1166" s="44"/>
      <c r="AT1166" s="45"/>
      <c r="AU1166" s="2">
        <v>44390</v>
      </c>
      <c r="AV1166" s="52">
        <v>0.38541666666666669</v>
      </c>
      <c r="AW1166" s="2" t="s">
        <v>212</v>
      </c>
      <c r="AY1166" s="3"/>
      <c r="BA1166" s="3"/>
      <c r="BG1166" s="3"/>
      <c r="BH1166" s="3"/>
    </row>
    <row r="1167" spans="1:60">
      <c r="A1167" s="23" t="s">
        <v>22</v>
      </c>
      <c r="B1167" s="23" t="s">
        <v>23</v>
      </c>
      <c r="C1167" s="27">
        <v>44390.40625</v>
      </c>
      <c r="D1167" s="23">
        <v>53.9</v>
      </c>
      <c r="E1167" s="27">
        <v>44390.572916666664</v>
      </c>
      <c r="F1167" s="23">
        <v>53.95</v>
      </c>
      <c r="G1167" s="31">
        <v>8.9999999999999998E-4</v>
      </c>
      <c r="H1167" s="23">
        <v>-46.88</v>
      </c>
      <c r="I1167" s="31">
        <v>-8.9999999999999998E-4</v>
      </c>
      <c r="J1167" s="23">
        <v>937.51530000000002</v>
      </c>
      <c r="K1167" s="23">
        <v>50532.08</v>
      </c>
      <c r="L1167" s="23">
        <v>106275.37</v>
      </c>
      <c r="M1167" s="23">
        <v>17</v>
      </c>
      <c r="N1167" s="23">
        <v>-2.76</v>
      </c>
      <c r="O1167" s="31">
        <v>-1.9E-3</v>
      </c>
      <c r="P1167" s="31">
        <v>4.5999999999999999E-3</v>
      </c>
      <c r="Q1167" s="23" t="s">
        <v>24</v>
      </c>
      <c r="R1167" s="23">
        <v>0</v>
      </c>
      <c r="S1167" s="23">
        <v>54.4</v>
      </c>
      <c r="U1167" s="47">
        <f>VLOOKUP(AU1167,[1]expiry_dates!$B$2:$C$2894,2,FALSE)</f>
        <v>44406</v>
      </c>
      <c r="V1167" s="23" t="s">
        <v>128</v>
      </c>
      <c r="W1167" s="23" t="s">
        <v>23</v>
      </c>
      <c r="X1167" s="49">
        <v>44390.40625</v>
      </c>
      <c r="Y1167" s="23">
        <v>2</v>
      </c>
      <c r="Z1167" s="23">
        <v>44390.572916666664</v>
      </c>
      <c r="AA1167" s="23">
        <v>1.95</v>
      </c>
      <c r="AB1167" s="23">
        <v>-2.5000000000000001E-2</v>
      </c>
      <c r="AC1167" s="23">
        <v>1696.21</v>
      </c>
      <c r="AD1167" s="23">
        <v>2.5000000000000001E-2</v>
      </c>
      <c r="AE1167" s="23">
        <v>33924.19</v>
      </c>
      <c r="AF1167" s="23">
        <v>67848.38</v>
      </c>
      <c r="AG1167" s="23">
        <v>3571371.2</v>
      </c>
      <c r="AH1167" s="23">
        <v>17</v>
      </c>
      <c r="AI1167" s="23">
        <v>99.78</v>
      </c>
      <c r="AJ1167" s="23">
        <v>0</v>
      </c>
      <c r="AK1167" s="23">
        <v>0.1</v>
      </c>
      <c r="AL1167" s="23" t="s">
        <v>24</v>
      </c>
      <c r="AM1167" s="23">
        <v>53.9</v>
      </c>
      <c r="AN1167" s="23">
        <v>35415.1</v>
      </c>
      <c r="AO1167" s="23">
        <v>54.4</v>
      </c>
      <c r="AP1167" s="23">
        <v>0</v>
      </c>
      <c r="AR1167" s="46"/>
      <c r="AS1167" s="44"/>
      <c r="AT1167" s="45"/>
      <c r="AU1167" s="2">
        <v>44390</v>
      </c>
      <c r="AV1167" s="52">
        <v>0.40625</v>
      </c>
      <c r="AW1167" s="2" t="s">
        <v>212</v>
      </c>
      <c r="AY1167" s="3"/>
      <c r="BA1167" s="3"/>
      <c r="BG1167" s="3"/>
      <c r="BH1167" s="3"/>
    </row>
    <row r="1168" spans="1:60">
      <c r="A1168" s="23" t="s">
        <v>22</v>
      </c>
      <c r="B1168" s="23" t="s">
        <v>25</v>
      </c>
      <c r="C1168" s="27">
        <v>44390.572916666664</v>
      </c>
      <c r="D1168" s="23">
        <v>53.95</v>
      </c>
      <c r="E1168" s="27">
        <v>44391.385416666664</v>
      </c>
      <c r="F1168" s="23">
        <v>53.8</v>
      </c>
      <c r="G1168" s="31">
        <v>-2.8E-3</v>
      </c>
      <c r="H1168" s="23">
        <v>-140.5</v>
      </c>
      <c r="I1168" s="31">
        <v>-2.8E-3</v>
      </c>
      <c r="J1168" s="23">
        <v>936.63779999999997</v>
      </c>
      <c r="K1168" s="23">
        <v>50531.61</v>
      </c>
      <c r="L1168" s="23">
        <v>106134.87</v>
      </c>
      <c r="M1168" s="23">
        <v>11</v>
      </c>
      <c r="N1168" s="23">
        <v>-12.77</v>
      </c>
      <c r="O1168" s="31">
        <v>-2.8E-3</v>
      </c>
      <c r="P1168" s="31">
        <v>3.7000000000000002E-3</v>
      </c>
      <c r="Q1168" s="23" t="s">
        <v>24</v>
      </c>
      <c r="R1168" s="23">
        <v>0</v>
      </c>
      <c r="S1168" s="23">
        <v>53.66</v>
      </c>
      <c r="U1168" s="47">
        <f>VLOOKUP(AU1168,[1]expiry_dates!$B$2:$C$2894,2,FALSE)</f>
        <v>44406</v>
      </c>
      <c r="V1168" s="23" t="s">
        <v>129</v>
      </c>
      <c r="W1168" s="23" t="s">
        <v>23</v>
      </c>
      <c r="X1168" s="49">
        <v>44390.572916666664</v>
      </c>
      <c r="Y1168" s="23">
        <v>1.3</v>
      </c>
      <c r="Z1168" s="23">
        <v>44391.385416666664</v>
      </c>
      <c r="AA1168" s="23">
        <v>1.3</v>
      </c>
      <c r="AB1168" s="23">
        <v>0</v>
      </c>
      <c r="AC1168" s="23">
        <v>0</v>
      </c>
      <c r="AD1168" s="23">
        <v>0</v>
      </c>
      <c r="AE1168" s="23">
        <v>52197.58</v>
      </c>
      <c r="AF1168" s="23">
        <v>67856.850000000006</v>
      </c>
      <c r="AG1168" s="23">
        <v>3571371.2</v>
      </c>
      <c r="AH1168" s="23">
        <v>11</v>
      </c>
      <c r="AI1168" s="23">
        <v>0</v>
      </c>
      <c r="AJ1168" s="23">
        <v>-3.85E-2</v>
      </c>
      <c r="AK1168" s="23">
        <v>7.6899999999999996E-2</v>
      </c>
      <c r="AL1168" s="23" t="s">
        <v>24</v>
      </c>
      <c r="AM1168" s="23">
        <v>53.95</v>
      </c>
      <c r="AN1168" s="23">
        <v>35708.35</v>
      </c>
      <c r="AO1168" s="23">
        <v>53.66</v>
      </c>
      <c r="AP1168" s="23">
        <v>0</v>
      </c>
      <c r="AR1168" s="46"/>
      <c r="AS1168" s="44"/>
      <c r="AT1168" s="45"/>
      <c r="AU1168" s="2">
        <v>44390</v>
      </c>
      <c r="AV1168" s="52">
        <v>7.2916666666666671E-2</v>
      </c>
      <c r="AW1168" s="2" t="s">
        <v>213</v>
      </c>
      <c r="AY1168" s="3"/>
      <c r="BA1168" s="3"/>
      <c r="BG1168" s="3"/>
      <c r="BH1168" s="3"/>
    </row>
    <row r="1169" spans="1:60">
      <c r="A1169" s="23" t="s">
        <v>22</v>
      </c>
      <c r="B1169" s="23" t="s">
        <v>23</v>
      </c>
      <c r="C1169" s="27">
        <v>44391.385416666664</v>
      </c>
      <c r="D1169" s="23">
        <v>53.8</v>
      </c>
      <c r="E1169" s="27">
        <v>44391.53125</v>
      </c>
      <c r="F1169" s="23">
        <v>53.9</v>
      </c>
      <c r="G1169" s="31">
        <v>1.9E-3</v>
      </c>
      <c r="H1169" s="23">
        <v>-93.92</v>
      </c>
      <c r="I1169" s="31">
        <v>-1.9E-3</v>
      </c>
      <c r="J1169" s="23">
        <v>939.24929999999995</v>
      </c>
      <c r="K1169" s="23">
        <v>50531.61</v>
      </c>
      <c r="L1169" s="23">
        <v>106040.94</v>
      </c>
      <c r="M1169" s="23">
        <v>15</v>
      </c>
      <c r="N1169" s="23">
        <v>-6.26</v>
      </c>
      <c r="O1169" s="31">
        <v>-4.5999999999999999E-3</v>
      </c>
      <c r="P1169" s="31">
        <v>2.8E-3</v>
      </c>
      <c r="Q1169" s="23" t="s">
        <v>24</v>
      </c>
      <c r="R1169" s="23">
        <v>0</v>
      </c>
      <c r="S1169" s="23">
        <v>54.14</v>
      </c>
      <c r="U1169" s="47">
        <f>VLOOKUP(AU1169,[1]expiry_dates!$B$2:$C$2894,2,FALSE)</f>
        <v>44406</v>
      </c>
      <c r="V1169" s="23" t="s">
        <v>128</v>
      </c>
      <c r="W1169" s="23" t="s">
        <v>23</v>
      </c>
      <c r="X1169" s="49">
        <v>44391.385416666664</v>
      </c>
      <c r="Y1169" s="23">
        <v>1.8</v>
      </c>
      <c r="Z1169" s="23">
        <v>44391.53125</v>
      </c>
      <c r="AA1169" s="23">
        <v>1.85</v>
      </c>
      <c r="AB1169" s="23">
        <v>2.7799999999999998E-2</v>
      </c>
      <c r="AC1169" s="23">
        <v>-1885.64</v>
      </c>
      <c r="AD1169" s="23">
        <v>-2.7799999999999998E-2</v>
      </c>
      <c r="AE1169" s="23">
        <v>37712.75</v>
      </c>
      <c r="AF1169" s="23">
        <v>67882.95</v>
      </c>
      <c r="AG1169" s="23">
        <v>3569485.56</v>
      </c>
      <c r="AH1169" s="23">
        <v>15</v>
      </c>
      <c r="AI1169" s="23">
        <v>-125.71</v>
      </c>
      <c r="AJ1169" s="23">
        <v>-8.3299999999999999E-2</v>
      </c>
      <c r="AK1169" s="23">
        <v>2.7799999999999998E-2</v>
      </c>
      <c r="AL1169" s="23" t="s">
        <v>24</v>
      </c>
      <c r="AM1169" s="23">
        <v>53.8</v>
      </c>
      <c r="AN1169" s="23">
        <v>35472.449999999997</v>
      </c>
      <c r="AO1169" s="23">
        <v>54.14</v>
      </c>
      <c r="AP1169" s="23">
        <v>0</v>
      </c>
      <c r="AR1169" s="46"/>
      <c r="AS1169" s="44"/>
      <c r="AT1169" s="45"/>
      <c r="AU1169" s="2">
        <v>44391</v>
      </c>
      <c r="AV1169" s="52">
        <v>0.38541666666666669</v>
      </c>
      <c r="AW1169" s="2" t="s">
        <v>212</v>
      </c>
      <c r="AY1169" s="3"/>
      <c r="BA1169" s="3"/>
      <c r="BG1169" s="3"/>
      <c r="BH1169" s="3"/>
    </row>
    <row r="1170" spans="1:60">
      <c r="A1170" s="23" t="s">
        <v>22</v>
      </c>
      <c r="B1170" s="23" t="s">
        <v>25</v>
      </c>
      <c r="C1170" s="27">
        <v>44391.53125</v>
      </c>
      <c r="D1170" s="23">
        <v>53.9</v>
      </c>
      <c r="E1170" s="27">
        <v>44391.59375</v>
      </c>
      <c r="F1170" s="23">
        <v>53.7</v>
      </c>
      <c r="G1170" s="31">
        <v>-3.7000000000000002E-3</v>
      </c>
      <c r="H1170" s="23">
        <v>-187.5</v>
      </c>
      <c r="I1170" s="31">
        <v>-3.7000000000000002E-3</v>
      </c>
      <c r="J1170" s="23">
        <v>937.49369999999999</v>
      </c>
      <c r="K1170" s="23">
        <v>50530.91</v>
      </c>
      <c r="L1170" s="23">
        <v>105853.45</v>
      </c>
      <c r="M1170" s="23">
        <v>7</v>
      </c>
      <c r="N1170" s="23">
        <v>-26.79</v>
      </c>
      <c r="O1170" s="31">
        <v>-3.7000000000000002E-3</v>
      </c>
      <c r="P1170" s="31">
        <v>8.9999999999999998E-4</v>
      </c>
      <c r="Q1170" s="23" t="s">
        <v>24</v>
      </c>
      <c r="R1170" s="23">
        <v>0</v>
      </c>
      <c r="S1170" s="23">
        <v>53.66</v>
      </c>
      <c r="U1170" s="47">
        <f>VLOOKUP(AU1170,[1]expiry_dates!$B$2:$C$2894,2,FALSE)</f>
        <v>44406</v>
      </c>
      <c r="V1170" s="23" t="s">
        <v>133</v>
      </c>
      <c r="W1170" s="23" t="s">
        <v>23</v>
      </c>
      <c r="X1170" s="49">
        <v>44391.53125</v>
      </c>
      <c r="Y1170" s="23">
        <v>1.7</v>
      </c>
      <c r="Z1170" s="23">
        <v>44391.59375</v>
      </c>
      <c r="AA1170" s="23">
        <v>1.7</v>
      </c>
      <c r="AB1170" s="23">
        <v>0</v>
      </c>
      <c r="AC1170" s="23">
        <v>0</v>
      </c>
      <c r="AD1170" s="23">
        <v>0</v>
      </c>
      <c r="AE1170" s="23">
        <v>39915.800000000003</v>
      </c>
      <c r="AF1170" s="23">
        <v>67856.86</v>
      </c>
      <c r="AG1170" s="23">
        <v>3569485.56</v>
      </c>
      <c r="AH1170" s="23">
        <v>7</v>
      </c>
      <c r="AI1170" s="23">
        <v>0</v>
      </c>
      <c r="AJ1170" s="23">
        <v>-2.9399999999999999E-2</v>
      </c>
      <c r="AK1170" s="23">
        <v>0</v>
      </c>
      <c r="AL1170" s="23" t="s">
        <v>24</v>
      </c>
      <c r="AM1170" s="23">
        <v>53.9</v>
      </c>
      <c r="AN1170" s="23">
        <v>35742.25</v>
      </c>
      <c r="AO1170" s="23">
        <v>53.66</v>
      </c>
      <c r="AP1170" s="23">
        <v>0</v>
      </c>
      <c r="AR1170" s="46"/>
      <c r="AS1170" s="44"/>
      <c r="AT1170" s="45"/>
      <c r="AU1170" s="2">
        <v>44391</v>
      </c>
      <c r="AV1170" s="52">
        <v>0.53125</v>
      </c>
      <c r="AW1170" s="2" t="s">
        <v>213</v>
      </c>
      <c r="AY1170" s="3"/>
      <c r="BA1170" s="3"/>
      <c r="BG1170" s="3"/>
      <c r="BH1170" s="3"/>
    </row>
    <row r="1171" spans="1:60">
      <c r="A1171" s="23" t="s">
        <v>22</v>
      </c>
      <c r="B1171" s="23" t="s">
        <v>23</v>
      </c>
      <c r="C1171" s="27">
        <v>44391.59375</v>
      </c>
      <c r="D1171" s="23">
        <v>53.7</v>
      </c>
      <c r="E1171" s="27">
        <v>44392.604166666664</v>
      </c>
      <c r="F1171" s="23">
        <v>53.35</v>
      </c>
      <c r="G1171" s="31">
        <v>-6.4999999999999997E-3</v>
      </c>
      <c r="H1171" s="23">
        <v>329.34</v>
      </c>
      <c r="I1171" s="31">
        <v>6.4999999999999997E-3</v>
      </c>
      <c r="J1171" s="23">
        <v>940.96339999999998</v>
      </c>
      <c r="K1171" s="23">
        <v>50529.74</v>
      </c>
      <c r="L1171" s="23">
        <v>106182.78</v>
      </c>
      <c r="M1171" s="23">
        <v>30</v>
      </c>
      <c r="N1171" s="23">
        <v>10.98</v>
      </c>
      <c r="O1171" s="31">
        <v>-4.7000000000000002E-3</v>
      </c>
      <c r="P1171" s="31">
        <v>7.4000000000000003E-3</v>
      </c>
      <c r="Q1171" s="23" t="s">
        <v>24</v>
      </c>
      <c r="R1171" s="23">
        <v>0</v>
      </c>
      <c r="S1171" s="23">
        <v>53.94</v>
      </c>
      <c r="U1171" s="47">
        <f>VLOOKUP(AU1171,[1]expiry_dates!$B$2:$C$2894,2,FALSE)</f>
        <v>44406</v>
      </c>
      <c r="V1171" s="23" t="s">
        <v>128</v>
      </c>
      <c r="W1171" s="23" t="s">
        <v>23</v>
      </c>
      <c r="X1171" s="49">
        <v>44391.59375</v>
      </c>
      <c r="Y1171" s="23">
        <v>1.75</v>
      </c>
      <c r="Z1171" s="23">
        <v>44392.604166666664</v>
      </c>
      <c r="AA1171" s="23">
        <v>1.45</v>
      </c>
      <c r="AB1171" s="23">
        <v>-0.1714</v>
      </c>
      <c r="AC1171" s="23">
        <v>11630.99</v>
      </c>
      <c r="AD1171" s="23">
        <v>0.1714</v>
      </c>
      <c r="AE1171" s="23">
        <v>38769.96</v>
      </c>
      <c r="AF1171" s="23">
        <v>67847.42</v>
      </c>
      <c r="AG1171" s="23">
        <v>3581116.55</v>
      </c>
      <c r="AH1171" s="23">
        <v>30</v>
      </c>
      <c r="AI1171" s="23">
        <v>387.7</v>
      </c>
      <c r="AJ1171" s="23">
        <v>-2.86E-2</v>
      </c>
      <c r="AK1171" s="23">
        <v>0.1714</v>
      </c>
      <c r="AL1171" s="23" t="s">
        <v>24</v>
      </c>
      <c r="AM1171" s="23">
        <v>53.7</v>
      </c>
      <c r="AN1171" s="23">
        <v>35680.1</v>
      </c>
      <c r="AO1171" s="23">
        <v>53.94</v>
      </c>
      <c r="AP1171" s="23">
        <v>0</v>
      </c>
      <c r="AR1171" s="46"/>
      <c r="AS1171" s="44"/>
      <c r="AT1171" s="45"/>
      <c r="AU1171" s="2">
        <v>44391</v>
      </c>
      <c r="AV1171" s="52">
        <v>9.375E-2</v>
      </c>
      <c r="AW1171" s="2" t="s">
        <v>213</v>
      </c>
      <c r="AY1171" s="3"/>
      <c r="BA1171" s="3"/>
      <c r="BG1171" s="3"/>
      <c r="BH1171" s="3"/>
    </row>
    <row r="1172" spans="1:60">
      <c r="A1172" s="23" t="s">
        <v>22</v>
      </c>
      <c r="B1172" s="23" t="s">
        <v>25</v>
      </c>
      <c r="C1172" s="27">
        <v>44392.604166666664</v>
      </c>
      <c r="D1172" s="23">
        <v>53.35</v>
      </c>
      <c r="E1172" s="27">
        <v>44392.635416666664</v>
      </c>
      <c r="F1172" s="23">
        <v>53.45</v>
      </c>
      <c r="G1172" s="31">
        <v>1.9E-3</v>
      </c>
      <c r="H1172" s="23">
        <v>94.71</v>
      </c>
      <c r="I1172" s="31">
        <v>1.9E-3</v>
      </c>
      <c r="J1172" s="23">
        <v>947.14980000000003</v>
      </c>
      <c r="K1172" s="23">
        <v>50530.44</v>
      </c>
      <c r="L1172" s="23">
        <v>106277.5</v>
      </c>
      <c r="M1172" s="23">
        <v>4</v>
      </c>
      <c r="N1172" s="23">
        <v>23.68</v>
      </c>
      <c r="O1172" s="31">
        <v>0</v>
      </c>
      <c r="P1172" s="31">
        <v>3.7000000000000002E-3</v>
      </c>
      <c r="Q1172" s="23" t="s">
        <v>24</v>
      </c>
      <c r="R1172" s="23">
        <v>0</v>
      </c>
      <c r="S1172" s="23">
        <v>53.3</v>
      </c>
      <c r="U1172" s="47">
        <f>VLOOKUP(AU1172,[1]expiry_dates!$B$2:$C$2894,2,FALSE)</f>
        <v>44406</v>
      </c>
      <c r="V1172" s="23" t="s">
        <v>129</v>
      </c>
      <c r="W1172" s="23" t="s">
        <v>23</v>
      </c>
      <c r="X1172" s="49">
        <v>44392.604166666664</v>
      </c>
      <c r="Y1172" s="23">
        <v>1.3</v>
      </c>
      <c r="Z1172" s="23">
        <v>44392.635416666664</v>
      </c>
      <c r="AA1172" s="23">
        <v>1.25</v>
      </c>
      <c r="AB1172" s="23">
        <v>-3.85E-2</v>
      </c>
      <c r="AC1172" s="23">
        <v>2611.38</v>
      </c>
      <c r="AD1172" s="23">
        <v>3.85E-2</v>
      </c>
      <c r="AE1172" s="23">
        <v>52227.61</v>
      </c>
      <c r="AF1172" s="23">
        <v>67895.89</v>
      </c>
      <c r="AG1172" s="23">
        <v>3583727.93</v>
      </c>
      <c r="AH1172" s="23">
        <v>4</v>
      </c>
      <c r="AI1172" s="23">
        <v>652.85</v>
      </c>
      <c r="AJ1172" s="23">
        <v>0</v>
      </c>
      <c r="AK1172" s="23">
        <v>3.85E-2</v>
      </c>
      <c r="AL1172" s="23" t="s">
        <v>24</v>
      </c>
      <c r="AM1172" s="23">
        <v>53.35</v>
      </c>
      <c r="AN1172" s="23">
        <v>35895.1</v>
      </c>
      <c r="AO1172" s="23">
        <v>53.3</v>
      </c>
      <c r="AP1172" s="23">
        <v>0</v>
      </c>
      <c r="AR1172" s="46"/>
      <c r="AS1172" s="44"/>
      <c r="AT1172" s="45"/>
      <c r="AU1172" s="2">
        <v>44392</v>
      </c>
      <c r="AV1172" s="52">
        <v>0.10416666666666667</v>
      </c>
      <c r="AW1172" s="2" t="s">
        <v>213</v>
      </c>
      <c r="AY1172" s="3"/>
      <c r="BA1172" s="3"/>
      <c r="BG1172" s="3"/>
      <c r="BH1172" s="3"/>
    </row>
    <row r="1173" spans="1:60">
      <c r="A1173" s="23" t="s">
        <v>22</v>
      </c>
      <c r="B1173" s="23" t="s">
        <v>23</v>
      </c>
      <c r="C1173" s="27">
        <v>44392.635416666664</v>
      </c>
      <c r="D1173" s="23">
        <v>53.45</v>
      </c>
      <c r="E1173" s="27">
        <v>44393.385416666664</v>
      </c>
      <c r="F1173" s="23">
        <v>53.5</v>
      </c>
      <c r="G1173" s="31">
        <v>8.9999999999999998E-4</v>
      </c>
      <c r="H1173" s="23">
        <v>-47.27</v>
      </c>
      <c r="I1173" s="31">
        <v>-8.9999999999999998E-4</v>
      </c>
      <c r="J1173" s="23">
        <v>945.3954</v>
      </c>
      <c r="K1173" s="23">
        <v>50531.39</v>
      </c>
      <c r="L1173" s="23">
        <v>106230.23</v>
      </c>
      <c r="M1173" s="23">
        <v>5</v>
      </c>
      <c r="N1173" s="23">
        <v>-9.4499999999999993</v>
      </c>
      <c r="O1173" s="31">
        <v>-8.9999999999999998E-4</v>
      </c>
      <c r="P1173" s="31">
        <v>2.8E-3</v>
      </c>
      <c r="Q1173" s="23" t="s">
        <v>24</v>
      </c>
      <c r="R1173" s="23">
        <v>0</v>
      </c>
      <c r="S1173" s="23">
        <v>53.55</v>
      </c>
      <c r="U1173" s="47">
        <f>VLOOKUP(AU1173,[1]expiry_dates!$B$2:$C$2894,2,FALSE)</f>
        <v>44406</v>
      </c>
      <c r="V1173" s="23" t="s">
        <v>127</v>
      </c>
      <c r="W1173" s="23" t="s">
        <v>23</v>
      </c>
      <c r="X1173" s="49">
        <v>44392.635416666664</v>
      </c>
      <c r="Y1173" s="23">
        <v>1.95</v>
      </c>
      <c r="Z1173" s="23">
        <v>44393.385416666664</v>
      </c>
      <c r="AA1173" s="23">
        <v>1.9</v>
      </c>
      <c r="AB1173" s="23">
        <v>-2.5600000000000001E-2</v>
      </c>
      <c r="AC1173" s="23">
        <v>1741.5</v>
      </c>
      <c r="AD1173" s="23">
        <v>2.5600000000000001E-2</v>
      </c>
      <c r="AE1173" s="23">
        <v>34830.07</v>
      </c>
      <c r="AF1173" s="23">
        <v>67918.64</v>
      </c>
      <c r="AG1173" s="23">
        <v>3585469.44</v>
      </c>
      <c r="AH1173" s="23">
        <v>5</v>
      </c>
      <c r="AI1173" s="23">
        <v>348.3</v>
      </c>
      <c r="AJ1173" s="23">
        <v>0</v>
      </c>
      <c r="AK1173" s="23">
        <v>5.1299999999999998E-2</v>
      </c>
      <c r="AL1173" s="23" t="s">
        <v>24</v>
      </c>
      <c r="AM1173" s="23">
        <v>53.45</v>
      </c>
      <c r="AN1173" s="23">
        <v>35901.699999999997</v>
      </c>
      <c r="AO1173" s="23">
        <v>53.55</v>
      </c>
      <c r="AP1173" s="23">
        <v>0</v>
      </c>
      <c r="AR1173" s="46"/>
      <c r="AS1173" s="44"/>
      <c r="AT1173" s="45"/>
      <c r="AU1173" s="2">
        <v>44392</v>
      </c>
      <c r="AV1173" s="52">
        <v>0.13541666666666666</v>
      </c>
      <c r="AW1173" s="2" t="s">
        <v>213</v>
      </c>
      <c r="AY1173" s="3"/>
      <c r="BA1173" s="3"/>
      <c r="BG1173" s="3"/>
      <c r="BH1173" s="3"/>
    </row>
    <row r="1174" spans="1:60">
      <c r="A1174" s="23" t="s">
        <v>22</v>
      </c>
      <c r="B1174" s="23" t="s">
        <v>25</v>
      </c>
      <c r="C1174" s="27">
        <v>44393.385416666664</v>
      </c>
      <c r="D1174" s="23">
        <v>53.5</v>
      </c>
      <c r="E1174" s="27">
        <v>44393.416666666664</v>
      </c>
      <c r="F1174" s="23">
        <v>53.35</v>
      </c>
      <c r="G1174" s="31">
        <v>-2.8E-3</v>
      </c>
      <c r="H1174" s="23">
        <v>-141.68</v>
      </c>
      <c r="I1174" s="31">
        <v>-2.8E-3</v>
      </c>
      <c r="J1174" s="23">
        <v>944.51189999999997</v>
      </c>
      <c r="K1174" s="23">
        <v>50531.39</v>
      </c>
      <c r="L1174" s="23">
        <v>106088.55</v>
      </c>
      <c r="M1174" s="23">
        <v>4</v>
      </c>
      <c r="N1174" s="23">
        <v>-35.42</v>
      </c>
      <c r="O1174" s="31">
        <v>-2.8E-3</v>
      </c>
      <c r="P1174" s="31">
        <v>2.8E-3</v>
      </c>
      <c r="Q1174" s="23" t="s">
        <v>24</v>
      </c>
      <c r="R1174" s="23">
        <v>0</v>
      </c>
      <c r="S1174" s="23">
        <v>53.31</v>
      </c>
      <c r="U1174" s="47">
        <f>VLOOKUP(AU1174,[1]expiry_dates!$B$2:$C$2894,2,FALSE)</f>
        <v>44406</v>
      </c>
      <c r="V1174" s="23" t="s">
        <v>129</v>
      </c>
      <c r="W1174" s="23" t="s">
        <v>23</v>
      </c>
      <c r="X1174" s="49">
        <v>44393.385416666664</v>
      </c>
      <c r="Y1174" s="23">
        <v>1.25</v>
      </c>
      <c r="Z1174" s="23">
        <v>44393.416666666664</v>
      </c>
      <c r="AA1174" s="23">
        <v>1.25</v>
      </c>
      <c r="AB1174" s="23">
        <v>0</v>
      </c>
      <c r="AC1174" s="23">
        <v>0</v>
      </c>
      <c r="AD1174" s="23">
        <v>0</v>
      </c>
      <c r="AE1174" s="23">
        <v>54334.91</v>
      </c>
      <c r="AF1174" s="23">
        <v>67918.64</v>
      </c>
      <c r="AG1174" s="23">
        <v>3585469.44</v>
      </c>
      <c r="AH1174" s="23">
        <v>4</v>
      </c>
      <c r="AI1174" s="23">
        <v>0</v>
      </c>
      <c r="AJ1174" s="23">
        <v>0</v>
      </c>
      <c r="AK1174" s="23">
        <v>0.08</v>
      </c>
      <c r="AL1174" s="23" t="s">
        <v>24</v>
      </c>
      <c r="AM1174" s="23">
        <v>53.5</v>
      </c>
      <c r="AN1174" s="23">
        <v>35908.800000000003</v>
      </c>
      <c r="AO1174" s="23">
        <v>53.31</v>
      </c>
      <c r="AP1174" s="23">
        <v>0</v>
      </c>
      <c r="AR1174" s="46"/>
      <c r="AS1174" s="44"/>
      <c r="AT1174" s="45"/>
      <c r="AU1174" s="2">
        <v>44393</v>
      </c>
      <c r="AV1174" s="52">
        <v>0.38541666666666669</v>
      </c>
      <c r="AW1174" s="2" t="s">
        <v>212</v>
      </c>
      <c r="AY1174" s="3"/>
      <c r="BA1174" s="3"/>
      <c r="BG1174" s="3"/>
      <c r="BH1174" s="3"/>
    </row>
    <row r="1175" spans="1:60">
      <c r="A1175" s="23" t="s">
        <v>22</v>
      </c>
      <c r="B1175" s="23" t="s">
        <v>23</v>
      </c>
      <c r="C1175" s="27">
        <v>44393.416666666664</v>
      </c>
      <c r="D1175" s="23">
        <v>53.35</v>
      </c>
      <c r="E1175" s="27">
        <v>44393.520833333336</v>
      </c>
      <c r="F1175" s="23">
        <v>53.75</v>
      </c>
      <c r="G1175" s="31">
        <v>7.4999999999999997E-3</v>
      </c>
      <c r="H1175" s="23">
        <v>-378.86</v>
      </c>
      <c r="I1175" s="31">
        <v>-7.4999999999999997E-3</v>
      </c>
      <c r="J1175" s="23">
        <v>947.15869999999995</v>
      </c>
      <c r="K1175" s="23">
        <v>50530.91</v>
      </c>
      <c r="L1175" s="23">
        <v>105709.69</v>
      </c>
      <c r="M1175" s="23">
        <v>11</v>
      </c>
      <c r="N1175" s="23">
        <v>-34.44</v>
      </c>
      <c r="O1175" s="31">
        <v>-7.4999999999999997E-3</v>
      </c>
      <c r="P1175" s="31">
        <v>2.8E-3</v>
      </c>
      <c r="Q1175" s="23" t="s">
        <v>24</v>
      </c>
      <c r="R1175" s="23">
        <v>0</v>
      </c>
      <c r="S1175" s="23">
        <v>53.63</v>
      </c>
      <c r="U1175" s="47">
        <f>VLOOKUP(AU1175,[1]expiry_dates!$B$2:$C$2894,2,FALSE)</f>
        <v>44406</v>
      </c>
      <c r="V1175" s="23" t="s">
        <v>127</v>
      </c>
      <c r="W1175" s="23" t="s">
        <v>23</v>
      </c>
      <c r="X1175" s="49">
        <v>44393.416666666664</v>
      </c>
      <c r="Y1175" s="23">
        <v>1.75</v>
      </c>
      <c r="Z1175" s="23">
        <v>44393.520833333336</v>
      </c>
      <c r="AA1175" s="23">
        <v>2</v>
      </c>
      <c r="AB1175" s="23">
        <v>0.1429</v>
      </c>
      <c r="AC1175" s="23">
        <v>-9707.7900000000009</v>
      </c>
      <c r="AD1175" s="23">
        <v>-0.1429</v>
      </c>
      <c r="AE1175" s="23">
        <v>38831.15</v>
      </c>
      <c r="AF1175" s="23">
        <v>67954.52</v>
      </c>
      <c r="AG1175" s="23">
        <v>3575761.65</v>
      </c>
      <c r="AH1175" s="23">
        <v>11</v>
      </c>
      <c r="AI1175" s="23">
        <v>-882.53</v>
      </c>
      <c r="AJ1175" s="23">
        <v>-0.1429</v>
      </c>
      <c r="AK1175" s="23">
        <v>2.86E-2</v>
      </c>
      <c r="AL1175" s="23" t="s">
        <v>24</v>
      </c>
      <c r="AM1175" s="23">
        <v>53.35</v>
      </c>
      <c r="AN1175" s="23">
        <v>35783.699999999997</v>
      </c>
      <c r="AO1175" s="23">
        <v>53.63</v>
      </c>
      <c r="AP1175" s="23">
        <v>0</v>
      </c>
      <c r="AR1175" s="46"/>
      <c r="AS1175" s="44"/>
      <c r="AT1175" s="45"/>
      <c r="AU1175" s="2">
        <v>44393</v>
      </c>
      <c r="AV1175" s="52">
        <v>0.41666666666666669</v>
      </c>
      <c r="AW1175" s="2" t="s">
        <v>212</v>
      </c>
      <c r="AY1175" s="3"/>
      <c r="BA1175" s="3"/>
      <c r="BG1175" s="3"/>
      <c r="BH1175" s="3"/>
    </row>
    <row r="1176" spans="1:60">
      <c r="A1176" s="23" t="s">
        <v>22</v>
      </c>
      <c r="B1176" s="23" t="s">
        <v>25</v>
      </c>
      <c r="C1176" s="27">
        <v>44393.520833333336</v>
      </c>
      <c r="D1176" s="23">
        <v>53.75</v>
      </c>
      <c r="E1176" s="27">
        <v>44396.385416666664</v>
      </c>
      <c r="F1176" s="23">
        <v>53.35</v>
      </c>
      <c r="G1176" s="31">
        <v>-7.4000000000000003E-3</v>
      </c>
      <c r="H1176" s="23">
        <v>-376.04</v>
      </c>
      <c r="I1176" s="31">
        <v>-7.4000000000000003E-3</v>
      </c>
      <c r="J1176" s="23">
        <v>940.09249999999997</v>
      </c>
      <c r="K1176" s="23">
        <v>50529.97</v>
      </c>
      <c r="L1176" s="23">
        <v>105333.65</v>
      </c>
      <c r="M1176" s="23">
        <v>16</v>
      </c>
      <c r="N1176" s="23">
        <v>-23.5</v>
      </c>
      <c r="O1176" s="31">
        <v>-7.4000000000000003E-3</v>
      </c>
      <c r="P1176" s="31">
        <v>1.5800000000000002E-2</v>
      </c>
      <c r="Q1176" s="23" t="s">
        <v>24</v>
      </c>
      <c r="R1176" s="23">
        <v>0</v>
      </c>
      <c r="S1176" s="23">
        <v>53.21</v>
      </c>
      <c r="U1176" s="47">
        <f>VLOOKUP(AU1176,[1]expiry_dates!$B$2:$C$2894,2,FALSE)</f>
        <v>44406</v>
      </c>
      <c r="V1176" s="23" t="s">
        <v>133</v>
      </c>
      <c r="W1176" s="23" t="s">
        <v>23</v>
      </c>
      <c r="X1176" s="49">
        <v>44393.520833333336</v>
      </c>
      <c r="Y1176" s="23">
        <v>1.45</v>
      </c>
      <c r="Z1176" s="23">
        <v>44396.385416666664</v>
      </c>
      <c r="AA1176" s="23">
        <v>2</v>
      </c>
      <c r="AB1176" s="23">
        <v>0.37930000000000003</v>
      </c>
      <c r="AC1176" s="23">
        <v>-25761.86</v>
      </c>
      <c r="AD1176" s="23">
        <v>-0.37930000000000003</v>
      </c>
      <c r="AE1176" s="23">
        <v>46839.75</v>
      </c>
      <c r="AF1176" s="23">
        <v>67917.64</v>
      </c>
      <c r="AG1176" s="23">
        <v>3549999.78</v>
      </c>
      <c r="AH1176" s="23">
        <v>16</v>
      </c>
      <c r="AI1176" s="23">
        <v>-1610.12</v>
      </c>
      <c r="AJ1176" s="23">
        <v>-0.37930000000000003</v>
      </c>
      <c r="AK1176" s="23">
        <v>6.9000000000000006E-2</v>
      </c>
      <c r="AL1176" s="23" t="s">
        <v>24</v>
      </c>
      <c r="AM1176" s="23">
        <v>53.75</v>
      </c>
      <c r="AN1176" s="23">
        <v>35743.35</v>
      </c>
      <c r="AO1176" s="23">
        <v>53.21</v>
      </c>
      <c r="AP1176" s="23">
        <v>0</v>
      </c>
      <c r="AR1176" s="46"/>
      <c r="AS1176" s="44"/>
      <c r="AT1176" s="45"/>
      <c r="AU1176" s="2">
        <v>44393</v>
      </c>
      <c r="AV1176" s="52">
        <v>0.52083333333333337</v>
      </c>
      <c r="AW1176" s="2" t="s">
        <v>213</v>
      </c>
      <c r="AY1176" s="3"/>
      <c r="BA1176" s="3"/>
      <c r="BG1176" s="3"/>
      <c r="BH1176" s="3"/>
    </row>
    <row r="1177" spans="1:60">
      <c r="A1177" s="23" t="s">
        <v>22</v>
      </c>
      <c r="B1177" s="23" t="s">
        <v>23</v>
      </c>
      <c r="C1177" s="27">
        <v>44396.385416666664</v>
      </c>
      <c r="D1177" s="23">
        <v>53.35</v>
      </c>
      <c r="E1177" s="27">
        <v>44399.385416666664</v>
      </c>
      <c r="F1177" s="23">
        <v>52.65</v>
      </c>
      <c r="G1177" s="31">
        <v>-1.3100000000000001E-2</v>
      </c>
      <c r="H1177" s="23">
        <v>662.97</v>
      </c>
      <c r="I1177" s="31">
        <v>1.3100000000000001E-2</v>
      </c>
      <c r="J1177" s="23">
        <v>947.10109999999997</v>
      </c>
      <c r="K1177" s="23">
        <v>50527.839999999997</v>
      </c>
      <c r="L1177" s="23">
        <v>105996.62</v>
      </c>
      <c r="M1177" s="23">
        <v>57</v>
      </c>
      <c r="N1177" s="23">
        <v>11.63</v>
      </c>
      <c r="O1177" s="31">
        <v>-6.6E-3</v>
      </c>
      <c r="P1177" s="31">
        <v>4.3999999999999997E-2</v>
      </c>
      <c r="Q1177" s="23" t="s">
        <v>24</v>
      </c>
      <c r="R1177" s="23">
        <v>0</v>
      </c>
      <c r="S1177" s="23">
        <v>54.53</v>
      </c>
      <c r="U1177" s="47">
        <f>VLOOKUP(AU1177,[1]expiry_dates!$B$2:$C$2894,2,FALSE)</f>
        <v>44406</v>
      </c>
      <c r="V1177" s="23" t="s">
        <v>127</v>
      </c>
      <c r="W1177" s="23" t="s">
        <v>23</v>
      </c>
      <c r="X1177" s="49">
        <v>44396.385416666664</v>
      </c>
      <c r="Y1177" s="23">
        <v>1.85</v>
      </c>
      <c r="Z1177" s="23">
        <v>44399.385416666664</v>
      </c>
      <c r="AA1177" s="23">
        <v>1.3</v>
      </c>
      <c r="AB1177" s="23">
        <v>-0.29730000000000001</v>
      </c>
      <c r="AC1177" s="23">
        <v>20176.7</v>
      </c>
      <c r="AD1177" s="23">
        <v>0.29730000000000001</v>
      </c>
      <c r="AE1177" s="23">
        <v>36684.92</v>
      </c>
      <c r="AF1177" s="23">
        <v>67867.100000000006</v>
      </c>
      <c r="AG1177" s="23">
        <v>3570176.49</v>
      </c>
      <c r="AH1177" s="23">
        <v>57</v>
      </c>
      <c r="AI1177" s="23">
        <v>353.98</v>
      </c>
      <c r="AJ1177" s="23">
        <v>-2.7E-2</v>
      </c>
      <c r="AK1177" s="23">
        <v>0.67569999999999997</v>
      </c>
      <c r="AL1177" s="23" t="s">
        <v>24</v>
      </c>
      <c r="AM1177" s="23">
        <v>53.35</v>
      </c>
      <c r="AN1177" s="23">
        <v>35262.5</v>
      </c>
      <c r="AO1177" s="23">
        <v>54.53</v>
      </c>
      <c r="AP1177" s="23">
        <v>0</v>
      </c>
      <c r="AR1177" s="46"/>
      <c r="AS1177" s="44"/>
      <c r="AT1177" s="45"/>
      <c r="AU1177" s="2">
        <v>44396</v>
      </c>
      <c r="AV1177" s="52">
        <v>0.38541666666666669</v>
      </c>
      <c r="AW1177" s="2" t="s">
        <v>212</v>
      </c>
      <c r="AY1177" s="3"/>
      <c r="BA1177" s="3"/>
      <c r="BG1177" s="3"/>
      <c r="BH1177" s="3"/>
    </row>
    <row r="1178" spans="1:60">
      <c r="A1178" s="23" t="s">
        <v>22</v>
      </c>
      <c r="B1178" s="23" t="s">
        <v>25</v>
      </c>
      <c r="C1178" s="27">
        <v>44399.385416666664</v>
      </c>
      <c r="D1178" s="23">
        <v>52.65</v>
      </c>
      <c r="E1178" s="27">
        <v>44399.541666666664</v>
      </c>
      <c r="F1178" s="23">
        <v>52.2</v>
      </c>
      <c r="G1178" s="31">
        <v>-8.5000000000000006E-3</v>
      </c>
      <c r="H1178" s="23">
        <v>-431.92</v>
      </c>
      <c r="I1178" s="31">
        <v>-8.5000000000000006E-3</v>
      </c>
      <c r="J1178" s="23">
        <v>959.82370000000003</v>
      </c>
      <c r="K1178" s="23">
        <v>50534.720000000001</v>
      </c>
      <c r="L1178" s="23">
        <v>105564.7</v>
      </c>
      <c r="M1178" s="23">
        <v>16</v>
      </c>
      <c r="N1178" s="23">
        <v>-27</v>
      </c>
      <c r="O1178" s="31">
        <v>-2.8500000000000001E-2</v>
      </c>
      <c r="P1178" s="31">
        <v>1.23E-2</v>
      </c>
      <c r="Q1178" s="23" t="s">
        <v>24</v>
      </c>
      <c r="R1178" s="23">
        <v>0</v>
      </c>
      <c r="S1178" s="23">
        <v>51.08</v>
      </c>
      <c r="U1178" s="47">
        <f>VLOOKUP(AU1178,[1]expiry_dates!$B$2:$C$2894,2,FALSE)</f>
        <v>44406</v>
      </c>
      <c r="V1178" s="23" t="s">
        <v>129</v>
      </c>
      <c r="W1178" s="23" t="s">
        <v>23</v>
      </c>
      <c r="X1178" s="49">
        <v>44399.385416666664</v>
      </c>
      <c r="Y1178" s="23">
        <v>1.75</v>
      </c>
      <c r="Z1178" s="23">
        <v>44399.541666666664</v>
      </c>
      <c r="AA1178" s="23">
        <v>1.6</v>
      </c>
      <c r="AB1178" s="23">
        <v>-8.5699999999999998E-2</v>
      </c>
      <c r="AC1178" s="23">
        <v>5826.8</v>
      </c>
      <c r="AD1178" s="23">
        <v>8.5699999999999998E-2</v>
      </c>
      <c r="AE1178" s="23">
        <v>38845.300000000003</v>
      </c>
      <c r="AF1178" s="23">
        <v>67979.27</v>
      </c>
      <c r="AG1178" s="23">
        <v>3576003.28</v>
      </c>
      <c r="AH1178" s="23">
        <v>16</v>
      </c>
      <c r="AI1178" s="23">
        <v>364.17</v>
      </c>
      <c r="AJ1178" s="23">
        <v>-0.2286</v>
      </c>
      <c r="AK1178" s="23">
        <v>0.34289999999999998</v>
      </c>
      <c r="AL1178" s="23" t="s">
        <v>24</v>
      </c>
      <c r="AM1178" s="23">
        <v>52.65</v>
      </c>
      <c r="AN1178" s="23">
        <v>34824.949999999997</v>
      </c>
      <c r="AO1178" s="23">
        <v>51.08</v>
      </c>
      <c r="AP1178" s="23">
        <v>0</v>
      </c>
      <c r="AR1178" s="46"/>
      <c r="AS1178" s="44"/>
      <c r="AT1178" s="45"/>
      <c r="AU1178" s="2">
        <v>44399</v>
      </c>
      <c r="AV1178" s="52">
        <v>0.38541666666666669</v>
      </c>
      <c r="AW1178" s="2" t="s">
        <v>212</v>
      </c>
      <c r="AY1178" s="3"/>
      <c r="BA1178" s="3"/>
      <c r="BG1178" s="3"/>
      <c r="BH1178" s="3"/>
    </row>
    <row r="1179" spans="1:60">
      <c r="A1179" s="23" t="s">
        <v>22</v>
      </c>
      <c r="B1179" s="23" t="s">
        <v>23</v>
      </c>
      <c r="C1179" s="27">
        <v>44399.541666666664</v>
      </c>
      <c r="D1179" s="23">
        <v>52.2</v>
      </c>
      <c r="E1179" s="27">
        <v>44400.614583333336</v>
      </c>
      <c r="F1179" s="23">
        <v>50.9</v>
      </c>
      <c r="G1179" s="31">
        <v>-2.4899999999999999E-2</v>
      </c>
      <c r="H1179" s="23">
        <v>1258.3699999999999</v>
      </c>
      <c r="I1179" s="31">
        <v>2.4899999999999999E-2</v>
      </c>
      <c r="J1179" s="23">
        <v>967.97969999999998</v>
      </c>
      <c r="K1179" s="23">
        <v>50528.54</v>
      </c>
      <c r="L1179" s="23">
        <v>106823.07</v>
      </c>
      <c r="M1179" s="23">
        <v>36</v>
      </c>
      <c r="N1179" s="23">
        <v>34.950000000000003</v>
      </c>
      <c r="O1179" s="31">
        <v>-6.7000000000000002E-3</v>
      </c>
      <c r="P1179" s="31">
        <v>4.2099999999999999E-2</v>
      </c>
      <c r="Q1179" s="23" t="s">
        <v>24</v>
      </c>
      <c r="R1179" s="23">
        <v>0</v>
      </c>
      <c r="S1179" s="23">
        <v>53.26</v>
      </c>
      <c r="U1179" s="47">
        <f>VLOOKUP(AU1179,[1]expiry_dates!$B$2:$C$2894,2,FALSE)</f>
        <v>44406</v>
      </c>
      <c r="V1179" s="23" t="s">
        <v>125</v>
      </c>
      <c r="W1179" s="23" t="s">
        <v>23</v>
      </c>
      <c r="X1179" s="49">
        <v>44399.541666666664</v>
      </c>
      <c r="Y1179" s="23">
        <v>1.25</v>
      </c>
      <c r="Z1179" s="23">
        <v>44400.614583333336</v>
      </c>
      <c r="AA1179" s="23">
        <v>0.5</v>
      </c>
      <c r="AB1179" s="23">
        <v>-0.6</v>
      </c>
      <c r="AC1179" s="23">
        <v>40733.839999999997</v>
      </c>
      <c r="AD1179" s="23">
        <v>0.6</v>
      </c>
      <c r="AE1179" s="23">
        <v>54311.78</v>
      </c>
      <c r="AF1179" s="23">
        <v>67889.73</v>
      </c>
      <c r="AG1179" s="23">
        <v>3616737.12</v>
      </c>
      <c r="AH1179" s="23">
        <v>36</v>
      </c>
      <c r="AI1179" s="23">
        <v>1131.5</v>
      </c>
      <c r="AJ1179" s="23">
        <v>-0.16</v>
      </c>
      <c r="AK1179" s="23">
        <v>0.64</v>
      </c>
      <c r="AL1179" s="23" t="s">
        <v>24</v>
      </c>
      <c r="AM1179" s="23">
        <v>52.2</v>
      </c>
      <c r="AN1179" s="23">
        <v>34762.15</v>
      </c>
      <c r="AO1179" s="23">
        <v>53.26</v>
      </c>
      <c r="AP1179" s="23">
        <v>0</v>
      </c>
      <c r="AR1179" s="46"/>
      <c r="AS1179" s="44"/>
      <c r="AT1179" s="45"/>
      <c r="AU1179" s="2">
        <v>44399</v>
      </c>
      <c r="AV1179" s="52">
        <v>4.1666666666666664E-2</v>
      </c>
      <c r="AW1179" s="2" t="s">
        <v>213</v>
      </c>
      <c r="AY1179" s="3"/>
      <c r="BA1179" s="3"/>
      <c r="BG1179" s="3"/>
      <c r="BH1179" s="3"/>
    </row>
    <row r="1180" spans="1:60">
      <c r="A1180" s="23" t="s">
        <v>22</v>
      </c>
      <c r="B1180" s="23" t="s">
        <v>25</v>
      </c>
      <c r="C1180" s="27">
        <v>44400.614583333336</v>
      </c>
      <c r="D1180" s="23">
        <v>50.9</v>
      </c>
      <c r="E1180" s="27">
        <v>44403.614583333336</v>
      </c>
      <c r="F1180" s="23">
        <v>51.35</v>
      </c>
      <c r="G1180" s="31">
        <v>8.8000000000000005E-3</v>
      </c>
      <c r="H1180" s="23">
        <v>446.77</v>
      </c>
      <c r="I1180" s="31">
        <v>8.8000000000000005E-3</v>
      </c>
      <c r="J1180" s="23">
        <v>992.83069999999998</v>
      </c>
      <c r="K1180" s="23">
        <v>50535.08</v>
      </c>
      <c r="L1180" s="23">
        <v>107269.85</v>
      </c>
      <c r="M1180" s="23">
        <v>29</v>
      </c>
      <c r="N1180" s="23">
        <v>15.41</v>
      </c>
      <c r="O1180" s="31">
        <v>-6.8999999999999999E-3</v>
      </c>
      <c r="P1180" s="31">
        <v>1.38E-2</v>
      </c>
      <c r="Q1180" s="23" t="s">
        <v>24</v>
      </c>
      <c r="R1180" s="23">
        <v>0</v>
      </c>
      <c r="S1180" s="23">
        <v>50.02</v>
      </c>
      <c r="U1180" s="47">
        <f>VLOOKUP(AU1180,[1]expiry_dates!$B$2:$C$2894,2,FALSE)</f>
        <v>44406</v>
      </c>
      <c r="V1180" s="23" t="s">
        <v>120</v>
      </c>
      <c r="W1180" s="23" t="s">
        <v>23</v>
      </c>
      <c r="X1180" s="49">
        <v>44400.614583333336</v>
      </c>
      <c r="Y1180" s="23">
        <v>0.95</v>
      </c>
      <c r="Z1180" s="23">
        <v>44403.614583333336</v>
      </c>
      <c r="AA1180" s="23">
        <v>0.5</v>
      </c>
      <c r="AB1180" s="23">
        <v>-0.47370000000000001</v>
      </c>
      <c r="AC1180" s="23">
        <v>32256.6</v>
      </c>
      <c r="AD1180" s="23">
        <v>0.47370000000000001</v>
      </c>
      <c r="AE1180" s="23">
        <v>71681.33</v>
      </c>
      <c r="AF1180" s="23">
        <v>68097.259999999995</v>
      </c>
      <c r="AG1180" s="23">
        <v>3648993.72</v>
      </c>
      <c r="AH1180" s="23">
        <v>29</v>
      </c>
      <c r="AI1180" s="23">
        <v>1112.3</v>
      </c>
      <c r="AJ1180" s="23">
        <v>-5.2600000000000001E-2</v>
      </c>
      <c r="AK1180" s="23">
        <v>0.52629999999999999</v>
      </c>
      <c r="AL1180" s="23" t="s">
        <v>24</v>
      </c>
      <c r="AM1180" s="23">
        <v>50.9</v>
      </c>
      <c r="AN1180" s="23">
        <v>35059.9</v>
      </c>
      <c r="AO1180" s="23">
        <v>50.02</v>
      </c>
      <c r="AP1180" s="23">
        <v>0</v>
      </c>
      <c r="AR1180" s="46"/>
      <c r="AS1180" s="44"/>
      <c r="AT1180" s="45"/>
      <c r="AU1180" s="2">
        <v>44400</v>
      </c>
      <c r="AV1180" s="52">
        <v>0.11458333333333333</v>
      </c>
      <c r="AW1180" s="2" t="s">
        <v>213</v>
      </c>
      <c r="AY1180" s="3"/>
      <c r="BA1180" s="3"/>
      <c r="BG1180" s="3"/>
      <c r="BH1180" s="3"/>
    </row>
    <row r="1181" spans="1:60">
      <c r="A1181" s="23" t="s">
        <v>22</v>
      </c>
      <c r="B1181" s="23" t="s">
        <v>23</v>
      </c>
      <c r="C1181" s="27">
        <v>44403.614583333336</v>
      </c>
      <c r="D1181" s="23">
        <v>51.35</v>
      </c>
      <c r="E1181" s="27">
        <v>44404.385416666664</v>
      </c>
      <c r="F1181" s="23">
        <v>51.7</v>
      </c>
      <c r="G1181" s="31">
        <v>6.7999999999999996E-3</v>
      </c>
      <c r="H1181" s="23">
        <v>-344.45</v>
      </c>
      <c r="I1181" s="31">
        <v>-6.7999999999999996E-3</v>
      </c>
      <c r="J1181" s="23">
        <v>984.14509999999996</v>
      </c>
      <c r="K1181" s="23">
        <v>50535.85</v>
      </c>
      <c r="L1181" s="23">
        <v>106925.4</v>
      </c>
      <c r="M1181" s="23">
        <v>7</v>
      </c>
      <c r="N1181" s="23">
        <v>-49.21</v>
      </c>
      <c r="O1181" s="31">
        <v>-6.7999999999999996E-3</v>
      </c>
      <c r="P1181" s="31">
        <v>4.8999999999999998E-3</v>
      </c>
      <c r="Q1181" s="23" t="s">
        <v>24</v>
      </c>
      <c r="R1181" s="23">
        <v>0</v>
      </c>
      <c r="S1181" s="23">
        <v>51.6</v>
      </c>
      <c r="U1181" s="47">
        <f>VLOOKUP(AU1181,[1]expiry_dates!$B$2:$C$2894,2,FALSE)</f>
        <v>44406</v>
      </c>
      <c r="V1181" s="23" t="s">
        <v>119</v>
      </c>
      <c r="W1181" s="23" t="s">
        <v>23</v>
      </c>
      <c r="X1181" s="49">
        <v>44403.614583333336</v>
      </c>
      <c r="Y1181" s="23">
        <v>0.9</v>
      </c>
      <c r="Z1181" s="23">
        <v>44404.385416666664</v>
      </c>
      <c r="AA1181" s="23">
        <v>0.9</v>
      </c>
      <c r="AB1181" s="23">
        <v>0</v>
      </c>
      <c r="AC1181" s="23">
        <v>0</v>
      </c>
      <c r="AD1181" s="23">
        <v>0</v>
      </c>
      <c r="AE1181" s="23">
        <v>75827.740000000005</v>
      </c>
      <c r="AF1181" s="23">
        <v>68244.97</v>
      </c>
      <c r="AG1181" s="23">
        <v>3648993.72</v>
      </c>
      <c r="AH1181" s="23">
        <v>7</v>
      </c>
      <c r="AI1181" s="23">
        <v>0</v>
      </c>
      <c r="AJ1181" s="23">
        <v>0</v>
      </c>
      <c r="AK1181" s="23">
        <v>0.22220000000000001</v>
      </c>
      <c r="AL1181" s="23" t="s">
        <v>24</v>
      </c>
      <c r="AM1181" s="23">
        <v>51.35</v>
      </c>
      <c r="AN1181" s="23">
        <v>34969.300000000003</v>
      </c>
      <c r="AO1181" s="23">
        <v>51.6</v>
      </c>
      <c r="AP1181" s="23">
        <v>0</v>
      </c>
      <c r="AR1181" s="46"/>
      <c r="AS1181" s="44"/>
      <c r="AT1181" s="45"/>
      <c r="AU1181" s="2">
        <v>44403</v>
      </c>
      <c r="AV1181" s="52">
        <v>0.11458333333333333</v>
      </c>
      <c r="AW1181" s="2" t="s">
        <v>213</v>
      </c>
      <c r="AY1181" s="3"/>
      <c r="BA1181" s="3"/>
      <c r="BG1181" s="3"/>
      <c r="BH1181" s="3"/>
    </row>
    <row r="1182" spans="1:60">
      <c r="A1182" s="23" t="s">
        <v>22</v>
      </c>
      <c r="B1182" s="23" t="s">
        <v>25</v>
      </c>
      <c r="C1182" s="27">
        <v>44404.385416666664</v>
      </c>
      <c r="D1182" s="23">
        <v>51.7</v>
      </c>
      <c r="E1182" s="27">
        <v>44404.458333333336</v>
      </c>
      <c r="F1182" s="23">
        <v>51.35</v>
      </c>
      <c r="G1182" s="31">
        <v>-6.7999999999999996E-3</v>
      </c>
      <c r="H1182" s="23">
        <v>-342.12</v>
      </c>
      <c r="I1182" s="31">
        <v>-6.7999999999999996E-3</v>
      </c>
      <c r="J1182" s="23">
        <v>977.47799999999995</v>
      </c>
      <c r="K1182" s="23">
        <v>50535.61</v>
      </c>
      <c r="L1182" s="23">
        <v>106583.28</v>
      </c>
      <c r="M1182" s="23">
        <v>8</v>
      </c>
      <c r="N1182" s="23">
        <v>-42.76</v>
      </c>
      <c r="O1182" s="31">
        <v>-6.7999999999999996E-3</v>
      </c>
      <c r="P1182" s="31">
        <v>1.9E-3</v>
      </c>
      <c r="Q1182" s="23" t="s">
        <v>24</v>
      </c>
      <c r="R1182" s="23">
        <v>0</v>
      </c>
      <c r="S1182" s="23">
        <v>51.13</v>
      </c>
      <c r="U1182" s="47">
        <f>VLOOKUP(AU1182,[1]expiry_dates!$B$2:$C$2894,2,FALSE)</f>
        <v>44406</v>
      </c>
      <c r="V1182" s="23" t="s">
        <v>126</v>
      </c>
      <c r="W1182" s="23" t="s">
        <v>23</v>
      </c>
      <c r="X1182" s="49">
        <v>44404.385416666664</v>
      </c>
      <c r="Y1182" s="23">
        <v>0.9</v>
      </c>
      <c r="Z1182" s="23">
        <v>44404.458333333336</v>
      </c>
      <c r="AA1182" s="23">
        <v>1.05</v>
      </c>
      <c r="AB1182" s="23">
        <v>0.16669999999999999</v>
      </c>
      <c r="AC1182" s="23">
        <v>-11383.64</v>
      </c>
      <c r="AD1182" s="23">
        <v>-0.16669999999999999</v>
      </c>
      <c r="AE1182" s="23">
        <v>75890.94</v>
      </c>
      <c r="AF1182" s="23">
        <v>68301.84</v>
      </c>
      <c r="AG1182" s="23">
        <v>3637610.08</v>
      </c>
      <c r="AH1182" s="23">
        <v>8</v>
      </c>
      <c r="AI1182" s="23">
        <v>-1422.96</v>
      </c>
      <c r="AJ1182" s="23">
        <v>-0.16669999999999999</v>
      </c>
      <c r="AK1182" s="23">
        <v>0.16669999999999999</v>
      </c>
      <c r="AL1182" s="23" t="s">
        <v>24</v>
      </c>
      <c r="AM1182" s="23">
        <v>51.7</v>
      </c>
      <c r="AN1182" s="23">
        <v>35113.1</v>
      </c>
      <c r="AO1182" s="23">
        <v>51.13</v>
      </c>
      <c r="AP1182" s="23">
        <v>0</v>
      </c>
      <c r="AR1182" s="46"/>
      <c r="AS1182" s="44"/>
      <c r="AT1182" s="45"/>
      <c r="AU1182" s="2">
        <v>44404</v>
      </c>
      <c r="AV1182" s="52">
        <v>0.38541666666666669</v>
      </c>
      <c r="AW1182" s="2" t="s">
        <v>212</v>
      </c>
      <c r="AY1182" s="3"/>
      <c r="BA1182" s="3"/>
      <c r="BG1182" s="3"/>
      <c r="BH1182" s="3"/>
    </row>
    <row r="1183" spans="1:60">
      <c r="A1183" s="23" t="s">
        <v>22</v>
      </c>
      <c r="B1183" s="23" t="s">
        <v>23</v>
      </c>
      <c r="C1183" s="27">
        <v>44404.458333333336</v>
      </c>
      <c r="D1183" s="23">
        <v>51.35</v>
      </c>
      <c r="E1183" s="27">
        <v>44405.552083333336</v>
      </c>
      <c r="F1183" s="23">
        <v>50.5</v>
      </c>
      <c r="G1183" s="31">
        <v>-1.66E-2</v>
      </c>
      <c r="H1183" s="23">
        <v>836.48</v>
      </c>
      <c r="I1183" s="31">
        <v>1.66E-2</v>
      </c>
      <c r="J1183" s="23">
        <v>984.09270000000004</v>
      </c>
      <c r="K1183" s="23">
        <v>50533.16</v>
      </c>
      <c r="L1183" s="23">
        <v>107419.76</v>
      </c>
      <c r="M1183" s="23">
        <v>38</v>
      </c>
      <c r="N1183" s="23">
        <v>22.01</v>
      </c>
      <c r="O1183" s="31">
        <v>-1.9E-3</v>
      </c>
      <c r="P1183" s="31">
        <v>2.63E-2</v>
      </c>
      <c r="Q1183" s="23" t="s">
        <v>24</v>
      </c>
      <c r="R1183" s="23">
        <v>0</v>
      </c>
      <c r="S1183" s="23">
        <v>51.8</v>
      </c>
      <c r="U1183" s="47">
        <f>VLOOKUP(AU1183,[1]expiry_dates!$B$2:$C$2894,2,FALSE)</f>
        <v>44406</v>
      </c>
      <c r="V1183" s="23" t="s">
        <v>119</v>
      </c>
      <c r="W1183" s="23" t="s">
        <v>23</v>
      </c>
      <c r="X1183" s="49">
        <v>44404.458333333336</v>
      </c>
      <c r="Y1183" s="23">
        <v>0.75</v>
      </c>
      <c r="Z1183" s="23">
        <v>44405.552083333336</v>
      </c>
      <c r="AA1183" s="23">
        <v>0.25</v>
      </c>
      <c r="AB1183" s="23">
        <v>-0.66669999999999996</v>
      </c>
      <c r="AC1183" s="23">
        <v>45484</v>
      </c>
      <c r="AD1183" s="23">
        <v>0.66669999999999996</v>
      </c>
      <c r="AE1183" s="23">
        <v>90967.99</v>
      </c>
      <c r="AF1183" s="23">
        <v>68225.990000000005</v>
      </c>
      <c r="AG1183" s="23">
        <v>3683094.07</v>
      </c>
      <c r="AH1183" s="23">
        <v>38</v>
      </c>
      <c r="AI1183" s="23">
        <v>1196.95</v>
      </c>
      <c r="AJ1183" s="23">
        <v>-0.1333</v>
      </c>
      <c r="AK1183" s="23">
        <v>0.73329999999999995</v>
      </c>
      <c r="AL1183" s="23" t="s">
        <v>24</v>
      </c>
      <c r="AM1183" s="23">
        <v>51.35</v>
      </c>
      <c r="AN1183" s="23">
        <v>35100.800000000003</v>
      </c>
      <c r="AO1183" s="23">
        <v>51.8</v>
      </c>
      <c r="AP1183" s="23">
        <v>0</v>
      </c>
      <c r="AR1183" s="46"/>
      <c r="AS1183" s="44"/>
      <c r="AT1183" s="45"/>
      <c r="AU1183" s="2">
        <v>44404</v>
      </c>
      <c r="AV1183" s="52">
        <v>0.45833333333333331</v>
      </c>
      <c r="AW1183" s="2" t="s">
        <v>212</v>
      </c>
      <c r="AY1183" s="3"/>
      <c r="BA1183" s="3"/>
      <c r="BG1183" s="3"/>
      <c r="BH1183" s="3"/>
    </row>
    <row r="1184" spans="1:60">
      <c r="A1184" s="23" t="s">
        <v>22</v>
      </c>
      <c r="B1184" s="23" t="s">
        <v>25</v>
      </c>
      <c r="C1184" s="27">
        <v>44405.552083333336</v>
      </c>
      <c r="D1184" s="23">
        <v>50.5</v>
      </c>
      <c r="E1184" s="27">
        <v>44406.427083333336</v>
      </c>
      <c r="F1184" s="23">
        <v>50.65</v>
      </c>
      <c r="G1184" s="31">
        <v>3.0000000000000001E-3</v>
      </c>
      <c r="H1184" s="23">
        <v>150.11000000000001</v>
      </c>
      <c r="I1184" s="31">
        <v>3.0000000000000001E-3</v>
      </c>
      <c r="J1184" s="23">
        <v>1000.749</v>
      </c>
      <c r="K1184" s="23">
        <v>50537.84</v>
      </c>
      <c r="L1184" s="23">
        <v>107569.87</v>
      </c>
      <c r="M1184" s="23">
        <v>17</v>
      </c>
      <c r="N1184" s="23">
        <v>8.83</v>
      </c>
      <c r="O1184" s="31">
        <v>-4.0000000000000001E-3</v>
      </c>
      <c r="P1184" s="31">
        <v>1.29E-2</v>
      </c>
      <c r="Q1184" s="23" t="s">
        <v>24</v>
      </c>
      <c r="R1184" s="23">
        <v>0</v>
      </c>
      <c r="S1184" s="23">
        <v>50.01</v>
      </c>
      <c r="U1184" s="47">
        <f>VLOOKUP(AU1184,[1]expiry_dates!$B$2:$C$2894,2,FALSE)</f>
        <v>44406</v>
      </c>
      <c r="V1184" s="23" t="s">
        <v>122</v>
      </c>
      <c r="W1184" s="23" t="s">
        <v>23</v>
      </c>
      <c r="X1184" s="49">
        <v>44405.552083333336</v>
      </c>
      <c r="Y1184" s="23">
        <v>0.1</v>
      </c>
      <c r="Z1184" s="23">
        <v>44406.427083333336</v>
      </c>
      <c r="AA1184" s="23">
        <v>0.05</v>
      </c>
      <c r="AB1184" s="23">
        <v>-0.5</v>
      </c>
      <c r="AC1184" s="23">
        <v>34207.730000000003</v>
      </c>
      <c r="AD1184" s="23">
        <v>0.5</v>
      </c>
      <c r="AE1184" s="23">
        <v>684154.7</v>
      </c>
      <c r="AF1184" s="23">
        <v>68415.47</v>
      </c>
      <c r="AG1184" s="23">
        <v>3717301.81</v>
      </c>
      <c r="AH1184" s="23">
        <v>17</v>
      </c>
      <c r="AI1184" s="23">
        <v>2012.22</v>
      </c>
      <c r="AJ1184" s="23">
        <v>-0.5</v>
      </c>
      <c r="AK1184" s="23">
        <v>0.5</v>
      </c>
      <c r="AL1184" s="23" t="s">
        <v>24</v>
      </c>
      <c r="AM1184" s="23">
        <v>50.5</v>
      </c>
      <c r="AN1184" s="23">
        <v>34434.35</v>
      </c>
      <c r="AO1184" s="23">
        <v>50.01</v>
      </c>
      <c r="AP1184" s="23">
        <v>0</v>
      </c>
      <c r="AR1184" s="46"/>
      <c r="AS1184" s="44"/>
      <c r="AT1184" s="45"/>
      <c r="AU1184" s="2">
        <v>44405</v>
      </c>
      <c r="AV1184" s="52">
        <v>5.2083333333333336E-2</v>
      </c>
      <c r="AW1184" s="2" t="s">
        <v>213</v>
      </c>
      <c r="AY1184" s="3"/>
      <c r="BA1184" s="3"/>
      <c r="BG1184" s="3"/>
      <c r="BH1184" s="3"/>
    </row>
    <row r="1185" spans="1:60">
      <c r="A1185" s="23" t="s">
        <v>22</v>
      </c>
      <c r="B1185" s="23" t="s">
        <v>23</v>
      </c>
      <c r="C1185" s="27">
        <v>44406.427083333336</v>
      </c>
      <c r="D1185" s="23">
        <v>50.65</v>
      </c>
      <c r="E1185" s="27">
        <v>44406.572916666664</v>
      </c>
      <c r="F1185" s="23">
        <v>50.9</v>
      </c>
      <c r="G1185" s="31">
        <v>4.8999999999999998E-3</v>
      </c>
      <c r="H1185" s="23">
        <v>-249.45</v>
      </c>
      <c r="I1185" s="31">
        <v>-4.8999999999999998E-3</v>
      </c>
      <c r="J1185" s="23">
        <v>997.79070000000002</v>
      </c>
      <c r="K1185" s="23">
        <v>50538.1</v>
      </c>
      <c r="L1185" s="23">
        <v>107320.42</v>
      </c>
      <c r="M1185" s="23">
        <v>15</v>
      </c>
      <c r="N1185" s="23">
        <v>-16.63</v>
      </c>
      <c r="O1185" s="31">
        <v>-4.8999999999999998E-3</v>
      </c>
      <c r="P1185" s="31">
        <v>8.8999999999999999E-3</v>
      </c>
      <c r="Q1185" s="23" t="s">
        <v>24</v>
      </c>
      <c r="R1185" s="23">
        <v>0</v>
      </c>
      <c r="S1185" s="23">
        <v>51.14</v>
      </c>
      <c r="U1185" s="47">
        <f>VLOOKUP(AU1185,[1]expiry_dates!$B$2:$C$2894,2,FALSE)</f>
        <v>44406</v>
      </c>
      <c r="V1185" s="23" t="s">
        <v>119</v>
      </c>
      <c r="W1185" s="23" t="s">
        <v>23</v>
      </c>
      <c r="X1185" s="49">
        <v>44406.427083333336</v>
      </c>
      <c r="Y1185" s="23">
        <v>0.2</v>
      </c>
      <c r="Z1185" s="23">
        <v>44406.572916666664</v>
      </c>
      <c r="AA1185" s="23">
        <v>0.2</v>
      </c>
      <c r="AB1185" s="23">
        <v>0</v>
      </c>
      <c r="AC1185" s="23">
        <v>0</v>
      </c>
      <c r="AD1185" s="23">
        <v>0</v>
      </c>
      <c r="AE1185" s="23">
        <v>342932.5</v>
      </c>
      <c r="AF1185" s="23">
        <v>68586.509999999995</v>
      </c>
      <c r="AG1185" s="23">
        <v>3717301.81</v>
      </c>
      <c r="AH1185" s="23">
        <v>15</v>
      </c>
      <c r="AI1185" s="23">
        <v>0</v>
      </c>
      <c r="AJ1185" s="23">
        <v>-0.25</v>
      </c>
      <c r="AK1185" s="23">
        <v>0.75</v>
      </c>
      <c r="AL1185" s="23" t="s">
        <v>24</v>
      </c>
      <c r="AM1185" s="23">
        <v>50.65</v>
      </c>
      <c r="AN1185" s="23">
        <v>34607.5</v>
      </c>
      <c r="AO1185" s="23">
        <v>51.14</v>
      </c>
      <c r="AP1185" s="23">
        <v>0</v>
      </c>
      <c r="AR1185" s="46"/>
      <c r="AS1185" s="44"/>
      <c r="AT1185" s="45"/>
      <c r="AU1185" s="2">
        <v>44406</v>
      </c>
      <c r="AV1185" s="52">
        <v>0.42708333333333331</v>
      </c>
      <c r="AW1185" s="2" t="s">
        <v>212</v>
      </c>
      <c r="AY1185" s="3"/>
      <c r="BA1185" s="3"/>
      <c r="BG1185" s="3"/>
      <c r="BH1185" s="3"/>
    </row>
    <row r="1186" spans="1:60">
      <c r="A1186" s="23" t="s">
        <v>22</v>
      </c>
      <c r="B1186" s="23" t="s">
        <v>25</v>
      </c>
      <c r="C1186" s="27">
        <v>44406.572916666664</v>
      </c>
      <c r="D1186" s="23">
        <v>50.9</v>
      </c>
      <c r="E1186" s="27">
        <v>44406.697916666664</v>
      </c>
      <c r="F1186" s="23">
        <v>51.95</v>
      </c>
      <c r="G1186" s="31">
        <v>2.06E-2</v>
      </c>
      <c r="H1186" s="23">
        <v>1042.53</v>
      </c>
      <c r="I1186" s="31">
        <v>2.06E-2</v>
      </c>
      <c r="J1186" s="23">
        <v>992.89</v>
      </c>
      <c r="K1186" s="23">
        <v>50538.1</v>
      </c>
      <c r="L1186" s="23">
        <v>108362.96</v>
      </c>
      <c r="M1186" s="23">
        <v>9</v>
      </c>
      <c r="N1186" s="23">
        <v>115.84</v>
      </c>
      <c r="O1186" s="31">
        <v>-7.9000000000000008E-3</v>
      </c>
      <c r="P1186" s="31">
        <v>2.5499999999999998E-2</v>
      </c>
      <c r="Q1186" s="23" t="s">
        <v>24</v>
      </c>
      <c r="R1186" s="23">
        <v>0</v>
      </c>
      <c r="S1186" s="23">
        <v>50.22</v>
      </c>
      <c r="U1186" s="47">
        <f>VLOOKUP(AU1186,[1]expiry_dates!$B$2:$C$2894,2,FALSE)</f>
        <v>44406</v>
      </c>
      <c r="V1186" s="23" t="s">
        <v>120</v>
      </c>
      <c r="W1186" s="23" t="s">
        <v>23</v>
      </c>
      <c r="X1186" s="49">
        <v>44406.572916666664</v>
      </c>
      <c r="Y1186" s="23">
        <v>0.5</v>
      </c>
      <c r="Z1186" s="23">
        <v>44406.697916666664</v>
      </c>
      <c r="AA1186" s="23">
        <v>0.05</v>
      </c>
      <c r="AB1186" s="23">
        <v>-0.9</v>
      </c>
      <c r="AC1186" s="23">
        <v>61805.02</v>
      </c>
      <c r="AD1186" s="23">
        <v>0.9</v>
      </c>
      <c r="AE1186" s="23">
        <v>137344.5</v>
      </c>
      <c r="AF1186" s="23">
        <v>68672.240000000005</v>
      </c>
      <c r="AG1186" s="23">
        <v>3779106.83</v>
      </c>
      <c r="AH1186" s="23">
        <v>9</v>
      </c>
      <c r="AI1186" s="23">
        <v>6867.22</v>
      </c>
      <c r="AJ1186" s="23">
        <v>-0.3</v>
      </c>
      <c r="AK1186" s="23">
        <v>0.9</v>
      </c>
      <c r="AL1186" s="23" t="s">
        <v>24</v>
      </c>
      <c r="AM1186" s="23">
        <v>50.9</v>
      </c>
      <c r="AN1186" s="23">
        <v>34740.300000000003</v>
      </c>
      <c r="AO1186" s="23">
        <v>50.22</v>
      </c>
      <c r="AP1186" s="23">
        <v>0</v>
      </c>
      <c r="AR1186" s="46"/>
      <c r="AS1186" s="44"/>
      <c r="AT1186" s="45"/>
      <c r="AU1186" s="2">
        <v>44406</v>
      </c>
      <c r="AV1186" s="52">
        <v>7.2916666666666671E-2</v>
      </c>
      <c r="AW1186" s="2" t="s">
        <v>213</v>
      </c>
      <c r="AY1186" s="3"/>
      <c r="BA1186" s="3"/>
      <c r="BG1186" s="3"/>
      <c r="BH1186" s="3"/>
    </row>
    <row r="1187" spans="1:60">
      <c r="A1187" s="23" t="s">
        <v>22</v>
      </c>
      <c r="B1187" s="23" t="s">
        <v>25</v>
      </c>
      <c r="C1187" s="27">
        <v>44407.385416666664</v>
      </c>
      <c r="D1187" s="23">
        <v>52.05</v>
      </c>
      <c r="E1187" s="27">
        <v>44407.520833333336</v>
      </c>
      <c r="F1187" s="23">
        <v>51.7</v>
      </c>
      <c r="G1187" s="31">
        <v>-6.7000000000000002E-3</v>
      </c>
      <c r="H1187" s="23">
        <v>-339.86</v>
      </c>
      <c r="I1187" s="31">
        <v>-6.7000000000000002E-3</v>
      </c>
      <c r="J1187" s="23">
        <v>971.02430000000004</v>
      </c>
      <c r="K1187" s="23">
        <v>50541.81</v>
      </c>
      <c r="L1187" s="23">
        <v>108023.1</v>
      </c>
      <c r="M1187" s="23">
        <v>14</v>
      </c>
      <c r="N1187" s="23">
        <v>-24.28</v>
      </c>
      <c r="O1187" s="31">
        <v>-6.7000000000000002E-3</v>
      </c>
      <c r="P1187" s="31">
        <v>8.6E-3</v>
      </c>
      <c r="Q1187" s="23" t="s">
        <v>24</v>
      </c>
      <c r="R1187" s="23">
        <v>0</v>
      </c>
      <c r="S1187" s="23">
        <v>50.91</v>
      </c>
      <c r="U1187" s="47">
        <f>VLOOKUP(AU1187,[1]expiry_dates!$B$2:$C$2894,2,FALSE)</f>
        <v>44434</v>
      </c>
      <c r="V1187" s="23" t="s">
        <v>126</v>
      </c>
      <c r="W1187" s="23" t="s">
        <v>23</v>
      </c>
      <c r="X1187" s="49">
        <v>44407.385416666664</v>
      </c>
      <c r="Y1187" s="23">
        <v>2.5499999999999998</v>
      </c>
      <c r="Z1187" s="23">
        <v>44407.520833333336</v>
      </c>
      <c r="AA1187" s="23">
        <v>2.65</v>
      </c>
      <c r="AB1187" s="23">
        <v>3.9199999999999999E-2</v>
      </c>
      <c r="AC1187" s="23">
        <v>-2701.79</v>
      </c>
      <c r="AD1187" s="23">
        <v>-3.9199999999999999E-2</v>
      </c>
      <c r="AE1187" s="23">
        <v>27017.86</v>
      </c>
      <c r="AF1187" s="23">
        <v>68895.53</v>
      </c>
      <c r="AG1187" s="23">
        <v>3776405.04</v>
      </c>
      <c r="AH1187" s="23">
        <v>14</v>
      </c>
      <c r="AI1187" s="23">
        <v>-192.98</v>
      </c>
      <c r="AJ1187" s="23">
        <v>-5.8799999999999998E-2</v>
      </c>
      <c r="AK1187" s="23">
        <v>7.8399999999999997E-2</v>
      </c>
      <c r="AL1187" s="23" t="s">
        <v>24</v>
      </c>
      <c r="AM1187" s="23">
        <v>52.05</v>
      </c>
      <c r="AN1187" s="23">
        <v>34642.400000000001</v>
      </c>
      <c r="AO1187" s="23">
        <v>50.91</v>
      </c>
      <c r="AP1187" s="23">
        <v>0</v>
      </c>
      <c r="AR1187" s="46"/>
      <c r="AS1187" s="44"/>
      <c r="AT1187" s="45"/>
      <c r="AU1187" s="2">
        <v>44407</v>
      </c>
      <c r="AV1187" s="52">
        <v>0.38541666666666669</v>
      </c>
      <c r="AW1187" s="2" t="s">
        <v>212</v>
      </c>
      <c r="AY1187" s="3"/>
      <c r="BA1187" s="3"/>
      <c r="BG1187" s="3"/>
      <c r="BH1187" s="3"/>
    </row>
    <row r="1188" spans="1:60">
      <c r="A1188" s="23" t="s">
        <v>22</v>
      </c>
      <c r="B1188" s="23" t="s">
        <v>23</v>
      </c>
      <c r="C1188" s="27">
        <v>44407.520833333336</v>
      </c>
      <c r="D1188" s="23">
        <v>51.7</v>
      </c>
      <c r="E1188" s="27">
        <v>44407.635416666664</v>
      </c>
      <c r="F1188" s="23">
        <v>52.15</v>
      </c>
      <c r="G1188" s="31">
        <v>8.6999999999999994E-3</v>
      </c>
      <c r="H1188" s="23">
        <v>-439.91</v>
      </c>
      <c r="I1188" s="31">
        <v>-8.6999999999999994E-3</v>
      </c>
      <c r="J1188" s="23">
        <v>977.57920000000001</v>
      </c>
      <c r="K1188" s="23">
        <v>50540.84</v>
      </c>
      <c r="L1188" s="23">
        <v>107583.19</v>
      </c>
      <c r="M1188" s="23">
        <v>12</v>
      </c>
      <c r="N1188" s="23">
        <v>-36.659999999999997</v>
      </c>
      <c r="O1188" s="31">
        <v>-9.7000000000000003E-3</v>
      </c>
      <c r="P1188" s="31">
        <v>1E-3</v>
      </c>
      <c r="Q1188" s="23" t="s">
        <v>24</v>
      </c>
      <c r="R1188" s="23">
        <v>0</v>
      </c>
      <c r="S1188" s="23">
        <v>52.48</v>
      </c>
      <c r="U1188" s="47">
        <f>VLOOKUP(AU1188,[1]expiry_dates!$B$2:$C$2894,2,FALSE)</f>
        <v>44434</v>
      </c>
      <c r="V1188" s="23" t="s">
        <v>125</v>
      </c>
      <c r="W1188" s="23" t="s">
        <v>23</v>
      </c>
      <c r="X1188" s="49">
        <v>44407.520833333336</v>
      </c>
      <c r="Y1188" s="23">
        <v>2.4500000000000002</v>
      </c>
      <c r="Z1188" s="23">
        <v>44407.635416666664</v>
      </c>
      <c r="AA1188" s="23">
        <v>2.5499999999999998</v>
      </c>
      <c r="AB1188" s="23">
        <v>4.0800000000000003E-2</v>
      </c>
      <c r="AC1188" s="23">
        <v>-2812.06</v>
      </c>
      <c r="AD1188" s="23">
        <v>-4.0800000000000003E-2</v>
      </c>
      <c r="AE1188" s="23">
        <v>28120.63</v>
      </c>
      <c r="AF1188" s="23">
        <v>68895.53</v>
      </c>
      <c r="AG1188" s="23">
        <v>3773592.98</v>
      </c>
      <c r="AH1188" s="23">
        <v>12</v>
      </c>
      <c r="AI1188" s="23">
        <v>-234.34</v>
      </c>
      <c r="AJ1188" s="23">
        <v>-0.10199999999999999</v>
      </c>
      <c r="AK1188" s="23">
        <v>2.0400000000000001E-2</v>
      </c>
      <c r="AL1188" s="23" t="s">
        <v>24</v>
      </c>
      <c r="AM1188" s="23">
        <v>51.7</v>
      </c>
      <c r="AN1188" s="23">
        <v>34624.65</v>
      </c>
      <c r="AO1188" s="23">
        <v>52.48</v>
      </c>
      <c r="AP1188" s="23">
        <v>0</v>
      </c>
      <c r="AR1188" s="46"/>
      <c r="AS1188" s="44"/>
      <c r="AT1188" s="45"/>
      <c r="AU1188" s="2">
        <v>44407</v>
      </c>
      <c r="AV1188" s="52">
        <v>0.52083333333333337</v>
      </c>
      <c r="AW1188" s="2" t="s">
        <v>213</v>
      </c>
      <c r="AY1188" s="3"/>
      <c r="BA1188" s="3"/>
      <c r="BG1188" s="3"/>
      <c r="BH1188" s="3"/>
    </row>
    <row r="1189" spans="1:60">
      <c r="A1189" s="23" t="s">
        <v>22</v>
      </c>
      <c r="B1189" s="23" t="s">
        <v>25</v>
      </c>
      <c r="C1189" s="27">
        <v>44407.635416666664</v>
      </c>
      <c r="D1189" s="23">
        <v>52.15</v>
      </c>
      <c r="E1189" s="27">
        <v>44410.385416666664</v>
      </c>
      <c r="F1189" s="23">
        <v>49.45</v>
      </c>
      <c r="G1189" s="31">
        <v>-5.1799999999999999E-2</v>
      </c>
      <c r="H1189" s="23">
        <v>-2616.59</v>
      </c>
      <c r="I1189" s="31">
        <v>-5.1799999999999999E-2</v>
      </c>
      <c r="J1189" s="23">
        <v>969.10630000000003</v>
      </c>
      <c r="K1189" s="23">
        <v>50538.89</v>
      </c>
      <c r="L1189" s="23">
        <v>104966.6</v>
      </c>
      <c r="M1189" s="23">
        <v>5</v>
      </c>
      <c r="N1189" s="23">
        <v>-523.32000000000005</v>
      </c>
      <c r="O1189" s="31">
        <v>-6.7100000000000007E-2</v>
      </c>
      <c r="P1189" s="31">
        <v>1E-3</v>
      </c>
      <c r="Q1189" s="23" t="s">
        <v>24</v>
      </c>
      <c r="R1189" s="23">
        <v>0</v>
      </c>
      <c r="S1189" s="23">
        <v>51.66</v>
      </c>
      <c r="U1189" s="47">
        <f>VLOOKUP(AU1189,[1]expiry_dates!$B$2:$C$2894,2,FALSE)</f>
        <v>44434</v>
      </c>
      <c r="V1189" s="23" t="s">
        <v>126</v>
      </c>
      <c r="W1189" s="23" t="s">
        <v>23</v>
      </c>
      <c r="X1189" s="49">
        <v>44407.635416666664</v>
      </c>
      <c r="Y1189" s="23">
        <v>2.35</v>
      </c>
      <c r="Z1189" s="23">
        <v>44410.385416666664</v>
      </c>
      <c r="AA1189" s="23">
        <v>3.7</v>
      </c>
      <c r="AB1189" s="23">
        <v>0.57450000000000001</v>
      </c>
      <c r="AC1189" s="23">
        <v>-39566.49</v>
      </c>
      <c r="AD1189" s="23">
        <v>-0.57450000000000001</v>
      </c>
      <c r="AE1189" s="23">
        <v>29308.51</v>
      </c>
      <c r="AF1189" s="23">
        <v>68874.990000000005</v>
      </c>
      <c r="AG1189" s="23">
        <v>3734026.49</v>
      </c>
      <c r="AH1189" s="23">
        <v>5</v>
      </c>
      <c r="AI1189" s="23">
        <v>-7913.3</v>
      </c>
      <c r="AJ1189" s="23">
        <v>-0.61699999999999999</v>
      </c>
      <c r="AK1189" s="23">
        <v>0</v>
      </c>
      <c r="AL1189" s="23" t="s">
        <v>24</v>
      </c>
      <c r="AM1189" s="23">
        <v>52.15</v>
      </c>
      <c r="AN1189" s="23">
        <v>34576.15</v>
      </c>
      <c r="AO1189" s="23">
        <v>51.66</v>
      </c>
      <c r="AP1189" s="23">
        <v>0</v>
      </c>
      <c r="AR1189" s="46"/>
      <c r="AS1189" s="44"/>
      <c r="AT1189" s="45"/>
      <c r="AU1189" s="2">
        <v>44407</v>
      </c>
      <c r="AV1189" s="52">
        <v>0.13541666666666666</v>
      </c>
      <c r="AW1189" s="2" t="s">
        <v>213</v>
      </c>
      <c r="AY1189" s="3"/>
      <c r="BA1189" s="3"/>
      <c r="BG1189" s="3"/>
      <c r="BH1189" s="3"/>
    </row>
    <row r="1190" spans="1:60">
      <c r="A1190" s="23" t="s">
        <v>22</v>
      </c>
      <c r="B1190" s="23" t="s">
        <v>23</v>
      </c>
      <c r="C1190" s="27">
        <v>44410.385416666664</v>
      </c>
      <c r="D1190" s="23">
        <v>49.45</v>
      </c>
      <c r="E1190" s="27">
        <v>44410.4375</v>
      </c>
      <c r="F1190" s="23">
        <v>51.25</v>
      </c>
      <c r="G1190" s="31">
        <v>3.6400000000000002E-2</v>
      </c>
      <c r="H1190" s="23">
        <v>-1838.98</v>
      </c>
      <c r="I1190" s="31">
        <v>-3.6400000000000002E-2</v>
      </c>
      <c r="J1190" s="23">
        <v>1021.657</v>
      </c>
      <c r="K1190" s="23">
        <v>50520.959999999999</v>
      </c>
      <c r="L1190" s="23">
        <v>103127.62</v>
      </c>
      <c r="M1190" s="23">
        <v>6</v>
      </c>
      <c r="N1190" s="23">
        <v>-306.5</v>
      </c>
      <c r="O1190" s="31">
        <v>-4.0399999999999998E-2</v>
      </c>
      <c r="P1190" s="31">
        <v>1.21E-2</v>
      </c>
      <c r="Q1190" s="23" t="s">
        <v>24</v>
      </c>
      <c r="R1190" s="23">
        <v>0</v>
      </c>
      <c r="S1190" s="23">
        <v>51.99</v>
      </c>
      <c r="U1190" s="47">
        <f>VLOOKUP(AU1190,[1]expiry_dates!$B$2:$C$2894,2,FALSE)</f>
        <v>44434</v>
      </c>
      <c r="V1190" s="23" t="s">
        <v>123</v>
      </c>
      <c r="W1190" s="23" t="s">
        <v>23</v>
      </c>
      <c r="X1190" s="49">
        <v>44410.385416666664</v>
      </c>
      <c r="Y1190" s="23">
        <v>2.65</v>
      </c>
      <c r="Z1190" s="23">
        <v>44410.4375</v>
      </c>
      <c r="AA1190" s="23">
        <v>3.8</v>
      </c>
      <c r="AB1190" s="23">
        <v>0.434</v>
      </c>
      <c r="AC1190" s="23">
        <v>-29886.1</v>
      </c>
      <c r="AD1190" s="23">
        <v>-0.434</v>
      </c>
      <c r="AE1190" s="23">
        <v>25987.91</v>
      </c>
      <c r="AF1190" s="23">
        <v>68867.960000000006</v>
      </c>
      <c r="AG1190" s="23">
        <v>3704140.39</v>
      </c>
      <c r="AH1190" s="23">
        <v>6</v>
      </c>
      <c r="AI1190" s="23">
        <v>-4981.0200000000004</v>
      </c>
      <c r="AJ1190" s="23">
        <v>-0.50939999999999996</v>
      </c>
      <c r="AK1190" s="23">
        <v>7.5499999999999998E-2</v>
      </c>
      <c r="AL1190" s="23" t="s">
        <v>24</v>
      </c>
      <c r="AM1190" s="23">
        <v>49.45</v>
      </c>
      <c r="AN1190" s="23">
        <v>34800.85</v>
      </c>
      <c r="AO1190" s="23">
        <v>51.99</v>
      </c>
      <c r="AP1190" s="23">
        <v>0</v>
      </c>
      <c r="AR1190" s="46"/>
      <c r="AS1190" s="44"/>
      <c r="AT1190" s="45"/>
      <c r="AU1190" s="2">
        <v>44410</v>
      </c>
      <c r="AV1190" s="52">
        <v>0.38541666666666669</v>
      </c>
      <c r="AW1190" s="2" t="s">
        <v>212</v>
      </c>
      <c r="AY1190" s="3"/>
      <c r="BA1190" s="3"/>
      <c r="BG1190" s="3"/>
      <c r="BH1190" s="3"/>
    </row>
    <row r="1191" spans="1:60">
      <c r="A1191" s="23" t="s">
        <v>22</v>
      </c>
      <c r="B1191" s="23" t="s">
        <v>25</v>
      </c>
      <c r="C1191" s="27">
        <v>44410.4375</v>
      </c>
      <c r="D1191" s="23">
        <v>51.25</v>
      </c>
      <c r="E1191" s="27">
        <v>44411.40625</v>
      </c>
      <c r="F1191" s="23">
        <v>51.2</v>
      </c>
      <c r="G1191" s="31">
        <v>-1E-3</v>
      </c>
      <c r="H1191" s="23">
        <v>-49.29</v>
      </c>
      <c r="I1191" s="31">
        <v>-1E-3</v>
      </c>
      <c r="J1191" s="23">
        <v>985.73080000000004</v>
      </c>
      <c r="K1191" s="23">
        <v>50518.7</v>
      </c>
      <c r="L1191" s="23">
        <v>103078.33</v>
      </c>
      <c r="M1191" s="23">
        <v>26</v>
      </c>
      <c r="N1191" s="23">
        <v>-1.9</v>
      </c>
      <c r="O1191" s="31">
        <v>-1.2699999999999999E-2</v>
      </c>
      <c r="P1191" s="31">
        <v>1.66E-2</v>
      </c>
      <c r="Q1191" s="23" t="s">
        <v>24</v>
      </c>
      <c r="R1191" s="23">
        <v>0</v>
      </c>
      <c r="S1191" s="23">
        <v>48.65</v>
      </c>
      <c r="U1191" s="47">
        <f>VLOOKUP(AU1191,[1]expiry_dates!$B$2:$C$2894,2,FALSE)</f>
        <v>44434</v>
      </c>
      <c r="V1191" s="23" t="s">
        <v>120</v>
      </c>
      <c r="W1191" s="23" t="s">
        <v>23</v>
      </c>
      <c r="X1191" s="49">
        <v>44410.4375</v>
      </c>
      <c r="Y1191" s="23">
        <v>2.2000000000000002</v>
      </c>
      <c r="Z1191" s="23">
        <v>44411.40625</v>
      </c>
      <c r="AA1191" s="23">
        <v>1.9</v>
      </c>
      <c r="AB1191" s="23">
        <v>-0.13639999999999999</v>
      </c>
      <c r="AC1191" s="23">
        <v>9348.16</v>
      </c>
      <c r="AD1191" s="23">
        <v>0.13639999999999999</v>
      </c>
      <c r="AE1191" s="23">
        <v>31160.54</v>
      </c>
      <c r="AF1191" s="23">
        <v>68553.19</v>
      </c>
      <c r="AG1191" s="23">
        <v>3713488.55</v>
      </c>
      <c r="AH1191" s="23">
        <v>26</v>
      </c>
      <c r="AI1191" s="23">
        <v>359.54</v>
      </c>
      <c r="AJ1191" s="23">
        <v>-9.0899999999999995E-2</v>
      </c>
      <c r="AK1191" s="23">
        <v>0.2727</v>
      </c>
      <c r="AL1191" s="23" t="s">
        <v>24</v>
      </c>
      <c r="AM1191" s="23">
        <v>51.25</v>
      </c>
      <c r="AN1191" s="23">
        <v>34798.449999999997</v>
      </c>
      <c r="AO1191" s="23">
        <v>48.65</v>
      </c>
      <c r="AP1191" s="23">
        <v>0</v>
      </c>
      <c r="AR1191" s="46"/>
      <c r="AS1191" s="44"/>
      <c r="AT1191" s="45"/>
      <c r="AU1191" s="2">
        <v>44410</v>
      </c>
      <c r="AV1191" s="52">
        <v>0.4375</v>
      </c>
      <c r="AW1191" s="2" t="s">
        <v>212</v>
      </c>
      <c r="AY1191" s="3"/>
      <c r="BA1191" s="3"/>
      <c r="BG1191" s="3"/>
      <c r="BH1191" s="3"/>
    </row>
    <row r="1192" spans="1:60">
      <c r="A1192" s="23" t="s">
        <v>22</v>
      </c>
      <c r="B1192" s="23" t="s">
        <v>23</v>
      </c>
      <c r="C1192" s="27">
        <v>44411.40625</v>
      </c>
      <c r="D1192" s="23">
        <v>51.2</v>
      </c>
      <c r="E1192" s="27">
        <v>44411.46875</v>
      </c>
      <c r="F1192" s="23">
        <v>51.75</v>
      </c>
      <c r="G1192" s="31">
        <v>1.0699999999999999E-2</v>
      </c>
      <c r="H1192" s="23">
        <v>-542.64</v>
      </c>
      <c r="I1192" s="31">
        <v>-1.0699999999999999E-2</v>
      </c>
      <c r="J1192" s="23">
        <v>986.62390000000005</v>
      </c>
      <c r="K1192" s="23">
        <v>50515.14</v>
      </c>
      <c r="L1192" s="23">
        <v>102535.69</v>
      </c>
      <c r="M1192" s="23">
        <v>7</v>
      </c>
      <c r="N1192" s="23">
        <v>-77.52</v>
      </c>
      <c r="O1192" s="31">
        <v>-1.0699999999999999E-2</v>
      </c>
      <c r="P1192" s="31">
        <v>7.7999999999999996E-3</v>
      </c>
      <c r="Q1192" s="23" t="s">
        <v>24</v>
      </c>
      <c r="R1192" s="23">
        <v>0</v>
      </c>
      <c r="S1192" s="23">
        <v>52.06</v>
      </c>
      <c r="U1192" s="47">
        <f>VLOOKUP(AU1192,[1]expiry_dates!$B$2:$C$2894,2,FALSE)</f>
        <v>44434</v>
      </c>
      <c r="V1192" s="23" t="s">
        <v>119</v>
      </c>
      <c r="W1192" s="23" t="s">
        <v>23</v>
      </c>
      <c r="X1192" s="49">
        <v>44411.40625</v>
      </c>
      <c r="Y1192" s="23">
        <v>2.25</v>
      </c>
      <c r="Z1192" s="23">
        <v>44411.46875</v>
      </c>
      <c r="AA1192" s="23">
        <v>2.65</v>
      </c>
      <c r="AB1192" s="23">
        <v>0.17780000000000001</v>
      </c>
      <c r="AC1192" s="23">
        <v>-12189.77</v>
      </c>
      <c r="AD1192" s="23">
        <v>-0.17780000000000001</v>
      </c>
      <c r="AE1192" s="23">
        <v>30474.42</v>
      </c>
      <c r="AF1192" s="23">
        <v>68567.45</v>
      </c>
      <c r="AG1192" s="23">
        <v>3701298.79</v>
      </c>
      <c r="AH1192" s="23">
        <v>7</v>
      </c>
      <c r="AI1192" s="23">
        <v>-1741.4</v>
      </c>
      <c r="AJ1192" s="23">
        <v>-0.17780000000000001</v>
      </c>
      <c r="AK1192" s="23">
        <v>6.6699999999999995E-2</v>
      </c>
      <c r="AL1192" s="23" t="s">
        <v>24</v>
      </c>
      <c r="AM1192" s="23">
        <v>51.2</v>
      </c>
      <c r="AN1192" s="23">
        <v>34772.9</v>
      </c>
      <c r="AO1192" s="23">
        <v>52.06</v>
      </c>
      <c r="AP1192" s="23">
        <v>0</v>
      </c>
      <c r="AR1192" s="46"/>
      <c r="AS1192" s="44"/>
      <c r="AT1192" s="45"/>
      <c r="AU1192" s="2">
        <v>44411</v>
      </c>
      <c r="AV1192" s="52">
        <v>0.40625</v>
      </c>
      <c r="AW1192" s="2" t="s">
        <v>212</v>
      </c>
      <c r="AY1192" s="3"/>
      <c r="BA1192" s="3"/>
      <c r="BG1192" s="3"/>
      <c r="BH1192" s="3"/>
    </row>
    <row r="1193" spans="1:60">
      <c r="A1193" s="23" t="s">
        <v>22</v>
      </c>
      <c r="B1193" s="23" t="s">
        <v>25</v>
      </c>
      <c r="C1193" s="27">
        <v>44411.46875</v>
      </c>
      <c r="D1193" s="23">
        <v>51.75</v>
      </c>
      <c r="E1193" s="27">
        <v>44411.604166666664</v>
      </c>
      <c r="F1193" s="23">
        <v>51.5</v>
      </c>
      <c r="G1193" s="31">
        <v>-4.7999999999999996E-3</v>
      </c>
      <c r="H1193" s="23">
        <v>-244.04</v>
      </c>
      <c r="I1193" s="31">
        <v>-4.7999999999999996E-3</v>
      </c>
      <c r="J1193" s="23">
        <v>976.15229999999997</v>
      </c>
      <c r="K1193" s="23">
        <v>50515.88</v>
      </c>
      <c r="L1193" s="23">
        <v>102291.65</v>
      </c>
      <c r="M1193" s="23">
        <v>14</v>
      </c>
      <c r="N1193" s="23">
        <v>-17.43</v>
      </c>
      <c r="O1193" s="31">
        <v>-1.26E-2</v>
      </c>
      <c r="P1193" s="31">
        <v>2.8999999999999998E-3</v>
      </c>
      <c r="Q1193" s="23" t="s">
        <v>24</v>
      </c>
      <c r="R1193" s="23">
        <v>0</v>
      </c>
      <c r="S1193" s="23">
        <v>50.8</v>
      </c>
      <c r="U1193" s="47">
        <f>VLOOKUP(AU1193,[1]expiry_dates!$B$2:$C$2894,2,FALSE)</f>
        <v>44434</v>
      </c>
      <c r="V1193" s="23" t="s">
        <v>126</v>
      </c>
      <c r="W1193" s="23" t="s">
        <v>23</v>
      </c>
      <c r="X1193" s="49">
        <v>44411.46875</v>
      </c>
      <c r="Y1193" s="23">
        <v>2.0499999999999998</v>
      </c>
      <c r="Z1193" s="23">
        <v>44411.604166666664</v>
      </c>
      <c r="AA1193" s="23">
        <v>2.15</v>
      </c>
      <c r="AB1193" s="23">
        <v>4.8800000000000003E-2</v>
      </c>
      <c r="AC1193" s="23">
        <v>-3344.38</v>
      </c>
      <c r="AD1193" s="23">
        <v>-4.8800000000000003E-2</v>
      </c>
      <c r="AE1193" s="23">
        <v>33443.82</v>
      </c>
      <c r="AF1193" s="23">
        <v>68559.820000000007</v>
      </c>
      <c r="AG1193" s="23">
        <v>3697954.41</v>
      </c>
      <c r="AH1193" s="23">
        <v>14</v>
      </c>
      <c r="AI1193" s="23">
        <v>-238.88</v>
      </c>
      <c r="AJ1193" s="23">
        <v>-0.2195</v>
      </c>
      <c r="AK1193" s="23">
        <v>2.4400000000000002E-2</v>
      </c>
      <c r="AL1193" s="23" t="s">
        <v>24</v>
      </c>
      <c r="AM1193" s="23">
        <v>51.75</v>
      </c>
      <c r="AN1193" s="23">
        <v>34847.599999999999</v>
      </c>
      <c r="AO1193" s="23">
        <v>50.8</v>
      </c>
      <c r="AP1193" s="23">
        <v>0</v>
      </c>
      <c r="AR1193" s="46"/>
      <c r="AS1193" s="44"/>
      <c r="AT1193" s="45"/>
      <c r="AU1193" s="2">
        <v>44411</v>
      </c>
      <c r="AV1193" s="52">
        <v>0.46875</v>
      </c>
      <c r="AW1193" s="2" t="s">
        <v>212</v>
      </c>
      <c r="AY1193" s="3"/>
      <c r="BA1193" s="3"/>
      <c r="BG1193" s="3"/>
      <c r="BH1193" s="3"/>
    </row>
    <row r="1194" spans="1:60">
      <c r="A1194" s="23" t="s">
        <v>22</v>
      </c>
      <c r="B1194" s="23" t="s">
        <v>23</v>
      </c>
      <c r="C1194" s="27">
        <v>44411.604166666664</v>
      </c>
      <c r="D1194" s="23">
        <v>51.5</v>
      </c>
      <c r="E1194" s="27">
        <v>44411.625</v>
      </c>
      <c r="F1194" s="23">
        <v>51.85</v>
      </c>
      <c r="G1194" s="31">
        <v>6.7999999999999996E-3</v>
      </c>
      <c r="H1194" s="23">
        <v>-343.28</v>
      </c>
      <c r="I1194" s="31">
        <v>-6.7999999999999996E-3</v>
      </c>
      <c r="J1194" s="23">
        <v>980.80499999999995</v>
      </c>
      <c r="K1194" s="23">
        <v>50511.46</v>
      </c>
      <c r="L1194" s="23">
        <v>101948.37</v>
      </c>
      <c r="M1194" s="23">
        <v>3</v>
      </c>
      <c r="N1194" s="23">
        <v>-114.43</v>
      </c>
      <c r="O1194" s="31">
        <v>-6.7999999999999996E-3</v>
      </c>
      <c r="P1194" s="31">
        <v>2.8999999999999998E-3</v>
      </c>
      <c r="Q1194" s="23" t="s">
        <v>24</v>
      </c>
      <c r="R1194" s="23">
        <v>0</v>
      </c>
      <c r="S1194" s="23">
        <v>51.89</v>
      </c>
      <c r="U1194" s="47">
        <f>VLOOKUP(AU1194,[1]expiry_dates!$B$2:$C$2894,2,FALSE)</f>
        <v>44434</v>
      </c>
      <c r="V1194" s="23" t="s">
        <v>125</v>
      </c>
      <c r="W1194" s="23" t="s">
        <v>23</v>
      </c>
      <c r="X1194" s="49">
        <v>44411.604166666664</v>
      </c>
      <c r="Y1194" s="23">
        <v>1.95</v>
      </c>
      <c r="Z1194" s="23">
        <v>44411.625</v>
      </c>
      <c r="AA1194" s="23">
        <v>2.0499999999999998</v>
      </c>
      <c r="AB1194" s="23">
        <v>5.1299999999999998E-2</v>
      </c>
      <c r="AC1194" s="23">
        <v>-3512.3</v>
      </c>
      <c r="AD1194" s="23">
        <v>-5.1299999999999998E-2</v>
      </c>
      <c r="AE1194" s="23">
        <v>35122.959999999999</v>
      </c>
      <c r="AF1194" s="23">
        <v>68489.77</v>
      </c>
      <c r="AG1194" s="23">
        <v>3694442.11</v>
      </c>
      <c r="AH1194" s="23">
        <v>3</v>
      </c>
      <c r="AI1194" s="23">
        <v>-1170.77</v>
      </c>
      <c r="AJ1194" s="23">
        <v>-5.1299999999999998E-2</v>
      </c>
      <c r="AK1194" s="23">
        <v>2.5600000000000001E-2</v>
      </c>
      <c r="AL1194" s="23" t="s">
        <v>24</v>
      </c>
      <c r="AM1194" s="23">
        <v>51.5</v>
      </c>
      <c r="AN1194" s="23">
        <v>35162.400000000001</v>
      </c>
      <c r="AO1194" s="23">
        <v>51.89</v>
      </c>
      <c r="AP1194" s="23">
        <v>0</v>
      </c>
      <c r="AR1194" s="46"/>
      <c r="AS1194" s="44"/>
      <c r="AT1194" s="45"/>
      <c r="AU1194" s="2">
        <v>44411</v>
      </c>
      <c r="AV1194" s="52">
        <v>0.10416666666666667</v>
      </c>
      <c r="AW1194" s="2" t="s">
        <v>213</v>
      </c>
      <c r="AY1194" s="3"/>
      <c r="BA1194" s="3"/>
      <c r="BG1194" s="3"/>
      <c r="BH1194" s="3"/>
    </row>
    <row r="1195" spans="1:60">
      <c r="A1195" s="23" t="s">
        <v>22</v>
      </c>
      <c r="B1195" s="23" t="s">
        <v>25</v>
      </c>
      <c r="C1195" s="27">
        <v>44411.625</v>
      </c>
      <c r="D1195" s="23">
        <v>51.85</v>
      </c>
      <c r="E1195" s="27">
        <v>44412.40625</v>
      </c>
      <c r="F1195" s="23">
        <v>51.5</v>
      </c>
      <c r="G1195" s="31">
        <v>-6.7999999999999996E-3</v>
      </c>
      <c r="H1195" s="23">
        <v>-340.96</v>
      </c>
      <c r="I1195" s="31">
        <v>-6.7999999999999996E-3</v>
      </c>
      <c r="J1195" s="23">
        <v>974.17489999999998</v>
      </c>
      <c r="K1195" s="23">
        <v>50510.97</v>
      </c>
      <c r="L1195" s="23">
        <v>101607.41</v>
      </c>
      <c r="M1195" s="23">
        <v>8</v>
      </c>
      <c r="N1195" s="23">
        <v>-42.62</v>
      </c>
      <c r="O1195" s="31">
        <v>-6.7999999999999996E-3</v>
      </c>
      <c r="P1195" s="31">
        <v>1.9E-3</v>
      </c>
      <c r="Q1195" s="23" t="s">
        <v>24</v>
      </c>
      <c r="R1195" s="23">
        <v>0</v>
      </c>
      <c r="S1195" s="23">
        <v>51.35</v>
      </c>
      <c r="U1195" s="47">
        <f>VLOOKUP(AU1195,[1]expiry_dates!$B$2:$C$2894,2,FALSE)</f>
        <v>44434</v>
      </c>
      <c r="V1195" s="23" t="s">
        <v>126</v>
      </c>
      <c r="W1195" s="23" t="s">
        <v>23</v>
      </c>
      <c r="X1195" s="49">
        <v>44411.625</v>
      </c>
      <c r="Y1195" s="23">
        <v>1.95</v>
      </c>
      <c r="Z1195" s="23">
        <v>44412.40625</v>
      </c>
      <c r="AA1195" s="23">
        <v>2.1</v>
      </c>
      <c r="AB1195" s="23">
        <v>7.6899999999999996E-2</v>
      </c>
      <c r="AC1195" s="23">
        <v>-5267.77</v>
      </c>
      <c r="AD1195" s="23">
        <v>-7.6899999999999996E-2</v>
      </c>
      <c r="AE1195" s="23">
        <v>35118.46</v>
      </c>
      <c r="AF1195" s="23">
        <v>68480.990000000005</v>
      </c>
      <c r="AG1195" s="23">
        <v>3689174.34</v>
      </c>
      <c r="AH1195" s="23">
        <v>8</v>
      </c>
      <c r="AI1195" s="23">
        <v>-658.47</v>
      </c>
      <c r="AJ1195" s="23">
        <v>-0.1026</v>
      </c>
      <c r="AK1195" s="23">
        <v>2.5600000000000001E-2</v>
      </c>
      <c r="AL1195" s="23" t="s">
        <v>24</v>
      </c>
      <c r="AM1195" s="23">
        <v>51.85</v>
      </c>
      <c r="AN1195" s="23">
        <v>35208</v>
      </c>
      <c r="AO1195" s="23">
        <v>51.35</v>
      </c>
      <c r="AP1195" s="23">
        <v>0</v>
      </c>
      <c r="AR1195" s="46"/>
      <c r="AS1195" s="44"/>
      <c r="AT1195" s="45"/>
      <c r="AU1195" s="2">
        <v>44411</v>
      </c>
      <c r="AV1195" s="52">
        <v>0.125</v>
      </c>
      <c r="AW1195" s="2" t="s">
        <v>213</v>
      </c>
      <c r="AY1195" s="3"/>
      <c r="BA1195" s="3"/>
      <c r="BG1195" s="3"/>
      <c r="BH1195" s="3"/>
    </row>
    <row r="1196" spans="1:60">
      <c r="A1196" s="23" t="s">
        <v>22</v>
      </c>
      <c r="B1196" s="23" t="s">
        <v>23</v>
      </c>
      <c r="C1196" s="27">
        <v>44412.40625</v>
      </c>
      <c r="D1196" s="23">
        <v>51.5</v>
      </c>
      <c r="E1196" s="27">
        <v>44413.59375</v>
      </c>
      <c r="F1196" s="23">
        <v>47.5</v>
      </c>
      <c r="G1196" s="31">
        <v>-7.7700000000000005E-2</v>
      </c>
      <c r="H1196" s="23">
        <v>3923.03</v>
      </c>
      <c r="I1196" s="31">
        <v>7.7700000000000005E-2</v>
      </c>
      <c r="J1196" s="23">
        <v>980.75750000000005</v>
      </c>
      <c r="K1196" s="23">
        <v>50509.01</v>
      </c>
      <c r="L1196" s="23">
        <v>105530.44</v>
      </c>
      <c r="M1196" s="23">
        <v>47</v>
      </c>
      <c r="N1196" s="23">
        <v>83.47</v>
      </c>
      <c r="O1196" s="31">
        <v>-4.8999999999999998E-3</v>
      </c>
      <c r="P1196" s="31">
        <v>0.10680000000000001</v>
      </c>
      <c r="Q1196" s="23" t="s">
        <v>24</v>
      </c>
      <c r="R1196" s="23">
        <v>0</v>
      </c>
      <c r="S1196" s="23">
        <v>51.94</v>
      </c>
      <c r="U1196" s="47">
        <f>VLOOKUP(AU1196,[1]expiry_dates!$B$2:$C$2894,2,FALSE)</f>
        <v>44434</v>
      </c>
      <c r="V1196" s="23" t="s">
        <v>125</v>
      </c>
      <c r="W1196" s="23" t="s">
        <v>23</v>
      </c>
      <c r="X1196" s="49">
        <v>44412.40625</v>
      </c>
      <c r="Y1196" s="23">
        <v>1.9</v>
      </c>
      <c r="Z1196" s="23">
        <v>44413.59375</v>
      </c>
      <c r="AA1196" s="23">
        <v>0.75</v>
      </c>
      <c r="AB1196" s="23">
        <v>-0.60529999999999995</v>
      </c>
      <c r="AC1196" s="23">
        <v>41433.08</v>
      </c>
      <c r="AD1196" s="23">
        <v>0.60529999999999995</v>
      </c>
      <c r="AE1196" s="23">
        <v>36028.769999999997</v>
      </c>
      <c r="AF1196" s="23">
        <v>68454.66</v>
      </c>
      <c r="AG1196" s="23">
        <v>3730607.42</v>
      </c>
      <c r="AH1196" s="23">
        <v>47</v>
      </c>
      <c r="AI1196" s="23">
        <v>881.55</v>
      </c>
      <c r="AJ1196" s="23">
        <v>-5.2600000000000001E-2</v>
      </c>
      <c r="AK1196" s="23">
        <v>0.68420000000000003</v>
      </c>
      <c r="AL1196" s="23" t="s">
        <v>24</v>
      </c>
      <c r="AM1196" s="23">
        <v>51.5</v>
      </c>
      <c r="AN1196" s="23">
        <v>35622.1</v>
      </c>
      <c r="AO1196" s="23">
        <v>51.94</v>
      </c>
      <c r="AP1196" s="23">
        <v>0</v>
      </c>
      <c r="AR1196" s="46"/>
      <c r="AS1196" s="44"/>
      <c r="AT1196" s="45"/>
      <c r="AU1196" s="2">
        <v>44412</v>
      </c>
      <c r="AV1196" s="52">
        <v>0.40625</v>
      </c>
      <c r="AW1196" s="2" t="s">
        <v>212</v>
      </c>
      <c r="AY1196" s="3"/>
      <c r="BA1196" s="3"/>
      <c r="BG1196" s="3"/>
      <c r="BH1196" s="3"/>
    </row>
    <row r="1197" spans="1:60">
      <c r="A1197" s="23" t="s">
        <v>22</v>
      </c>
      <c r="B1197" s="23" t="s">
        <v>25</v>
      </c>
      <c r="C1197" s="27">
        <v>44413.59375</v>
      </c>
      <c r="D1197" s="23">
        <v>47.5</v>
      </c>
      <c r="E1197" s="27">
        <v>44414.510416666664</v>
      </c>
      <c r="F1197" s="23">
        <v>48.2</v>
      </c>
      <c r="G1197" s="31">
        <v>1.47E-2</v>
      </c>
      <c r="H1197" s="23">
        <v>744.65</v>
      </c>
      <c r="I1197" s="31">
        <v>1.47E-2</v>
      </c>
      <c r="J1197" s="23">
        <v>1063.7860000000001</v>
      </c>
      <c r="K1197" s="23">
        <v>50529.86</v>
      </c>
      <c r="L1197" s="23">
        <v>106275.09</v>
      </c>
      <c r="M1197" s="23">
        <v>21</v>
      </c>
      <c r="N1197" s="23">
        <v>35.46</v>
      </c>
      <c r="O1197" s="31">
        <v>-1.0500000000000001E-2</v>
      </c>
      <c r="P1197" s="31">
        <v>4.3200000000000002E-2</v>
      </c>
      <c r="Q1197" s="23" t="s">
        <v>24</v>
      </c>
      <c r="R1197" s="23">
        <v>0</v>
      </c>
      <c r="S1197" s="23">
        <v>46.03</v>
      </c>
      <c r="U1197" s="47">
        <f>VLOOKUP(AU1197,[1]expiry_dates!$B$2:$C$2894,2,FALSE)</f>
        <v>44434</v>
      </c>
      <c r="V1197" s="23" t="s">
        <v>107</v>
      </c>
      <c r="W1197" s="23" t="s">
        <v>23</v>
      </c>
      <c r="X1197" s="49">
        <v>44413.59375</v>
      </c>
      <c r="Y1197" s="23">
        <v>1.4</v>
      </c>
      <c r="Z1197" s="23">
        <v>44414.510416666664</v>
      </c>
      <c r="AA1197" s="23">
        <v>1.1499999999999999</v>
      </c>
      <c r="AB1197" s="23">
        <v>-0.17860000000000001</v>
      </c>
      <c r="AC1197" s="23">
        <v>12261.08</v>
      </c>
      <c r="AD1197" s="23">
        <v>0.17860000000000001</v>
      </c>
      <c r="AE1197" s="23">
        <v>49044.32</v>
      </c>
      <c r="AF1197" s="23">
        <v>68662.039999999994</v>
      </c>
      <c r="AG1197" s="23">
        <v>3742868.5</v>
      </c>
      <c r="AH1197" s="23">
        <v>21</v>
      </c>
      <c r="AI1197" s="23">
        <v>583.86</v>
      </c>
      <c r="AJ1197" s="23">
        <v>-7.1400000000000005E-2</v>
      </c>
      <c r="AK1197" s="23">
        <v>0.46429999999999999</v>
      </c>
      <c r="AL1197" s="23" t="s">
        <v>24</v>
      </c>
      <c r="AM1197" s="23">
        <v>47.5</v>
      </c>
      <c r="AN1197" s="23">
        <v>35961.199999999997</v>
      </c>
      <c r="AO1197" s="23">
        <v>46.03</v>
      </c>
      <c r="AP1197" s="23">
        <v>0</v>
      </c>
      <c r="AR1197" s="46"/>
      <c r="AS1197" s="44"/>
      <c r="AT1197" s="45"/>
      <c r="AU1197" s="2">
        <v>44413</v>
      </c>
      <c r="AV1197" s="52">
        <v>9.375E-2</v>
      </c>
      <c r="AW1197" s="2" t="s">
        <v>213</v>
      </c>
      <c r="AY1197" s="3"/>
      <c r="BA1197" s="3"/>
      <c r="BG1197" s="3"/>
      <c r="BH1197" s="3"/>
    </row>
    <row r="1198" spans="1:60">
      <c r="A1198" s="23" t="s">
        <v>22</v>
      </c>
      <c r="B1198" s="23" t="s">
        <v>23</v>
      </c>
      <c r="C1198" s="27">
        <v>44414.510416666664</v>
      </c>
      <c r="D1198" s="23">
        <v>48.2</v>
      </c>
      <c r="E1198" s="27">
        <v>44414.625</v>
      </c>
      <c r="F1198" s="23">
        <v>49.3</v>
      </c>
      <c r="G1198" s="31">
        <v>2.2800000000000001E-2</v>
      </c>
      <c r="H1198" s="23">
        <v>-1153.2</v>
      </c>
      <c r="I1198" s="31">
        <v>-2.2800000000000001E-2</v>
      </c>
      <c r="J1198" s="23">
        <v>1048.3630000000001</v>
      </c>
      <c r="K1198" s="23">
        <v>50531.11</v>
      </c>
      <c r="L1198" s="23">
        <v>105121.89</v>
      </c>
      <c r="M1198" s="23">
        <v>12</v>
      </c>
      <c r="N1198" s="23">
        <v>-96.1</v>
      </c>
      <c r="O1198" s="31">
        <v>-2.2800000000000001E-2</v>
      </c>
      <c r="P1198" s="31">
        <v>2.0999999999999999E-3</v>
      </c>
      <c r="Q1198" s="23" t="s">
        <v>24</v>
      </c>
      <c r="R1198" s="23">
        <v>0</v>
      </c>
      <c r="S1198" s="23">
        <v>49.52</v>
      </c>
      <c r="U1198" s="47">
        <f>VLOOKUP(AU1198,[1]expiry_dates!$B$2:$C$2894,2,FALSE)</f>
        <v>44434</v>
      </c>
      <c r="V1198" s="23" t="s">
        <v>106</v>
      </c>
      <c r="W1198" s="23" t="s">
        <v>23</v>
      </c>
      <c r="X1198" s="49">
        <v>44414.510416666664</v>
      </c>
      <c r="Y1198" s="23">
        <v>2.2000000000000002</v>
      </c>
      <c r="Z1198" s="23">
        <v>44414.625</v>
      </c>
      <c r="AA1198" s="23">
        <v>2.75</v>
      </c>
      <c r="AB1198" s="23">
        <v>0.25</v>
      </c>
      <c r="AC1198" s="23">
        <v>-17181.650000000001</v>
      </c>
      <c r="AD1198" s="23">
        <v>-0.25</v>
      </c>
      <c r="AE1198" s="23">
        <v>31239.37</v>
      </c>
      <c r="AF1198" s="23">
        <v>68726.600000000006</v>
      </c>
      <c r="AG1198" s="23">
        <v>3725686.85</v>
      </c>
      <c r="AH1198" s="23">
        <v>12</v>
      </c>
      <c r="AI1198" s="23">
        <v>-1431.8</v>
      </c>
      <c r="AJ1198" s="23">
        <v>-0.25</v>
      </c>
      <c r="AK1198" s="23">
        <v>2.2700000000000001E-2</v>
      </c>
      <c r="AL1198" s="23" t="s">
        <v>24</v>
      </c>
      <c r="AM1198" s="23">
        <v>48.2</v>
      </c>
      <c r="AN1198" s="23">
        <v>35837.599999999999</v>
      </c>
      <c r="AO1198" s="23">
        <v>49.52</v>
      </c>
      <c r="AP1198" s="23">
        <v>0</v>
      </c>
      <c r="AR1198" s="46"/>
      <c r="AS1198" s="44"/>
      <c r="AT1198" s="45"/>
      <c r="AU1198" s="2">
        <v>44414</v>
      </c>
      <c r="AV1198" s="52">
        <v>0.51041666666666663</v>
      </c>
      <c r="AW1198" s="2" t="s">
        <v>213</v>
      </c>
      <c r="AY1198" s="3"/>
      <c r="BA1198" s="3"/>
      <c r="BG1198" s="3"/>
      <c r="BH1198" s="3"/>
    </row>
    <row r="1199" spans="1:60">
      <c r="A1199" s="23" t="s">
        <v>22</v>
      </c>
      <c r="B1199" s="23" t="s">
        <v>25</v>
      </c>
      <c r="C1199" s="27">
        <v>44414.625</v>
      </c>
      <c r="D1199" s="23">
        <v>49.3</v>
      </c>
      <c r="E1199" s="27">
        <v>44417.395833333336</v>
      </c>
      <c r="F1199" s="23">
        <v>48.6</v>
      </c>
      <c r="G1199" s="31">
        <v>-1.4200000000000001E-2</v>
      </c>
      <c r="H1199" s="23">
        <v>-717.45</v>
      </c>
      <c r="I1199" s="31">
        <v>-1.4200000000000001E-2</v>
      </c>
      <c r="J1199" s="23">
        <v>1024.924</v>
      </c>
      <c r="K1199" s="23">
        <v>50528.76</v>
      </c>
      <c r="L1199" s="23">
        <v>104404.44</v>
      </c>
      <c r="M1199" s="23">
        <v>7</v>
      </c>
      <c r="N1199" s="23">
        <v>-102.49</v>
      </c>
      <c r="O1199" s="31">
        <v>-1.83E-2</v>
      </c>
      <c r="P1199" s="31">
        <v>3.0000000000000001E-3</v>
      </c>
      <c r="Q1199" s="23" t="s">
        <v>24</v>
      </c>
      <c r="R1199" s="23">
        <v>0</v>
      </c>
      <c r="S1199" s="23">
        <v>48.14</v>
      </c>
      <c r="U1199" s="47">
        <f>VLOOKUP(AU1199,[1]expiry_dates!$B$2:$C$2894,2,FALSE)</f>
        <v>44434</v>
      </c>
      <c r="V1199" s="23" t="s">
        <v>122</v>
      </c>
      <c r="W1199" s="23" t="s">
        <v>23</v>
      </c>
      <c r="X1199" s="49">
        <v>44414.625</v>
      </c>
      <c r="Y1199" s="23">
        <v>1.9</v>
      </c>
      <c r="Z1199" s="23">
        <v>44417.395833333336</v>
      </c>
      <c r="AA1199" s="23">
        <v>2.15</v>
      </c>
      <c r="AB1199" s="23">
        <v>0.13159999999999999</v>
      </c>
      <c r="AC1199" s="23">
        <v>-9035.2000000000007</v>
      </c>
      <c r="AD1199" s="23">
        <v>-0.13159999999999999</v>
      </c>
      <c r="AE1199" s="23">
        <v>36140.78</v>
      </c>
      <c r="AF1199" s="23">
        <v>68667.48</v>
      </c>
      <c r="AG1199" s="23">
        <v>3716651.65</v>
      </c>
      <c r="AH1199" s="23">
        <v>7</v>
      </c>
      <c r="AI1199" s="23">
        <v>-1290.74</v>
      </c>
      <c r="AJ1199" s="23">
        <v>-0.15790000000000001</v>
      </c>
      <c r="AK1199" s="23">
        <v>2.63E-2</v>
      </c>
      <c r="AL1199" s="23" t="s">
        <v>24</v>
      </c>
      <c r="AM1199" s="23">
        <v>49.3</v>
      </c>
      <c r="AN1199" s="23">
        <v>35789.300000000003</v>
      </c>
      <c r="AO1199" s="23">
        <v>48.14</v>
      </c>
      <c r="AP1199" s="23">
        <v>0</v>
      </c>
      <c r="AR1199" s="46"/>
      <c r="AS1199" s="44"/>
      <c r="AT1199" s="45"/>
      <c r="AU1199" s="2">
        <v>44414</v>
      </c>
      <c r="AV1199" s="52">
        <v>0.125</v>
      </c>
      <c r="AW1199" s="2" t="s">
        <v>213</v>
      </c>
      <c r="AY1199" s="3"/>
      <c r="BA1199" s="3"/>
      <c r="BG1199" s="3"/>
      <c r="BH1199" s="3"/>
    </row>
    <row r="1200" spans="1:60">
      <c r="A1200" s="23" t="s">
        <v>22</v>
      </c>
      <c r="B1200" s="23" t="s">
        <v>23</v>
      </c>
      <c r="C1200" s="27">
        <v>44417.395833333336</v>
      </c>
      <c r="D1200" s="23">
        <v>48.6</v>
      </c>
      <c r="E1200" s="27">
        <v>44419.5</v>
      </c>
      <c r="F1200" s="23">
        <v>45.35</v>
      </c>
      <c r="G1200" s="31">
        <v>-6.6900000000000001E-2</v>
      </c>
      <c r="H1200" s="23">
        <v>3378.51</v>
      </c>
      <c r="I1200" s="31">
        <v>6.6900000000000001E-2</v>
      </c>
      <c r="J1200" s="23">
        <v>1039.5429999999999</v>
      </c>
      <c r="K1200" s="23">
        <v>50521.77</v>
      </c>
      <c r="L1200" s="23">
        <v>107782.96</v>
      </c>
      <c r="M1200" s="23">
        <v>67</v>
      </c>
      <c r="N1200" s="23">
        <v>50.43</v>
      </c>
      <c r="O1200" s="31">
        <v>-9.2999999999999992E-3</v>
      </c>
      <c r="P1200" s="31">
        <v>9.2600000000000002E-2</v>
      </c>
      <c r="Q1200" s="23" t="s">
        <v>24</v>
      </c>
      <c r="R1200" s="23">
        <v>0</v>
      </c>
      <c r="S1200" s="23">
        <v>49.43</v>
      </c>
      <c r="U1200" s="47">
        <f>VLOOKUP(AU1200,[1]expiry_dates!$B$2:$C$2894,2,FALSE)</f>
        <v>44434</v>
      </c>
      <c r="V1200" s="23" t="s">
        <v>123</v>
      </c>
      <c r="W1200" s="23" t="s">
        <v>23</v>
      </c>
      <c r="X1200" s="49">
        <v>44417.395833333336</v>
      </c>
      <c r="Y1200" s="23">
        <v>1.8</v>
      </c>
      <c r="Z1200" s="23">
        <v>44419.5</v>
      </c>
      <c r="AA1200" s="23">
        <v>0.65</v>
      </c>
      <c r="AB1200" s="23">
        <v>-0.63890000000000002</v>
      </c>
      <c r="AC1200" s="23">
        <v>43811.31</v>
      </c>
      <c r="AD1200" s="23">
        <v>0.63890000000000002</v>
      </c>
      <c r="AE1200" s="23">
        <v>38096.79</v>
      </c>
      <c r="AF1200" s="23">
        <v>68574.23</v>
      </c>
      <c r="AG1200" s="23">
        <v>3760462.97</v>
      </c>
      <c r="AH1200" s="23">
        <v>67</v>
      </c>
      <c r="AI1200" s="23">
        <v>653.9</v>
      </c>
      <c r="AJ1200" s="23">
        <v>-0.19439999999999999</v>
      </c>
      <c r="AK1200" s="23">
        <v>0.72219999999999995</v>
      </c>
      <c r="AL1200" s="23" t="s">
        <v>24</v>
      </c>
      <c r="AM1200" s="23">
        <v>48.6</v>
      </c>
      <c r="AN1200" s="23">
        <v>36072.1</v>
      </c>
      <c r="AO1200" s="23">
        <v>49.43</v>
      </c>
      <c r="AP1200" s="23">
        <v>0</v>
      </c>
      <c r="AR1200" s="46"/>
      <c r="AS1200" s="44"/>
      <c r="AT1200" s="45"/>
      <c r="AU1200" s="2">
        <v>44417</v>
      </c>
      <c r="AV1200" s="52">
        <v>0.39583333333333331</v>
      </c>
      <c r="AW1200" s="2" t="s">
        <v>212</v>
      </c>
      <c r="AY1200" s="3"/>
      <c r="BA1200" s="3"/>
      <c r="BG1200" s="3"/>
      <c r="BH1200" s="3"/>
    </row>
    <row r="1201" spans="1:60">
      <c r="A1201" s="23" t="s">
        <v>22</v>
      </c>
      <c r="B1201" s="23" t="s">
        <v>25</v>
      </c>
      <c r="C1201" s="27">
        <v>44419.5</v>
      </c>
      <c r="D1201" s="23">
        <v>45.35</v>
      </c>
      <c r="E1201" s="27">
        <v>44420.385416666664</v>
      </c>
      <c r="F1201" s="23">
        <v>45.85</v>
      </c>
      <c r="G1201" s="31">
        <v>1.0999999999999999E-2</v>
      </c>
      <c r="H1201" s="23">
        <v>557.25</v>
      </c>
      <c r="I1201" s="31">
        <v>1.0999999999999999E-2</v>
      </c>
      <c r="J1201" s="23">
        <v>1114.5050000000001</v>
      </c>
      <c r="K1201" s="23">
        <v>50542.81</v>
      </c>
      <c r="L1201" s="23">
        <v>108340.21</v>
      </c>
      <c r="M1201" s="23">
        <v>18</v>
      </c>
      <c r="N1201" s="23">
        <v>30.96</v>
      </c>
      <c r="O1201" s="31">
        <v>-1.6500000000000001E-2</v>
      </c>
      <c r="P1201" s="31">
        <v>4.0800000000000003E-2</v>
      </c>
      <c r="Q1201" s="23" t="s">
        <v>24</v>
      </c>
      <c r="R1201" s="23">
        <v>0</v>
      </c>
      <c r="S1201" s="23">
        <v>44.1</v>
      </c>
      <c r="U1201" s="47">
        <f>VLOOKUP(AU1201,[1]expiry_dates!$B$2:$C$2894,2,FALSE)</f>
        <v>44434</v>
      </c>
      <c r="V1201" s="23" t="s">
        <v>109</v>
      </c>
      <c r="W1201" s="23" t="s">
        <v>23</v>
      </c>
      <c r="X1201" s="49">
        <v>44419.5</v>
      </c>
      <c r="Y1201" s="23">
        <v>1.4</v>
      </c>
      <c r="Z1201" s="23">
        <v>44420.385416666664</v>
      </c>
      <c r="AA1201" s="23">
        <v>1.25</v>
      </c>
      <c r="AB1201" s="23">
        <v>-0.1071</v>
      </c>
      <c r="AC1201" s="23">
        <v>7373.72</v>
      </c>
      <c r="AD1201" s="23">
        <v>0.1071</v>
      </c>
      <c r="AE1201" s="23">
        <v>49158.12</v>
      </c>
      <c r="AF1201" s="23">
        <v>68821.36</v>
      </c>
      <c r="AG1201" s="23">
        <v>3767836.68</v>
      </c>
      <c r="AH1201" s="23">
        <v>18</v>
      </c>
      <c r="AI1201" s="23">
        <v>409.65</v>
      </c>
      <c r="AJ1201" s="23">
        <v>-0.28570000000000001</v>
      </c>
      <c r="AK1201" s="23">
        <v>0.39290000000000003</v>
      </c>
      <c r="AL1201" s="23" t="s">
        <v>24</v>
      </c>
      <c r="AM1201" s="23">
        <v>45.35</v>
      </c>
      <c r="AN1201" s="23">
        <v>35635.4</v>
      </c>
      <c r="AO1201" s="23">
        <v>44.1</v>
      </c>
      <c r="AP1201" s="23">
        <v>0</v>
      </c>
      <c r="AR1201" s="46"/>
      <c r="AS1201" s="44"/>
      <c r="AT1201" s="45"/>
      <c r="AU1201" s="2">
        <v>44419</v>
      </c>
      <c r="AV1201" s="52">
        <v>0.5</v>
      </c>
      <c r="AW1201" s="2" t="s">
        <v>213</v>
      </c>
      <c r="AY1201" s="3"/>
      <c r="BA1201" s="3"/>
      <c r="BG1201" s="3"/>
      <c r="BH1201" s="3"/>
    </row>
    <row r="1202" spans="1:60">
      <c r="A1202" s="23" t="s">
        <v>22</v>
      </c>
      <c r="B1202" s="23" t="s">
        <v>23</v>
      </c>
      <c r="C1202" s="27">
        <v>44420.385416666664</v>
      </c>
      <c r="D1202" s="23">
        <v>45.85</v>
      </c>
      <c r="E1202" s="27">
        <v>44420.583333333336</v>
      </c>
      <c r="F1202" s="23">
        <v>45.95</v>
      </c>
      <c r="G1202" s="31">
        <v>2.2000000000000001E-3</v>
      </c>
      <c r="H1202" s="23">
        <v>-110.24</v>
      </c>
      <c r="I1202" s="31">
        <v>-2.2000000000000001E-3</v>
      </c>
      <c r="J1202" s="23">
        <v>1102.424</v>
      </c>
      <c r="K1202" s="23">
        <v>50546.16</v>
      </c>
      <c r="L1202" s="23">
        <v>108229.97</v>
      </c>
      <c r="M1202" s="23">
        <v>20</v>
      </c>
      <c r="N1202" s="23">
        <v>-5.51</v>
      </c>
      <c r="O1202" s="31">
        <v>-2.07E-2</v>
      </c>
      <c r="P1202" s="31">
        <v>4.4000000000000003E-3</v>
      </c>
      <c r="Q1202" s="23" t="s">
        <v>24</v>
      </c>
      <c r="R1202" s="23">
        <v>0</v>
      </c>
      <c r="S1202" s="23">
        <v>47.2</v>
      </c>
      <c r="U1202" s="47">
        <f>VLOOKUP(AU1202,[1]expiry_dates!$B$2:$C$2894,2,FALSE)</f>
        <v>44434</v>
      </c>
      <c r="V1202" s="23" t="s">
        <v>110</v>
      </c>
      <c r="W1202" s="23" t="s">
        <v>23</v>
      </c>
      <c r="X1202" s="49">
        <v>44420.385416666664</v>
      </c>
      <c r="Y1202" s="23">
        <v>1.65</v>
      </c>
      <c r="Z1202" s="23">
        <v>44420.583333333336</v>
      </c>
      <c r="AA1202" s="23">
        <v>1.65</v>
      </c>
      <c r="AB1202" s="23">
        <v>0</v>
      </c>
      <c r="AC1202" s="23">
        <v>0</v>
      </c>
      <c r="AD1202" s="23">
        <v>0</v>
      </c>
      <c r="AE1202" s="23">
        <v>41750.51</v>
      </c>
      <c r="AF1202" s="23">
        <v>68888.34</v>
      </c>
      <c r="AG1202" s="23">
        <v>3767836.68</v>
      </c>
      <c r="AH1202" s="23">
        <v>20</v>
      </c>
      <c r="AI1202" s="23">
        <v>0</v>
      </c>
      <c r="AJ1202" s="23">
        <v>-0.2727</v>
      </c>
      <c r="AK1202" s="23">
        <v>6.0600000000000001E-2</v>
      </c>
      <c r="AL1202" s="23" t="s">
        <v>24</v>
      </c>
      <c r="AM1202" s="23">
        <v>45.85</v>
      </c>
      <c r="AN1202" s="23">
        <v>35765.550000000003</v>
      </c>
      <c r="AO1202" s="23">
        <v>47.2</v>
      </c>
      <c r="AP1202" s="23">
        <v>0</v>
      </c>
      <c r="AR1202" s="46"/>
      <c r="AS1202" s="44"/>
      <c r="AT1202" s="45"/>
      <c r="AU1202" s="2">
        <v>44420</v>
      </c>
      <c r="AV1202" s="52">
        <v>0.38541666666666669</v>
      </c>
      <c r="AW1202" s="2" t="s">
        <v>212</v>
      </c>
      <c r="AY1202" s="3"/>
      <c r="BA1202" s="3"/>
      <c r="BG1202" s="3"/>
      <c r="BH1202" s="3"/>
    </row>
    <row r="1203" spans="1:60">
      <c r="A1203" s="23" t="s">
        <v>22</v>
      </c>
      <c r="B1203" s="23" t="s">
        <v>25</v>
      </c>
      <c r="C1203" s="27">
        <v>44420.583333333336</v>
      </c>
      <c r="D1203" s="23">
        <v>45.95</v>
      </c>
      <c r="E1203" s="27">
        <v>44420.614583333336</v>
      </c>
      <c r="F1203" s="23">
        <v>45.8</v>
      </c>
      <c r="G1203" s="31">
        <v>-3.3E-3</v>
      </c>
      <c r="H1203" s="23">
        <v>-164.98</v>
      </c>
      <c r="I1203" s="31">
        <v>-3.3E-3</v>
      </c>
      <c r="J1203" s="23">
        <v>1099.8979999999999</v>
      </c>
      <c r="K1203" s="23">
        <v>50540.32</v>
      </c>
      <c r="L1203" s="23">
        <v>108064.98</v>
      </c>
      <c r="M1203" s="23">
        <v>4</v>
      </c>
      <c r="N1203" s="23">
        <v>-41.25</v>
      </c>
      <c r="O1203" s="31">
        <v>-3.3E-3</v>
      </c>
      <c r="P1203" s="31">
        <v>6.4999999999999997E-3</v>
      </c>
      <c r="Q1203" s="23" t="s">
        <v>24</v>
      </c>
      <c r="R1203" s="23">
        <v>0</v>
      </c>
      <c r="S1203" s="23">
        <v>45.67</v>
      </c>
      <c r="U1203" s="47">
        <f>VLOOKUP(AU1203,[1]expiry_dates!$B$2:$C$2894,2,FALSE)</f>
        <v>44434</v>
      </c>
      <c r="V1203" s="23" t="s">
        <v>107</v>
      </c>
      <c r="W1203" s="23" t="s">
        <v>23</v>
      </c>
      <c r="X1203" s="49">
        <v>44420.583333333336</v>
      </c>
      <c r="Y1203" s="23">
        <v>1.6</v>
      </c>
      <c r="Z1203" s="23">
        <v>44420.614583333336</v>
      </c>
      <c r="AA1203" s="23">
        <v>1.7</v>
      </c>
      <c r="AB1203" s="23">
        <v>6.25E-2</v>
      </c>
      <c r="AC1203" s="23">
        <v>-4301.8</v>
      </c>
      <c r="AD1203" s="23">
        <v>-6.25E-2</v>
      </c>
      <c r="AE1203" s="23">
        <v>43017.96</v>
      </c>
      <c r="AF1203" s="23">
        <v>68828.740000000005</v>
      </c>
      <c r="AG1203" s="23">
        <v>3763534.89</v>
      </c>
      <c r="AH1203" s="23">
        <v>4</v>
      </c>
      <c r="AI1203" s="23">
        <v>-1075.45</v>
      </c>
      <c r="AJ1203" s="23">
        <v>-6.25E-2</v>
      </c>
      <c r="AK1203" s="23">
        <v>0.125</v>
      </c>
      <c r="AL1203" s="23" t="s">
        <v>24</v>
      </c>
      <c r="AM1203" s="23">
        <v>45.95</v>
      </c>
      <c r="AN1203" s="23">
        <v>35849.699999999997</v>
      </c>
      <c r="AO1203" s="23">
        <v>45.67</v>
      </c>
      <c r="AP1203" s="23">
        <v>0</v>
      </c>
      <c r="AR1203" s="46"/>
      <c r="AS1203" s="44"/>
      <c r="AT1203" s="45"/>
      <c r="AU1203" s="2">
        <v>44420</v>
      </c>
      <c r="AV1203" s="52">
        <v>8.3333333333333329E-2</v>
      </c>
      <c r="AW1203" s="2" t="s">
        <v>213</v>
      </c>
      <c r="AY1203" s="3"/>
      <c r="BA1203" s="3"/>
      <c r="BG1203" s="3"/>
      <c r="BH1203" s="3"/>
    </row>
    <row r="1204" spans="1:60">
      <c r="A1204" s="23" t="s">
        <v>22</v>
      </c>
      <c r="B1204" s="23" t="s">
        <v>23</v>
      </c>
      <c r="C1204" s="27">
        <v>44420.614583333336</v>
      </c>
      <c r="D1204" s="23">
        <v>45.8</v>
      </c>
      <c r="E1204" s="27">
        <v>44421.385416666664</v>
      </c>
      <c r="F1204" s="23">
        <v>46.25</v>
      </c>
      <c r="G1204" s="31">
        <v>9.7999999999999997E-3</v>
      </c>
      <c r="H1204" s="23">
        <v>-496.58</v>
      </c>
      <c r="I1204" s="31">
        <v>-9.7999999999999997E-3</v>
      </c>
      <c r="J1204" s="23">
        <v>1103.5070000000001</v>
      </c>
      <c r="K1204" s="23">
        <v>50540.6</v>
      </c>
      <c r="L1204" s="23">
        <v>107568.4</v>
      </c>
      <c r="M1204" s="23">
        <v>7</v>
      </c>
      <c r="N1204" s="23">
        <v>-70.94</v>
      </c>
      <c r="O1204" s="31">
        <v>-9.7999999999999997E-3</v>
      </c>
      <c r="P1204" s="31">
        <v>2.2000000000000001E-3</v>
      </c>
      <c r="Q1204" s="23" t="s">
        <v>24</v>
      </c>
      <c r="R1204" s="23">
        <v>0</v>
      </c>
      <c r="S1204" s="23">
        <v>46.24</v>
      </c>
      <c r="U1204" s="47">
        <f>VLOOKUP(AU1204,[1]expiry_dates!$B$2:$C$2894,2,FALSE)</f>
        <v>44434</v>
      </c>
      <c r="V1204" s="23" t="s">
        <v>110</v>
      </c>
      <c r="W1204" s="23" t="s">
        <v>23</v>
      </c>
      <c r="X1204" s="49">
        <v>44420.614583333336</v>
      </c>
      <c r="Y1204" s="23">
        <v>1.55</v>
      </c>
      <c r="Z1204" s="23">
        <v>44421.385416666664</v>
      </c>
      <c r="AA1204" s="23">
        <v>1.75</v>
      </c>
      <c r="AB1204" s="23">
        <v>0.129</v>
      </c>
      <c r="AC1204" s="23">
        <v>-8881.09</v>
      </c>
      <c r="AD1204" s="23">
        <v>-0.129</v>
      </c>
      <c r="AE1204" s="23">
        <v>44405.440000000002</v>
      </c>
      <c r="AF1204" s="23">
        <v>68828.429999999993</v>
      </c>
      <c r="AG1204" s="23">
        <v>3754653.8</v>
      </c>
      <c r="AH1204" s="23">
        <v>7</v>
      </c>
      <c r="AI1204" s="23">
        <v>-1268.73</v>
      </c>
      <c r="AJ1204" s="23">
        <v>-0.129</v>
      </c>
      <c r="AK1204" s="23">
        <v>3.2300000000000002E-2</v>
      </c>
      <c r="AL1204" s="23" t="s">
        <v>24</v>
      </c>
      <c r="AM1204" s="23">
        <v>45.8</v>
      </c>
      <c r="AN1204" s="23">
        <v>35880.25</v>
      </c>
      <c r="AO1204" s="23">
        <v>46.24</v>
      </c>
      <c r="AP1204" s="23">
        <v>0</v>
      </c>
      <c r="AR1204" s="46"/>
      <c r="AS1204" s="44"/>
      <c r="AT1204" s="45"/>
      <c r="AU1204" s="2">
        <v>44420</v>
      </c>
      <c r="AV1204" s="52">
        <v>0.11458333333333333</v>
      </c>
      <c r="AW1204" s="2" t="s">
        <v>213</v>
      </c>
      <c r="AY1204" s="3"/>
      <c r="BA1204" s="3"/>
      <c r="BG1204" s="3"/>
      <c r="BH1204" s="3"/>
    </row>
    <row r="1205" spans="1:60">
      <c r="A1205" s="23" t="s">
        <v>22</v>
      </c>
      <c r="B1205" s="23" t="s">
        <v>25</v>
      </c>
      <c r="C1205" s="27">
        <v>44421.385416666664</v>
      </c>
      <c r="D1205" s="23">
        <v>46.25</v>
      </c>
      <c r="E1205" s="27">
        <v>44421.416666666664</v>
      </c>
      <c r="F1205" s="23">
        <v>45.95</v>
      </c>
      <c r="G1205" s="31">
        <v>-6.4999999999999997E-3</v>
      </c>
      <c r="H1205" s="23">
        <v>-327.82</v>
      </c>
      <c r="I1205" s="31">
        <v>-6.4999999999999997E-3</v>
      </c>
      <c r="J1205" s="23">
        <v>1092.722</v>
      </c>
      <c r="K1205" s="23">
        <v>50538.39</v>
      </c>
      <c r="L1205" s="23">
        <v>107240.59</v>
      </c>
      <c r="M1205" s="23">
        <v>4</v>
      </c>
      <c r="N1205" s="23">
        <v>-81.95</v>
      </c>
      <c r="O1205" s="31">
        <v>-9.7000000000000003E-3</v>
      </c>
      <c r="P1205" s="31">
        <v>3.2000000000000002E-3</v>
      </c>
      <c r="Q1205" s="23" t="s">
        <v>24</v>
      </c>
      <c r="R1205" s="23">
        <v>0</v>
      </c>
      <c r="S1205" s="23">
        <v>45.73</v>
      </c>
      <c r="U1205" s="47">
        <f>VLOOKUP(AU1205,[1]expiry_dates!$B$2:$C$2894,2,FALSE)</f>
        <v>44434</v>
      </c>
      <c r="V1205" s="23" t="s">
        <v>107</v>
      </c>
      <c r="W1205" s="23" t="s">
        <v>23</v>
      </c>
      <c r="X1205" s="49">
        <v>44421.385416666664</v>
      </c>
      <c r="Y1205" s="23">
        <v>1.4</v>
      </c>
      <c r="Z1205" s="23">
        <v>44421.416666666664</v>
      </c>
      <c r="AA1205" s="23">
        <v>1.6</v>
      </c>
      <c r="AB1205" s="23">
        <v>0.1429</v>
      </c>
      <c r="AC1205" s="23">
        <v>-9829.51</v>
      </c>
      <c r="AD1205" s="23">
        <v>-0.1429</v>
      </c>
      <c r="AE1205" s="23">
        <v>49147.55</v>
      </c>
      <c r="AF1205" s="23">
        <v>68806.58</v>
      </c>
      <c r="AG1205" s="23">
        <v>3744824.29</v>
      </c>
      <c r="AH1205" s="23">
        <v>4</v>
      </c>
      <c r="AI1205" s="23">
        <v>-2457.38</v>
      </c>
      <c r="AJ1205" s="23">
        <v>-0.17860000000000001</v>
      </c>
      <c r="AK1205" s="23">
        <v>0</v>
      </c>
      <c r="AL1205" s="23" t="s">
        <v>24</v>
      </c>
      <c r="AM1205" s="23">
        <v>46.25</v>
      </c>
      <c r="AN1205" s="23">
        <v>36158.550000000003</v>
      </c>
      <c r="AO1205" s="23">
        <v>45.73</v>
      </c>
      <c r="AP1205" s="23">
        <v>0</v>
      </c>
      <c r="AR1205" s="46"/>
      <c r="AS1205" s="44"/>
      <c r="AT1205" s="45"/>
      <c r="AU1205" s="2">
        <v>44421</v>
      </c>
      <c r="AV1205" s="52">
        <v>0.38541666666666669</v>
      </c>
      <c r="AW1205" s="2" t="s">
        <v>212</v>
      </c>
      <c r="AY1205" s="3"/>
      <c r="BA1205" s="3"/>
      <c r="BG1205" s="3"/>
      <c r="BH1205" s="3"/>
    </row>
    <row r="1206" spans="1:60">
      <c r="A1206" s="23" t="s">
        <v>22</v>
      </c>
      <c r="B1206" s="23" t="s">
        <v>23</v>
      </c>
      <c r="C1206" s="27">
        <v>44421.416666666664</v>
      </c>
      <c r="D1206" s="23">
        <v>45.95</v>
      </c>
      <c r="E1206" s="27">
        <v>44421.4375</v>
      </c>
      <c r="F1206" s="23">
        <v>46.15</v>
      </c>
      <c r="G1206" s="31">
        <v>4.4000000000000003E-3</v>
      </c>
      <c r="H1206" s="23">
        <v>-219.96</v>
      </c>
      <c r="I1206" s="31">
        <v>-4.4000000000000003E-3</v>
      </c>
      <c r="J1206" s="23">
        <v>1099.82</v>
      </c>
      <c r="K1206" s="23">
        <v>50536.75</v>
      </c>
      <c r="L1206" s="23">
        <v>107020.62</v>
      </c>
      <c r="M1206" s="23">
        <v>3</v>
      </c>
      <c r="N1206" s="23">
        <v>-73.319999999999993</v>
      </c>
      <c r="O1206" s="31">
        <v>-4.4000000000000003E-3</v>
      </c>
      <c r="P1206" s="31">
        <v>4.4000000000000003E-3</v>
      </c>
      <c r="Q1206" s="23" t="s">
        <v>24</v>
      </c>
      <c r="R1206" s="23">
        <v>0</v>
      </c>
      <c r="S1206" s="23">
        <v>46.37</v>
      </c>
      <c r="U1206" s="47">
        <f>VLOOKUP(AU1206,[1]expiry_dates!$B$2:$C$2894,2,FALSE)</f>
        <v>44434</v>
      </c>
      <c r="V1206" s="23" t="s">
        <v>110</v>
      </c>
      <c r="W1206" s="23" t="s">
        <v>23</v>
      </c>
      <c r="X1206" s="49">
        <v>44421.416666666664</v>
      </c>
      <c r="Y1206" s="23">
        <v>1.65</v>
      </c>
      <c r="Z1206" s="23">
        <v>44421.4375</v>
      </c>
      <c r="AA1206" s="23">
        <v>1.75</v>
      </c>
      <c r="AB1206" s="23">
        <v>6.0600000000000001E-2</v>
      </c>
      <c r="AC1206" s="23">
        <v>-4166.59</v>
      </c>
      <c r="AD1206" s="23">
        <v>-6.0600000000000001E-2</v>
      </c>
      <c r="AE1206" s="23">
        <v>41665.879999999997</v>
      </c>
      <c r="AF1206" s="23">
        <v>68748.7</v>
      </c>
      <c r="AG1206" s="23">
        <v>3740657.7</v>
      </c>
      <c r="AH1206" s="23">
        <v>3</v>
      </c>
      <c r="AI1206" s="23">
        <v>-1388.86</v>
      </c>
      <c r="AJ1206" s="23">
        <v>-6.0600000000000001E-2</v>
      </c>
      <c r="AK1206" s="23">
        <v>6.0600000000000001E-2</v>
      </c>
      <c r="AL1206" s="23" t="s">
        <v>24</v>
      </c>
      <c r="AM1206" s="23">
        <v>45.95</v>
      </c>
      <c r="AN1206" s="23">
        <v>36074.65</v>
      </c>
      <c r="AO1206" s="23">
        <v>46.37</v>
      </c>
      <c r="AP1206" s="23">
        <v>0</v>
      </c>
      <c r="AR1206" s="46"/>
      <c r="AS1206" s="44"/>
      <c r="AT1206" s="45"/>
      <c r="AU1206" s="2">
        <v>44421</v>
      </c>
      <c r="AV1206" s="52">
        <v>0.41666666666666669</v>
      </c>
      <c r="AW1206" s="2" t="s">
        <v>212</v>
      </c>
      <c r="AY1206" s="3"/>
      <c r="BA1206" s="3"/>
      <c r="BG1206" s="3"/>
      <c r="BH1206" s="3"/>
    </row>
    <row r="1207" spans="1:60">
      <c r="A1207" s="23" t="s">
        <v>22</v>
      </c>
      <c r="B1207" s="23" t="s">
        <v>25</v>
      </c>
      <c r="C1207" s="27">
        <v>44421.4375</v>
      </c>
      <c r="D1207" s="23">
        <v>46.15</v>
      </c>
      <c r="E1207" s="27">
        <v>44421.489583333336</v>
      </c>
      <c r="F1207" s="23">
        <v>45.85</v>
      </c>
      <c r="G1207" s="31">
        <v>-6.4999999999999997E-3</v>
      </c>
      <c r="H1207" s="23">
        <v>-328.51</v>
      </c>
      <c r="I1207" s="31">
        <v>-6.4999999999999997E-3</v>
      </c>
      <c r="J1207" s="23">
        <v>1095.0360000000001</v>
      </c>
      <c r="K1207" s="23">
        <v>50535.93</v>
      </c>
      <c r="L1207" s="23">
        <v>106692.11</v>
      </c>
      <c r="M1207" s="23">
        <v>6</v>
      </c>
      <c r="N1207" s="23">
        <v>-54.75</v>
      </c>
      <c r="O1207" s="31">
        <v>-6.4999999999999997E-3</v>
      </c>
      <c r="P1207" s="31">
        <v>5.4000000000000003E-3</v>
      </c>
      <c r="Q1207" s="23" t="s">
        <v>24</v>
      </c>
      <c r="R1207" s="23">
        <v>0</v>
      </c>
      <c r="S1207" s="23">
        <v>45.75</v>
      </c>
      <c r="U1207" s="47">
        <f>VLOOKUP(AU1207,[1]expiry_dates!$B$2:$C$2894,2,FALSE)</f>
        <v>44434</v>
      </c>
      <c r="V1207" s="23" t="s">
        <v>118</v>
      </c>
      <c r="W1207" s="23" t="s">
        <v>23</v>
      </c>
      <c r="X1207" s="49">
        <v>44421.4375</v>
      </c>
      <c r="Y1207" s="23">
        <v>0.55000000000000004</v>
      </c>
      <c r="Z1207" s="23">
        <v>44421.489583333336</v>
      </c>
      <c r="AA1207" s="23">
        <v>0.55000000000000004</v>
      </c>
      <c r="AB1207" s="23">
        <v>0</v>
      </c>
      <c r="AC1207" s="23">
        <v>0</v>
      </c>
      <c r="AD1207" s="23">
        <v>0</v>
      </c>
      <c r="AE1207" s="23">
        <v>124971.9</v>
      </c>
      <c r="AF1207" s="23">
        <v>68734.539999999994</v>
      </c>
      <c r="AG1207" s="23">
        <v>3740657.7</v>
      </c>
      <c r="AH1207" s="23">
        <v>6</v>
      </c>
      <c r="AI1207" s="23">
        <v>0</v>
      </c>
      <c r="AJ1207" s="23">
        <v>0</v>
      </c>
      <c r="AK1207" s="23">
        <v>0</v>
      </c>
      <c r="AL1207" s="23" t="s">
        <v>24</v>
      </c>
      <c r="AM1207" s="23">
        <v>46.15</v>
      </c>
      <c r="AN1207" s="23">
        <v>36074.65</v>
      </c>
      <c r="AO1207" s="23">
        <v>45.75</v>
      </c>
      <c r="AP1207" s="23">
        <v>0</v>
      </c>
      <c r="AR1207" s="46"/>
      <c r="AS1207" s="44"/>
      <c r="AT1207" s="45"/>
      <c r="AU1207" s="2">
        <v>44421</v>
      </c>
      <c r="AV1207" s="52">
        <v>0.4375</v>
      </c>
      <c r="AW1207" s="2" t="s">
        <v>212</v>
      </c>
      <c r="AY1207" s="3"/>
      <c r="BA1207" s="3"/>
      <c r="BG1207" s="3"/>
      <c r="BH1207" s="3"/>
    </row>
    <row r="1208" spans="1:60">
      <c r="A1208" s="23" t="s">
        <v>22</v>
      </c>
      <c r="B1208" s="23" t="s">
        <v>23</v>
      </c>
      <c r="C1208" s="27">
        <v>44421.489583333336</v>
      </c>
      <c r="D1208" s="23">
        <v>45.85</v>
      </c>
      <c r="E1208" s="27">
        <v>44424.385416666664</v>
      </c>
      <c r="F1208" s="23">
        <v>45.5</v>
      </c>
      <c r="G1208" s="31">
        <v>-7.6E-3</v>
      </c>
      <c r="H1208" s="23">
        <v>385.76</v>
      </c>
      <c r="I1208" s="31">
        <v>7.6E-3</v>
      </c>
      <c r="J1208" s="23">
        <v>1102.165</v>
      </c>
      <c r="K1208" s="23">
        <v>50534.28</v>
      </c>
      <c r="L1208" s="23">
        <v>107077.87</v>
      </c>
      <c r="M1208" s="23">
        <v>19</v>
      </c>
      <c r="N1208" s="23">
        <v>20.3</v>
      </c>
      <c r="O1208" s="31">
        <v>-3.3E-3</v>
      </c>
      <c r="P1208" s="31">
        <v>1.9599999999999999E-2</v>
      </c>
      <c r="Q1208" s="23" t="s">
        <v>24</v>
      </c>
      <c r="R1208" s="23">
        <v>0</v>
      </c>
      <c r="S1208" s="23">
        <v>46.39</v>
      </c>
      <c r="U1208" s="47">
        <f>VLOOKUP(AU1208,[1]expiry_dates!$B$2:$C$2894,2,FALSE)</f>
        <v>44434</v>
      </c>
      <c r="V1208" s="23" t="s">
        <v>110</v>
      </c>
      <c r="W1208" s="23" t="s">
        <v>23</v>
      </c>
      <c r="X1208" s="49">
        <v>44421.489583333336</v>
      </c>
      <c r="Y1208" s="23">
        <v>1.55</v>
      </c>
      <c r="Z1208" s="23">
        <v>44424.385416666664</v>
      </c>
      <c r="AA1208" s="23">
        <v>1.2</v>
      </c>
      <c r="AB1208" s="23">
        <v>-0.2258</v>
      </c>
      <c r="AC1208" s="23">
        <v>15513.65</v>
      </c>
      <c r="AD1208" s="23">
        <v>0.2258</v>
      </c>
      <c r="AE1208" s="23">
        <v>44324.7</v>
      </c>
      <c r="AF1208" s="23">
        <v>68703.289999999994</v>
      </c>
      <c r="AG1208" s="23">
        <v>3756171.35</v>
      </c>
      <c r="AH1208" s="23">
        <v>19</v>
      </c>
      <c r="AI1208" s="23">
        <v>816.51</v>
      </c>
      <c r="AJ1208" s="23">
        <v>-3.2300000000000002E-2</v>
      </c>
      <c r="AK1208" s="23">
        <v>0.3226</v>
      </c>
      <c r="AL1208" s="23" t="s">
        <v>24</v>
      </c>
      <c r="AM1208" s="23">
        <v>45.85</v>
      </c>
      <c r="AN1208" s="23">
        <v>36113.9</v>
      </c>
      <c r="AO1208" s="23">
        <v>46.39</v>
      </c>
      <c r="AP1208" s="23">
        <v>0</v>
      </c>
      <c r="AR1208" s="46"/>
      <c r="AS1208" s="44"/>
      <c r="AT1208" s="45"/>
      <c r="AU1208" s="2">
        <v>44421</v>
      </c>
      <c r="AV1208" s="52">
        <v>0.48958333333333331</v>
      </c>
      <c r="AW1208" s="2" t="s">
        <v>212</v>
      </c>
      <c r="AY1208" s="3"/>
      <c r="BA1208" s="3"/>
      <c r="BG1208" s="3"/>
      <c r="BH1208" s="3"/>
    </row>
    <row r="1209" spans="1:60">
      <c r="A1209" s="23" t="s">
        <v>22</v>
      </c>
      <c r="B1209" s="23" t="s">
        <v>25</v>
      </c>
      <c r="C1209" s="27">
        <v>44424.385416666664</v>
      </c>
      <c r="D1209" s="23">
        <v>45.5</v>
      </c>
      <c r="E1209" s="27">
        <v>44424.40625</v>
      </c>
      <c r="F1209" s="23">
        <v>45</v>
      </c>
      <c r="G1209" s="31">
        <v>-1.0999999999999999E-2</v>
      </c>
      <c r="H1209" s="23">
        <v>-555.36</v>
      </c>
      <c r="I1209" s="31">
        <v>-1.0999999999999999E-2</v>
      </c>
      <c r="J1209" s="23">
        <v>1110.729</v>
      </c>
      <c r="K1209" s="23">
        <v>50538.15</v>
      </c>
      <c r="L1209" s="23">
        <v>106522.51</v>
      </c>
      <c r="M1209" s="23">
        <v>3</v>
      </c>
      <c r="N1209" s="23">
        <v>-185.12</v>
      </c>
      <c r="O1209" s="31">
        <v>-1.54E-2</v>
      </c>
      <c r="P1209" s="31">
        <v>4.4000000000000003E-3</v>
      </c>
      <c r="Q1209" s="23" t="s">
        <v>24</v>
      </c>
      <c r="R1209" s="23">
        <v>0</v>
      </c>
      <c r="S1209" s="23">
        <v>44.8</v>
      </c>
      <c r="U1209" s="47">
        <f>VLOOKUP(AU1209,[1]expiry_dates!$B$2:$C$2894,2,FALSE)</f>
        <v>44434</v>
      </c>
      <c r="V1209" s="23" t="s">
        <v>107</v>
      </c>
      <c r="W1209" s="23" t="s">
        <v>23</v>
      </c>
      <c r="X1209" s="49">
        <v>44424.385416666664</v>
      </c>
      <c r="Y1209" s="23">
        <v>1.65</v>
      </c>
      <c r="Z1209" s="23">
        <v>44424.40625</v>
      </c>
      <c r="AA1209" s="23">
        <v>1.95</v>
      </c>
      <c r="AB1209" s="23">
        <v>0.18179999999999999</v>
      </c>
      <c r="AC1209" s="23">
        <v>-12501.58</v>
      </c>
      <c r="AD1209" s="23">
        <v>-0.18179999999999999</v>
      </c>
      <c r="AE1209" s="23">
        <v>41671.94</v>
      </c>
      <c r="AF1209" s="23">
        <v>68758.7</v>
      </c>
      <c r="AG1209" s="23">
        <v>3743669.77</v>
      </c>
      <c r="AH1209" s="23">
        <v>3</v>
      </c>
      <c r="AI1209" s="23">
        <v>-4167.1899999999996</v>
      </c>
      <c r="AJ1209" s="23">
        <v>-0.18179999999999999</v>
      </c>
      <c r="AK1209" s="23">
        <v>6.0600000000000001E-2</v>
      </c>
      <c r="AL1209" s="23" t="s">
        <v>24</v>
      </c>
      <c r="AM1209" s="23">
        <v>45.5</v>
      </c>
      <c r="AN1209" s="23">
        <v>36169.85</v>
      </c>
      <c r="AO1209" s="23">
        <v>44.8</v>
      </c>
      <c r="AP1209" s="23">
        <v>0</v>
      </c>
      <c r="AR1209" s="46"/>
      <c r="AS1209" s="44"/>
      <c r="AT1209" s="45"/>
      <c r="AU1209" s="2">
        <v>44424</v>
      </c>
      <c r="AV1209" s="52">
        <v>0.38541666666666669</v>
      </c>
      <c r="AW1209" s="2" t="s">
        <v>212</v>
      </c>
      <c r="AY1209" s="3"/>
      <c r="BA1209" s="3"/>
      <c r="BG1209" s="3"/>
      <c r="BH1209" s="3"/>
    </row>
    <row r="1210" spans="1:60">
      <c r="A1210" s="23" t="s">
        <v>22</v>
      </c>
      <c r="B1210" s="23" t="s">
        <v>23</v>
      </c>
      <c r="C1210" s="27">
        <v>44424.40625</v>
      </c>
      <c r="D1210" s="23">
        <v>45</v>
      </c>
      <c r="E1210" s="27">
        <v>44424.53125</v>
      </c>
      <c r="F1210" s="23">
        <v>45.15</v>
      </c>
      <c r="G1210" s="31">
        <v>3.3E-3</v>
      </c>
      <c r="H1210" s="23">
        <v>-168.45</v>
      </c>
      <c r="I1210" s="31">
        <v>-3.3E-3</v>
      </c>
      <c r="J1210" s="23">
        <v>1122.972</v>
      </c>
      <c r="K1210" s="23">
        <v>50533.73</v>
      </c>
      <c r="L1210" s="23">
        <v>106354.06</v>
      </c>
      <c r="M1210" s="23">
        <v>13</v>
      </c>
      <c r="N1210" s="23">
        <v>-12.96</v>
      </c>
      <c r="O1210" s="31">
        <v>-5.5999999999999999E-3</v>
      </c>
      <c r="P1210" s="31">
        <v>5.5999999999999999E-3</v>
      </c>
      <c r="Q1210" s="23" t="s">
        <v>24</v>
      </c>
      <c r="R1210" s="23">
        <v>0</v>
      </c>
      <c r="S1210" s="23">
        <v>45.7</v>
      </c>
      <c r="U1210" s="47">
        <f>VLOOKUP(AU1210,[1]expiry_dates!$B$2:$C$2894,2,FALSE)</f>
        <v>44434</v>
      </c>
      <c r="V1210" s="23" t="s">
        <v>112</v>
      </c>
      <c r="W1210" s="23" t="s">
        <v>23</v>
      </c>
      <c r="X1210" s="49">
        <v>44424.40625</v>
      </c>
      <c r="Y1210" s="23">
        <v>1.4</v>
      </c>
      <c r="Z1210" s="23">
        <v>44424.53125</v>
      </c>
      <c r="AA1210" s="23">
        <v>1.4</v>
      </c>
      <c r="AB1210" s="23">
        <v>0</v>
      </c>
      <c r="AC1210" s="23">
        <v>0</v>
      </c>
      <c r="AD1210" s="23">
        <v>0</v>
      </c>
      <c r="AE1210" s="23">
        <v>49114.3</v>
      </c>
      <c r="AF1210" s="23">
        <v>68760.02</v>
      </c>
      <c r="AG1210" s="23">
        <v>3743669.77</v>
      </c>
      <c r="AH1210" s="23">
        <v>13</v>
      </c>
      <c r="AI1210" s="23">
        <v>0</v>
      </c>
      <c r="AJ1210" s="23">
        <v>-0.1071</v>
      </c>
      <c r="AK1210" s="23">
        <v>7.1400000000000005E-2</v>
      </c>
      <c r="AL1210" s="23" t="s">
        <v>24</v>
      </c>
      <c r="AM1210" s="23">
        <v>45</v>
      </c>
      <c r="AN1210" s="23">
        <v>36167.550000000003</v>
      </c>
      <c r="AO1210" s="23">
        <v>45.7</v>
      </c>
      <c r="AP1210" s="23">
        <v>0</v>
      </c>
      <c r="AR1210" s="46"/>
      <c r="AS1210" s="44"/>
      <c r="AT1210" s="45"/>
      <c r="AU1210" s="2">
        <v>44424</v>
      </c>
      <c r="AV1210" s="52">
        <v>0.40625</v>
      </c>
      <c r="AW1210" s="2" t="s">
        <v>212</v>
      </c>
      <c r="AY1210" s="3"/>
      <c r="BA1210" s="3"/>
      <c r="BG1210" s="3"/>
      <c r="BH1210" s="3"/>
    </row>
    <row r="1211" spans="1:60">
      <c r="A1211" s="23" t="s">
        <v>22</v>
      </c>
      <c r="B1211" s="23" t="s">
        <v>25</v>
      </c>
      <c r="C1211" s="27">
        <v>44424.53125</v>
      </c>
      <c r="D1211" s="23">
        <v>45.15</v>
      </c>
      <c r="E1211" s="27">
        <v>44424.614583333336</v>
      </c>
      <c r="F1211" s="23">
        <v>45</v>
      </c>
      <c r="G1211" s="31">
        <v>-3.3E-3</v>
      </c>
      <c r="H1211" s="23">
        <v>-167.88</v>
      </c>
      <c r="I1211" s="31">
        <v>-3.3E-3</v>
      </c>
      <c r="J1211" s="23">
        <v>1119.21</v>
      </c>
      <c r="K1211" s="23">
        <v>50532.33</v>
      </c>
      <c r="L1211" s="23">
        <v>106186.18</v>
      </c>
      <c r="M1211" s="23">
        <v>9</v>
      </c>
      <c r="N1211" s="23">
        <v>-18.649999999999999</v>
      </c>
      <c r="O1211" s="31">
        <v>-4.4000000000000003E-3</v>
      </c>
      <c r="P1211" s="31">
        <v>3.3E-3</v>
      </c>
      <c r="Q1211" s="23" t="s">
        <v>24</v>
      </c>
      <c r="R1211" s="23">
        <v>0</v>
      </c>
      <c r="S1211" s="23">
        <v>44.76</v>
      </c>
      <c r="U1211" s="47">
        <f>VLOOKUP(AU1211,[1]expiry_dates!$B$2:$C$2894,2,FALSE)</f>
        <v>44434</v>
      </c>
      <c r="V1211" s="23" t="s">
        <v>109</v>
      </c>
      <c r="W1211" s="23" t="s">
        <v>23</v>
      </c>
      <c r="X1211" s="49">
        <v>44424.53125</v>
      </c>
      <c r="Y1211" s="23">
        <v>1.1499999999999999</v>
      </c>
      <c r="Z1211" s="23">
        <v>44424.614583333336</v>
      </c>
      <c r="AA1211" s="23">
        <v>1.25</v>
      </c>
      <c r="AB1211" s="23">
        <v>8.6999999999999994E-2</v>
      </c>
      <c r="AC1211" s="23">
        <v>-5976.58</v>
      </c>
      <c r="AD1211" s="23">
        <v>-8.6999999999999994E-2</v>
      </c>
      <c r="AE1211" s="23">
        <v>59765.77</v>
      </c>
      <c r="AF1211" s="23">
        <v>68730.63</v>
      </c>
      <c r="AG1211" s="23">
        <v>3737693.19</v>
      </c>
      <c r="AH1211" s="23">
        <v>9</v>
      </c>
      <c r="AI1211" s="23">
        <v>-664.06</v>
      </c>
      <c r="AJ1211" s="23">
        <v>-0.13039999999999999</v>
      </c>
      <c r="AK1211" s="23">
        <v>4.3499999999999997E-2</v>
      </c>
      <c r="AL1211" s="23" t="s">
        <v>24</v>
      </c>
      <c r="AM1211" s="23">
        <v>45.15</v>
      </c>
      <c r="AN1211" s="23">
        <v>36127.199999999997</v>
      </c>
      <c r="AO1211" s="23">
        <v>44.76</v>
      </c>
      <c r="AP1211" s="23">
        <v>0</v>
      </c>
      <c r="AR1211" s="46"/>
      <c r="AS1211" s="44"/>
      <c r="AT1211" s="45"/>
      <c r="AU1211" s="2">
        <v>44424</v>
      </c>
      <c r="AV1211" s="52">
        <v>0.53125</v>
      </c>
      <c r="AW1211" s="2" t="s">
        <v>213</v>
      </c>
      <c r="AY1211" s="3"/>
      <c r="BA1211" s="3"/>
      <c r="BG1211" s="3"/>
      <c r="BH1211" s="3"/>
    </row>
    <row r="1212" spans="1:60">
      <c r="A1212" s="23" t="s">
        <v>22</v>
      </c>
      <c r="B1212" s="23" t="s">
        <v>23</v>
      </c>
      <c r="C1212" s="27">
        <v>44424.614583333336</v>
      </c>
      <c r="D1212" s="23">
        <v>45</v>
      </c>
      <c r="E1212" s="27">
        <v>44425.40625</v>
      </c>
      <c r="F1212" s="23">
        <v>44.45</v>
      </c>
      <c r="G1212" s="31">
        <v>-1.2200000000000001E-2</v>
      </c>
      <c r="H1212" s="23">
        <v>617.6</v>
      </c>
      <c r="I1212" s="31">
        <v>1.2200000000000001E-2</v>
      </c>
      <c r="J1212" s="23">
        <v>1122.9159999999999</v>
      </c>
      <c r="K1212" s="23">
        <v>50531.21</v>
      </c>
      <c r="L1212" s="23">
        <v>106803.78</v>
      </c>
      <c r="M1212" s="23">
        <v>9</v>
      </c>
      <c r="N1212" s="23">
        <v>68.62</v>
      </c>
      <c r="O1212" s="31">
        <v>-1.1000000000000001E-3</v>
      </c>
      <c r="P1212" s="31">
        <v>1.5599999999999999E-2</v>
      </c>
      <c r="Q1212" s="23" t="s">
        <v>24</v>
      </c>
      <c r="R1212" s="23">
        <v>0</v>
      </c>
      <c r="S1212" s="23">
        <v>45.28</v>
      </c>
      <c r="U1212" s="47">
        <f>VLOOKUP(AU1212,[1]expiry_dates!$B$2:$C$2894,2,FALSE)</f>
        <v>44434</v>
      </c>
      <c r="V1212" s="23" t="s">
        <v>112</v>
      </c>
      <c r="W1212" s="23" t="s">
        <v>23</v>
      </c>
      <c r="X1212" s="49">
        <v>44424.614583333336</v>
      </c>
      <c r="Y1212" s="23">
        <v>1.25</v>
      </c>
      <c r="Z1212" s="23">
        <v>44425.40625</v>
      </c>
      <c r="AA1212" s="23">
        <v>1.05</v>
      </c>
      <c r="AB1212" s="23">
        <v>-0.16</v>
      </c>
      <c r="AC1212" s="23">
        <v>10990.15</v>
      </c>
      <c r="AD1212" s="23">
        <v>0.16</v>
      </c>
      <c r="AE1212" s="23">
        <v>54950.77</v>
      </c>
      <c r="AF1212" s="23">
        <v>68688.47</v>
      </c>
      <c r="AG1212" s="23">
        <v>3748683.34</v>
      </c>
      <c r="AH1212" s="23">
        <v>9</v>
      </c>
      <c r="AI1212" s="23">
        <v>1221.1300000000001</v>
      </c>
      <c r="AJ1212" s="23">
        <v>-0.04</v>
      </c>
      <c r="AK1212" s="23">
        <v>0.2</v>
      </c>
      <c r="AL1212" s="23" t="s">
        <v>24</v>
      </c>
      <c r="AM1212" s="23">
        <v>45</v>
      </c>
      <c r="AN1212" s="23">
        <v>36118.699999999997</v>
      </c>
      <c r="AO1212" s="23">
        <v>45.28</v>
      </c>
      <c r="AP1212" s="23">
        <v>0</v>
      </c>
      <c r="AR1212" s="46"/>
      <c r="AS1212" s="44"/>
      <c r="AT1212" s="45"/>
      <c r="AU1212" s="2">
        <v>44424</v>
      </c>
      <c r="AV1212" s="52">
        <v>0.11458333333333333</v>
      </c>
      <c r="AW1212" s="2" t="s">
        <v>213</v>
      </c>
      <c r="AY1212" s="3"/>
      <c r="BA1212" s="3"/>
      <c r="BG1212" s="3"/>
      <c r="BH1212" s="3"/>
    </row>
    <row r="1213" spans="1:60">
      <c r="A1213" s="23" t="s">
        <v>22</v>
      </c>
      <c r="B1213" s="23" t="s">
        <v>25</v>
      </c>
      <c r="C1213" s="27">
        <v>44425.40625</v>
      </c>
      <c r="D1213" s="23">
        <v>44.45</v>
      </c>
      <c r="E1213" s="27">
        <v>44425.458333333336</v>
      </c>
      <c r="F1213" s="23">
        <v>44.5</v>
      </c>
      <c r="G1213" s="31">
        <v>1.1000000000000001E-3</v>
      </c>
      <c r="H1213" s="23">
        <v>56.84</v>
      </c>
      <c r="I1213" s="31">
        <v>1.1000000000000001E-3</v>
      </c>
      <c r="J1213" s="23">
        <v>1136.8040000000001</v>
      </c>
      <c r="K1213" s="23">
        <v>50530.93</v>
      </c>
      <c r="L1213" s="23">
        <v>106860.62</v>
      </c>
      <c r="M1213" s="23">
        <v>6</v>
      </c>
      <c r="N1213" s="23">
        <v>9.4700000000000006</v>
      </c>
      <c r="O1213" s="31">
        <v>0</v>
      </c>
      <c r="P1213" s="31">
        <v>1.46E-2</v>
      </c>
      <c r="Q1213" s="23" t="s">
        <v>24</v>
      </c>
      <c r="R1213" s="23">
        <v>0</v>
      </c>
      <c r="S1213" s="23">
        <v>44.33</v>
      </c>
      <c r="U1213" s="47">
        <f>VLOOKUP(AU1213,[1]expiry_dates!$B$2:$C$2894,2,FALSE)</f>
        <v>44434</v>
      </c>
      <c r="V1213" s="23" t="s">
        <v>111</v>
      </c>
      <c r="W1213" s="23" t="s">
        <v>23</v>
      </c>
      <c r="X1213" s="49">
        <v>44425.40625</v>
      </c>
      <c r="Y1213" s="23">
        <v>0.85</v>
      </c>
      <c r="Z1213" s="23">
        <v>44425.458333333336</v>
      </c>
      <c r="AA1213" s="23">
        <v>0.85</v>
      </c>
      <c r="AB1213" s="23">
        <v>0</v>
      </c>
      <c r="AC1213" s="23">
        <v>0</v>
      </c>
      <c r="AD1213" s="23">
        <v>0</v>
      </c>
      <c r="AE1213" s="23">
        <v>80809.960000000006</v>
      </c>
      <c r="AF1213" s="23">
        <v>68688.47</v>
      </c>
      <c r="AG1213" s="23">
        <v>3748683.34</v>
      </c>
      <c r="AH1213" s="23">
        <v>6</v>
      </c>
      <c r="AI1213" s="23">
        <v>0</v>
      </c>
      <c r="AJ1213" s="23">
        <v>-5.8799999999999998E-2</v>
      </c>
      <c r="AK1213" s="23">
        <v>0.17649999999999999</v>
      </c>
      <c r="AL1213" s="23" t="s">
        <v>24</v>
      </c>
      <c r="AM1213" s="23">
        <v>44.45</v>
      </c>
      <c r="AN1213" s="23">
        <v>35722.1</v>
      </c>
      <c r="AO1213" s="23">
        <v>44.33</v>
      </c>
      <c r="AP1213" s="23">
        <v>0</v>
      </c>
      <c r="AR1213" s="46"/>
      <c r="AS1213" s="44"/>
      <c r="AT1213" s="45"/>
      <c r="AU1213" s="2">
        <v>44425</v>
      </c>
      <c r="AV1213" s="52">
        <v>0.40625</v>
      </c>
      <c r="AW1213" s="2" t="s">
        <v>212</v>
      </c>
      <c r="AY1213" s="3"/>
      <c r="BA1213" s="3"/>
      <c r="BG1213" s="3"/>
      <c r="BH1213" s="3"/>
    </row>
    <row r="1214" spans="1:60">
      <c r="A1214" s="23" t="s">
        <v>22</v>
      </c>
      <c r="B1214" s="23" t="s">
        <v>23</v>
      </c>
      <c r="C1214" s="27">
        <v>44425.458333333336</v>
      </c>
      <c r="D1214" s="23">
        <v>44.5</v>
      </c>
      <c r="E1214" s="27">
        <v>44426.489583333336</v>
      </c>
      <c r="F1214" s="23">
        <v>44.1</v>
      </c>
      <c r="G1214" s="31">
        <v>-8.9999999999999993E-3</v>
      </c>
      <c r="H1214" s="23">
        <v>454.25</v>
      </c>
      <c r="I1214" s="31">
        <v>8.9999999999999993E-3</v>
      </c>
      <c r="J1214" s="23">
        <v>1135.615</v>
      </c>
      <c r="K1214" s="23">
        <v>50534.87</v>
      </c>
      <c r="L1214" s="23">
        <v>107314.87</v>
      </c>
      <c r="M1214" s="23">
        <v>32</v>
      </c>
      <c r="N1214" s="23">
        <v>14.2</v>
      </c>
      <c r="O1214" s="31">
        <v>-3.3999999999999998E-3</v>
      </c>
      <c r="P1214" s="31">
        <v>2.0199999999999999E-2</v>
      </c>
      <c r="Q1214" s="23" t="s">
        <v>24</v>
      </c>
      <c r="R1214" s="23">
        <v>0</v>
      </c>
      <c r="S1214" s="23">
        <v>45.08</v>
      </c>
      <c r="U1214" s="47">
        <f>VLOOKUP(AU1214,[1]expiry_dates!$B$2:$C$2894,2,FALSE)</f>
        <v>44434</v>
      </c>
      <c r="V1214" s="23" t="s">
        <v>112</v>
      </c>
      <c r="W1214" s="23" t="s">
        <v>23</v>
      </c>
      <c r="X1214" s="49">
        <v>44425.458333333336</v>
      </c>
      <c r="Y1214" s="23">
        <v>1</v>
      </c>
      <c r="Z1214" s="23">
        <v>44426.489583333336</v>
      </c>
      <c r="AA1214" s="23">
        <v>0.7</v>
      </c>
      <c r="AB1214" s="23">
        <v>-0.3</v>
      </c>
      <c r="AC1214" s="23">
        <v>20629.09</v>
      </c>
      <c r="AD1214" s="23">
        <v>0.3</v>
      </c>
      <c r="AE1214" s="23">
        <v>68763.62</v>
      </c>
      <c r="AF1214" s="23">
        <v>68763.62</v>
      </c>
      <c r="AG1214" s="23">
        <v>3769312.43</v>
      </c>
      <c r="AH1214" s="23">
        <v>32</v>
      </c>
      <c r="AI1214" s="23">
        <v>644.66</v>
      </c>
      <c r="AJ1214" s="23">
        <v>-0.05</v>
      </c>
      <c r="AK1214" s="23">
        <v>0.45</v>
      </c>
      <c r="AL1214" s="23" t="s">
        <v>24</v>
      </c>
      <c r="AM1214" s="23">
        <v>44.5</v>
      </c>
      <c r="AN1214" s="23">
        <v>35788</v>
      </c>
      <c r="AO1214" s="23">
        <v>45.08</v>
      </c>
      <c r="AP1214" s="23">
        <v>0</v>
      </c>
      <c r="AR1214" s="46"/>
      <c r="AS1214" s="44"/>
      <c r="AT1214" s="45"/>
      <c r="AU1214" s="2">
        <v>44425</v>
      </c>
      <c r="AV1214" s="52">
        <v>0.45833333333333331</v>
      </c>
      <c r="AW1214" s="2" t="s">
        <v>212</v>
      </c>
      <c r="AY1214" s="3"/>
      <c r="BA1214" s="3"/>
      <c r="BG1214" s="3"/>
      <c r="BH1214" s="3"/>
    </row>
    <row r="1215" spans="1:60">
      <c r="A1215" s="23" t="s">
        <v>22</v>
      </c>
      <c r="B1215" s="23" t="s">
        <v>25</v>
      </c>
      <c r="C1215" s="27">
        <v>44426.489583333336</v>
      </c>
      <c r="D1215" s="23">
        <v>44.1</v>
      </c>
      <c r="E1215" s="27">
        <v>44426.53125</v>
      </c>
      <c r="F1215" s="23">
        <v>43.7</v>
      </c>
      <c r="G1215" s="31">
        <v>-9.1000000000000004E-3</v>
      </c>
      <c r="H1215" s="23">
        <v>-458.39</v>
      </c>
      <c r="I1215" s="31">
        <v>-9.1000000000000004E-3</v>
      </c>
      <c r="J1215" s="23">
        <v>1145.973</v>
      </c>
      <c r="K1215" s="23">
        <v>50537.43</v>
      </c>
      <c r="L1215" s="23">
        <v>106856.48</v>
      </c>
      <c r="M1215" s="23">
        <v>5</v>
      </c>
      <c r="N1215" s="23">
        <v>-91.68</v>
      </c>
      <c r="O1215" s="31">
        <v>-9.1000000000000004E-3</v>
      </c>
      <c r="P1215" s="31">
        <v>1.1000000000000001E-3</v>
      </c>
      <c r="Q1215" s="23" t="s">
        <v>24</v>
      </c>
      <c r="R1215" s="23">
        <v>0</v>
      </c>
      <c r="S1215" s="23">
        <v>43.6</v>
      </c>
      <c r="U1215" s="47">
        <f>VLOOKUP(AU1215,[1]expiry_dates!$B$2:$C$2894,2,FALSE)</f>
        <v>44434</v>
      </c>
      <c r="V1215" s="23" t="s">
        <v>115</v>
      </c>
      <c r="W1215" s="23" t="s">
        <v>23</v>
      </c>
      <c r="X1215" s="49">
        <v>44426.489583333336</v>
      </c>
      <c r="Y1215" s="23">
        <v>0.35</v>
      </c>
      <c r="Z1215" s="23">
        <v>44426.53125</v>
      </c>
      <c r="AA1215" s="23">
        <v>0.4</v>
      </c>
      <c r="AB1215" s="23">
        <v>0.1429</v>
      </c>
      <c r="AC1215" s="23">
        <v>-9837.68</v>
      </c>
      <c r="AD1215" s="23">
        <v>-0.1429</v>
      </c>
      <c r="AE1215" s="23">
        <v>196753.6</v>
      </c>
      <c r="AF1215" s="23">
        <v>68863.75</v>
      </c>
      <c r="AG1215" s="23">
        <v>3759474.75</v>
      </c>
      <c r="AH1215" s="23">
        <v>5</v>
      </c>
      <c r="AI1215" s="23">
        <v>-1967.54</v>
      </c>
      <c r="AJ1215" s="23">
        <v>-0.1429</v>
      </c>
      <c r="AK1215" s="23">
        <v>0</v>
      </c>
      <c r="AL1215" s="23" t="s">
        <v>24</v>
      </c>
      <c r="AM1215" s="23">
        <v>44.1</v>
      </c>
      <c r="AN1215" s="23">
        <v>35938.199999999997</v>
      </c>
      <c r="AO1215" s="23">
        <v>43.6</v>
      </c>
      <c r="AP1215" s="23">
        <v>0</v>
      </c>
      <c r="AR1215" s="46"/>
      <c r="AS1215" s="44"/>
      <c r="AT1215" s="45"/>
      <c r="AU1215" s="2">
        <v>44426</v>
      </c>
      <c r="AV1215" s="52">
        <v>0.48958333333333331</v>
      </c>
      <c r="AW1215" s="2" t="s">
        <v>212</v>
      </c>
      <c r="AY1215" s="3"/>
      <c r="BA1215" s="3"/>
      <c r="BG1215" s="3"/>
      <c r="BH1215" s="3"/>
    </row>
    <row r="1216" spans="1:60">
      <c r="A1216" s="23" t="s">
        <v>22</v>
      </c>
      <c r="B1216" s="23" t="s">
        <v>23</v>
      </c>
      <c r="C1216" s="27">
        <v>44426.53125</v>
      </c>
      <c r="D1216" s="23">
        <v>43.7</v>
      </c>
      <c r="E1216" s="27">
        <v>44426.5625</v>
      </c>
      <c r="F1216" s="23">
        <v>44</v>
      </c>
      <c r="G1216" s="31">
        <v>6.8999999999999999E-3</v>
      </c>
      <c r="H1216" s="23">
        <v>-346.93</v>
      </c>
      <c r="I1216" s="31">
        <v>-6.8999999999999999E-3</v>
      </c>
      <c r="J1216" s="23">
        <v>1156.4169999999999</v>
      </c>
      <c r="K1216" s="23">
        <v>50535.43</v>
      </c>
      <c r="L1216" s="23">
        <v>106509.55</v>
      </c>
      <c r="M1216" s="23">
        <v>4</v>
      </c>
      <c r="N1216" s="23">
        <v>-86.73</v>
      </c>
      <c r="O1216" s="31">
        <v>-6.8999999999999999E-3</v>
      </c>
      <c r="P1216" s="31">
        <v>2.3E-3</v>
      </c>
      <c r="Q1216" s="23" t="s">
        <v>24</v>
      </c>
      <c r="R1216" s="23">
        <v>0</v>
      </c>
      <c r="S1216" s="23">
        <v>44.15</v>
      </c>
      <c r="U1216" s="47">
        <f>VLOOKUP(AU1216,[1]expiry_dates!$B$2:$C$2894,2,FALSE)</f>
        <v>44434</v>
      </c>
      <c r="V1216" s="23" t="s">
        <v>117</v>
      </c>
      <c r="W1216" s="23" t="s">
        <v>23</v>
      </c>
      <c r="X1216" s="49">
        <v>44426.53125</v>
      </c>
      <c r="Y1216" s="23">
        <v>0.9</v>
      </c>
      <c r="Z1216" s="23">
        <v>44426.5625</v>
      </c>
      <c r="AA1216" s="23">
        <v>1.05</v>
      </c>
      <c r="AB1216" s="23">
        <v>0.16669999999999999</v>
      </c>
      <c r="AC1216" s="23">
        <v>-11474.43</v>
      </c>
      <c r="AD1216" s="23">
        <v>-0.16669999999999999</v>
      </c>
      <c r="AE1216" s="23">
        <v>76496.179999999993</v>
      </c>
      <c r="AF1216" s="23">
        <v>68846.559999999998</v>
      </c>
      <c r="AG1216" s="23">
        <v>3748000.32</v>
      </c>
      <c r="AH1216" s="23">
        <v>4</v>
      </c>
      <c r="AI1216" s="23">
        <v>-2868.61</v>
      </c>
      <c r="AJ1216" s="23">
        <v>-0.16669999999999999</v>
      </c>
      <c r="AK1216" s="23">
        <v>5.5599999999999997E-2</v>
      </c>
      <c r="AL1216" s="23" t="s">
        <v>24</v>
      </c>
      <c r="AM1216" s="23">
        <v>43.7</v>
      </c>
      <c r="AN1216" s="23">
        <v>35735.300000000003</v>
      </c>
      <c r="AO1216" s="23">
        <v>44.15</v>
      </c>
      <c r="AP1216" s="23">
        <v>0</v>
      </c>
      <c r="AR1216" s="46"/>
      <c r="AS1216" s="44"/>
      <c r="AT1216" s="45"/>
      <c r="AU1216" s="2">
        <v>44426</v>
      </c>
      <c r="AV1216" s="52">
        <v>0.53125</v>
      </c>
      <c r="AW1216" s="2" t="s">
        <v>213</v>
      </c>
      <c r="AY1216" s="3"/>
      <c r="BA1216" s="3"/>
      <c r="BG1216" s="3"/>
      <c r="BH1216" s="3"/>
    </row>
    <row r="1217" spans="1:60">
      <c r="A1217" s="23" t="s">
        <v>22</v>
      </c>
      <c r="B1217" s="23" t="s">
        <v>25</v>
      </c>
      <c r="C1217" s="27">
        <v>44426.5625</v>
      </c>
      <c r="D1217" s="23">
        <v>44</v>
      </c>
      <c r="E1217" s="27">
        <v>44428.385416666664</v>
      </c>
      <c r="F1217" s="23">
        <v>43.95</v>
      </c>
      <c r="G1217" s="31">
        <v>-1.1000000000000001E-3</v>
      </c>
      <c r="H1217" s="23">
        <v>-57.42</v>
      </c>
      <c r="I1217" s="31">
        <v>-1.1000000000000001E-3</v>
      </c>
      <c r="J1217" s="23">
        <v>1148.4670000000001</v>
      </c>
      <c r="K1217" s="23">
        <v>50532.55</v>
      </c>
      <c r="L1217" s="23">
        <v>106452.13</v>
      </c>
      <c r="M1217" s="23">
        <v>12</v>
      </c>
      <c r="N1217" s="23">
        <v>-4.79</v>
      </c>
      <c r="O1217" s="31">
        <v>-5.7000000000000002E-3</v>
      </c>
      <c r="P1217" s="31">
        <v>2.5000000000000001E-2</v>
      </c>
      <c r="Q1217" s="23" t="s">
        <v>24</v>
      </c>
      <c r="R1217" s="23">
        <v>0</v>
      </c>
      <c r="S1217" s="23">
        <v>43.62</v>
      </c>
      <c r="U1217" s="47">
        <f>VLOOKUP(AU1217,[1]expiry_dates!$B$2:$C$2894,2,FALSE)</f>
        <v>44434</v>
      </c>
      <c r="V1217" s="23" t="s">
        <v>111</v>
      </c>
      <c r="W1217" s="23" t="s">
        <v>23</v>
      </c>
      <c r="X1217" s="49">
        <v>44426.5625</v>
      </c>
      <c r="Y1217" s="23">
        <v>0.9</v>
      </c>
      <c r="Z1217" s="23">
        <v>44428.385416666664</v>
      </c>
      <c r="AA1217" s="23">
        <v>1.05</v>
      </c>
      <c r="AB1217" s="23">
        <v>0.16669999999999999</v>
      </c>
      <c r="AC1217" s="23">
        <v>-11459.85</v>
      </c>
      <c r="AD1217" s="23">
        <v>-0.16669999999999999</v>
      </c>
      <c r="AE1217" s="23">
        <v>76399.03</v>
      </c>
      <c r="AF1217" s="23">
        <v>68759.13</v>
      </c>
      <c r="AG1217" s="23">
        <v>3736540.47</v>
      </c>
      <c r="AH1217" s="23">
        <v>12</v>
      </c>
      <c r="AI1217" s="23">
        <v>-954.99</v>
      </c>
      <c r="AJ1217" s="23">
        <v>-0.5</v>
      </c>
      <c r="AK1217" s="23">
        <v>0.33329999999999999</v>
      </c>
      <c r="AL1217" s="23" t="s">
        <v>24</v>
      </c>
      <c r="AM1217" s="23">
        <v>44</v>
      </c>
      <c r="AN1217" s="23">
        <v>35656.300000000003</v>
      </c>
      <c r="AO1217" s="23">
        <v>43.62</v>
      </c>
      <c r="AP1217" s="23">
        <v>0</v>
      </c>
      <c r="AR1217" s="46"/>
      <c r="AS1217" s="44"/>
      <c r="AT1217" s="45"/>
      <c r="AU1217" s="2">
        <v>44426</v>
      </c>
      <c r="AV1217" s="52">
        <v>6.25E-2</v>
      </c>
      <c r="AW1217" s="2" t="s">
        <v>213</v>
      </c>
      <c r="AY1217" s="3"/>
      <c r="BA1217" s="3"/>
      <c r="BG1217" s="3"/>
      <c r="BH1217" s="3"/>
    </row>
    <row r="1218" spans="1:60">
      <c r="A1218" s="23" t="s">
        <v>22</v>
      </c>
      <c r="B1218" s="23" t="s">
        <v>23</v>
      </c>
      <c r="C1218" s="27">
        <v>44428.385416666664</v>
      </c>
      <c r="D1218" s="23">
        <v>43.95</v>
      </c>
      <c r="E1218" s="27">
        <v>44431.5</v>
      </c>
      <c r="F1218" s="23">
        <v>42</v>
      </c>
      <c r="G1218" s="31">
        <v>-4.4400000000000002E-2</v>
      </c>
      <c r="H1218" s="23">
        <v>2242.0500000000002</v>
      </c>
      <c r="I1218" s="31">
        <v>4.4400000000000002E-2</v>
      </c>
      <c r="J1218" s="23">
        <v>1149.7670000000001</v>
      </c>
      <c r="K1218" s="23">
        <v>50532.26</v>
      </c>
      <c r="L1218" s="23">
        <v>108694.18</v>
      </c>
      <c r="M1218" s="23">
        <v>40</v>
      </c>
      <c r="N1218" s="23">
        <v>56.05</v>
      </c>
      <c r="O1218" s="31">
        <v>-4.5999999999999999E-3</v>
      </c>
      <c r="P1218" s="31">
        <v>7.17E-2</v>
      </c>
      <c r="Q1218" s="23" t="s">
        <v>24</v>
      </c>
      <c r="R1218" s="23">
        <v>0</v>
      </c>
      <c r="S1218" s="23">
        <v>45</v>
      </c>
      <c r="U1218" s="47">
        <f>VLOOKUP(AU1218,[1]expiry_dates!$B$2:$C$2894,2,FALSE)</f>
        <v>44434</v>
      </c>
      <c r="V1218" s="23" t="s">
        <v>117</v>
      </c>
      <c r="W1218" s="23" t="s">
        <v>23</v>
      </c>
      <c r="X1218" s="49">
        <v>44428.385416666664</v>
      </c>
      <c r="Y1218" s="23">
        <v>1.1000000000000001</v>
      </c>
      <c r="Z1218" s="23">
        <v>44431.5</v>
      </c>
      <c r="AA1218" s="23">
        <v>0.25</v>
      </c>
      <c r="AB1218" s="23">
        <v>-0.77270000000000005</v>
      </c>
      <c r="AC1218" s="23">
        <v>53132.03</v>
      </c>
      <c r="AD1218" s="23">
        <v>0.77270000000000005</v>
      </c>
      <c r="AE1218" s="23">
        <v>62508.27</v>
      </c>
      <c r="AF1218" s="23">
        <v>68759.100000000006</v>
      </c>
      <c r="AG1218" s="23">
        <v>3789672.5</v>
      </c>
      <c r="AH1218" s="23">
        <v>40</v>
      </c>
      <c r="AI1218" s="23">
        <v>1328.3</v>
      </c>
      <c r="AJ1218" s="23">
        <v>-9.0899999999999995E-2</v>
      </c>
      <c r="AK1218" s="23">
        <v>0.86360000000000003</v>
      </c>
      <c r="AL1218" s="23" t="s">
        <v>24</v>
      </c>
      <c r="AM1218" s="23">
        <v>43.95</v>
      </c>
      <c r="AN1218" s="23">
        <v>35148.5</v>
      </c>
      <c r="AO1218" s="23">
        <v>45</v>
      </c>
      <c r="AP1218" s="23">
        <v>0</v>
      </c>
      <c r="AR1218" s="46"/>
      <c r="AS1218" s="44"/>
      <c r="AT1218" s="45"/>
      <c r="AU1218" s="2">
        <v>44428</v>
      </c>
      <c r="AV1218" s="52">
        <v>0.38541666666666669</v>
      </c>
      <c r="AW1218" s="2" t="s">
        <v>212</v>
      </c>
      <c r="AY1218" s="3"/>
      <c r="BA1218" s="3"/>
      <c r="BG1218" s="3"/>
      <c r="BH1218" s="3"/>
    </row>
    <row r="1219" spans="1:60">
      <c r="A1219" s="23" t="s">
        <v>22</v>
      </c>
      <c r="B1219" s="23" t="s">
        <v>25</v>
      </c>
      <c r="C1219" s="27">
        <v>44431.5</v>
      </c>
      <c r="D1219" s="23">
        <v>42</v>
      </c>
      <c r="E1219" s="27">
        <v>44431.583333333336</v>
      </c>
      <c r="F1219" s="23">
        <v>41.45</v>
      </c>
      <c r="G1219" s="31">
        <v>-1.3100000000000001E-2</v>
      </c>
      <c r="H1219" s="23">
        <v>-661.92</v>
      </c>
      <c r="I1219" s="31">
        <v>-1.3100000000000001E-2</v>
      </c>
      <c r="J1219" s="23">
        <v>1203.491</v>
      </c>
      <c r="K1219" s="23">
        <v>50546.63</v>
      </c>
      <c r="L1219" s="23">
        <v>108032.26</v>
      </c>
      <c r="M1219" s="23">
        <v>9</v>
      </c>
      <c r="N1219" s="23">
        <v>-73.55</v>
      </c>
      <c r="O1219" s="31">
        <v>-1.55E-2</v>
      </c>
      <c r="P1219" s="31">
        <v>9.4999999999999998E-3</v>
      </c>
      <c r="Q1219" s="23" t="s">
        <v>24</v>
      </c>
      <c r="R1219" s="23">
        <v>0</v>
      </c>
      <c r="S1219" s="23">
        <v>40.799999999999997</v>
      </c>
      <c r="U1219" s="47">
        <f>VLOOKUP(AU1219,[1]expiry_dates!$B$2:$C$2894,2,FALSE)</f>
        <v>44434</v>
      </c>
      <c r="V1219" s="23" t="s">
        <v>115</v>
      </c>
      <c r="W1219" s="23" t="s">
        <v>23</v>
      </c>
      <c r="X1219" s="49">
        <v>44431.5</v>
      </c>
      <c r="Y1219" s="23">
        <v>0.75</v>
      </c>
      <c r="Z1219" s="23">
        <v>44431.583333333336</v>
      </c>
      <c r="AA1219" s="23">
        <v>0.95</v>
      </c>
      <c r="AB1219" s="23">
        <v>0.26669999999999999</v>
      </c>
      <c r="AC1219" s="23">
        <v>-18390.400000000001</v>
      </c>
      <c r="AD1219" s="23">
        <v>-0.26669999999999999</v>
      </c>
      <c r="AE1219" s="23">
        <v>91951.98</v>
      </c>
      <c r="AF1219" s="23">
        <v>68963.98</v>
      </c>
      <c r="AG1219" s="23">
        <v>3771282.1</v>
      </c>
      <c r="AH1219" s="23">
        <v>9</v>
      </c>
      <c r="AI1219" s="23">
        <v>-2043.38</v>
      </c>
      <c r="AJ1219" s="23">
        <v>-0.4</v>
      </c>
      <c r="AK1219" s="23">
        <v>0.1333</v>
      </c>
      <c r="AL1219" s="23" t="s">
        <v>24</v>
      </c>
      <c r="AM1219" s="23">
        <v>42</v>
      </c>
      <c r="AN1219" s="23">
        <v>35029.85</v>
      </c>
      <c r="AO1219" s="23">
        <v>40.799999999999997</v>
      </c>
      <c r="AP1219" s="23">
        <v>0</v>
      </c>
      <c r="AR1219" s="46"/>
      <c r="AS1219" s="44"/>
      <c r="AT1219" s="45"/>
      <c r="AU1219" s="2">
        <v>44431</v>
      </c>
      <c r="AV1219" s="52">
        <v>0.5</v>
      </c>
      <c r="AW1219" s="2" t="s">
        <v>213</v>
      </c>
      <c r="AY1219" s="3"/>
      <c r="BA1219" s="3"/>
      <c r="BG1219" s="3"/>
      <c r="BH1219" s="3"/>
    </row>
    <row r="1220" spans="1:60">
      <c r="A1220" s="23" t="s">
        <v>22</v>
      </c>
      <c r="B1220" s="23" t="s">
        <v>23</v>
      </c>
      <c r="C1220" s="27">
        <v>44431.583333333336</v>
      </c>
      <c r="D1220" s="23">
        <v>41.45</v>
      </c>
      <c r="E1220" s="27">
        <v>44432.395833333336</v>
      </c>
      <c r="F1220" s="23">
        <v>41.6</v>
      </c>
      <c r="G1220" s="31">
        <v>3.5999999999999999E-3</v>
      </c>
      <c r="H1220" s="23">
        <v>-182.9</v>
      </c>
      <c r="I1220" s="31">
        <v>-3.5999999999999999E-3</v>
      </c>
      <c r="J1220" s="23">
        <v>1219.3040000000001</v>
      </c>
      <c r="K1220" s="23">
        <v>50540.160000000003</v>
      </c>
      <c r="L1220" s="23">
        <v>107849.36</v>
      </c>
      <c r="M1220" s="23">
        <v>11</v>
      </c>
      <c r="N1220" s="23">
        <v>-16.63</v>
      </c>
      <c r="O1220" s="31">
        <v>-3.5999999999999999E-3</v>
      </c>
      <c r="P1220" s="31">
        <v>1.6899999999999998E-2</v>
      </c>
      <c r="Q1220" s="23" t="s">
        <v>24</v>
      </c>
      <c r="R1220" s="23">
        <v>0</v>
      </c>
      <c r="S1220" s="23">
        <v>42.38</v>
      </c>
      <c r="U1220" s="47">
        <f>VLOOKUP(AU1220,[1]expiry_dates!$B$2:$C$2894,2,FALSE)</f>
        <v>44434</v>
      </c>
      <c r="V1220" s="23" t="s">
        <v>116</v>
      </c>
      <c r="W1220" s="23" t="s">
        <v>23</v>
      </c>
      <c r="X1220" s="49">
        <v>44431.583333333336</v>
      </c>
      <c r="Y1220" s="23">
        <v>0.6</v>
      </c>
      <c r="Z1220" s="23">
        <v>44432.395833333336</v>
      </c>
      <c r="AA1220" s="23">
        <v>0.6</v>
      </c>
      <c r="AB1220" s="23">
        <v>0</v>
      </c>
      <c r="AC1220" s="23">
        <v>0</v>
      </c>
      <c r="AD1220" s="23">
        <v>0</v>
      </c>
      <c r="AE1220" s="23">
        <v>114722.4</v>
      </c>
      <c r="AF1220" s="23">
        <v>68833.42</v>
      </c>
      <c r="AG1220" s="23">
        <v>3771282.1</v>
      </c>
      <c r="AH1220" s="23">
        <v>11</v>
      </c>
      <c r="AI1220" s="23">
        <v>0</v>
      </c>
      <c r="AJ1220" s="23">
        <v>0</v>
      </c>
      <c r="AK1220" s="23">
        <v>0.41670000000000001</v>
      </c>
      <c r="AL1220" s="23" t="s">
        <v>24</v>
      </c>
      <c r="AM1220" s="23">
        <v>41.45</v>
      </c>
      <c r="AN1220" s="23">
        <v>35123.5</v>
      </c>
      <c r="AO1220" s="23">
        <v>42.38</v>
      </c>
      <c r="AP1220" s="23">
        <v>0</v>
      </c>
      <c r="AR1220" s="46"/>
      <c r="AS1220" s="44"/>
      <c r="AT1220" s="45"/>
      <c r="AU1220" s="2">
        <v>44431</v>
      </c>
      <c r="AV1220" s="52">
        <v>8.3333333333333329E-2</v>
      </c>
      <c r="AW1220" s="2" t="s">
        <v>213</v>
      </c>
      <c r="AY1220" s="3"/>
      <c r="BA1220" s="3"/>
      <c r="BG1220" s="3"/>
      <c r="BH1220" s="3"/>
    </row>
    <row r="1221" spans="1:60">
      <c r="A1221" s="23" t="s">
        <v>22</v>
      </c>
      <c r="B1221" s="23" t="s">
        <v>25</v>
      </c>
      <c r="C1221" s="27">
        <v>44432.395833333336</v>
      </c>
      <c r="D1221" s="23">
        <v>41.6</v>
      </c>
      <c r="E1221" s="27">
        <v>44433.416666666664</v>
      </c>
      <c r="F1221" s="23">
        <v>42.45</v>
      </c>
      <c r="G1221" s="31">
        <v>2.0400000000000001E-2</v>
      </c>
      <c r="H1221" s="23">
        <v>1032.68</v>
      </c>
      <c r="I1221" s="31">
        <v>2.0400000000000001E-2</v>
      </c>
      <c r="J1221" s="23">
        <v>1214.922</v>
      </c>
      <c r="K1221" s="23">
        <v>50540.77</v>
      </c>
      <c r="L1221" s="23">
        <v>108882.04</v>
      </c>
      <c r="M1221" s="23">
        <v>31</v>
      </c>
      <c r="N1221" s="23">
        <v>33.31</v>
      </c>
      <c r="O1221" s="31">
        <v>-9.5999999999999992E-3</v>
      </c>
      <c r="P1221" s="31">
        <v>4.4499999999999998E-2</v>
      </c>
      <c r="Q1221" s="23" t="s">
        <v>24</v>
      </c>
      <c r="R1221" s="23">
        <v>0</v>
      </c>
      <c r="S1221" s="23">
        <v>40.75</v>
      </c>
      <c r="U1221" s="47">
        <f>VLOOKUP(AU1221,[1]expiry_dates!$B$2:$C$2894,2,FALSE)</f>
        <v>44434</v>
      </c>
      <c r="V1221" s="23" t="s">
        <v>115</v>
      </c>
      <c r="W1221" s="23" t="s">
        <v>23</v>
      </c>
      <c r="X1221" s="49">
        <v>44432.395833333336</v>
      </c>
      <c r="Y1221" s="23">
        <v>0.75</v>
      </c>
      <c r="Z1221" s="23">
        <v>44433.416666666664</v>
      </c>
      <c r="AA1221" s="23">
        <v>0.3</v>
      </c>
      <c r="AB1221" s="23">
        <v>-0.6</v>
      </c>
      <c r="AC1221" s="23">
        <v>41365.47</v>
      </c>
      <c r="AD1221" s="23">
        <v>0.6</v>
      </c>
      <c r="AE1221" s="23">
        <v>91923.27</v>
      </c>
      <c r="AF1221" s="23">
        <v>68942.45</v>
      </c>
      <c r="AG1221" s="23">
        <v>3812647.58</v>
      </c>
      <c r="AH1221" s="23">
        <v>31</v>
      </c>
      <c r="AI1221" s="23">
        <v>1334.37</v>
      </c>
      <c r="AJ1221" s="23">
        <v>-0.4</v>
      </c>
      <c r="AK1221" s="23">
        <v>0.8</v>
      </c>
      <c r="AL1221" s="23" t="s">
        <v>24</v>
      </c>
      <c r="AM1221" s="23">
        <v>41.6</v>
      </c>
      <c r="AN1221" s="23">
        <v>35178.550000000003</v>
      </c>
      <c r="AO1221" s="23">
        <v>40.75</v>
      </c>
      <c r="AP1221" s="23">
        <v>0</v>
      </c>
      <c r="AR1221" s="46"/>
      <c r="AS1221" s="44"/>
      <c r="AT1221" s="45"/>
      <c r="AU1221" s="2">
        <v>44432</v>
      </c>
      <c r="AV1221" s="52">
        <v>0.39583333333333331</v>
      </c>
      <c r="AW1221" s="2" t="s">
        <v>212</v>
      </c>
      <c r="AY1221" s="3"/>
      <c r="BA1221" s="3"/>
      <c r="BG1221" s="3"/>
      <c r="BH1221" s="3"/>
    </row>
    <row r="1222" spans="1:60">
      <c r="A1222" s="23" t="s">
        <v>22</v>
      </c>
      <c r="B1222" s="23" t="s">
        <v>23</v>
      </c>
      <c r="C1222" s="27">
        <v>44433.416666666664</v>
      </c>
      <c r="D1222" s="23">
        <v>42.45</v>
      </c>
      <c r="E1222" s="27">
        <v>44433.46875</v>
      </c>
      <c r="F1222" s="23">
        <v>43</v>
      </c>
      <c r="G1222" s="31">
        <v>1.2999999999999999E-2</v>
      </c>
      <c r="H1222" s="23">
        <v>-654.9</v>
      </c>
      <c r="I1222" s="31">
        <v>-1.2999999999999999E-2</v>
      </c>
      <c r="J1222" s="23">
        <v>1190.731</v>
      </c>
      <c r="K1222" s="23">
        <v>50546.54</v>
      </c>
      <c r="L1222" s="23">
        <v>108227.14</v>
      </c>
      <c r="M1222" s="23">
        <v>6</v>
      </c>
      <c r="N1222" s="23">
        <v>-109.15</v>
      </c>
      <c r="O1222" s="31">
        <v>-1.77E-2</v>
      </c>
      <c r="P1222" s="31">
        <v>2.3999999999999998E-3</v>
      </c>
      <c r="Q1222" s="23" t="s">
        <v>24</v>
      </c>
      <c r="R1222" s="23">
        <v>0</v>
      </c>
      <c r="S1222" s="23">
        <v>43.43</v>
      </c>
      <c r="U1222" s="47">
        <f>VLOOKUP(AU1222,[1]expiry_dates!$B$2:$C$2894,2,FALSE)</f>
        <v>44434</v>
      </c>
      <c r="V1222" s="23" t="s">
        <v>116</v>
      </c>
      <c r="W1222" s="23" t="s">
        <v>23</v>
      </c>
      <c r="X1222" s="49">
        <v>44433.416666666664</v>
      </c>
      <c r="Y1222" s="23">
        <v>0.8</v>
      </c>
      <c r="Z1222" s="23">
        <v>44433.46875</v>
      </c>
      <c r="AA1222" s="23">
        <v>1.3</v>
      </c>
      <c r="AB1222" s="23">
        <v>0.625</v>
      </c>
      <c r="AC1222" s="23">
        <v>-43178.89</v>
      </c>
      <c r="AD1222" s="23">
        <v>-0.625</v>
      </c>
      <c r="AE1222" s="23">
        <v>86357.77</v>
      </c>
      <c r="AF1222" s="23">
        <v>69086.22</v>
      </c>
      <c r="AG1222" s="23">
        <v>3769468.69</v>
      </c>
      <c r="AH1222" s="23">
        <v>6</v>
      </c>
      <c r="AI1222" s="23">
        <v>-7196.48</v>
      </c>
      <c r="AJ1222" s="23">
        <v>-0.6875</v>
      </c>
      <c r="AK1222" s="23">
        <v>0</v>
      </c>
      <c r="AL1222" s="23" t="s">
        <v>24</v>
      </c>
      <c r="AM1222" s="23">
        <v>42.45</v>
      </c>
      <c r="AN1222" s="23">
        <v>35616.1</v>
      </c>
      <c r="AO1222" s="23">
        <v>43.43</v>
      </c>
      <c r="AP1222" s="23">
        <v>0</v>
      </c>
      <c r="AR1222" s="46"/>
      <c r="AS1222" s="44"/>
      <c r="AT1222" s="45"/>
      <c r="AU1222" s="2">
        <v>44433</v>
      </c>
      <c r="AV1222" s="52">
        <v>0.41666666666666669</v>
      </c>
      <c r="AW1222" s="2" t="s">
        <v>212</v>
      </c>
      <c r="AY1222" s="3"/>
      <c r="BA1222" s="3"/>
      <c r="BG1222" s="3"/>
      <c r="BH1222" s="3"/>
    </row>
    <row r="1223" spans="1:60">
      <c r="A1223" s="23" t="s">
        <v>22</v>
      </c>
      <c r="B1223" s="23" t="s">
        <v>25</v>
      </c>
      <c r="C1223" s="27">
        <v>44433.46875</v>
      </c>
      <c r="D1223" s="23">
        <v>43</v>
      </c>
      <c r="E1223" s="27">
        <v>44433.541666666664</v>
      </c>
      <c r="F1223" s="23">
        <v>42.65</v>
      </c>
      <c r="G1223" s="31">
        <v>-8.0999999999999996E-3</v>
      </c>
      <c r="H1223" s="23">
        <v>-411.38</v>
      </c>
      <c r="I1223" s="31">
        <v>-8.0999999999999996E-3</v>
      </c>
      <c r="J1223" s="23">
        <v>1175.3820000000001</v>
      </c>
      <c r="K1223" s="23">
        <v>50541.43</v>
      </c>
      <c r="L1223" s="23">
        <v>107815.76</v>
      </c>
      <c r="M1223" s="23">
        <v>8</v>
      </c>
      <c r="N1223" s="23">
        <v>-51.42</v>
      </c>
      <c r="O1223" s="31">
        <v>-9.2999999999999992E-3</v>
      </c>
      <c r="P1223" s="31">
        <v>3.5000000000000001E-3</v>
      </c>
      <c r="Q1223" s="23" t="s">
        <v>24</v>
      </c>
      <c r="R1223" s="23">
        <v>0</v>
      </c>
      <c r="S1223" s="23">
        <v>42.35</v>
      </c>
      <c r="U1223" s="47">
        <f>VLOOKUP(AU1223,[1]expiry_dates!$B$2:$C$2894,2,FALSE)</f>
        <v>44434</v>
      </c>
      <c r="V1223" s="23" t="s">
        <v>118</v>
      </c>
      <c r="W1223" s="23" t="s">
        <v>23</v>
      </c>
      <c r="X1223" s="49">
        <v>44433.46875</v>
      </c>
      <c r="Y1223" s="23">
        <v>0.45</v>
      </c>
      <c r="Z1223" s="23">
        <v>44433.541666666664</v>
      </c>
      <c r="AA1223" s="23">
        <v>0.65</v>
      </c>
      <c r="AB1223" s="23">
        <v>0.44440000000000002</v>
      </c>
      <c r="AC1223" s="23">
        <v>-30618.01</v>
      </c>
      <c r="AD1223" s="23">
        <v>-0.44440000000000002</v>
      </c>
      <c r="AE1223" s="23">
        <v>153090</v>
      </c>
      <c r="AF1223" s="23">
        <v>68890.52</v>
      </c>
      <c r="AG1223" s="23">
        <v>3738850.68</v>
      </c>
      <c r="AH1223" s="23">
        <v>8</v>
      </c>
      <c r="AI1223" s="23">
        <v>-3827.25</v>
      </c>
      <c r="AJ1223" s="23">
        <v>-0.55559999999999998</v>
      </c>
      <c r="AK1223" s="23">
        <v>0.1111</v>
      </c>
      <c r="AL1223" s="23" t="s">
        <v>24</v>
      </c>
      <c r="AM1223" s="23">
        <v>43</v>
      </c>
      <c r="AN1223" s="23">
        <v>35730.85</v>
      </c>
      <c r="AO1223" s="23">
        <v>42.35</v>
      </c>
      <c r="AP1223" s="23">
        <v>0</v>
      </c>
      <c r="AR1223" s="46"/>
      <c r="AS1223" s="44"/>
      <c r="AT1223" s="45"/>
      <c r="AU1223" s="2">
        <v>44433</v>
      </c>
      <c r="AV1223" s="52">
        <v>0.46875</v>
      </c>
      <c r="AW1223" s="2" t="s">
        <v>212</v>
      </c>
      <c r="AY1223" s="3"/>
      <c r="BA1223" s="3"/>
      <c r="BG1223" s="3"/>
      <c r="BH1223" s="3"/>
    </row>
    <row r="1224" spans="1:60">
      <c r="A1224" s="23" t="s">
        <v>22</v>
      </c>
      <c r="B1224" s="23" t="s">
        <v>23</v>
      </c>
      <c r="C1224" s="27">
        <v>44433.541666666664</v>
      </c>
      <c r="D1224" s="23">
        <v>42.65</v>
      </c>
      <c r="E1224" s="27">
        <v>44434.416666666664</v>
      </c>
      <c r="F1224" s="23">
        <v>42.85</v>
      </c>
      <c r="G1224" s="31">
        <v>4.7000000000000002E-3</v>
      </c>
      <c r="H1224" s="23">
        <v>-236.99</v>
      </c>
      <c r="I1224" s="31">
        <v>-4.7000000000000002E-3</v>
      </c>
      <c r="J1224" s="23">
        <v>1184.973</v>
      </c>
      <c r="K1224" s="23">
        <v>50539.08</v>
      </c>
      <c r="L1224" s="23">
        <v>107578.76</v>
      </c>
      <c r="M1224" s="23">
        <v>17</v>
      </c>
      <c r="N1224" s="23">
        <v>-13.94</v>
      </c>
      <c r="O1224" s="31">
        <v>-4.7000000000000002E-3</v>
      </c>
      <c r="P1224" s="31">
        <v>8.2000000000000007E-3</v>
      </c>
      <c r="Q1224" s="23" t="s">
        <v>24</v>
      </c>
      <c r="R1224" s="23">
        <v>0</v>
      </c>
      <c r="S1224" s="23">
        <v>43.13</v>
      </c>
      <c r="U1224" s="47">
        <f>VLOOKUP(AU1224,[1]expiry_dates!$B$2:$C$2894,2,FALSE)</f>
        <v>44434</v>
      </c>
      <c r="V1224" s="23" t="s">
        <v>114</v>
      </c>
      <c r="W1224" s="23" t="s">
        <v>23</v>
      </c>
      <c r="X1224" s="49">
        <v>44433.541666666664</v>
      </c>
      <c r="Y1224" s="23">
        <v>0.35</v>
      </c>
      <c r="Z1224" s="23">
        <v>44434.416666666664</v>
      </c>
      <c r="AA1224" s="23">
        <v>0.25</v>
      </c>
      <c r="AB1224" s="23">
        <v>-0.28570000000000001</v>
      </c>
      <c r="AC1224" s="23">
        <v>19626.93</v>
      </c>
      <c r="AD1224" s="23">
        <v>0.28570000000000001</v>
      </c>
      <c r="AE1224" s="23">
        <v>196269.3</v>
      </c>
      <c r="AF1224" s="23">
        <v>68694.25</v>
      </c>
      <c r="AG1224" s="23">
        <v>3758477.61</v>
      </c>
      <c r="AH1224" s="23">
        <v>17</v>
      </c>
      <c r="AI1224" s="23">
        <v>1154.53</v>
      </c>
      <c r="AJ1224" s="23">
        <v>-0.85709999999999997</v>
      </c>
      <c r="AK1224" s="23">
        <v>0.57140000000000002</v>
      </c>
      <c r="AL1224" s="23" t="s">
        <v>24</v>
      </c>
      <c r="AM1224" s="23">
        <v>42.65</v>
      </c>
      <c r="AN1224" s="23">
        <v>35568</v>
      </c>
      <c r="AO1224" s="23">
        <v>43.13</v>
      </c>
      <c r="AP1224" s="23">
        <v>0</v>
      </c>
      <c r="AR1224" s="46"/>
      <c r="AS1224" s="44"/>
      <c r="AT1224" s="45"/>
      <c r="AU1224" s="2">
        <v>44433</v>
      </c>
      <c r="AV1224" s="52">
        <v>4.1666666666666664E-2</v>
      </c>
      <c r="AW1224" s="2" t="s">
        <v>213</v>
      </c>
      <c r="AY1224" s="3"/>
      <c r="BA1224" s="3"/>
      <c r="BG1224" s="3"/>
      <c r="BH1224" s="3"/>
    </row>
    <row r="1225" spans="1:60">
      <c r="A1225" s="23" t="s">
        <v>22</v>
      </c>
      <c r="B1225" s="23" t="s">
        <v>25</v>
      </c>
      <c r="C1225" s="27">
        <v>44434.416666666664</v>
      </c>
      <c r="D1225" s="23">
        <v>42.85</v>
      </c>
      <c r="E1225" s="27">
        <v>44434.447916666664</v>
      </c>
      <c r="F1225" s="23">
        <v>42.55</v>
      </c>
      <c r="G1225" s="31">
        <v>-7.0000000000000001E-3</v>
      </c>
      <c r="H1225" s="23">
        <v>-353.83</v>
      </c>
      <c r="I1225" s="31">
        <v>-7.0000000000000001E-3</v>
      </c>
      <c r="J1225" s="23">
        <v>1179.442</v>
      </c>
      <c r="K1225" s="23">
        <v>50539.08</v>
      </c>
      <c r="L1225" s="23">
        <v>107224.93</v>
      </c>
      <c r="M1225" s="23">
        <v>4</v>
      </c>
      <c r="N1225" s="23">
        <v>-88.46</v>
      </c>
      <c r="O1225" s="31">
        <v>-9.2999999999999992E-3</v>
      </c>
      <c r="P1225" s="31">
        <v>1.1999999999999999E-3</v>
      </c>
      <c r="Q1225" s="23" t="s">
        <v>24</v>
      </c>
      <c r="R1225" s="23">
        <v>0</v>
      </c>
      <c r="S1225" s="23">
        <v>42.32</v>
      </c>
      <c r="U1225" s="47">
        <f>VLOOKUP(AU1225,[1]expiry_dates!$B$2:$C$2894,2,FALSE)</f>
        <v>44434</v>
      </c>
      <c r="V1225" s="23" t="s">
        <v>115</v>
      </c>
      <c r="W1225" s="23" t="s">
        <v>23</v>
      </c>
      <c r="X1225" s="49">
        <v>44434.416666666664</v>
      </c>
      <c r="Y1225" s="23">
        <v>0.1</v>
      </c>
      <c r="Z1225" s="23">
        <v>44434.447916666664</v>
      </c>
      <c r="AA1225" s="23">
        <v>0.15</v>
      </c>
      <c r="AB1225" s="23">
        <v>0.5</v>
      </c>
      <c r="AC1225" s="23">
        <v>-34445.26</v>
      </c>
      <c r="AD1225" s="23">
        <v>-0.5</v>
      </c>
      <c r="AE1225" s="23">
        <v>688905.2</v>
      </c>
      <c r="AF1225" s="23">
        <v>68890.52</v>
      </c>
      <c r="AG1225" s="23">
        <v>3724032.35</v>
      </c>
      <c r="AH1225" s="23">
        <v>4</v>
      </c>
      <c r="AI1225" s="23">
        <v>-8611.31</v>
      </c>
      <c r="AJ1225" s="23">
        <v>-0.5</v>
      </c>
      <c r="AK1225" s="23">
        <v>0</v>
      </c>
      <c r="AL1225" s="23" t="s">
        <v>24</v>
      </c>
      <c r="AM1225" s="23">
        <v>42.85</v>
      </c>
      <c r="AN1225" s="23">
        <v>35630.199999999997</v>
      </c>
      <c r="AO1225" s="23">
        <v>42.32</v>
      </c>
      <c r="AP1225" s="23">
        <v>0</v>
      </c>
      <c r="AR1225" s="46"/>
      <c r="AS1225" s="44"/>
      <c r="AT1225" s="45"/>
      <c r="AU1225" s="2">
        <v>44434</v>
      </c>
      <c r="AV1225" s="52">
        <v>0.41666666666666669</v>
      </c>
      <c r="AW1225" s="2" t="s">
        <v>212</v>
      </c>
      <c r="AY1225" s="3"/>
      <c r="BA1225" s="3"/>
      <c r="BG1225" s="3"/>
      <c r="BH1225" s="3"/>
    </row>
    <row r="1226" spans="1:60">
      <c r="A1226" s="23" t="s">
        <v>22</v>
      </c>
      <c r="B1226" s="23" t="s">
        <v>23</v>
      </c>
      <c r="C1226" s="27">
        <v>44434.447916666664</v>
      </c>
      <c r="D1226" s="23">
        <v>42.55</v>
      </c>
      <c r="E1226" s="27">
        <v>44434.489583333336</v>
      </c>
      <c r="F1226" s="23">
        <v>42.75</v>
      </c>
      <c r="G1226" s="31">
        <v>4.7000000000000002E-3</v>
      </c>
      <c r="H1226" s="23">
        <v>-237.54</v>
      </c>
      <c r="I1226" s="31">
        <v>-4.7000000000000002E-3</v>
      </c>
      <c r="J1226" s="23">
        <v>1187.681</v>
      </c>
      <c r="K1226" s="23">
        <v>50535.83</v>
      </c>
      <c r="L1226" s="23">
        <v>106987.39</v>
      </c>
      <c r="M1226" s="23">
        <v>5</v>
      </c>
      <c r="N1226" s="23">
        <v>-47.51</v>
      </c>
      <c r="O1226" s="31">
        <v>-4.7000000000000002E-3</v>
      </c>
      <c r="P1226" s="31">
        <v>3.5000000000000001E-3</v>
      </c>
      <c r="Q1226" s="23" t="s">
        <v>24</v>
      </c>
      <c r="R1226" s="23">
        <v>0</v>
      </c>
      <c r="S1226" s="23">
        <v>42.89</v>
      </c>
      <c r="U1226" s="47">
        <f>VLOOKUP(AU1226,[1]expiry_dates!$B$2:$C$2894,2,FALSE)</f>
        <v>44434</v>
      </c>
      <c r="V1226" s="23" t="s">
        <v>114</v>
      </c>
      <c r="W1226" s="23" t="s">
        <v>23</v>
      </c>
      <c r="X1226" s="49">
        <v>44434.447916666664</v>
      </c>
      <c r="Y1226" s="23">
        <v>0.2</v>
      </c>
      <c r="Z1226" s="23">
        <v>44434.489583333336</v>
      </c>
      <c r="AA1226" s="23">
        <v>0.25</v>
      </c>
      <c r="AB1226" s="23">
        <v>0.25</v>
      </c>
      <c r="AC1226" s="23">
        <v>-17155.04</v>
      </c>
      <c r="AD1226" s="23">
        <v>-0.25</v>
      </c>
      <c r="AE1226" s="23">
        <v>343100.8</v>
      </c>
      <c r="AF1226" s="23">
        <v>68620.160000000003</v>
      </c>
      <c r="AG1226" s="23">
        <v>3706877.31</v>
      </c>
      <c r="AH1226" s="23">
        <v>5</v>
      </c>
      <c r="AI1226" s="23">
        <v>-3431.01</v>
      </c>
      <c r="AJ1226" s="23">
        <v>-0.25</v>
      </c>
      <c r="AK1226" s="23">
        <v>0.25</v>
      </c>
      <c r="AL1226" s="23" t="s">
        <v>24</v>
      </c>
      <c r="AM1226" s="23">
        <v>42.55</v>
      </c>
      <c r="AN1226" s="23">
        <v>35603.199999999997</v>
      </c>
      <c r="AO1226" s="23">
        <v>42.89</v>
      </c>
      <c r="AP1226" s="23">
        <v>0</v>
      </c>
      <c r="AR1226" s="46"/>
      <c r="AS1226" s="44"/>
      <c r="AT1226" s="45"/>
      <c r="AU1226" s="2">
        <v>44434</v>
      </c>
      <c r="AV1226" s="52">
        <v>0.44791666666666669</v>
      </c>
      <c r="AW1226" s="2" t="s">
        <v>212</v>
      </c>
      <c r="AY1226" s="3"/>
      <c r="BA1226" s="3"/>
      <c r="BG1226" s="3"/>
      <c r="BH1226" s="3"/>
    </row>
    <row r="1227" spans="1:60">
      <c r="A1227" s="23" t="s">
        <v>22</v>
      </c>
      <c r="B1227" s="23" t="s">
        <v>25</v>
      </c>
      <c r="C1227" s="27">
        <v>44434.489583333336</v>
      </c>
      <c r="D1227" s="23">
        <v>42.75</v>
      </c>
      <c r="E1227" s="27">
        <v>44434.53125</v>
      </c>
      <c r="F1227" s="23">
        <v>42.5</v>
      </c>
      <c r="G1227" s="31">
        <v>-5.7999999999999996E-3</v>
      </c>
      <c r="H1227" s="23">
        <v>-295.52999999999997</v>
      </c>
      <c r="I1227" s="31">
        <v>-5.7999999999999996E-3</v>
      </c>
      <c r="J1227" s="23">
        <v>1182.1110000000001</v>
      </c>
      <c r="K1227" s="23">
        <v>50535.23</v>
      </c>
      <c r="L1227" s="23">
        <v>106691.87</v>
      </c>
      <c r="M1227" s="23">
        <v>5</v>
      </c>
      <c r="N1227" s="23">
        <v>-59.11</v>
      </c>
      <c r="O1227" s="31">
        <v>-5.7999999999999996E-3</v>
      </c>
      <c r="P1227" s="31">
        <v>1.1999999999999999E-3</v>
      </c>
      <c r="Q1227" s="23" t="s">
        <v>24</v>
      </c>
      <c r="R1227" s="23">
        <v>0</v>
      </c>
      <c r="S1227" s="23">
        <v>42.41</v>
      </c>
      <c r="U1227" s="47">
        <f>VLOOKUP(AU1227,[1]expiry_dates!$B$2:$C$2894,2,FALSE)</f>
        <v>44434</v>
      </c>
      <c r="V1227" s="23" t="s">
        <v>115</v>
      </c>
      <c r="W1227" s="23" t="s">
        <v>23</v>
      </c>
      <c r="X1227" s="49">
        <v>44434.489583333336</v>
      </c>
      <c r="Y1227" s="23">
        <v>0.1</v>
      </c>
      <c r="Z1227" s="23">
        <v>44434.53125</v>
      </c>
      <c r="AA1227" s="23">
        <v>0.1</v>
      </c>
      <c r="AB1227" s="23">
        <v>0</v>
      </c>
      <c r="AC1227" s="23">
        <v>0</v>
      </c>
      <c r="AD1227" s="23">
        <v>0</v>
      </c>
      <c r="AE1227" s="23">
        <v>685343.9</v>
      </c>
      <c r="AF1227" s="23">
        <v>68534.39</v>
      </c>
      <c r="AG1227" s="23">
        <v>3706877.31</v>
      </c>
      <c r="AH1227" s="23">
        <v>5</v>
      </c>
      <c r="AI1227" s="23">
        <v>0</v>
      </c>
      <c r="AJ1227" s="23">
        <v>-0.5</v>
      </c>
      <c r="AK1227" s="23">
        <v>0.5</v>
      </c>
      <c r="AL1227" s="23" t="s">
        <v>24</v>
      </c>
      <c r="AM1227" s="23">
        <v>42.75</v>
      </c>
      <c r="AN1227" s="23">
        <v>35747.1</v>
      </c>
      <c r="AO1227" s="23">
        <v>42.41</v>
      </c>
      <c r="AP1227" s="23">
        <v>0</v>
      </c>
      <c r="AR1227" s="46"/>
      <c r="AS1227" s="44"/>
      <c r="AT1227" s="45"/>
      <c r="AU1227" s="2">
        <v>44434</v>
      </c>
      <c r="AV1227" s="52">
        <v>0.48958333333333331</v>
      </c>
      <c r="AW1227" s="2" t="s">
        <v>212</v>
      </c>
      <c r="AY1227" s="3"/>
      <c r="BA1227" s="3"/>
      <c r="BG1227" s="3"/>
      <c r="BH1227" s="3"/>
    </row>
    <row r="1228" spans="1:60">
      <c r="A1228" s="23" t="s">
        <v>22</v>
      </c>
      <c r="B1228" s="23" t="s">
        <v>23</v>
      </c>
      <c r="C1228" s="27">
        <v>44434.53125</v>
      </c>
      <c r="D1228" s="23">
        <v>42.5</v>
      </c>
      <c r="E1228" s="27">
        <v>44434.6875</v>
      </c>
      <c r="F1228" s="23">
        <v>42.2</v>
      </c>
      <c r="G1228" s="31">
        <v>-7.1000000000000004E-3</v>
      </c>
      <c r="H1228" s="23">
        <v>356.71</v>
      </c>
      <c r="I1228" s="31">
        <v>7.1000000000000004E-3</v>
      </c>
      <c r="J1228" s="23">
        <v>1189.03</v>
      </c>
      <c r="K1228" s="23">
        <v>50533.75</v>
      </c>
      <c r="L1228" s="23">
        <v>107048.58</v>
      </c>
      <c r="M1228" s="23">
        <v>13</v>
      </c>
      <c r="N1228" s="23">
        <v>27.44</v>
      </c>
      <c r="O1228" s="31">
        <v>-4.7000000000000002E-3</v>
      </c>
      <c r="P1228" s="31">
        <v>1.5299999999999999E-2</v>
      </c>
      <c r="Q1228" s="23" t="s">
        <v>24</v>
      </c>
      <c r="R1228" s="23">
        <v>0</v>
      </c>
      <c r="S1228" s="23">
        <v>42.79</v>
      </c>
      <c r="U1228" s="47">
        <f>VLOOKUP(AU1228,[1]expiry_dates!$B$2:$C$2894,2,FALSE)</f>
        <v>44434</v>
      </c>
      <c r="V1228" s="23" t="s">
        <v>114</v>
      </c>
      <c r="W1228" s="23" t="s">
        <v>23</v>
      </c>
      <c r="X1228" s="49">
        <v>44434.53125</v>
      </c>
      <c r="Y1228" s="23">
        <v>0.2</v>
      </c>
      <c r="Z1228" s="23">
        <v>44434.6875</v>
      </c>
      <c r="AA1228" s="23">
        <v>0.05</v>
      </c>
      <c r="AB1228" s="23">
        <v>-0.75</v>
      </c>
      <c r="AC1228" s="23">
        <v>51272.29</v>
      </c>
      <c r="AD1228" s="23">
        <v>0.75</v>
      </c>
      <c r="AE1228" s="23">
        <v>341815.3</v>
      </c>
      <c r="AF1228" s="23">
        <v>68363.05</v>
      </c>
      <c r="AG1228" s="23">
        <v>3758149.6</v>
      </c>
      <c r="AH1228" s="23">
        <v>13</v>
      </c>
      <c r="AI1228" s="23">
        <v>3944.02</v>
      </c>
      <c r="AJ1228" s="23">
        <v>-0.5</v>
      </c>
      <c r="AK1228" s="23">
        <v>0.75</v>
      </c>
      <c r="AL1228" s="23" t="s">
        <v>24</v>
      </c>
      <c r="AM1228" s="23">
        <v>42.5</v>
      </c>
      <c r="AN1228" s="23">
        <v>35686.35</v>
      </c>
      <c r="AO1228" s="23">
        <v>42.79</v>
      </c>
      <c r="AP1228" s="23">
        <v>0</v>
      </c>
      <c r="AR1228" s="46"/>
      <c r="AS1228" s="44"/>
      <c r="AT1228" s="45"/>
      <c r="AU1228" s="2">
        <v>44434</v>
      </c>
      <c r="AV1228" s="52">
        <v>0.53125</v>
      </c>
      <c r="AW1228" s="2" t="s">
        <v>213</v>
      </c>
      <c r="AY1228" s="3"/>
      <c r="BA1228" s="3"/>
      <c r="BG1228" s="3"/>
      <c r="BH1228" s="3"/>
    </row>
    <row r="1229" spans="1:60">
      <c r="A1229" s="23" t="s">
        <v>22</v>
      </c>
      <c r="B1229" s="23" t="s">
        <v>25</v>
      </c>
      <c r="C1229" s="27">
        <v>44435.385416666664</v>
      </c>
      <c r="D1229" s="23">
        <v>42.2</v>
      </c>
      <c r="E1229" s="27">
        <v>44435.40625</v>
      </c>
      <c r="F1229" s="23">
        <v>41.9</v>
      </c>
      <c r="G1229" s="31">
        <v>-7.1000000000000004E-3</v>
      </c>
      <c r="H1229" s="23">
        <v>-359.26</v>
      </c>
      <c r="I1229" s="31">
        <v>-7.1000000000000004E-3</v>
      </c>
      <c r="J1229" s="23">
        <v>1197.518</v>
      </c>
      <c r="K1229" s="23">
        <v>50535.24</v>
      </c>
      <c r="L1229" s="23">
        <v>106689.32</v>
      </c>
      <c r="M1229" s="23">
        <v>3</v>
      </c>
      <c r="N1229" s="23">
        <v>-119.75</v>
      </c>
      <c r="O1229" s="31">
        <v>-7.1000000000000004E-3</v>
      </c>
      <c r="P1229" s="31">
        <v>1.0699999999999999E-2</v>
      </c>
      <c r="Q1229" s="23" t="s">
        <v>24</v>
      </c>
      <c r="R1229" s="23">
        <v>0</v>
      </c>
      <c r="S1229" s="23">
        <v>41.9</v>
      </c>
      <c r="U1229" s="47">
        <f>VLOOKUP(AU1229,[1]expiry_dates!$B$2:$C$2894,2,FALSE)</f>
        <v>44469</v>
      </c>
      <c r="V1229" s="23" t="s">
        <v>115</v>
      </c>
      <c r="W1229" s="23" t="s">
        <v>23</v>
      </c>
      <c r="X1229" s="49">
        <v>44435.385416666664</v>
      </c>
      <c r="Y1229" s="23">
        <v>2</v>
      </c>
      <c r="Z1229" s="23">
        <v>44435.40625</v>
      </c>
      <c r="AA1229" s="23">
        <v>2.1</v>
      </c>
      <c r="AB1229" s="23">
        <v>0.05</v>
      </c>
      <c r="AC1229" s="23">
        <v>-3439.54</v>
      </c>
      <c r="AD1229" s="23">
        <v>-0.05</v>
      </c>
      <c r="AE1229" s="23">
        <v>34395.379999999997</v>
      </c>
      <c r="AF1229" s="23">
        <v>68790.75</v>
      </c>
      <c r="AG1229" s="23">
        <v>3754710.06</v>
      </c>
      <c r="AH1229" s="23">
        <v>3</v>
      </c>
      <c r="AI1229" s="23">
        <v>-1146.51</v>
      </c>
      <c r="AJ1229" s="23">
        <v>-0.05</v>
      </c>
      <c r="AK1229" s="23">
        <v>0.05</v>
      </c>
      <c r="AL1229" s="23" t="s">
        <v>24</v>
      </c>
      <c r="AM1229" s="23">
        <v>42.2</v>
      </c>
      <c r="AN1229" s="23">
        <v>35406.75</v>
      </c>
      <c r="AO1229" s="23">
        <v>41.9</v>
      </c>
      <c r="AP1229" s="23">
        <v>0</v>
      </c>
      <c r="AR1229" s="46"/>
      <c r="AS1229" s="44"/>
      <c r="AT1229" s="45"/>
      <c r="AU1229" s="2">
        <v>44435</v>
      </c>
      <c r="AV1229" s="52">
        <v>0.38541666666666669</v>
      </c>
      <c r="AW1229" s="2" t="s">
        <v>212</v>
      </c>
      <c r="AY1229" s="3"/>
      <c r="BA1229" s="3"/>
      <c r="BG1229" s="3"/>
      <c r="BH1229" s="3"/>
    </row>
    <row r="1230" spans="1:60">
      <c r="A1230" s="23" t="s">
        <v>22</v>
      </c>
      <c r="B1230" s="23" t="s">
        <v>23</v>
      </c>
      <c r="C1230" s="27">
        <v>44435.40625</v>
      </c>
      <c r="D1230" s="23">
        <v>41.9</v>
      </c>
      <c r="E1230" s="27">
        <v>44435.5</v>
      </c>
      <c r="F1230" s="23">
        <v>42.25</v>
      </c>
      <c r="G1230" s="31">
        <v>8.3999999999999995E-3</v>
      </c>
      <c r="H1230" s="23">
        <v>-422.12</v>
      </c>
      <c r="I1230" s="31">
        <v>-8.3999999999999995E-3</v>
      </c>
      <c r="J1230" s="23">
        <v>1206.07</v>
      </c>
      <c r="K1230" s="23">
        <v>50534.34</v>
      </c>
      <c r="L1230" s="23">
        <v>106267.2</v>
      </c>
      <c r="M1230" s="23">
        <v>10</v>
      </c>
      <c r="N1230" s="23">
        <v>-42.21</v>
      </c>
      <c r="O1230" s="31">
        <v>-8.3999999999999995E-3</v>
      </c>
      <c r="P1230" s="31">
        <v>1.1999999999999999E-3</v>
      </c>
      <c r="Q1230" s="23" t="s">
        <v>24</v>
      </c>
      <c r="R1230" s="23">
        <v>0</v>
      </c>
      <c r="S1230" s="23">
        <v>42.62</v>
      </c>
      <c r="U1230" s="47">
        <f>VLOOKUP(AU1230,[1]expiry_dates!$B$2:$C$2894,2,FALSE)</f>
        <v>44469</v>
      </c>
      <c r="V1230" s="23" t="s">
        <v>116</v>
      </c>
      <c r="W1230" s="23" t="s">
        <v>23</v>
      </c>
      <c r="X1230" s="49">
        <v>44435.40625</v>
      </c>
      <c r="Y1230" s="23">
        <v>2.2000000000000002</v>
      </c>
      <c r="Z1230" s="23">
        <v>44435.5</v>
      </c>
      <c r="AA1230" s="23">
        <v>2.35</v>
      </c>
      <c r="AB1230" s="23">
        <v>6.8199999999999997E-2</v>
      </c>
      <c r="AC1230" s="23">
        <v>-4689.6899999999996</v>
      </c>
      <c r="AD1230" s="23">
        <v>-6.8199999999999997E-2</v>
      </c>
      <c r="AE1230" s="23">
        <v>31264.61</v>
      </c>
      <c r="AF1230" s="23">
        <v>68782.149999999994</v>
      </c>
      <c r="AG1230" s="23">
        <v>3750020.37</v>
      </c>
      <c r="AH1230" s="23">
        <v>10</v>
      </c>
      <c r="AI1230" s="23">
        <v>-468.97</v>
      </c>
      <c r="AJ1230" s="23">
        <v>-6.8199999999999997E-2</v>
      </c>
      <c r="AK1230" s="23">
        <v>0</v>
      </c>
      <c r="AL1230" s="23" t="s">
        <v>24</v>
      </c>
      <c r="AM1230" s="23">
        <v>41.9</v>
      </c>
      <c r="AN1230" s="23">
        <v>35450.85</v>
      </c>
      <c r="AO1230" s="23">
        <v>42.62</v>
      </c>
      <c r="AP1230" s="23">
        <v>0</v>
      </c>
      <c r="AR1230" s="46"/>
      <c r="AS1230" s="44"/>
      <c r="AT1230" s="45"/>
      <c r="AU1230" s="2">
        <v>44435</v>
      </c>
      <c r="AV1230" s="52">
        <v>0.40625</v>
      </c>
      <c r="AW1230" s="2" t="s">
        <v>212</v>
      </c>
      <c r="AY1230" s="3"/>
      <c r="BA1230" s="3"/>
      <c r="BG1230" s="3"/>
      <c r="BH1230" s="3"/>
    </row>
    <row r="1231" spans="1:60">
      <c r="A1231" s="23" t="s">
        <v>22</v>
      </c>
      <c r="B1231" s="23" t="s">
        <v>25</v>
      </c>
      <c r="C1231" s="27">
        <v>44435.5</v>
      </c>
      <c r="D1231" s="23">
        <v>42.25</v>
      </c>
      <c r="E1231" s="27">
        <v>44439.395833333336</v>
      </c>
      <c r="F1231" s="23">
        <v>43</v>
      </c>
      <c r="G1231" s="31">
        <v>1.78E-2</v>
      </c>
      <c r="H1231" s="23">
        <v>897.01</v>
      </c>
      <c r="I1231" s="31">
        <v>1.78E-2</v>
      </c>
      <c r="J1231" s="23">
        <v>1196.008</v>
      </c>
      <c r="K1231" s="23">
        <v>50531.34</v>
      </c>
      <c r="L1231" s="23">
        <v>107164.2</v>
      </c>
      <c r="M1231" s="23">
        <v>47</v>
      </c>
      <c r="N1231" s="23">
        <v>19.09</v>
      </c>
      <c r="O1231" s="31">
        <v>-3.5999999999999999E-3</v>
      </c>
      <c r="P1231" s="31">
        <v>4.02E-2</v>
      </c>
      <c r="Q1231" s="23" t="s">
        <v>24</v>
      </c>
      <c r="R1231" s="23">
        <v>0</v>
      </c>
      <c r="S1231" s="23">
        <v>41.86</v>
      </c>
      <c r="U1231" s="47">
        <f>VLOOKUP(AU1231,[1]expiry_dates!$B$2:$C$2894,2,FALSE)</f>
        <v>44469</v>
      </c>
      <c r="V1231" s="23" t="s">
        <v>135</v>
      </c>
      <c r="W1231" s="23" t="s">
        <v>23</v>
      </c>
      <c r="X1231" s="49">
        <v>44435.5</v>
      </c>
      <c r="Y1231" s="23">
        <v>0.7</v>
      </c>
      <c r="Z1231" s="23">
        <v>44439.395833333336</v>
      </c>
      <c r="AA1231" s="23">
        <v>0.4</v>
      </c>
      <c r="AB1231" s="23">
        <v>-0.42859999999999998</v>
      </c>
      <c r="AC1231" s="23">
        <v>29467.68</v>
      </c>
      <c r="AD1231" s="23">
        <v>0.42859999999999998</v>
      </c>
      <c r="AE1231" s="23">
        <v>98225.600000000006</v>
      </c>
      <c r="AF1231" s="23">
        <v>68757.919999999998</v>
      </c>
      <c r="AG1231" s="23">
        <v>3779488.05</v>
      </c>
      <c r="AH1231" s="23">
        <v>47</v>
      </c>
      <c r="AI1231" s="23">
        <v>626.97</v>
      </c>
      <c r="AJ1231" s="23">
        <v>-7.1400000000000005E-2</v>
      </c>
      <c r="AK1231" s="23">
        <v>0.5</v>
      </c>
      <c r="AL1231" s="23" t="s">
        <v>24</v>
      </c>
      <c r="AM1231" s="23">
        <v>42.25</v>
      </c>
      <c r="AN1231" s="23">
        <v>35618.050000000003</v>
      </c>
      <c r="AO1231" s="23">
        <v>41.86</v>
      </c>
      <c r="AP1231" s="23">
        <v>0</v>
      </c>
      <c r="AR1231" s="46"/>
      <c r="AS1231" s="44"/>
      <c r="AT1231" s="45"/>
      <c r="AU1231" s="2">
        <v>44435</v>
      </c>
      <c r="AV1231" s="52">
        <v>0.5</v>
      </c>
      <c r="AW1231" s="2" t="s">
        <v>213</v>
      </c>
      <c r="AY1231" s="3"/>
      <c r="BA1231" s="3"/>
      <c r="BG1231" s="3"/>
      <c r="BH1231" s="3"/>
    </row>
    <row r="1232" spans="1:60">
      <c r="A1232" s="23" t="s">
        <v>22</v>
      </c>
      <c r="B1232" s="23" t="s">
        <v>23</v>
      </c>
      <c r="C1232" s="27">
        <v>44439.395833333336</v>
      </c>
      <c r="D1232" s="23">
        <v>43</v>
      </c>
      <c r="E1232" s="27">
        <v>44439.489583333336</v>
      </c>
      <c r="F1232" s="23">
        <v>43.45</v>
      </c>
      <c r="G1232" s="31">
        <v>1.0500000000000001E-2</v>
      </c>
      <c r="H1232" s="23">
        <v>-528.89</v>
      </c>
      <c r="I1232" s="31">
        <v>-1.0500000000000001E-2</v>
      </c>
      <c r="J1232" s="23">
        <v>1175.3209999999999</v>
      </c>
      <c r="K1232" s="23">
        <v>50538.81</v>
      </c>
      <c r="L1232" s="23">
        <v>106635.31</v>
      </c>
      <c r="M1232" s="23">
        <v>10</v>
      </c>
      <c r="N1232" s="23">
        <v>-52.89</v>
      </c>
      <c r="O1232" s="31">
        <v>-1.1599999999999999E-2</v>
      </c>
      <c r="P1232" s="31">
        <v>0</v>
      </c>
      <c r="Q1232" s="23" t="s">
        <v>24</v>
      </c>
      <c r="R1232" s="23">
        <v>0</v>
      </c>
      <c r="S1232" s="23">
        <v>43.91</v>
      </c>
      <c r="U1232" s="47">
        <f>VLOOKUP(AU1232,[1]expiry_dates!$B$2:$C$2894,2,FALSE)</f>
        <v>44469</v>
      </c>
      <c r="V1232" s="23" t="s">
        <v>114</v>
      </c>
      <c r="W1232" s="23" t="s">
        <v>23</v>
      </c>
      <c r="X1232" s="49">
        <v>44439.395833333336</v>
      </c>
      <c r="Y1232" s="23">
        <v>2.1</v>
      </c>
      <c r="Z1232" s="23">
        <v>44439.489583333336</v>
      </c>
      <c r="AA1232" s="23">
        <v>2.2999999999999998</v>
      </c>
      <c r="AB1232" s="23">
        <v>9.5200000000000007E-2</v>
      </c>
      <c r="AC1232" s="23">
        <v>-6564</v>
      </c>
      <c r="AD1232" s="23">
        <v>-9.5200000000000007E-2</v>
      </c>
      <c r="AE1232" s="23">
        <v>32820</v>
      </c>
      <c r="AF1232" s="23">
        <v>68922</v>
      </c>
      <c r="AG1232" s="23">
        <v>3772924.05</v>
      </c>
      <c r="AH1232" s="23">
        <v>10</v>
      </c>
      <c r="AI1232" s="23">
        <v>-656.4</v>
      </c>
      <c r="AJ1232" s="23">
        <v>-0.11899999999999999</v>
      </c>
      <c r="AK1232" s="23">
        <v>0</v>
      </c>
      <c r="AL1232" s="23" t="s">
        <v>24</v>
      </c>
      <c r="AM1232" s="23">
        <v>43</v>
      </c>
      <c r="AN1232" s="23">
        <v>36276.35</v>
      </c>
      <c r="AO1232" s="23">
        <v>43.91</v>
      </c>
      <c r="AP1232" s="23">
        <v>0</v>
      </c>
      <c r="AR1232" s="46"/>
      <c r="AS1232" s="44"/>
      <c r="AT1232" s="45"/>
      <c r="AU1232" s="2">
        <v>44439</v>
      </c>
      <c r="AV1232" s="52">
        <v>0.39583333333333331</v>
      </c>
      <c r="AW1232" s="2" t="s">
        <v>212</v>
      </c>
      <c r="AY1232" s="3"/>
      <c r="BA1232" s="3"/>
      <c r="BG1232" s="3"/>
      <c r="BH1232" s="3"/>
    </row>
    <row r="1233" spans="1:60">
      <c r="A1233" s="23" t="s">
        <v>22</v>
      </c>
      <c r="B1233" s="23" t="s">
        <v>25</v>
      </c>
      <c r="C1233" s="27">
        <v>44439.489583333336</v>
      </c>
      <c r="D1233" s="23">
        <v>43.45</v>
      </c>
      <c r="E1233" s="27">
        <v>44439.552083333336</v>
      </c>
      <c r="F1233" s="23">
        <v>43.05</v>
      </c>
      <c r="G1233" s="31">
        <v>-9.1999999999999998E-3</v>
      </c>
      <c r="H1233" s="23">
        <v>-465.2</v>
      </c>
      <c r="I1233" s="31">
        <v>-9.1999999999999998E-3</v>
      </c>
      <c r="J1233" s="23">
        <v>1163.0119999999999</v>
      </c>
      <c r="K1233" s="23">
        <v>50532.88</v>
      </c>
      <c r="L1233" s="23">
        <v>106170.1</v>
      </c>
      <c r="M1233" s="23">
        <v>7</v>
      </c>
      <c r="N1233" s="23">
        <v>-66.459999999999994</v>
      </c>
      <c r="O1233" s="31">
        <v>-9.1999999999999998E-3</v>
      </c>
      <c r="P1233" s="31">
        <v>5.7999999999999996E-3</v>
      </c>
      <c r="Q1233" s="23" t="s">
        <v>24</v>
      </c>
      <c r="R1233" s="23">
        <v>0</v>
      </c>
      <c r="S1233" s="23">
        <v>43.01</v>
      </c>
      <c r="U1233" s="47">
        <f>VLOOKUP(AU1233,[1]expiry_dates!$B$2:$C$2894,2,FALSE)</f>
        <v>44469</v>
      </c>
      <c r="V1233" s="23" t="s">
        <v>134</v>
      </c>
      <c r="W1233" s="23" t="s">
        <v>23</v>
      </c>
      <c r="X1233" s="49">
        <v>44439.489583333336</v>
      </c>
      <c r="Y1233" s="23">
        <v>1</v>
      </c>
      <c r="Z1233" s="23">
        <v>44439.552083333336</v>
      </c>
      <c r="AA1233" s="23">
        <v>1.1499999999999999</v>
      </c>
      <c r="AB1233" s="23">
        <v>0.15</v>
      </c>
      <c r="AC1233" s="23">
        <v>-10328.459999999999</v>
      </c>
      <c r="AD1233" s="23">
        <v>-0.15</v>
      </c>
      <c r="AE1233" s="23">
        <v>68856.41</v>
      </c>
      <c r="AF1233" s="23">
        <v>68856.41</v>
      </c>
      <c r="AG1233" s="23">
        <v>3762595.59</v>
      </c>
      <c r="AH1233" s="23">
        <v>7</v>
      </c>
      <c r="AI1233" s="23">
        <v>-1475.49</v>
      </c>
      <c r="AJ1233" s="23">
        <v>-0.15</v>
      </c>
      <c r="AK1233" s="23">
        <v>0.05</v>
      </c>
      <c r="AL1233" s="23" t="s">
        <v>24</v>
      </c>
      <c r="AM1233" s="23">
        <v>43.45</v>
      </c>
      <c r="AN1233" s="23">
        <v>36481.300000000003</v>
      </c>
      <c r="AO1233" s="23">
        <v>43.01</v>
      </c>
      <c r="AP1233" s="23">
        <v>0</v>
      </c>
      <c r="AR1233" s="46"/>
      <c r="AS1233" s="44"/>
      <c r="AT1233" s="45"/>
      <c r="AU1233" s="2">
        <v>44439</v>
      </c>
      <c r="AV1233" s="52">
        <v>0.48958333333333331</v>
      </c>
      <c r="AW1233" s="2" t="s">
        <v>212</v>
      </c>
      <c r="AY1233" s="3"/>
      <c r="BA1233" s="3"/>
      <c r="BG1233" s="3"/>
      <c r="BH1233" s="3"/>
    </row>
    <row r="1234" spans="1:60">
      <c r="A1234" s="23" t="s">
        <v>22</v>
      </c>
      <c r="B1234" s="23" t="s">
        <v>23</v>
      </c>
      <c r="C1234" s="27">
        <v>44439.552083333336</v>
      </c>
      <c r="D1234" s="23">
        <v>43.05</v>
      </c>
      <c r="E1234" s="27">
        <v>44439.604166666664</v>
      </c>
      <c r="F1234" s="23">
        <v>43.4</v>
      </c>
      <c r="G1234" s="31">
        <v>8.0999999999999996E-3</v>
      </c>
      <c r="H1234" s="23">
        <v>-410.84</v>
      </c>
      <c r="I1234" s="31">
        <v>-8.0999999999999996E-3</v>
      </c>
      <c r="J1234" s="23">
        <v>1173.818</v>
      </c>
      <c r="K1234" s="23">
        <v>50532.88</v>
      </c>
      <c r="L1234" s="23">
        <v>105759.27</v>
      </c>
      <c r="M1234" s="23">
        <v>6</v>
      </c>
      <c r="N1234" s="23">
        <v>-68.47</v>
      </c>
      <c r="O1234" s="31">
        <v>-9.2999999999999992E-3</v>
      </c>
      <c r="P1234" s="31">
        <v>4.5999999999999999E-3</v>
      </c>
      <c r="Q1234" s="23" t="s">
        <v>24</v>
      </c>
      <c r="R1234" s="23">
        <v>0</v>
      </c>
      <c r="S1234" s="23">
        <v>43.67</v>
      </c>
      <c r="U1234" s="47">
        <f>VLOOKUP(AU1234,[1]expiry_dates!$B$2:$C$2894,2,FALSE)</f>
        <v>44469</v>
      </c>
      <c r="V1234" s="23" t="s">
        <v>114</v>
      </c>
      <c r="W1234" s="23" t="s">
        <v>23</v>
      </c>
      <c r="X1234" s="49">
        <v>44439.552083333336</v>
      </c>
      <c r="Y1234" s="23">
        <v>2.0499999999999998</v>
      </c>
      <c r="Z1234" s="23">
        <v>44439.604166666664</v>
      </c>
      <c r="AA1234" s="23">
        <v>2.2000000000000002</v>
      </c>
      <c r="AB1234" s="23">
        <v>7.3200000000000001E-2</v>
      </c>
      <c r="AC1234" s="23">
        <v>-5038.88</v>
      </c>
      <c r="AD1234" s="23">
        <v>-7.3200000000000001E-2</v>
      </c>
      <c r="AE1234" s="23">
        <v>33592.5</v>
      </c>
      <c r="AF1234" s="23">
        <v>68864.63</v>
      </c>
      <c r="AG1234" s="23">
        <v>3757556.71</v>
      </c>
      <c r="AH1234" s="23">
        <v>6</v>
      </c>
      <c r="AI1234" s="23">
        <v>-839.81</v>
      </c>
      <c r="AJ1234" s="23">
        <v>-7.3200000000000001E-2</v>
      </c>
      <c r="AK1234" s="23">
        <v>2.4400000000000002E-2</v>
      </c>
      <c r="AL1234" s="23" t="s">
        <v>24</v>
      </c>
      <c r="AM1234" s="23">
        <v>43.05</v>
      </c>
      <c r="AN1234" s="23">
        <v>36362.75</v>
      </c>
      <c r="AO1234" s="23">
        <v>43.67</v>
      </c>
      <c r="AP1234" s="23">
        <v>0</v>
      </c>
      <c r="AR1234" s="46"/>
      <c r="AS1234" s="44"/>
      <c r="AT1234" s="45"/>
      <c r="AU1234" s="2">
        <v>44439</v>
      </c>
      <c r="AV1234" s="52">
        <v>5.2083333333333336E-2</v>
      </c>
      <c r="AW1234" s="2" t="s">
        <v>213</v>
      </c>
      <c r="AY1234" s="3"/>
      <c r="BA1234" s="3"/>
      <c r="BG1234" s="3"/>
      <c r="BH1234" s="3"/>
    </row>
    <row r="1235" spans="1:60">
      <c r="A1235" s="23" t="s">
        <v>22</v>
      </c>
      <c r="B1235" s="23" t="s">
        <v>25</v>
      </c>
      <c r="C1235" s="27">
        <v>44439.604166666664</v>
      </c>
      <c r="D1235" s="23">
        <v>43.4</v>
      </c>
      <c r="E1235" s="27">
        <v>44439.625</v>
      </c>
      <c r="F1235" s="23">
        <v>43</v>
      </c>
      <c r="G1235" s="31">
        <v>-9.1999999999999998E-3</v>
      </c>
      <c r="H1235" s="23">
        <v>-465.7</v>
      </c>
      <c r="I1235" s="31">
        <v>-9.1999999999999998E-3</v>
      </c>
      <c r="J1235" s="23">
        <v>1164.251</v>
      </c>
      <c r="K1235" s="23">
        <v>50528.5</v>
      </c>
      <c r="L1235" s="23">
        <v>105293.57</v>
      </c>
      <c r="M1235" s="23">
        <v>3</v>
      </c>
      <c r="N1235" s="23">
        <v>-155.22999999999999</v>
      </c>
      <c r="O1235" s="31">
        <v>-9.1999999999999998E-3</v>
      </c>
      <c r="P1235" s="31">
        <v>2.3E-3</v>
      </c>
      <c r="Q1235" s="23" t="s">
        <v>24</v>
      </c>
      <c r="R1235" s="23">
        <v>0</v>
      </c>
      <c r="S1235" s="23">
        <v>42.88</v>
      </c>
      <c r="U1235" s="47">
        <f>VLOOKUP(AU1235,[1]expiry_dates!$B$2:$C$2894,2,FALSE)</f>
        <v>44469</v>
      </c>
      <c r="V1235" s="23" t="s">
        <v>115</v>
      </c>
      <c r="W1235" s="23" t="s">
        <v>23</v>
      </c>
      <c r="X1235" s="49">
        <v>44439.604166666664</v>
      </c>
      <c r="Y1235" s="23">
        <v>1.45</v>
      </c>
      <c r="Z1235" s="23">
        <v>44439.625</v>
      </c>
      <c r="AA1235" s="23">
        <v>1.55</v>
      </c>
      <c r="AB1235" s="23">
        <v>6.9000000000000006E-2</v>
      </c>
      <c r="AC1235" s="23">
        <v>-4743.9799999999996</v>
      </c>
      <c r="AD1235" s="23">
        <v>-6.9000000000000006E-2</v>
      </c>
      <c r="AE1235" s="23">
        <v>47439.85</v>
      </c>
      <c r="AF1235" s="23">
        <v>68787.78</v>
      </c>
      <c r="AG1235" s="23">
        <v>3752812.73</v>
      </c>
      <c r="AH1235" s="23">
        <v>3</v>
      </c>
      <c r="AI1235" s="23">
        <v>-1581.33</v>
      </c>
      <c r="AJ1235" s="23">
        <v>-6.9000000000000006E-2</v>
      </c>
      <c r="AK1235" s="23">
        <v>6.9000000000000006E-2</v>
      </c>
      <c r="AL1235" s="23" t="s">
        <v>24</v>
      </c>
      <c r="AM1235" s="23">
        <v>43.4</v>
      </c>
      <c r="AN1235" s="23">
        <v>36401</v>
      </c>
      <c r="AO1235" s="23">
        <v>42.88</v>
      </c>
      <c r="AP1235" s="23">
        <v>0</v>
      </c>
      <c r="AR1235" s="46"/>
      <c r="AS1235" s="44"/>
      <c r="AT1235" s="45"/>
      <c r="AU1235" s="2">
        <v>44439</v>
      </c>
      <c r="AV1235" s="52">
        <v>0.10416666666666667</v>
      </c>
      <c r="AW1235" s="2" t="s">
        <v>213</v>
      </c>
      <c r="AY1235" s="3"/>
      <c r="BA1235" s="3"/>
      <c r="BG1235" s="3"/>
      <c r="BH1235" s="3"/>
    </row>
    <row r="1236" spans="1:60">
      <c r="A1236" s="23" t="s">
        <v>22</v>
      </c>
      <c r="B1236" s="23" t="s">
        <v>23</v>
      </c>
      <c r="C1236" s="27">
        <v>44439.625</v>
      </c>
      <c r="D1236" s="23">
        <v>43</v>
      </c>
      <c r="E1236" s="27">
        <v>44440.385416666664</v>
      </c>
      <c r="F1236" s="23">
        <v>43.35</v>
      </c>
      <c r="G1236" s="31">
        <v>8.0999999999999996E-3</v>
      </c>
      <c r="H1236" s="23">
        <v>-411.28</v>
      </c>
      <c r="I1236" s="31">
        <v>-8.0999999999999996E-3</v>
      </c>
      <c r="J1236" s="23">
        <v>1175.088</v>
      </c>
      <c r="K1236" s="23">
        <v>50528.800000000003</v>
      </c>
      <c r="L1236" s="23">
        <v>104882.28</v>
      </c>
      <c r="M1236" s="23">
        <v>6</v>
      </c>
      <c r="N1236" s="23">
        <v>-68.55</v>
      </c>
      <c r="O1236" s="31">
        <v>-1.0500000000000001E-2</v>
      </c>
      <c r="P1236" s="31">
        <v>1.2800000000000001E-2</v>
      </c>
      <c r="Q1236" s="23" t="s">
        <v>24</v>
      </c>
      <c r="R1236" s="23">
        <v>0</v>
      </c>
      <c r="S1236" s="23">
        <v>43.48</v>
      </c>
      <c r="U1236" s="47">
        <f>VLOOKUP(AU1236,[1]expiry_dates!$B$2:$C$2894,2,FALSE)</f>
        <v>44469</v>
      </c>
      <c r="V1236" s="23" t="s">
        <v>114</v>
      </c>
      <c r="W1236" s="23" t="s">
        <v>23</v>
      </c>
      <c r="X1236" s="49">
        <v>44439.625</v>
      </c>
      <c r="Y1236" s="23">
        <v>2</v>
      </c>
      <c r="Z1236" s="23">
        <v>44440.385416666664</v>
      </c>
      <c r="AA1236" s="23">
        <v>2.2000000000000002</v>
      </c>
      <c r="AB1236" s="23">
        <v>0.1</v>
      </c>
      <c r="AC1236" s="23">
        <v>-6881.15</v>
      </c>
      <c r="AD1236" s="23">
        <v>-0.1</v>
      </c>
      <c r="AE1236" s="23">
        <v>34405.75</v>
      </c>
      <c r="AF1236" s="23">
        <v>68811.5</v>
      </c>
      <c r="AG1236" s="23">
        <v>3745931.58</v>
      </c>
      <c r="AH1236" s="23">
        <v>6</v>
      </c>
      <c r="AI1236" s="23">
        <v>-1146.8599999999999</v>
      </c>
      <c r="AJ1236" s="23">
        <v>-0.1</v>
      </c>
      <c r="AK1236" s="23">
        <v>0.05</v>
      </c>
      <c r="AL1236" s="23" t="s">
        <v>24</v>
      </c>
      <c r="AM1236" s="23">
        <v>43</v>
      </c>
      <c r="AN1236" s="23">
        <v>36434.1</v>
      </c>
      <c r="AO1236" s="23">
        <v>43.48</v>
      </c>
      <c r="AP1236" s="23">
        <v>0</v>
      </c>
      <c r="AR1236" s="46"/>
      <c r="AS1236" s="44"/>
      <c r="AT1236" s="45"/>
      <c r="AU1236" s="2">
        <v>44439</v>
      </c>
      <c r="AV1236" s="52">
        <v>0.125</v>
      </c>
      <c r="AW1236" s="2" t="s">
        <v>213</v>
      </c>
      <c r="AY1236" s="3"/>
      <c r="BA1236" s="3"/>
      <c r="BG1236" s="3"/>
      <c r="BH1236" s="3"/>
    </row>
    <row r="1237" spans="1:60">
      <c r="A1237" s="23" t="s">
        <v>22</v>
      </c>
      <c r="B1237" s="23" t="s">
        <v>25</v>
      </c>
      <c r="C1237" s="27">
        <v>44440.385416666664</v>
      </c>
      <c r="D1237" s="23">
        <v>43.35</v>
      </c>
      <c r="E1237" s="27">
        <v>44441.427083333336</v>
      </c>
      <c r="F1237" s="23">
        <v>44.05</v>
      </c>
      <c r="G1237" s="31">
        <v>1.61E-2</v>
      </c>
      <c r="H1237" s="23">
        <v>815.89</v>
      </c>
      <c r="I1237" s="31">
        <v>1.61E-2</v>
      </c>
      <c r="J1237" s="23">
        <v>1165.5540000000001</v>
      </c>
      <c r="K1237" s="23">
        <v>50526.76</v>
      </c>
      <c r="L1237" s="23">
        <v>105698.17</v>
      </c>
      <c r="M1237" s="23">
        <v>33</v>
      </c>
      <c r="N1237" s="23">
        <v>24.72</v>
      </c>
      <c r="O1237" s="31">
        <v>-1.4999999999999999E-2</v>
      </c>
      <c r="P1237" s="31">
        <v>3.1099999999999999E-2</v>
      </c>
      <c r="Q1237" s="23" t="s">
        <v>24</v>
      </c>
      <c r="R1237" s="23">
        <v>0</v>
      </c>
      <c r="S1237" s="23">
        <v>42.45</v>
      </c>
      <c r="U1237" s="47">
        <f>VLOOKUP(AU1237,[1]expiry_dates!$B$2:$C$2894,2,FALSE)</f>
        <v>44469</v>
      </c>
      <c r="V1237" s="23" t="s">
        <v>118</v>
      </c>
      <c r="W1237" s="23" t="s">
        <v>23</v>
      </c>
      <c r="X1237" s="49">
        <v>44440.385416666664</v>
      </c>
      <c r="Y1237" s="23">
        <v>1.8</v>
      </c>
      <c r="Z1237" s="23">
        <v>44441.427083333336</v>
      </c>
      <c r="AA1237" s="23">
        <v>1.5</v>
      </c>
      <c r="AB1237" s="23">
        <v>-0.16669999999999999</v>
      </c>
      <c r="AC1237" s="23">
        <v>11460.68</v>
      </c>
      <c r="AD1237" s="23">
        <v>0.16669999999999999</v>
      </c>
      <c r="AE1237" s="23">
        <v>38202.26</v>
      </c>
      <c r="AF1237" s="23">
        <v>68764.06</v>
      </c>
      <c r="AG1237" s="23">
        <v>3757392.25</v>
      </c>
      <c r="AH1237" s="23">
        <v>33</v>
      </c>
      <c r="AI1237" s="23">
        <v>347.29</v>
      </c>
      <c r="AJ1237" s="23">
        <v>-5.5599999999999997E-2</v>
      </c>
      <c r="AK1237" s="23">
        <v>0.30559999999999998</v>
      </c>
      <c r="AL1237" s="23" t="s">
        <v>24</v>
      </c>
      <c r="AM1237" s="23">
        <v>43.35</v>
      </c>
      <c r="AN1237" s="23">
        <v>36730.35</v>
      </c>
      <c r="AO1237" s="23">
        <v>42.45</v>
      </c>
      <c r="AP1237" s="23">
        <v>0</v>
      </c>
      <c r="AR1237" s="46"/>
      <c r="AS1237" s="44"/>
      <c r="AT1237" s="45"/>
      <c r="AU1237" s="2">
        <v>44440</v>
      </c>
      <c r="AV1237" s="52">
        <v>0.38541666666666669</v>
      </c>
      <c r="AW1237" s="2" t="s">
        <v>212</v>
      </c>
      <c r="AY1237" s="3"/>
      <c r="BA1237" s="3"/>
      <c r="BG1237" s="3"/>
      <c r="BH1237" s="3"/>
    </row>
    <row r="1238" spans="1:60">
      <c r="A1238" s="23" t="s">
        <v>22</v>
      </c>
      <c r="B1238" s="23" t="s">
        <v>23</v>
      </c>
      <c r="C1238" s="27">
        <v>44441.427083333336</v>
      </c>
      <c r="D1238" s="23">
        <v>44.05</v>
      </c>
      <c r="E1238" s="27">
        <v>44441.510416666664</v>
      </c>
      <c r="F1238" s="23">
        <v>44.45</v>
      </c>
      <c r="G1238" s="31">
        <v>9.1000000000000004E-3</v>
      </c>
      <c r="H1238" s="23">
        <v>-458.83</v>
      </c>
      <c r="I1238" s="31">
        <v>-9.1000000000000004E-3</v>
      </c>
      <c r="J1238" s="23">
        <v>1147.085</v>
      </c>
      <c r="K1238" s="23">
        <v>50529.07</v>
      </c>
      <c r="L1238" s="23">
        <v>105239.34</v>
      </c>
      <c r="M1238" s="23">
        <v>9</v>
      </c>
      <c r="N1238" s="23">
        <v>-50.98</v>
      </c>
      <c r="O1238" s="31">
        <v>-9.1000000000000004E-3</v>
      </c>
      <c r="P1238" s="31">
        <v>1.1000000000000001E-3</v>
      </c>
      <c r="Q1238" s="23" t="s">
        <v>24</v>
      </c>
      <c r="R1238" s="23">
        <v>0</v>
      </c>
      <c r="S1238" s="23">
        <v>44.67</v>
      </c>
      <c r="U1238" s="47">
        <f>VLOOKUP(AU1238,[1]expiry_dates!$B$2:$C$2894,2,FALSE)</f>
        <v>44469</v>
      </c>
      <c r="V1238" s="23" t="s">
        <v>117</v>
      </c>
      <c r="W1238" s="23" t="s">
        <v>23</v>
      </c>
      <c r="X1238" s="49">
        <v>44441.427083333336</v>
      </c>
      <c r="Y1238" s="23">
        <v>2</v>
      </c>
      <c r="Z1238" s="23">
        <v>44441.510416666664</v>
      </c>
      <c r="AA1238" s="23">
        <v>2.2000000000000002</v>
      </c>
      <c r="AB1238" s="23">
        <v>0.1</v>
      </c>
      <c r="AC1238" s="23">
        <v>-6879.65</v>
      </c>
      <c r="AD1238" s="23">
        <v>-0.1</v>
      </c>
      <c r="AE1238" s="23">
        <v>34398.26</v>
      </c>
      <c r="AF1238" s="23">
        <v>68796.52</v>
      </c>
      <c r="AG1238" s="23">
        <v>3750512.6</v>
      </c>
      <c r="AH1238" s="23">
        <v>9</v>
      </c>
      <c r="AI1238" s="23">
        <v>-764.41</v>
      </c>
      <c r="AJ1238" s="23">
        <v>-0.1</v>
      </c>
      <c r="AK1238" s="23">
        <v>0</v>
      </c>
      <c r="AL1238" s="23" t="s">
        <v>24</v>
      </c>
      <c r="AM1238" s="23">
        <v>44.05</v>
      </c>
      <c r="AN1238" s="23">
        <v>36558.35</v>
      </c>
      <c r="AO1238" s="23">
        <v>44.67</v>
      </c>
      <c r="AP1238" s="23">
        <v>0</v>
      </c>
      <c r="AR1238" s="46"/>
      <c r="AS1238" s="44"/>
      <c r="AT1238" s="45"/>
      <c r="AU1238" s="2">
        <v>44441</v>
      </c>
      <c r="AV1238" s="52">
        <v>0.42708333333333331</v>
      </c>
      <c r="AW1238" s="2" t="s">
        <v>212</v>
      </c>
      <c r="AY1238" s="3"/>
      <c r="BA1238" s="3"/>
      <c r="BG1238" s="3"/>
      <c r="BH1238" s="3"/>
    </row>
    <row r="1239" spans="1:60">
      <c r="A1239" s="23" t="s">
        <v>22</v>
      </c>
      <c r="B1239" s="23" t="s">
        <v>25</v>
      </c>
      <c r="C1239" s="27">
        <v>44441.510416666664</v>
      </c>
      <c r="D1239" s="23">
        <v>44.45</v>
      </c>
      <c r="E1239" s="27">
        <v>44442.583333333336</v>
      </c>
      <c r="F1239" s="23">
        <v>45.7</v>
      </c>
      <c r="G1239" s="31">
        <v>2.81E-2</v>
      </c>
      <c r="H1239" s="23">
        <v>1420.88</v>
      </c>
      <c r="I1239" s="31">
        <v>2.81E-2</v>
      </c>
      <c r="J1239" s="23">
        <v>1136.704</v>
      </c>
      <c r="K1239" s="23">
        <v>50526.48</v>
      </c>
      <c r="L1239" s="23">
        <v>106660.22</v>
      </c>
      <c r="M1239" s="23">
        <v>36</v>
      </c>
      <c r="N1239" s="23">
        <v>39.47</v>
      </c>
      <c r="O1239" s="31">
        <v>-7.9000000000000008E-3</v>
      </c>
      <c r="P1239" s="31">
        <v>4.2700000000000002E-2</v>
      </c>
      <c r="Q1239" s="23" t="s">
        <v>24</v>
      </c>
      <c r="R1239" s="23">
        <v>0</v>
      </c>
      <c r="S1239" s="23">
        <v>44.02</v>
      </c>
      <c r="U1239" s="47">
        <f>VLOOKUP(AU1239,[1]expiry_dates!$B$2:$C$2894,2,FALSE)</f>
        <v>44469</v>
      </c>
      <c r="V1239" s="23" t="s">
        <v>109</v>
      </c>
      <c r="W1239" s="23" t="s">
        <v>23</v>
      </c>
      <c r="X1239" s="49">
        <v>44441.510416666664</v>
      </c>
      <c r="Y1239" s="23">
        <v>2.2000000000000002</v>
      </c>
      <c r="Z1239" s="23">
        <v>44442.583333333336</v>
      </c>
      <c r="AA1239" s="23">
        <v>1.8</v>
      </c>
      <c r="AB1239" s="23">
        <v>-0.18179999999999999</v>
      </c>
      <c r="AC1239" s="23">
        <v>12502.03</v>
      </c>
      <c r="AD1239" s="23">
        <v>0.18179999999999999</v>
      </c>
      <c r="AE1239" s="23">
        <v>31255.07</v>
      </c>
      <c r="AF1239" s="23">
        <v>68761.16</v>
      </c>
      <c r="AG1239" s="23">
        <v>3763014.63</v>
      </c>
      <c r="AH1239" s="23">
        <v>36</v>
      </c>
      <c r="AI1239" s="23">
        <v>347.28</v>
      </c>
      <c r="AJ1239" s="23">
        <v>-9.0899999999999995E-2</v>
      </c>
      <c r="AK1239" s="23">
        <v>0.31819999999999998</v>
      </c>
      <c r="AL1239" s="23" t="s">
        <v>24</v>
      </c>
      <c r="AM1239" s="23">
        <v>44.45</v>
      </c>
      <c r="AN1239" s="23">
        <v>36798.199999999997</v>
      </c>
      <c r="AO1239" s="23">
        <v>44.02</v>
      </c>
      <c r="AP1239" s="23">
        <v>0</v>
      </c>
      <c r="AR1239" s="46"/>
      <c r="AS1239" s="44"/>
      <c r="AT1239" s="45"/>
      <c r="AU1239" s="2">
        <v>44441</v>
      </c>
      <c r="AV1239" s="52">
        <v>0.51041666666666663</v>
      </c>
      <c r="AW1239" s="2" t="s">
        <v>213</v>
      </c>
      <c r="AY1239" s="3"/>
      <c r="BA1239" s="3"/>
      <c r="BG1239" s="3"/>
      <c r="BH1239" s="3"/>
    </row>
    <row r="1240" spans="1:60">
      <c r="A1240" s="23" t="s">
        <v>22</v>
      </c>
      <c r="B1240" s="23" t="s">
        <v>23</v>
      </c>
      <c r="C1240" s="27">
        <v>44442.583333333336</v>
      </c>
      <c r="D1240" s="23">
        <v>45.7</v>
      </c>
      <c r="E1240" s="27">
        <v>44445.5</v>
      </c>
      <c r="F1240" s="23">
        <v>45.55</v>
      </c>
      <c r="G1240" s="31">
        <v>-3.3E-3</v>
      </c>
      <c r="H1240" s="23">
        <v>165.87</v>
      </c>
      <c r="I1240" s="31">
        <v>3.3E-3</v>
      </c>
      <c r="J1240" s="23">
        <v>1105.7929999999999</v>
      </c>
      <c r="K1240" s="23">
        <v>50534.720000000001</v>
      </c>
      <c r="L1240" s="23">
        <v>106826.09</v>
      </c>
      <c r="M1240" s="23">
        <v>21</v>
      </c>
      <c r="N1240" s="23">
        <v>7.9</v>
      </c>
      <c r="O1240" s="31">
        <v>-6.6E-3</v>
      </c>
      <c r="P1240" s="31">
        <v>1.3100000000000001E-2</v>
      </c>
      <c r="Q1240" s="23" t="s">
        <v>24</v>
      </c>
      <c r="R1240" s="23">
        <v>0</v>
      </c>
      <c r="S1240" s="23">
        <v>46.32</v>
      </c>
      <c r="U1240" s="47">
        <f>VLOOKUP(AU1240,[1]expiry_dates!$B$2:$C$2894,2,FALSE)</f>
        <v>44469</v>
      </c>
      <c r="V1240" s="23" t="s">
        <v>110</v>
      </c>
      <c r="W1240" s="23" t="s">
        <v>23</v>
      </c>
      <c r="X1240" s="49">
        <v>44442.583333333336</v>
      </c>
      <c r="Y1240" s="23">
        <v>2.0499999999999998</v>
      </c>
      <c r="Z1240" s="23">
        <v>44445.5</v>
      </c>
      <c r="AA1240" s="23">
        <v>1.9</v>
      </c>
      <c r="AB1240" s="23">
        <v>-7.3200000000000001E-2</v>
      </c>
      <c r="AC1240" s="23">
        <v>5036.96</v>
      </c>
      <c r="AD1240" s="23">
        <v>7.3200000000000001E-2</v>
      </c>
      <c r="AE1240" s="23">
        <v>33579.769999999997</v>
      </c>
      <c r="AF1240" s="23">
        <v>68838.52</v>
      </c>
      <c r="AG1240" s="23">
        <v>3768051.6</v>
      </c>
      <c r="AH1240" s="23">
        <v>21</v>
      </c>
      <c r="AI1240" s="23">
        <v>239.86</v>
      </c>
      <c r="AJ1240" s="23">
        <v>-0.122</v>
      </c>
      <c r="AK1240" s="23">
        <v>0.2195</v>
      </c>
      <c r="AL1240" s="23" t="s">
        <v>24</v>
      </c>
      <c r="AM1240" s="23">
        <v>45.7</v>
      </c>
      <c r="AN1240" s="23">
        <v>36665.300000000003</v>
      </c>
      <c r="AO1240" s="23">
        <v>46.32</v>
      </c>
      <c r="AP1240" s="23">
        <v>0</v>
      </c>
      <c r="AR1240" s="46"/>
      <c r="AS1240" s="44"/>
      <c r="AT1240" s="45"/>
      <c r="AU1240" s="2">
        <v>44442</v>
      </c>
      <c r="AV1240" s="52">
        <v>8.3333333333333329E-2</v>
      </c>
      <c r="AW1240" s="2" t="s">
        <v>213</v>
      </c>
      <c r="AY1240" s="3"/>
      <c r="BA1240" s="3"/>
      <c r="BG1240" s="3"/>
      <c r="BH1240" s="3"/>
    </row>
    <row r="1241" spans="1:60">
      <c r="A1241" s="23" t="s">
        <v>22</v>
      </c>
      <c r="B1241" s="23" t="s">
        <v>25</v>
      </c>
      <c r="C1241" s="27">
        <v>44445.5</v>
      </c>
      <c r="D1241" s="23">
        <v>45.55</v>
      </c>
      <c r="E1241" s="27">
        <v>44445.5625</v>
      </c>
      <c r="F1241" s="23">
        <v>45.3</v>
      </c>
      <c r="G1241" s="31">
        <v>-5.4999999999999997E-3</v>
      </c>
      <c r="H1241" s="23">
        <v>-277.36</v>
      </c>
      <c r="I1241" s="31">
        <v>-5.4999999999999997E-3</v>
      </c>
      <c r="J1241" s="23">
        <v>1109.421</v>
      </c>
      <c r="K1241" s="23">
        <v>50534.13</v>
      </c>
      <c r="L1241" s="23">
        <v>106548.73</v>
      </c>
      <c r="M1241" s="23">
        <v>7</v>
      </c>
      <c r="N1241" s="23">
        <v>-39.619999999999997</v>
      </c>
      <c r="O1241" s="31">
        <v>-5.4999999999999997E-3</v>
      </c>
      <c r="P1241" s="31">
        <v>3.3E-3</v>
      </c>
      <c r="Q1241" s="23" t="s">
        <v>24</v>
      </c>
      <c r="R1241" s="23">
        <v>0</v>
      </c>
      <c r="S1241" s="23">
        <v>45.11</v>
      </c>
      <c r="U1241" s="47">
        <f>VLOOKUP(AU1241,[1]expiry_dates!$B$2:$C$2894,2,FALSE)</f>
        <v>44469</v>
      </c>
      <c r="V1241" s="23" t="s">
        <v>107</v>
      </c>
      <c r="W1241" s="23" t="s">
        <v>23</v>
      </c>
      <c r="X1241" s="49">
        <v>44445.5</v>
      </c>
      <c r="Y1241" s="23">
        <v>2.15</v>
      </c>
      <c r="Z1241" s="23">
        <v>44445.5625</v>
      </c>
      <c r="AA1241" s="23">
        <v>2.25</v>
      </c>
      <c r="AB1241" s="23">
        <v>4.65E-2</v>
      </c>
      <c r="AC1241" s="23">
        <v>-3202.65</v>
      </c>
      <c r="AD1241" s="23">
        <v>-4.65E-2</v>
      </c>
      <c r="AE1241" s="23">
        <v>32026.53</v>
      </c>
      <c r="AF1241" s="23">
        <v>68857.05</v>
      </c>
      <c r="AG1241" s="23">
        <v>3764848.94</v>
      </c>
      <c r="AH1241" s="23">
        <v>7</v>
      </c>
      <c r="AI1241" s="23">
        <v>-457.52</v>
      </c>
      <c r="AJ1241" s="23">
        <v>-6.9800000000000001E-2</v>
      </c>
      <c r="AK1241" s="23">
        <v>0</v>
      </c>
      <c r="AL1241" s="23" t="s">
        <v>24</v>
      </c>
      <c r="AM1241" s="23">
        <v>45.55</v>
      </c>
      <c r="AN1241" s="23">
        <v>36678.449999999997</v>
      </c>
      <c r="AO1241" s="23">
        <v>45.11</v>
      </c>
      <c r="AP1241" s="23">
        <v>0</v>
      </c>
      <c r="AR1241" s="46"/>
      <c r="AS1241" s="44"/>
      <c r="AT1241" s="45"/>
      <c r="AU1241" s="2">
        <v>44445</v>
      </c>
      <c r="AV1241" s="52">
        <v>0.5</v>
      </c>
      <c r="AW1241" s="2" t="s">
        <v>213</v>
      </c>
      <c r="AY1241" s="3"/>
      <c r="BA1241" s="3"/>
      <c r="BG1241" s="3"/>
      <c r="BH1241" s="3"/>
    </row>
    <row r="1242" spans="1:60">
      <c r="A1242" s="23" t="s">
        <v>22</v>
      </c>
      <c r="B1242" s="23" t="s">
        <v>23</v>
      </c>
      <c r="C1242" s="27">
        <v>44445.5625</v>
      </c>
      <c r="D1242" s="23">
        <v>45.3</v>
      </c>
      <c r="E1242" s="27">
        <v>44446.447916666664</v>
      </c>
      <c r="F1242" s="23">
        <v>45.05</v>
      </c>
      <c r="G1242" s="31">
        <v>-5.4999999999999997E-3</v>
      </c>
      <c r="H1242" s="23">
        <v>278.88</v>
      </c>
      <c r="I1242" s="31">
        <v>5.4999999999999997E-3</v>
      </c>
      <c r="J1242" s="23">
        <v>1115.519</v>
      </c>
      <c r="K1242" s="23">
        <v>50533.02</v>
      </c>
      <c r="L1242" s="23">
        <v>106827.61</v>
      </c>
      <c r="M1242" s="23">
        <v>18</v>
      </c>
      <c r="N1242" s="23">
        <v>15.49</v>
      </c>
      <c r="O1242" s="31">
        <v>-2.2000000000000001E-3</v>
      </c>
      <c r="P1242" s="31">
        <v>2.4299999999999999E-2</v>
      </c>
      <c r="Q1242" s="23" t="s">
        <v>24</v>
      </c>
      <c r="R1242" s="23">
        <v>0</v>
      </c>
      <c r="S1242" s="23">
        <v>45.68</v>
      </c>
      <c r="U1242" s="47">
        <f>VLOOKUP(AU1242,[1]expiry_dates!$B$2:$C$2894,2,FALSE)</f>
        <v>44469</v>
      </c>
      <c r="V1242" s="23" t="s">
        <v>112</v>
      </c>
      <c r="W1242" s="23" t="s">
        <v>23</v>
      </c>
      <c r="X1242" s="49">
        <v>44445.5625</v>
      </c>
      <c r="Y1242" s="23">
        <v>2.15</v>
      </c>
      <c r="Z1242" s="23">
        <v>44446.447916666664</v>
      </c>
      <c r="AA1242" s="23">
        <v>2.1</v>
      </c>
      <c r="AB1242" s="23">
        <v>-2.3300000000000001E-2</v>
      </c>
      <c r="AC1242" s="23">
        <v>1600.56</v>
      </c>
      <c r="AD1242" s="23">
        <v>2.3300000000000001E-2</v>
      </c>
      <c r="AE1242" s="23">
        <v>32011.279999999999</v>
      </c>
      <c r="AF1242" s="23">
        <v>68824.240000000005</v>
      </c>
      <c r="AG1242" s="23">
        <v>3766449.51</v>
      </c>
      <c r="AH1242" s="23">
        <v>18</v>
      </c>
      <c r="AI1242" s="23">
        <v>88.92</v>
      </c>
      <c r="AJ1242" s="23">
        <v>-2.3300000000000001E-2</v>
      </c>
      <c r="AK1242" s="23">
        <v>0.25580000000000003</v>
      </c>
      <c r="AL1242" s="23" t="s">
        <v>24</v>
      </c>
      <c r="AM1242" s="23">
        <v>45.3</v>
      </c>
      <c r="AN1242" s="23">
        <v>36702.15</v>
      </c>
      <c r="AO1242" s="23">
        <v>45.68</v>
      </c>
      <c r="AP1242" s="23">
        <v>0</v>
      </c>
      <c r="AR1242" s="46"/>
      <c r="AS1242" s="44"/>
      <c r="AT1242" s="45"/>
      <c r="AU1242" s="2">
        <v>44445</v>
      </c>
      <c r="AV1242" s="52">
        <v>6.25E-2</v>
      </c>
      <c r="AW1242" s="2" t="s">
        <v>213</v>
      </c>
      <c r="AY1242" s="3"/>
      <c r="BA1242" s="3"/>
      <c r="BG1242" s="3"/>
      <c r="BH1242" s="3"/>
    </row>
    <row r="1243" spans="1:60">
      <c r="A1243" s="23" t="s">
        <v>22</v>
      </c>
      <c r="B1243" s="23" t="s">
        <v>25</v>
      </c>
      <c r="C1243" s="27">
        <v>44446.447916666664</v>
      </c>
      <c r="D1243" s="23">
        <v>45.05</v>
      </c>
      <c r="E1243" s="27">
        <v>44447.510416666664</v>
      </c>
      <c r="F1243" s="23">
        <v>46.85</v>
      </c>
      <c r="G1243" s="31">
        <v>0.04</v>
      </c>
      <c r="H1243" s="23">
        <v>2019.18</v>
      </c>
      <c r="I1243" s="31">
        <v>0.04</v>
      </c>
      <c r="J1243" s="23">
        <v>1121.7660000000001</v>
      </c>
      <c r="K1243" s="23">
        <v>50535.54</v>
      </c>
      <c r="L1243" s="23">
        <v>108846.79</v>
      </c>
      <c r="M1243" s="23">
        <v>35</v>
      </c>
      <c r="N1243" s="23">
        <v>57.69</v>
      </c>
      <c r="O1243" s="31">
        <v>-5.4999999999999997E-3</v>
      </c>
      <c r="P1243" s="31">
        <v>5.7700000000000001E-2</v>
      </c>
      <c r="Q1243" s="23" t="s">
        <v>24</v>
      </c>
      <c r="R1243" s="23">
        <v>0</v>
      </c>
      <c r="S1243" s="23">
        <v>44.22</v>
      </c>
      <c r="U1243" s="47">
        <f>VLOOKUP(AU1243,[1]expiry_dates!$B$2:$C$2894,2,FALSE)</f>
        <v>44469</v>
      </c>
      <c r="V1243" s="23" t="s">
        <v>109</v>
      </c>
      <c r="W1243" s="23" t="s">
        <v>23</v>
      </c>
      <c r="X1243" s="49">
        <v>44446.447916666664</v>
      </c>
      <c r="Y1243" s="23">
        <v>1.9</v>
      </c>
      <c r="Z1243" s="23">
        <v>44447.510416666664</v>
      </c>
      <c r="AA1243" s="23">
        <v>1.25</v>
      </c>
      <c r="AB1243" s="23">
        <v>-0.34210000000000002</v>
      </c>
      <c r="AC1243" s="23">
        <v>23558.83</v>
      </c>
      <c r="AD1243" s="23">
        <v>0.34210000000000002</v>
      </c>
      <c r="AE1243" s="23">
        <v>36244.35</v>
      </c>
      <c r="AF1243" s="23">
        <v>68864.259999999995</v>
      </c>
      <c r="AG1243" s="23">
        <v>3790008.33</v>
      </c>
      <c r="AH1243" s="23">
        <v>35</v>
      </c>
      <c r="AI1243" s="23">
        <v>673.11</v>
      </c>
      <c r="AJ1243" s="23">
        <v>-7.8899999999999998E-2</v>
      </c>
      <c r="AK1243" s="23">
        <v>0.47370000000000001</v>
      </c>
      <c r="AL1243" s="23" t="s">
        <v>24</v>
      </c>
      <c r="AM1243" s="23">
        <v>45.05</v>
      </c>
      <c r="AN1243" s="23">
        <v>36287.800000000003</v>
      </c>
      <c r="AO1243" s="23">
        <v>44.22</v>
      </c>
      <c r="AP1243" s="23">
        <v>0</v>
      </c>
      <c r="AR1243" s="46"/>
      <c r="AS1243" s="44"/>
      <c r="AT1243" s="45"/>
      <c r="AU1243" s="2">
        <v>44446</v>
      </c>
      <c r="AV1243" s="52">
        <v>0.44791666666666669</v>
      </c>
      <c r="AW1243" s="2" t="s">
        <v>212</v>
      </c>
      <c r="AY1243" s="3"/>
      <c r="BA1243" s="3"/>
      <c r="BG1243" s="3"/>
      <c r="BH1243" s="3"/>
    </row>
    <row r="1244" spans="1:60">
      <c r="A1244" s="23" t="s">
        <v>22</v>
      </c>
      <c r="B1244" s="23" t="s">
        <v>23</v>
      </c>
      <c r="C1244" s="27">
        <v>44447.510416666664</v>
      </c>
      <c r="D1244" s="23">
        <v>46.85</v>
      </c>
      <c r="E1244" s="27">
        <v>44448.4375</v>
      </c>
      <c r="F1244" s="23">
        <v>46.25</v>
      </c>
      <c r="G1244" s="31">
        <v>-1.2800000000000001E-2</v>
      </c>
      <c r="H1244" s="23">
        <v>647.32000000000005</v>
      </c>
      <c r="I1244" s="31">
        <v>1.2800000000000001E-2</v>
      </c>
      <c r="J1244" s="23">
        <v>1078.8699999999999</v>
      </c>
      <c r="K1244" s="23">
        <v>50545.07</v>
      </c>
      <c r="L1244" s="23">
        <v>109494.11</v>
      </c>
      <c r="M1244" s="23">
        <v>22</v>
      </c>
      <c r="N1244" s="23">
        <v>29.42</v>
      </c>
      <c r="O1244" s="31">
        <v>-4.3E-3</v>
      </c>
      <c r="P1244" s="31">
        <v>2.4500000000000001E-2</v>
      </c>
      <c r="Q1244" s="23" t="s">
        <v>24</v>
      </c>
      <c r="R1244" s="23">
        <v>0</v>
      </c>
      <c r="S1244" s="23">
        <v>47.63</v>
      </c>
      <c r="U1244" s="47">
        <f>VLOOKUP(AU1244,[1]expiry_dates!$B$2:$C$2894,2,FALSE)</f>
        <v>44469</v>
      </c>
      <c r="V1244" s="23" t="s">
        <v>104</v>
      </c>
      <c r="W1244" s="23" t="s">
        <v>23</v>
      </c>
      <c r="X1244" s="49">
        <v>44447.510416666664</v>
      </c>
      <c r="Y1244" s="23">
        <v>2.2000000000000002</v>
      </c>
      <c r="Z1244" s="23">
        <v>44448.4375</v>
      </c>
      <c r="AA1244" s="23">
        <v>1.75</v>
      </c>
      <c r="AB1244" s="23">
        <v>-0.20449999999999999</v>
      </c>
      <c r="AC1244" s="23">
        <v>14105.27</v>
      </c>
      <c r="AD1244" s="23">
        <v>0.20449999999999999</v>
      </c>
      <c r="AE1244" s="23">
        <v>31345.05</v>
      </c>
      <c r="AF1244" s="23">
        <v>68959.100000000006</v>
      </c>
      <c r="AG1244" s="23">
        <v>3804113.6</v>
      </c>
      <c r="AH1244" s="23">
        <v>22</v>
      </c>
      <c r="AI1244" s="23">
        <v>641.15</v>
      </c>
      <c r="AJ1244" s="23">
        <v>-2.2700000000000001E-2</v>
      </c>
      <c r="AK1244" s="23">
        <v>0.29549999999999998</v>
      </c>
      <c r="AL1244" s="23" t="s">
        <v>24</v>
      </c>
      <c r="AM1244" s="23">
        <v>46.85</v>
      </c>
      <c r="AN1244" s="23">
        <v>36711.4</v>
      </c>
      <c r="AO1244" s="23">
        <v>47.63</v>
      </c>
      <c r="AP1244" s="23">
        <v>0</v>
      </c>
      <c r="AR1244" s="46"/>
      <c r="AS1244" s="44"/>
      <c r="AT1244" s="45"/>
      <c r="AU1244" s="2">
        <v>44447</v>
      </c>
      <c r="AV1244" s="52">
        <v>0.51041666666666663</v>
      </c>
      <c r="AW1244" s="2" t="s">
        <v>213</v>
      </c>
      <c r="AY1244" s="3"/>
      <c r="BA1244" s="3"/>
      <c r="BG1244" s="3"/>
      <c r="BH1244" s="3"/>
    </row>
    <row r="1245" spans="1:60">
      <c r="A1245" s="23" t="s">
        <v>22</v>
      </c>
      <c r="B1245" s="23" t="s">
        <v>25</v>
      </c>
      <c r="C1245" s="27">
        <v>44448.4375</v>
      </c>
      <c r="D1245" s="23">
        <v>46.25</v>
      </c>
      <c r="E1245" s="27">
        <v>44448.520833333336</v>
      </c>
      <c r="F1245" s="23">
        <v>46.05</v>
      </c>
      <c r="G1245" s="31">
        <v>-4.3E-3</v>
      </c>
      <c r="H1245" s="23">
        <v>-218.58</v>
      </c>
      <c r="I1245" s="31">
        <v>-4.3E-3</v>
      </c>
      <c r="J1245" s="23">
        <v>1092.912</v>
      </c>
      <c r="K1245" s="23">
        <v>50547.199999999997</v>
      </c>
      <c r="L1245" s="23">
        <v>109275.53</v>
      </c>
      <c r="M1245" s="23">
        <v>9</v>
      </c>
      <c r="N1245" s="23">
        <v>-24.29</v>
      </c>
      <c r="O1245" s="31">
        <v>-6.4999999999999997E-3</v>
      </c>
      <c r="P1245" s="31">
        <v>3.2000000000000002E-3</v>
      </c>
      <c r="Q1245" s="23" t="s">
        <v>24</v>
      </c>
      <c r="R1245" s="23">
        <v>0</v>
      </c>
      <c r="S1245" s="23">
        <v>45.71</v>
      </c>
      <c r="U1245" s="47">
        <f>VLOOKUP(AU1245,[1]expiry_dates!$B$2:$C$2894,2,FALSE)</f>
        <v>44469</v>
      </c>
      <c r="V1245" s="23" t="s">
        <v>109</v>
      </c>
      <c r="W1245" s="23" t="s">
        <v>23</v>
      </c>
      <c r="X1245" s="49">
        <v>44448.4375</v>
      </c>
      <c r="Y1245" s="23">
        <v>1.3</v>
      </c>
      <c r="Z1245" s="23">
        <v>44448.520833333336</v>
      </c>
      <c r="AA1245" s="23">
        <v>1.45</v>
      </c>
      <c r="AB1245" s="23">
        <v>0.1154</v>
      </c>
      <c r="AC1245" s="23">
        <v>-7963.01</v>
      </c>
      <c r="AD1245" s="23">
        <v>-0.1154</v>
      </c>
      <c r="AE1245" s="23">
        <v>53086.720000000001</v>
      </c>
      <c r="AF1245" s="23">
        <v>69012.73</v>
      </c>
      <c r="AG1245" s="23">
        <v>3796150.6</v>
      </c>
      <c r="AH1245" s="23">
        <v>9</v>
      </c>
      <c r="AI1245" s="23">
        <v>-884.78</v>
      </c>
      <c r="AJ1245" s="23">
        <v>-0.1154</v>
      </c>
      <c r="AK1245" s="23">
        <v>0</v>
      </c>
      <c r="AL1245" s="23" t="s">
        <v>24</v>
      </c>
      <c r="AM1245" s="23">
        <v>46.25</v>
      </c>
      <c r="AN1245" s="23">
        <v>36738.449999999997</v>
      </c>
      <c r="AO1245" s="23">
        <v>45.71</v>
      </c>
      <c r="AP1245" s="23">
        <v>0</v>
      </c>
      <c r="AR1245" s="46"/>
      <c r="AS1245" s="44"/>
      <c r="AT1245" s="45"/>
      <c r="AU1245" s="2">
        <v>44448</v>
      </c>
      <c r="AV1245" s="52">
        <v>0.4375</v>
      </c>
      <c r="AW1245" s="2" t="s">
        <v>212</v>
      </c>
      <c r="AY1245" s="3"/>
      <c r="BA1245" s="3"/>
      <c r="BG1245" s="3"/>
      <c r="BH1245" s="3"/>
    </row>
    <row r="1246" spans="1:60">
      <c r="A1246" s="23" t="s">
        <v>22</v>
      </c>
      <c r="B1246" s="23" t="s">
        <v>23</v>
      </c>
      <c r="C1246" s="27">
        <v>44448.520833333336</v>
      </c>
      <c r="D1246" s="23">
        <v>46.05</v>
      </c>
      <c r="E1246" s="27">
        <v>44448.572916666664</v>
      </c>
      <c r="F1246" s="23">
        <v>46.35</v>
      </c>
      <c r="G1246" s="31">
        <v>6.4999999999999997E-3</v>
      </c>
      <c r="H1246" s="23">
        <v>-329.3</v>
      </c>
      <c r="I1246" s="31">
        <v>-6.4999999999999997E-3</v>
      </c>
      <c r="J1246" s="23">
        <v>1097.653</v>
      </c>
      <c r="K1246" s="23">
        <v>50546.92</v>
      </c>
      <c r="L1246" s="23">
        <v>108946.23</v>
      </c>
      <c r="M1246" s="23">
        <v>6</v>
      </c>
      <c r="N1246" s="23">
        <v>-54.88</v>
      </c>
      <c r="O1246" s="31">
        <v>-6.4999999999999997E-3</v>
      </c>
      <c r="P1246" s="31">
        <v>2.2000000000000001E-3</v>
      </c>
      <c r="Q1246" s="23" t="s">
        <v>24</v>
      </c>
      <c r="R1246" s="23">
        <v>0</v>
      </c>
      <c r="S1246" s="23">
        <v>46.4</v>
      </c>
      <c r="U1246" s="47">
        <f>VLOOKUP(AU1246,[1]expiry_dates!$B$2:$C$2894,2,FALSE)</f>
        <v>44469</v>
      </c>
      <c r="V1246" s="23" t="s">
        <v>110</v>
      </c>
      <c r="W1246" s="23" t="s">
        <v>23</v>
      </c>
      <c r="X1246" s="49">
        <v>44448.520833333336</v>
      </c>
      <c r="Y1246" s="23">
        <v>2.0499999999999998</v>
      </c>
      <c r="Z1246" s="23">
        <v>44448.572916666664</v>
      </c>
      <c r="AA1246" s="23">
        <v>2.25</v>
      </c>
      <c r="AB1246" s="23">
        <v>9.7600000000000006E-2</v>
      </c>
      <c r="AC1246" s="23">
        <v>-6732.42</v>
      </c>
      <c r="AD1246" s="23">
        <v>-9.7600000000000006E-2</v>
      </c>
      <c r="AE1246" s="23">
        <v>33662.1</v>
      </c>
      <c r="AF1246" s="23">
        <v>69007.3</v>
      </c>
      <c r="AG1246" s="23">
        <v>3789418.18</v>
      </c>
      <c r="AH1246" s="23">
        <v>6</v>
      </c>
      <c r="AI1246" s="23">
        <v>-1122.07</v>
      </c>
      <c r="AJ1246" s="23">
        <v>-9.7600000000000006E-2</v>
      </c>
      <c r="AK1246" s="23">
        <v>2.4400000000000002E-2</v>
      </c>
      <c r="AL1246" s="23" t="s">
        <v>24</v>
      </c>
      <c r="AM1246" s="23">
        <v>46.05</v>
      </c>
      <c r="AN1246" s="23">
        <v>36587.800000000003</v>
      </c>
      <c r="AO1246" s="23">
        <v>46.4</v>
      </c>
      <c r="AP1246" s="23">
        <v>0</v>
      </c>
      <c r="AR1246" s="46"/>
      <c r="AS1246" s="44"/>
      <c r="AT1246" s="45"/>
      <c r="AU1246" s="2">
        <v>44448</v>
      </c>
      <c r="AV1246" s="52">
        <v>0.52083333333333337</v>
      </c>
      <c r="AW1246" s="2" t="s">
        <v>213</v>
      </c>
      <c r="AY1246" s="3"/>
      <c r="BA1246" s="3"/>
      <c r="BG1246" s="3"/>
      <c r="BH1246" s="3"/>
    </row>
    <row r="1247" spans="1:60">
      <c r="A1247" s="23" t="s">
        <v>22</v>
      </c>
      <c r="B1247" s="23" t="s">
        <v>25</v>
      </c>
      <c r="C1247" s="27">
        <v>44448.572916666664</v>
      </c>
      <c r="D1247" s="23">
        <v>46.35</v>
      </c>
      <c r="E1247" s="27">
        <v>44452.40625</v>
      </c>
      <c r="F1247" s="23">
        <v>46.35</v>
      </c>
      <c r="G1247" s="31">
        <v>0</v>
      </c>
      <c r="H1247" s="23">
        <v>0</v>
      </c>
      <c r="I1247" s="31">
        <v>0</v>
      </c>
      <c r="J1247" s="23">
        <v>1090.5070000000001</v>
      </c>
      <c r="K1247" s="23">
        <v>50545.01</v>
      </c>
      <c r="L1247" s="23">
        <v>108946.23</v>
      </c>
      <c r="M1247" s="23">
        <v>13</v>
      </c>
      <c r="N1247" s="23">
        <v>0</v>
      </c>
      <c r="O1247" s="31">
        <v>-2.2000000000000001E-3</v>
      </c>
      <c r="P1247" s="31">
        <v>1.4E-2</v>
      </c>
      <c r="Q1247" s="23" t="s">
        <v>24</v>
      </c>
      <c r="R1247" s="23">
        <v>0</v>
      </c>
      <c r="S1247" s="23">
        <v>45.97</v>
      </c>
      <c r="U1247" s="47">
        <f>VLOOKUP(AU1247,[1]expiry_dates!$B$2:$C$2894,2,FALSE)</f>
        <v>44469</v>
      </c>
      <c r="V1247" s="23" t="s">
        <v>107</v>
      </c>
      <c r="W1247" s="23" t="s">
        <v>23</v>
      </c>
      <c r="X1247" s="49">
        <v>44448.572916666664</v>
      </c>
      <c r="Y1247" s="23">
        <v>1.8</v>
      </c>
      <c r="Z1247" s="23">
        <v>44452.40625</v>
      </c>
      <c r="AA1247" s="23">
        <v>1.75</v>
      </c>
      <c r="AB1247" s="23">
        <v>-2.7799999999999998E-2</v>
      </c>
      <c r="AC1247" s="23">
        <v>1915.43</v>
      </c>
      <c r="AD1247" s="23">
        <v>2.7799999999999998E-2</v>
      </c>
      <c r="AE1247" s="23">
        <v>38308.620000000003</v>
      </c>
      <c r="AF1247" s="23">
        <v>68955.509999999995</v>
      </c>
      <c r="AG1247" s="23">
        <v>3791333.61</v>
      </c>
      <c r="AH1247" s="23">
        <v>13</v>
      </c>
      <c r="AI1247" s="23">
        <v>147.34</v>
      </c>
      <c r="AJ1247" s="23">
        <v>0</v>
      </c>
      <c r="AK1247" s="23">
        <v>0.16669999999999999</v>
      </c>
      <c r="AL1247" s="23" t="s">
        <v>24</v>
      </c>
      <c r="AM1247" s="23">
        <v>46.35</v>
      </c>
      <c r="AN1247" s="23">
        <v>36627</v>
      </c>
      <c r="AO1247" s="23">
        <v>45.97</v>
      </c>
      <c r="AP1247" s="23">
        <v>0</v>
      </c>
      <c r="AR1247" s="46"/>
      <c r="AS1247" s="44"/>
      <c r="AT1247" s="45"/>
      <c r="AU1247" s="2">
        <v>44448</v>
      </c>
      <c r="AV1247" s="52">
        <v>7.2916666666666671E-2</v>
      </c>
      <c r="AW1247" s="2" t="s">
        <v>213</v>
      </c>
      <c r="AY1247" s="3"/>
      <c r="BA1247" s="3"/>
      <c r="BG1247" s="3"/>
      <c r="BH1247" s="3"/>
    </row>
    <row r="1248" spans="1:60">
      <c r="A1248" s="23" t="s">
        <v>22</v>
      </c>
      <c r="B1248" s="23" t="s">
        <v>23</v>
      </c>
      <c r="C1248" s="27">
        <v>44452.40625</v>
      </c>
      <c r="D1248" s="23">
        <v>46.35</v>
      </c>
      <c r="E1248" s="27">
        <v>44452.447916666664</v>
      </c>
      <c r="F1248" s="23">
        <v>46.5</v>
      </c>
      <c r="G1248" s="31">
        <v>3.2000000000000002E-3</v>
      </c>
      <c r="H1248" s="23">
        <v>-163.58000000000001</v>
      </c>
      <c r="I1248" s="31">
        <v>-3.2000000000000002E-3</v>
      </c>
      <c r="J1248" s="23">
        <v>1090.5250000000001</v>
      </c>
      <c r="K1248" s="23">
        <v>50545.82</v>
      </c>
      <c r="L1248" s="23">
        <v>108782.65</v>
      </c>
      <c r="M1248" s="23">
        <v>5</v>
      </c>
      <c r="N1248" s="23">
        <v>-32.72</v>
      </c>
      <c r="O1248" s="31">
        <v>-1.0800000000000001E-2</v>
      </c>
      <c r="P1248" s="31">
        <v>3.2000000000000002E-3</v>
      </c>
      <c r="Q1248" s="23" t="s">
        <v>24</v>
      </c>
      <c r="R1248" s="23">
        <v>0</v>
      </c>
      <c r="S1248" s="23">
        <v>46.99</v>
      </c>
      <c r="U1248" s="47">
        <f>VLOOKUP(AU1248,[1]expiry_dates!$B$2:$C$2894,2,FALSE)</f>
        <v>44469</v>
      </c>
      <c r="V1248" s="23" t="s">
        <v>110</v>
      </c>
      <c r="W1248" s="23" t="s">
        <v>23</v>
      </c>
      <c r="X1248" s="49">
        <v>44452.40625</v>
      </c>
      <c r="Y1248" s="23">
        <v>2.15</v>
      </c>
      <c r="Z1248" s="23">
        <v>44452.447916666664</v>
      </c>
      <c r="AA1248" s="23">
        <v>2.35</v>
      </c>
      <c r="AB1248" s="23">
        <v>9.2999999999999999E-2</v>
      </c>
      <c r="AC1248" s="23">
        <v>-6416.36</v>
      </c>
      <c r="AD1248" s="23">
        <v>-9.2999999999999999E-2</v>
      </c>
      <c r="AE1248" s="23">
        <v>32081.78</v>
      </c>
      <c r="AF1248" s="23">
        <v>68975.83</v>
      </c>
      <c r="AG1248" s="23">
        <v>3784917.25</v>
      </c>
      <c r="AH1248" s="23">
        <v>5</v>
      </c>
      <c r="AI1248" s="23">
        <v>-1283.27</v>
      </c>
      <c r="AJ1248" s="23">
        <v>-0.1163</v>
      </c>
      <c r="AK1248" s="23">
        <v>0</v>
      </c>
      <c r="AL1248" s="23" t="s">
        <v>24</v>
      </c>
      <c r="AM1248" s="23">
        <v>46.35</v>
      </c>
      <c r="AN1248" s="23">
        <v>36428.75</v>
      </c>
      <c r="AO1248" s="23">
        <v>46.99</v>
      </c>
      <c r="AP1248" s="23">
        <v>0</v>
      </c>
      <c r="AR1248" s="46"/>
      <c r="AS1248" s="44"/>
      <c r="AT1248" s="45"/>
      <c r="AU1248" s="2">
        <v>44452</v>
      </c>
      <c r="AV1248" s="52">
        <v>0.40625</v>
      </c>
      <c r="AW1248" s="2" t="s">
        <v>212</v>
      </c>
      <c r="AY1248" s="3"/>
      <c r="BA1248" s="3"/>
      <c r="BG1248" s="3"/>
      <c r="BH1248" s="3"/>
    </row>
    <row r="1249" spans="1:60">
      <c r="A1249" s="23" t="s">
        <v>22</v>
      </c>
      <c r="B1249" s="23" t="s">
        <v>25</v>
      </c>
      <c r="C1249" s="27">
        <v>44452.447916666664</v>
      </c>
      <c r="D1249" s="23">
        <v>46.5</v>
      </c>
      <c r="E1249" s="27">
        <v>44452.604166666664</v>
      </c>
      <c r="F1249" s="23">
        <v>46.8</v>
      </c>
      <c r="G1249" s="31">
        <v>6.4999999999999997E-3</v>
      </c>
      <c r="H1249" s="23">
        <v>326.08</v>
      </c>
      <c r="I1249" s="31">
        <v>6.4999999999999997E-3</v>
      </c>
      <c r="J1249" s="23">
        <v>1086.931</v>
      </c>
      <c r="K1249" s="23">
        <v>50542.28</v>
      </c>
      <c r="L1249" s="23">
        <v>109108.73</v>
      </c>
      <c r="M1249" s="23">
        <v>16</v>
      </c>
      <c r="N1249" s="23">
        <v>20.38</v>
      </c>
      <c r="O1249" s="31">
        <v>0</v>
      </c>
      <c r="P1249" s="31">
        <v>2.1499999999999998E-2</v>
      </c>
      <c r="Q1249" s="23" t="s">
        <v>24</v>
      </c>
      <c r="R1249" s="23">
        <v>0</v>
      </c>
      <c r="S1249" s="23">
        <v>46.23</v>
      </c>
      <c r="U1249" s="47">
        <f>VLOOKUP(AU1249,[1]expiry_dates!$B$2:$C$2894,2,FALSE)</f>
        <v>44469</v>
      </c>
      <c r="V1249" s="23" t="s">
        <v>109</v>
      </c>
      <c r="W1249" s="23" t="s">
        <v>23</v>
      </c>
      <c r="X1249" s="49">
        <v>44452.447916666664</v>
      </c>
      <c r="Y1249" s="23">
        <v>1.1499999999999999</v>
      </c>
      <c r="Z1249" s="23">
        <v>44452.604166666664</v>
      </c>
      <c r="AA1249" s="23">
        <v>1.05</v>
      </c>
      <c r="AB1249" s="23">
        <v>-8.6999999999999994E-2</v>
      </c>
      <c r="AC1249" s="23">
        <v>5992.74</v>
      </c>
      <c r="AD1249" s="23">
        <v>8.6999999999999994E-2</v>
      </c>
      <c r="AE1249" s="23">
        <v>59927.45</v>
      </c>
      <c r="AF1249" s="23">
        <v>68916.56</v>
      </c>
      <c r="AG1249" s="23">
        <v>3790910</v>
      </c>
      <c r="AH1249" s="23">
        <v>16</v>
      </c>
      <c r="AI1249" s="23">
        <v>374.55</v>
      </c>
      <c r="AJ1249" s="23">
        <v>-4.3499999999999997E-2</v>
      </c>
      <c r="AK1249" s="23">
        <v>0.26090000000000002</v>
      </c>
      <c r="AL1249" s="23" t="s">
        <v>24</v>
      </c>
      <c r="AM1249" s="23">
        <v>46.5</v>
      </c>
      <c r="AN1249" s="23">
        <v>36397.449999999997</v>
      </c>
      <c r="AO1249" s="23">
        <v>46.23</v>
      </c>
      <c r="AP1249" s="23">
        <v>0</v>
      </c>
      <c r="AR1249" s="46"/>
      <c r="AS1249" s="44"/>
      <c r="AT1249" s="45"/>
      <c r="AU1249" s="2">
        <v>44452</v>
      </c>
      <c r="AV1249" s="52">
        <v>0.44791666666666669</v>
      </c>
      <c r="AW1249" s="2" t="s">
        <v>212</v>
      </c>
      <c r="AY1249" s="3"/>
      <c r="BA1249" s="3"/>
      <c r="BG1249" s="3"/>
      <c r="BH1249" s="3"/>
    </row>
    <row r="1250" spans="1:60">
      <c r="A1250" s="23" t="s">
        <v>22</v>
      </c>
      <c r="B1250" s="23" t="s">
        <v>23</v>
      </c>
      <c r="C1250" s="27">
        <v>44452.604166666664</v>
      </c>
      <c r="D1250" s="23">
        <v>46.8</v>
      </c>
      <c r="E1250" s="27">
        <v>44453.385416666664</v>
      </c>
      <c r="F1250" s="23">
        <v>47.15</v>
      </c>
      <c r="G1250" s="31">
        <v>7.4999999999999997E-3</v>
      </c>
      <c r="H1250" s="23">
        <v>-378.02</v>
      </c>
      <c r="I1250" s="31">
        <v>-7.4999999999999997E-3</v>
      </c>
      <c r="J1250" s="23">
        <v>1080.05</v>
      </c>
      <c r="K1250" s="23">
        <v>50546.36</v>
      </c>
      <c r="L1250" s="23">
        <v>108730.72</v>
      </c>
      <c r="M1250" s="23">
        <v>8</v>
      </c>
      <c r="N1250" s="23">
        <v>-47.25</v>
      </c>
      <c r="O1250" s="31">
        <v>-7.4999999999999997E-3</v>
      </c>
      <c r="P1250" s="31">
        <v>2.0999999999999999E-3</v>
      </c>
      <c r="Q1250" s="23" t="s">
        <v>24</v>
      </c>
      <c r="R1250" s="23">
        <v>0</v>
      </c>
      <c r="S1250" s="23">
        <v>47.47</v>
      </c>
      <c r="U1250" s="47">
        <f>VLOOKUP(AU1250,[1]expiry_dates!$B$2:$C$2894,2,FALSE)</f>
        <v>44469</v>
      </c>
      <c r="V1250" s="23" t="s">
        <v>104</v>
      </c>
      <c r="W1250" s="23" t="s">
        <v>23</v>
      </c>
      <c r="X1250" s="49">
        <v>44452.604166666664</v>
      </c>
      <c r="Y1250" s="23">
        <v>1.85</v>
      </c>
      <c r="Z1250" s="23">
        <v>44453.385416666664</v>
      </c>
      <c r="AA1250" s="23">
        <v>2</v>
      </c>
      <c r="AB1250" s="23">
        <v>8.1100000000000005E-2</v>
      </c>
      <c r="AC1250" s="23">
        <v>-5590.91</v>
      </c>
      <c r="AD1250" s="23">
        <v>-8.1100000000000005E-2</v>
      </c>
      <c r="AE1250" s="23">
        <v>37272.730000000003</v>
      </c>
      <c r="AF1250" s="23">
        <v>68954.55</v>
      </c>
      <c r="AG1250" s="23">
        <v>3785319.09</v>
      </c>
      <c r="AH1250" s="23">
        <v>8</v>
      </c>
      <c r="AI1250" s="23">
        <v>-698.86</v>
      </c>
      <c r="AJ1250" s="23">
        <v>-8.1100000000000005E-2</v>
      </c>
      <c r="AK1250" s="23">
        <v>0</v>
      </c>
      <c r="AL1250" s="23" t="s">
        <v>24</v>
      </c>
      <c r="AM1250" s="23">
        <v>46.8</v>
      </c>
      <c r="AN1250" s="23">
        <v>36468.65</v>
      </c>
      <c r="AO1250" s="23">
        <v>47.47</v>
      </c>
      <c r="AP1250" s="23">
        <v>0</v>
      </c>
      <c r="AR1250" s="46"/>
      <c r="AS1250" s="44"/>
      <c r="AT1250" s="45"/>
      <c r="AU1250" s="2">
        <v>44452</v>
      </c>
      <c r="AV1250" s="52">
        <v>0.10416666666666667</v>
      </c>
      <c r="AW1250" s="2" t="s">
        <v>213</v>
      </c>
      <c r="AY1250" s="3"/>
      <c r="BA1250" s="3"/>
      <c r="BG1250" s="3"/>
      <c r="BH1250" s="3"/>
    </row>
    <row r="1251" spans="1:60">
      <c r="A1251" s="23" t="s">
        <v>22</v>
      </c>
      <c r="B1251" s="23" t="s">
        <v>25</v>
      </c>
      <c r="C1251" s="27">
        <v>44453.385416666664</v>
      </c>
      <c r="D1251" s="23">
        <v>47.15</v>
      </c>
      <c r="E1251" s="27">
        <v>44454.385416666664</v>
      </c>
      <c r="F1251" s="23">
        <v>47.75</v>
      </c>
      <c r="G1251" s="31">
        <v>1.2699999999999999E-2</v>
      </c>
      <c r="H1251" s="23">
        <v>643.20000000000005</v>
      </c>
      <c r="I1251" s="31">
        <v>1.2699999999999999E-2</v>
      </c>
      <c r="J1251" s="23">
        <v>1071.9929999999999</v>
      </c>
      <c r="K1251" s="23">
        <v>50544.46</v>
      </c>
      <c r="L1251" s="23">
        <v>109373.91</v>
      </c>
      <c r="M1251" s="23">
        <v>29</v>
      </c>
      <c r="N1251" s="23">
        <v>22.18</v>
      </c>
      <c r="O1251" s="31">
        <v>-5.3E-3</v>
      </c>
      <c r="P1251" s="31">
        <v>2.86E-2</v>
      </c>
      <c r="Q1251" s="23" t="s">
        <v>24</v>
      </c>
      <c r="R1251" s="23">
        <v>0</v>
      </c>
      <c r="S1251" s="23">
        <v>46.72</v>
      </c>
      <c r="U1251" s="47">
        <f>VLOOKUP(AU1251,[1]expiry_dates!$B$2:$C$2894,2,FALSE)</f>
        <v>44469</v>
      </c>
      <c r="V1251" s="23" t="s">
        <v>105</v>
      </c>
      <c r="W1251" s="23" t="s">
        <v>23</v>
      </c>
      <c r="X1251" s="49">
        <v>44453.385416666664</v>
      </c>
      <c r="Y1251" s="23">
        <v>1.8</v>
      </c>
      <c r="Z1251" s="23">
        <v>44454.385416666664</v>
      </c>
      <c r="AA1251" s="23">
        <v>1.4</v>
      </c>
      <c r="AB1251" s="23">
        <v>-0.22220000000000001</v>
      </c>
      <c r="AC1251" s="23">
        <v>15321.16</v>
      </c>
      <c r="AD1251" s="23">
        <v>0.22220000000000001</v>
      </c>
      <c r="AE1251" s="23">
        <v>38302.910000000003</v>
      </c>
      <c r="AF1251" s="23">
        <v>68945.23</v>
      </c>
      <c r="AG1251" s="23">
        <v>3800640.25</v>
      </c>
      <c r="AH1251" s="23">
        <v>29</v>
      </c>
      <c r="AI1251" s="23">
        <v>528.32000000000005</v>
      </c>
      <c r="AJ1251" s="23">
        <v>-5.5599999999999997E-2</v>
      </c>
      <c r="AK1251" s="23">
        <v>0.38890000000000002</v>
      </c>
      <c r="AL1251" s="23" t="s">
        <v>24</v>
      </c>
      <c r="AM1251" s="23">
        <v>47.15</v>
      </c>
      <c r="AN1251" s="23">
        <v>36680.75</v>
      </c>
      <c r="AO1251" s="23">
        <v>46.72</v>
      </c>
      <c r="AP1251" s="23">
        <v>0</v>
      </c>
      <c r="AR1251" s="46"/>
      <c r="AS1251" s="44"/>
      <c r="AT1251" s="45"/>
      <c r="AU1251" s="2">
        <v>44453</v>
      </c>
      <c r="AV1251" s="52">
        <v>0.38541666666666669</v>
      </c>
      <c r="AW1251" s="2" t="s">
        <v>212</v>
      </c>
      <c r="AY1251" s="3"/>
      <c r="BA1251" s="3"/>
      <c r="BG1251" s="3"/>
      <c r="BH1251" s="3"/>
    </row>
    <row r="1252" spans="1:60">
      <c r="A1252" s="23" t="s">
        <v>22</v>
      </c>
      <c r="B1252" s="23" t="s">
        <v>23</v>
      </c>
      <c r="C1252" s="27">
        <v>44454.385416666664</v>
      </c>
      <c r="D1252" s="23">
        <v>47.75</v>
      </c>
      <c r="E1252" s="27">
        <v>44454.53125</v>
      </c>
      <c r="F1252" s="23">
        <v>47.9</v>
      </c>
      <c r="G1252" s="31">
        <v>3.0999999999999999E-3</v>
      </c>
      <c r="H1252" s="23">
        <v>-158.79</v>
      </c>
      <c r="I1252" s="31">
        <v>-3.0999999999999999E-3</v>
      </c>
      <c r="J1252" s="23">
        <v>1058.6010000000001</v>
      </c>
      <c r="K1252" s="23">
        <v>50548.21</v>
      </c>
      <c r="L1252" s="23">
        <v>109215.12</v>
      </c>
      <c r="M1252" s="23">
        <v>15</v>
      </c>
      <c r="N1252" s="23">
        <v>-10.59</v>
      </c>
      <c r="O1252" s="31">
        <v>-7.3000000000000001E-3</v>
      </c>
      <c r="P1252" s="31">
        <v>4.1999999999999997E-3</v>
      </c>
      <c r="Q1252" s="23" t="s">
        <v>24</v>
      </c>
      <c r="R1252" s="23">
        <v>0</v>
      </c>
      <c r="S1252" s="23">
        <v>48.46</v>
      </c>
      <c r="U1252" s="47">
        <f>VLOOKUP(AU1252,[1]expiry_dates!$B$2:$C$2894,2,FALSE)</f>
        <v>44469</v>
      </c>
      <c r="V1252" s="23" t="s">
        <v>106</v>
      </c>
      <c r="W1252" s="23" t="s">
        <v>23</v>
      </c>
      <c r="X1252" s="49">
        <v>44454.385416666664</v>
      </c>
      <c r="Y1252" s="23">
        <v>1.8</v>
      </c>
      <c r="Z1252" s="23">
        <v>44454.53125</v>
      </c>
      <c r="AA1252" s="23">
        <v>1.85</v>
      </c>
      <c r="AB1252" s="23">
        <v>2.7799999999999998E-2</v>
      </c>
      <c r="AC1252" s="23">
        <v>-1917.55</v>
      </c>
      <c r="AD1252" s="23">
        <v>-2.7799999999999998E-2</v>
      </c>
      <c r="AE1252" s="23">
        <v>38351.07</v>
      </c>
      <c r="AF1252" s="23">
        <v>69031.929999999993</v>
      </c>
      <c r="AG1252" s="23">
        <v>3798722.7</v>
      </c>
      <c r="AH1252" s="23">
        <v>15</v>
      </c>
      <c r="AI1252" s="23">
        <v>-127.84</v>
      </c>
      <c r="AJ1252" s="23">
        <v>-8.3299999999999999E-2</v>
      </c>
      <c r="AK1252" s="23">
        <v>5.5599999999999997E-2</v>
      </c>
      <c r="AL1252" s="23" t="s">
        <v>24</v>
      </c>
      <c r="AM1252" s="23">
        <v>47.75</v>
      </c>
      <c r="AN1252" s="23">
        <v>36542.65</v>
      </c>
      <c r="AO1252" s="23">
        <v>48.46</v>
      </c>
      <c r="AP1252" s="23">
        <v>0</v>
      </c>
      <c r="AR1252" s="46"/>
      <c r="AS1252" s="44"/>
      <c r="AT1252" s="45"/>
      <c r="AU1252" s="2">
        <v>44454</v>
      </c>
      <c r="AV1252" s="52">
        <v>0.38541666666666669</v>
      </c>
      <c r="AW1252" s="2" t="s">
        <v>212</v>
      </c>
      <c r="AY1252" s="3"/>
      <c r="BA1252" s="3"/>
      <c r="BG1252" s="3"/>
      <c r="BH1252" s="3"/>
    </row>
    <row r="1253" spans="1:60">
      <c r="A1253" s="23" t="s">
        <v>22</v>
      </c>
      <c r="B1253" s="23" t="s">
        <v>25</v>
      </c>
      <c r="C1253" s="27">
        <v>44454.53125</v>
      </c>
      <c r="D1253" s="23">
        <v>47.9</v>
      </c>
      <c r="E1253" s="27">
        <v>44456.385416666664</v>
      </c>
      <c r="F1253" s="23">
        <v>50.2</v>
      </c>
      <c r="G1253" s="31">
        <v>4.8000000000000001E-2</v>
      </c>
      <c r="H1253" s="23">
        <v>2427.08</v>
      </c>
      <c r="I1253" s="31">
        <v>4.8000000000000001E-2</v>
      </c>
      <c r="J1253" s="23">
        <v>1055.2529999999999</v>
      </c>
      <c r="K1253" s="23">
        <v>50546.61</v>
      </c>
      <c r="L1253" s="23">
        <v>111642.2</v>
      </c>
      <c r="M1253" s="23">
        <v>43</v>
      </c>
      <c r="N1253" s="23">
        <v>56.44</v>
      </c>
      <c r="O1253" s="31">
        <v>-2.0999999999999999E-3</v>
      </c>
      <c r="P1253" s="31">
        <v>7.7200000000000005E-2</v>
      </c>
      <c r="Q1253" s="23" t="s">
        <v>24</v>
      </c>
      <c r="R1253" s="23">
        <v>0</v>
      </c>
      <c r="S1253" s="23">
        <v>47.55</v>
      </c>
      <c r="U1253" s="47">
        <f>VLOOKUP(AU1253,[1]expiry_dates!$B$2:$C$2894,2,FALSE)</f>
        <v>44469</v>
      </c>
      <c r="V1253" s="23" t="s">
        <v>108</v>
      </c>
      <c r="W1253" s="23" t="s">
        <v>23</v>
      </c>
      <c r="X1253" s="49">
        <v>44454.53125</v>
      </c>
      <c r="Y1253" s="23">
        <v>1.8</v>
      </c>
      <c r="Z1253" s="23">
        <v>44456.385416666664</v>
      </c>
      <c r="AA1253" s="23">
        <v>1</v>
      </c>
      <c r="AB1253" s="23">
        <v>-0.44440000000000002</v>
      </c>
      <c r="AC1253" s="23">
        <v>30668.09</v>
      </c>
      <c r="AD1253" s="23">
        <v>0.44440000000000002</v>
      </c>
      <c r="AE1253" s="23">
        <v>38335.11</v>
      </c>
      <c r="AF1253" s="23">
        <v>69003.199999999997</v>
      </c>
      <c r="AG1253" s="23">
        <v>3829390.79</v>
      </c>
      <c r="AH1253" s="23">
        <v>43</v>
      </c>
      <c r="AI1253" s="23">
        <v>713.21</v>
      </c>
      <c r="AJ1253" s="23">
        <v>-2.7799999999999998E-2</v>
      </c>
      <c r="AK1253" s="23">
        <v>0.58330000000000004</v>
      </c>
      <c r="AL1253" s="23" t="s">
        <v>24</v>
      </c>
      <c r="AM1253" s="23">
        <v>47.9</v>
      </c>
      <c r="AN1253" s="23">
        <v>36661.75</v>
      </c>
      <c r="AO1253" s="23">
        <v>47.55</v>
      </c>
      <c r="AP1253" s="23">
        <v>0</v>
      </c>
      <c r="AR1253" s="46"/>
      <c r="AS1253" s="44"/>
      <c r="AT1253" s="45"/>
      <c r="AU1253" s="2">
        <v>44454</v>
      </c>
      <c r="AV1253" s="52">
        <v>0.53125</v>
      </c>
      <c r="AW1253" s="2" t="s">
        <v>213</v>
      </c>
      <c r="AY1253" s="3"/>
      <c r="BA1253" s="3"/>
      <c r="BG1253" s="3"/>
      <c r="BH1253" s="3"/>
    </row>
    <row r="1254" spans="1:60">
      <c r="A1254" s="23" t="s">
        <v>22</v>
      </c>
      <c r="B1254" s="23" t="s">
        <v>23</v>
      </c>
      <c r="C1254" s="27">
        <v>44456.385416666664</v>
      </c>
      <c r="D1254" s="23">
        <v>50.2</v>
      </c>
      <c r="E1254" s="27">
        <v>44456.635416666664</v>
      </c>
      <c r="F1254" s="23">
        <v>49.25</v>
      </c>
      <c r="G1254" s="31">
        <v>-1.89E-2</v>
      </c>
      <c r="H1254" s="23">
        <v>956.89</v>
      </c>
      <c r="I1254" s="31">
        <v>1.89E-2</v>
      </c>
      <c r="J1254" s="23">
        <v>1007.2569999999999</v>
      </c>
      <c r="K1254" s="23">
        <v>50564.28</v>
      </c>
      <c r="L1254" s="23">
        <v>112599.1</v>
      </c>
      <c r="M1254" s="23">
        <v>25</v>
      </c>
      <c r="N1254" s="23">
        <v>38.28</v>
      </c>
      <c r="O1254" s="31">
        <v>-1.89E-2</v>
      </c>
      <c r="P1254" s="31">
        <v>4.0800000000000003E-2</v>
      </c>
      <c r="Q1254" s="23" t="s">
        <v>24</v>
      </c>
      <c r="R1254" s="23">
        <v>0</v>
      </c>
      <c r="S1254" s="23">
        <v>51.55</v>
      </c>
      <c r="U1254" s="47">
        <f>VLOOKUP(AU1254,[1]expiry_dates!$B$2:$C$2894,2,FALSE)</f>
        <v>44469</v>
      </c>
      <c r="V1254" s="23" t="s">
        <v>121</v>
      </c>
      <c r="W1254" s="23" t="s">
        <v>23</v>
      </c>
      <c r="X1254" s="49">
        <v>44456.385416666664</v>
      </c>
      <c r="Y1254" s="23">
        <v>2.1</v>
      </c>
      <c r="Z1254" s="23">
        <v>44456.635416666664</v>
      </c>
      <c r="AA1254" s="23">
        <v>1.55</v>
      </c>
      <c r="AB1254" s="23">
        <v>-0.26190000000000002</v>
      </c>
      <c r="AC1254" s="23">
        <v>18114.939999999999</v>
      </c>
      <c r="AD1254" s="23">
        <v>0.26190000000000002</v>
      </c>
      <c r="AE1254" s="23">
        <v>32936.25</v>
      </c>
      <c r="AF1254" s="23">
        <v>69166.13</v>
      </c>
      <c r="AG1254" s="23">
        <v>3847505.72</v>
      </c>
      <c r="AH1254" s="23">
        <v>25</v>
      </c>
      <c r="AI1254" s="23">
        <v>724.6</v>
      </c>
      <c r="AJ1254" s="23">
        <v>-0.3095</v>
      </c>
      <c r="AK1254" s="23">
        <v>0.38100000000000001</v>
      </c>
      <c r="AL1254" s="23" t="s">
        <v>24</v>
      </c>
      <c r="AM1254" s="23">
        <v>50.2</v>
      </c>
      <c r="AN1254" s="23">
        <v>37864.449999999997</v>
      </c>
      <c r="AO1254" s="23">
        <v>51.55</v>
      </c>
      <c r="AP1254" s="23">
        <v>0</v>
      </c>
      <c r="AR1254" s="46"/>
      <c r="AS1254" s="44"/>
      <c r="AT1254" s="45"/>
      <c r="AU1254" s="2">
        <v>44456</v>
      </c>
      <c r="AV1254" s="52">
        <v>0.38541666666666669</v>
      </c>
      <c r="AW1254" s="2" t="s">
        <v>212</v>
      </c>
      <c r="AY1254" s="3"/>
      <c r="BA1254" s="3"/>
      <c r="BG1254" s="3"/>
      <c r="BH1254" s="3"/>
    </row>
    <row r="1255" spans="1:60">
      <c r="A1255" s="23" t="s">
        <v>22</v>
      </c>
      <c r="B1255" s="23" t="s">
        <v>25</v>
      </c>
      <c r="C1255" s="27">
        <v>44456.635416666664</v>
      </c>
      <c r="D1255" s="23">
        <v>49.25</v>
      </c>
      <c r="E1255" s="27">
        <v>44459.385416666664</v>
      </c>
      <c r="F1255" s="23">
        <v>48.75</v>
      </c>
      <c r="G1255" s="31">
        <v>-1.0200000000000001E-2</v>
      </c>
      <c r="H1255" s="23">
        <v>-513.34</v>
      </c>
      <c r="I1255" s="31">
        <v>-1.0200000000000001E-2</v>
      </c>
      <c r="J1255" s="23">
        <v>1026.67</v>
      </c>
      <c r="K1255" s="23">
        <v>50563.5</v>
      </c>
      <c r="L1255" s="23">
        <v>112085.75999999999</v>
      </c>
      <c r="M1255" s="23">
        <v>5</v>
      </c>
      <c r="N1255" s="23">
        <v>-102.67</v>
      </c>
      <c r="O1255" s="31">
        <v>-1.7299999999999999E-2</v>
      </c>
      <c r="P1255" s="31">
        <v>0</v>
      </c>
      <c r="Q1255" s="23" t="s">
        <v>24</v>
      </c>
      <c r="R1255" s="23">
        <v>0</v>
      </c>
      <c r="S1255" s="23">
        <v>48.19</v>
      </c>
      <c r="U1255" s="47">
        <f>VLOOKUP(AU1255,[1]expiry_dates!$B$2:$C$2894,2,FALSE)</f>
        <v>44469</v>
      </c>
      <c r="V1255" s="23" t="s">
        <v>122</v>
      </c>
      <c r="W1255" s="23" t="s">
        <v>23</v>
      </c>
      <c r="X1255" s="49">
        <v>44456.635416666664</v>
      </c>
      <c r="Y1255" s="23">
        <v>1.8</v>
      </c>
      <c r="Z1255" s="23">
        <v>44459.385416666664</v>
      </c>
      <c r="AA1255" s="23">
        <v>1.95</v>
      </c>
      <c r="AB1255" s="23">
        <v>8.3299999999999999E-2</v>
      </c>
      <c r="AC1255" s="23">
        <v>-5769.79</v>
      </c>
      <c r="AD1255" s="23">
        <v>-8.3299999999999999E-2</v>
      </c>
      <c r="AE1255" s="23">
        <v>38465.29</v>
      </c>
      <c r="AF1255" s="23">
        <v>69237.52</v>
      </c>
      <c r="AG1255" s="23">
        <v>3841735.93</v>
      </c>
      <c r="AH1255" s="23">
        <v>5</v>
      </c>
      <c r="AI1255" s="23">
        <v>-1153.96</v>
      </c>
      <c r="AJ1255" s="23">
        <v>-0.1111</v>
      </c>
      <c r="AK1255" s="23">
        <v>2.7799999999999998E-2</v>
      </c>
      <c r="AL1255" s="23" t="s">
        <v>24</v>
      </c>
      <c r="AM1255" s="23">
        <v>49.25</v>
      </c>
      <c r="AN1255" s="23">
        <v>37892.699999999997</v>
      </c>
      <c r="AO1255" s="23">
        <v>48.19</v>
      </c>
      <c r="AP1255" s="23">
        <v>0</v>
      </c>
      <c r="AR1255" s="46"/>
      <c r="AS1255" s="44"/>
      <c r="AT1255" s="45"/>
      <c r="AU1255" s="2">
        <v>44456</v>
      </c>
      <c r="AV1255" s="52">
        <v>0.13541666666666666</v>
      </c>
      <c r="AW1255" s="2" t="s">
        <v>213</v>
      </c>
      <c r="AY1255" s="3"/>
      <c r="BA1255" s="3"/>
      <c r="BG1255" s="3"/>
      <c r="BH1255" s="3"/>
    </row>
    <row r="1256" spans="1:60">
      <c r="A1256" s="23" t="s">
        <v>22</v>
      </c>
      <c r="B1256" s="23" t="s">
        <v>23</v>
      </c>
      <c r="C1256" s="27">
        <v>44459.385416666664</v>
      </c>
      <c r="D1256" s="23">
        <v>48.75</v>
      </c>
      <c r="E1256" s="27">
        <v>44459.395833333336</v>
      </c>
      <c r="F1256" s="23">
        <v>49.25</v>
      </c>
      <c r="G1256" s="31">
        <v>1.03E-2</v>
      </c>
      <c r="H1256" s="23">
        <v>-518.57000000000005</v>
      </c>
      <c r="I1256" s="31">
        <v>-1.03E-2</v>
      </c>
      <c r="J1256" s="23">
        <v>1037.1320000000001</v>
      </c>
      <c r="K1256" s="23">
        <v>50560.17</v>
      </c>
      <c r="L1256" s="23">
        <v>111567.2</v>
      </c>
      <c r="M1256" s="23">
        <v>2</v>
      </c>
      <c r="N1256" s="23">
        <v>-259.27999999999997</v>
      </c>
      <c r="O1256" s="31">
        <v>-1.03E-2</v>
      </c>
      <c r="P1256" s="31">
        <v>1.44E-2</v>
      </c>
      <c r="Q1256" s="23" t="s">
        <v>24</v>
      </c>
      <c r="R1256" s="23">
        <v>0</v>
      </c>
      <c r="S1256" s="23">
        <v>49.2</v>
      </c>
      <c r="U1256" s="47">
        <f>VLOOKUP(AU1256,[1]expiry_dates!$B$2:$C$2894,2,FALSE)</f>
        <v>44469</v>
      </c>
      <c r="V1256" s="23" t="s">
        <v>123</v>
      </c>
      <c r="W1256" s="23" t="s">
        <v>23</v>
      </c>
      <c r="X1256" s="49">
        <v>44459.385416666664</v>
      </c>
      <c r="Y1256" s="23">
        <v>1.8</v>
      </c>
      <c r="Z1256" s="23">
        <v>44459.395833333336</v>
      </c>
      <c r="AA1256" s="23">
        <v>2.1</v>
      </c>
      <c r="AB1256" s="23">
        <v>0.16669999999999999</v>
      </c>
      <c r="AC1256" s="23">
        <v>-11539.59</v>
      </c>
      <c r="AD1256" s="23">
        <v>-0.16669999999999999</v>
      </c>
      <c r="AE1256" s="23">
        <v>38465.29</v>
      </c>
      <c r="AF1256" s="23">
        <v>69237.52</v>
      </c>
      <c r="AG1256" s="23">
        <v>3830196.34</v>
      </c>
      <c r="AH1256" s="23">
        <v>2</v>
      </c>
      <c r="AI1256" s="23">
        <v>-5769.79</v>
      </c>
      <c r="AJ1256" s="23">
        <v>-0.16669999999999999</v>
      </c>
      <c r="AK1256" s="23">
        <v>0.36109999999999998</v>
      </c>
      <c r="AL1256" s="23" t="s">
        <v>24</v>
      </c>
      <c r="AM1256" s="23">
        <v>48.75</v>
      </c>
      <c r="AN1256" s="23">
        <v>37514</v>
      </c>
      <c r="AO1256" s="23">
        <v>49.2</v>
      </c>
      <c r="AP1256" s="23">
        <v>0</v>
      </c>
      <c r="AR1256" s="46"/>
      <c r="AS1256" s="44"/>
      <c r="AT1256" s="45"/>
      <c r="AU1256" s="2">
        <v>44459</v>
      </c>
      <c r="AV1256" s="52">
        <v>0.38541666666666669</v>
      </c>
      <c r="AW1256" s="2" t="s">
        <v>212</v>
      </c>
      <c r="AY1256" s="3"/>
      <c r="BA1256" s="3"/>
      <c r="BG1256" s="3"/>
      <c r="BH1256" s="3"/>
    </row>
    <row r="1257" spans="1:60">
      <c r="A1257" s="23" t="s">
        <v>22</v>
      </c>
      <c r="B1257" s="23" t="s">
        <v>25</v>
      </c>
      <c r="C1257" s="27">
        <v>44459.395833333336</v>
      </c>
      <c r="D1257" s="23">
        <v>49.25</v>
      </c>
      <c r="E1257" s="27">
        <v>44459.5</v>
      </c>
      <c r="F1257" s="23">
        <v>48.85</v>
      </c>
      <c r="G1257" s="31">
        <v>-8.0999999999999996E-3</v>
      </c>
      <c r="H1257" s="23">
        <v>-410.64</v>
      </c>
      <c r="I1257" s="31">
        <v>-8.0999999999999996E-3</v>
      </c>
      <c r="J1257" s="23">
        <v>1026.6079999999999</v>
      </c>
      <c r="K1257" s="23">
        <v>50560.43</v>
      </c>
      <c r="L1257" s="23">
        <v>111156.55</v>
      </c>
      <c r="M1257" s="23">
        <v>11</v>
      </c>
      <c r="N1257" s="23">
        <v>-37.33</v>
      </c>
      <c r="O1257" s="31">
        <v>-8.0999999999999996E-3</v>
      </c>
      <c r="P1257" s="31">
        <v>1.4200000000000001E-2</v>
      </c>
      <c r="Q1257" s="23" t="s">
        <v>24</v>
      </c>
      <c r="R1257" s="23">
        <v>0</v>
      </c>
      <c r="S1257" s="23">
        <v>48.08</v>
      </c>
      <c r="U1257" s="47">
        <f>VLOOKUP(AU1257,[1]expiry_dates!$B$2:$C$2894,2,FALSE)</f>
        <v>44469</v>
      </c>
      <c r="V1257" s="23" t="s">
        <v>122</v>
      </c>
      <c r="W1257" s="23" t="s">
        <v>23</v>
      </c>
      <c r="X1257" s="49">
        <v>44459.395833333336</v>
      </c>
      <c r="Y1257" s="23">
        <v>1.7</v>
      </c>
      <c r="Z1257" s="23">
        <v>44459.5</v>
      </c>
      <c r="AA1257" s="23">
        <v>1.75</v>
      </c>
      <c r="AB1257" s="23">
        <v>2.9399999999999999E-2</v>
      </c>
      <c r="AC1257" s="23">
        <v>-2035.55</v>
      </c>
      <c r="AD1257" s="23">
        <v>-2.9399999999999999E-2</v>
      </c>
      <c r="AE1257" s="23">
        <v>40710.99</v>
      </c>
      <c r="AF1257" s="23">
        <v>69208.679999999993</v>
      </c>
      <c r="AG1257" s="23">
        <v>3828160.79</v>
      </c>
      <c r="AH1257" s="23">
        <v>11</v>
      </c>
      <c r="AI1257" s="23">
        <v>-185.05</v>
      </c>
      <c r="AJ1257" s="23">
        <v>-8.8200000000000001E-2</v>
      </c>
      <c r="AK1257" s="23">
        <v>0.23530000000000001</v>
      </c>
      <c r="AL1257" s="23" t="s">
        <v>24</v>
      </c>
      <c r="AM1257" s="23">
        <v>49.25</v>
      </c>
      <c r="AN1257" s="23">
        <v>37583.1</v>
      </c>
      <c r="AO1257" s="23">
        <v>48.08</v>
      </c>
      <c r="AP1257" s="23">
        <v>0</v>
      </c>
      <c r="AR1257" s="46"/>
      <c r="AS1257" s="44"/>
      <c r="AT1257" s="45"/>
      <c r="AU1257" s="2">
        <v>44459</v>
      </c>
      <c r="AV1257" s="52">
        <v>0.39583333333333331</v>
      </c>
      <c r="AW1257" s="2" t="s">
        <v>212</v>
      </c>
      <c r="AY1257" s="3"/>
      <c r="BA1257" s="3"/>
      <c r="BG1257" s="3"/>
      <c r="BH1257" s="3"/>
    </row>
    <row r="1258" spans="1:60">
      <c r="A1258" s="23" t="s">
        <v>22</v>
      </c>
      <c r="B1258" s="23" t="s">
        <v>23</v>
      </c>
      <c r="C1258" s="27">
        <v>44459.5</v>
      </c>
      <c r="D1258" s="23">
        <v>48.85</v>
      </c>
      <c r="E1258" s="27">
        <v>44460.520833333336</v>
      </c>
      <c r="F1258" s="23">
        <v>48</v>
      </c>
      <c r="G1258" s="31">
        <v>-1.7399999999999999E-2</v>
      </c>
      <c r="H1258" s="23">
        <v>879.71</v>
      </c>
      <c r="I1258" s="31">
        <v>1.7399999999999999E-2</v>
      </c>
      <c r="J1258" s="23">
        <v>1034.95</v>
      </c>
      <c r="K1258" s="23">
        <v>50557.32</v>
      </c>
      <c r="L1258" s="23">
        <v>112036.26</v>
      </c>
      <c r="M1258" s="23">
        <v>31</v>
      </c>
      <c r="N1258" s="23">
        <v>28.38</v>
      </c>
      <c r="O1258" s="31">
        <v>-7.1999999999999998E-3</v>
      </c>
      <c r="P1258" s="31">
        <v>3.7900000000000003E-2</v>
      </c>
      <c r="Q1258" s="23" t="s">
        <v>24</v>
      </c>
      <c r="R1258" s="23">
        <v>0</v>
      </c>
      <c r="S1258" s="23">
        <v>49.95</v>
      </c>
      <c r="U1258" s="47">
        <f>VLOOKUP(AU1258,[1]expiry_dates!$B$2:$C$2894,2,FALSE)</f>
        <v>44469</v>
      </c>
      <c r="V1258" s="23" t="s">
        <v>123</v>
      </c>
      <c r="W1258" s="23" t="s">
        <v>23</v>
      </c>
      <c r="X1258" s="49">
        <v>44459.5</v>
      </c>
      <c r="Y1258" s="23">
        <v>1.75</v>
      </c>
      <c r="Z1258" s="23">
        <v>44460.520833333336</v>
      </c>
      <c r="AA1258" s="23">
        <v>1.3</v>
      </c>
      <c r="AB1258" s="23">
        <v>-0.2571</v>
      </c>
      <c r="AC1258" s="23">
        <v>17784.3</v>
      </c>
      <c r="AD1258" s="23">
        <v>0.2571</v>
      </c>
      <c r="AE1258" s="23">
        <v>39520.660000000003</v>
      </c>
      <c r="AF1258" s="23">
        <v>69161.16</v>
      </c>
      <c r="AG1258" s="23">
        <v>3845945.09</v>
      </c>
      <c r="AH1258" s="23">
        <v>31</v>
      </c>
      <c r="AI1258" s="23">
        <v>573.69000000000005</v>
      </c>
      <c r="AJ1258" s="23">
        <v>-0.1429</v>
      </c>
      <c r="AK1258" s="23">
        <v>0.42859999999999998</v>
      </c>
      <c r="AL1258" s="23" t="s">
        <v>24</v>
      </c>
      <c r="AM1258" s="23">
        <v>48.85</v>
      </c>
      <c r="AN1258" s="23">
        <v>37526.300000000003</v>
      </c>
      <c r="AO1258" s="23">
        <v>49.95</v>
      </c>
      <c r="AP1258" s="23">
        <v>0</v>
      </c>
      <c r="AR1258" s="46"/>
      <c r="AS1258" s="44"/>
      <c r="AT1258" s="45"/>
      <c r="AU1258" s="2">
        <v>44459</v>
      </c>
      <c r="AV1258" s="52">
        <v>0.5</v>
      </c>
      <c r="AW1258" s="2" t="s">
        <v>213</v>
      </c>
      <c r="AY1258" s="3"/>
      <c r="BA1258" s="3"/>
      <c r="BG1258" s="3"/>
      <c r="BH1258" s="3"/>
    </row>
    <row r="1259" spans="1:60">
      <c r="A1259" s="23" t="s">
        <v>22</v>
      </c>
      <c r="B1259" s="23" t="s">
        <v>25</v>
      </c>
      <c r="C1259" s="27">
        <v>44460.520833333336</v>
      </c>
      <c r="D1259" s="23">
        <v>48</v>
      </c>
      <c r="E1259" s="27">
        <v>44461.46875</v>
      </c>
      <c r="F1259" s="23">
        <v>48.3</v>
      </c>
      <c r="G1259" s="31">
        <v>6.1999999999999998E-3</v>
      </c>
      <c r="H1259" s="23">
        <v>316.01</v>
      </c>
      <c r="I1259" s="31">
        <v>6.3E-3</v>
      </c>
      <c r="J1259" s="23">
        <v>1053.3800000000001</v>
      </c>
      <c r="K1259" s="23">
        <v>50562.25</v>
      </c>
      <c r="L1259" s="23">
        <v>112352.27</v>
      </c>
      <c r="M1259" s="23">
        <v>24</v>
      </c>
      <c r="N1259" s="23">
        <v>13.17</v>
      </c>
      <c r="O1259" s="31">
        <v>-8.3000000000000001E-3</v>
      </c>
      <c r="P1259" s="31">
        <v>1.8800000000000001E-2</v>
      </c>
      <c r="Q1259" s="23" t="s">
        <v>24</v>
      </c>
      <c r="R1259" s="23">
        <v>0</v>
      </c>
      <c r="S1259" s="23">
        <v>47</v>
      </c>
      <c r="U1259" s="47">
        <f>VLOOKUP(AU1259,[1]expiry_dates!$B$2:$C$2894,2,FALSE)</f>
        <v>44469</v>
      </c>
      <c r="V1259" s="23" t="s">
        <v>105</v>
      </c>
      <c r="W1259" s="23" t="s">
        <v>23</v>
      </c>
      <c r="X1259" s="49">
        <v>44460.520833333336</v>
      </c>
      <c r="Y1259" s="23">
        <v>1.2</v>
      </c>
      <c r="Z1259" s="23">
        <v>44461.46875</v>
      </c>
      <c r="AA1259" s="23">
        <v>0.9</v>
      </c>
      <c r="AB1259" s="23">
        <v>-0.25</v>
      </c>
      <c r="AC1259" s="23">
        <v>17314.84</v>
      </c>
      <c r="AD1259" s="23">
        <v>0.25</v>
      </c>
      <c r="AE1259" s="23">
        <v>57716.14</v>
      </c>
      <c r="AF1259" s="23">
        <v>69259.37</v>
      </c>
      <c r="AG1259" s="23">
        <v>3863259.93</v>
      </c>
      <c r="AH1259" s="23">
        <v>24</v>
      </c>
      <c r="AI1259" s="23">
        <v>721.45</v>
      </c>
      <c r="AJ1259" s="23">
        <v>0</v>
      </c>
      <c r="AK1259" s="23">
        <v>0.375</v>
      </c>
      <c r="AL1259" s="23" t="s">
        <v>24</v>
      </c>
      <c r="AM1259" s="23">
        <v>48</v>
      </c>
      <c r="AN1259" s="23">
        <v>36812.9</v>
      </c>
      <c r="AO1259" s="23">
        <v>47</v>
      </c>
      <c r="AP1259" s="23">
        <v>0</v>
      </c>
      <c r="AR1259" s="46"/>
      <c r="AS1259" s="44"/>
      <c r="AT1259" s="45"/>
      <c r="AU1259" s="2">
        <v>44460</v>
      </c>
      <c r="AV1259" s="52">
        <v>0.52083333333333337</v>
      </c>
      <c r="AW1259" s="2" t="s">
        <v>213</v>
      </c>
      <c r="AY1259" s="3"/>
      <c r="BA1259" s="3"/>
      <c r="BG1259" s="3"/>
      <c r="BH1259" s="3"/>
    </row>
    <row r="1260" spans="1:60">
      <c r="A1260" s="23" t="s">
        <v>22</v>
      </c>
      <c r="B1260" s="23" t="s">
        <v>23</v>
      </c>
      <c r="C1260" s="27">
        <v>44461.46875</v>
      </c>
      <c r="D1260" s="23">
        <v>48.3</v>
      </c>
      <c r="E1260" s="27">
        <v>44461.510416666664</v>
      </c>
      <c r="F1260" s="23">
        <v>48.6</v>
      </c>
      <c r="G1260" s="31">
        <v>6.1999999999999998E-3</v>
      </c>
      <c r="H1260" s="23">
        <v>-314.05</v>
      </c>
      <c r="I1260" s="31">
        <v>-6.1999999999999998E-3</v>
      </c>
      <c r="J1260" s="23">
        <v>1046.8440000000001</v>
      </c>
      <c r="K1260" s="23">
        <v>50562.55</v>
      </c>
      <c r="L1260" s="23">
        <v>112038.22</v>
      </c>
      <c r="M1260" s="23">
        <v>5</v>
      </c>
      <c r="N1260" s="23">
        <v>-62.81</v>
      </c>
      <c r="O1260" s="31">
        <v>-7.1999999999999998E-3</v>
      </c>
      <c r="P1260" s="31">
        <v>2.0999999999999999E-3</v>
      </c>
      <c r="Q1260" s="23" t="s">
        <v>24</v>
      </c>
      <c r="R1260" s="23">
        <v>0</v>
      </c>
      <c r="S1260" s="23">
        <v>48.87</v>
      </c>
      <c r="U1260" s="47">
        <f>VLOOKUP(AU1260,[1]expiry_dates!$B$2:$C$2894,2,FALSE)</f>
        <v>44469</v>
      </c>
      <c r="V1260" s="23" t="s">
        <v>106</v>
      </c>
      <c r="W1260" s="23" t="s">
        <v>23</v>
      </c>
      <c r="X1260" s="49">
        <v>44461.46875</v>
      </c>
      <c r="Y1260" s="23">
        <v>1.7</v>
      </c>
      <c r="Z1260" s="23">
        <v>44461.510416666664</v>
      </c>
      <c r="AA1260" s="23">
        <v>1.9</v>
      </c>
      <c r="AB1260" s="23">
        <v>0.1176</v>
      </c>
      <c r="AC1260" s="23">
        <v>-8154.86</v>
      </c>
      <c r="AD1260" s="23">
        <v>-0.1176</v>
      </c>
      <c r="AE1260" s="23">
        <v>40774.29</v>
      </c>
      <c r="AF1260" s="23">
        <v>69316.3</v>
      </c>
      <c r="AG1260" s="23">
        <v>3855105.07</v>
      </c>
      <c r="AH1260" s="23">
        <v>5</v>
      </c>
      <c r="AI1260" s="23">
        <v>-1630.97</v>
      </c>
      <c r="AJ1260" s="23">
        <v>-0.14710000000000001</v>
      </c>
      <c r="AK1260" s="23">
        <v>2.9399999999999999E-2</v>
      </c>
      <c r="AL1260" s="23" t="s">
        <v>24</v>
      </c>
      <c r="AM1260" s="23">
        <v>48.3</v>
      </c>
      <c r="AN1260" s="23">
        <v>36958.949999999997</v>
      </c>
      <c r="AO1260" s="23">
        <v>48.87</v>
      </c>
      <c r="AP1260" s="23">
        <v>0</v>
      </c>
      <c r="AR1260" s="46"/>
      <c r="AS1260" s="44"/>
      <c r="AT1260" s="45"/>
      <c r="AU1260" s="2">
        <v>44461</v>
      </c>
      <c r="AV1260" s="52">
        <v>0.46875</v>
      </c>
      <c r="AW1260" s="2" t="s">
        <v>212</v>
      </c>
      <c r="AY1260" s="3"/>
      <c r="BA1260" s="3"/>
      <c r="BG1260" s="3"/>
      <c r="BH1260" s="3"/>
    </row>
    <row r="1261" spans="1:60">
      <c r="A1261" s="23" t="s">
        <v>22</v>
      </c>
      <c r="B1261" s="23" t="s">
        <v>25</v>
      </c>
      <c r="C1261" s="27">
        <v>44461.510416666664</v>
      </c>
      <c r="D1261" s="23">
        <v>48.6</v>
      </c>
      <c r="E1261" s="27">
        <v>44461.583333333336</v>
      </c>
      <c r="F1261" s="23">
        <v>48.65</v>
      </c>
      <c r="G1261" s="31">
        <v>1E-3</v>
      </c>
      <c r="H1261" s="23">
        <v>52.02</v>
      </c>
      <c r="I1261" s="31">
        <v>1E-3</v>
      </c>
      <c r="J1261" s="23">
        <v>1040.3330000000001</v>
      </c>
      <c r="K1261" s="23">
        <v>50560.19</v>
      </c>
      <c r="L1261" s="23">
        <v>112090.24000000001</v>
      </c>
      <c r="M1261" s="23">
        <v>8</v>
      </c>
      <c r="N1261" s="23">
        <v>6.5</v>
      </c>
      <c r="O1261" s="31">
        <v>-4.1000000000000003E-3</v>
      </c>
      <c r="P1261" s="31">
        <v>5.1000000000000004E-3</v>
      </c>
      <c r="Q1261" s="23" t="s">
        <v>24</v>
      </c>
      <c r="R1261" s="23">
        <v>0</v>
      </c>
      <c r="S1261" s="23">
        <v>48.22</v>
      </c>
      <c r="U1261" s="47">
        <f>VLOOKUP(AU1261,[1]expiry_dates!$B$2:$C$2894,2,FALSE)</f>
        <v>44469</v>
      </c>
      <c r="V1261" s="23" t="s">
        <v>108</v>
      </c>
      <c r="W1261" s="23" t="s">
        <v>23</v>
      </c>
      <c r="X1261" s="49">
        <v>44461.510416666664</v>
      </c>
      <c r="Y1261" s="23">
        <v>1.2</v>
      </c>
      <c r="Z1261" s="23">
        <v>44461.583333333336</v>
      </c>
      <c r="AA1261" s="23">
        <v>1.25</v>
      </c>
      <c r="AB1261" s="23">
        <v>4.1700000000000001E-2</v>
      </c>
      <c r="AC1261" s="23">
        <v>-2886.06</v>
      </c>
      <c r="AD1261" s="23">
        <v>-4.1700000000000001E-2</v>
      </c>
      <c r="AE1261" s="23">
        <v>57721.11</v>
      </c>
      <c r="AF1261" s="23">
        <v>69265.34</v>
      </c>
      <c r="AG1261" s="23">
        <v>3852219.02</v>
      </c>
      <c r="AH1261" s="23">
        <v>8</v>
      </c>
      <c r="AI1261" s="23">
        <v>-360.76</v>
      </c>
      <c r="AJ1261" s="23">
        <v>-4.1700000000000001E-2</v>
      </c>
      <c r="AK1261" s="23">
        <v>0.125</v>
      </c>
      <c r="AL1261" s="23" t="s">
        <v>24</v>
      </c>
      <c r="AM1261" s="23">
        <v>48.6</v>
      </c>
      <c r="AN1261" s="23">
        <v>37068.65</v>
      </c>
      <c r="AO1261" s="23">
        <v>48.22</v>
      </c>
      <c r="AP1261" s="23">
        <v>0</v>
      </c>
      <c r="AR1261" s="46"/>
      <c r="AS1261" s="44"/>
      <c r="AT1261" s="45"/>
      <c r="AU1261" s="2">
        <v>44461</v>
      </c>
      <c r="AV1261" s="52">
        <v>0.51041666666666663</v>
      </c>
      <c r="AW1261" s="2" t="s">
        <v>213</v>
      </c>
      <c r="AY1261" s="3"/>
      <c r="BA1261" s="3"/>
      <c r="BG1261" s="3"/>
      <c r="BH1261" s="3"/>
    </row>
    <row r="1262" spans="1:60">
      <c r="A1262" s="23" t="s">
        <v>22</v>
      </c>
      <c r="B1262" s="23" t="s">
        <v>23</v>
      </c>
      <c r="C1262" s="27">
        <v>44461.583333333336</v>
      </c>
      <c r="D1262" s="23">
        <v>48.65</v>
      </c>
      <c r="E1262" s="27">
        <v>44462.385416666664</v>
      </c>
      <c r="F1262" s="23">
        <v>49.25</v>
      </c>
      <c r="G1262" s="31">
        <v>1.23E-2</v>
      </c>
      <c r="H1262" s="23">
        <v>-623.54999999999995</v>
      </c>
      <c r="I1262" s="31">
        <v>-1.23E-2</v>
      </c>
      <c r="J1262" s="23">
        <v>1039.248</v>
      </c>
      <c r="K1262" s="23">
        <v>50559.41</v>
      </c>
      <c r="L1262" s="23">
        <v>111466.69</v>
      </c>
      <c r="M1262" s="23">
        <v>10</v>
      </c>
      <c r="N1262" s="23">
        <v>-62.35</v>
      </c>
      <c r="O1262" s="31">
        <v>-1.23E-2</v>
      </c>
      <c r="P1262" s="31">
        <v>6.1999999999999998E-3</v>
      </c>
      <c r="Q1262" s="23" t="s">
        <v>24</v>
      </c>
      <c r="R1262" s="23">
        <v>0</v>
      </c>
      <c r="S1262" s="23">
        <v>48.83</v>
      </c>
      <c r="U1262" s="47">
        <f>VLOOKUP(AU1262,[1]expiry_dates!$B$2:$C$2894,2,FALSE)</f>
        <v>44469</v>
      </c>
      <c r="V1262" s="23" t="s">
        <v>123</v>
      </c>
      <c r="W1262" s="23" t="s">
        <v>23</v>
      </c>
      <c r="X1262" s="49">
        <v>44461.583333333336</v>
      </c>
      <c r="Y1262" s="23">
        <v>1.45</v>
      </c>
      <c r="Z1262" s="23">
        <v>44462.385416666664</v>
      </c>
      <c r="AA1262" s="23">
        <v>1.8</v>
      </c>
      <c r="AB1262" s="23">
        <v>0.2414</v>
      </c>
      <c r="AC1262" s="23">
        <v>-16718.189999999999</v>
      </c>
      <c r="AD1262" s="23">
        <v>-0.2414</v>
      </c>
      <c r="AE1262" s="23">
        <v>47766.27</v>
      </c>
      <c r="AF1262" s="23">
        <v>69261.09</v>
      </c>
      <c r="AG1262" s="23">
        <v>3835500.83</v>
      </c>
      <c r="AH1262" s="23">
        <v>10</v>
      </c>
      <c r="AI1262" s="23">
        <v>-1671.82</v>
      </c>
      <c r="AJ1262" s="23">
        <v>-0.2414</v>
      </c>
      <c r="AK1262" s="23">
        <v>0.10340000000000001</v>
      </c>
      <c r="AL1262" s="23" t="s">
        <v>24</v>
      </c>
      <c r="AM1262" s="23">
        <v>48.65</v>
      </c>
      <c r="AN1262" s="23">
        <v>37037.449999999997</v>
      </c>
      <c r="AO1262" s="23">
        <v>48.83</v>
      </c>
      <c r="AP1262" s="23">
        <v>0</v>
      </c>
      <c r="AR1262" s="46"/>
      <c r="AS1262" s="44"/>
      <c r="AT1262" s="45"/>
      <c r="AU1262" s="2">
        <v>44461</v>
      </c>
      <c r="AV1262" s="52">
        <v>8.3333333333333329E-2</v>
      </c>
      <c r="AW1262" s="2" t="s">
        <v>213</v>
      </c>
      <c r="AY1262" s="3"/>
      <c r="BA1262" s="3"/>
      <c r="BG1262" s="3"/>
      <c r="BH1262" s="3"/>
    </row>
    <row r="1263" spans="1:60">
      <c r="A1263" s="23" t="s">
        <v>22</v>
      </c>
      <c r="B1263" s="23" t="s">
        <v>25</v>
      </c>
      <c r="C1263" s="27">
        <v>44462.385416666664</v>
      </c>
      <c r="D1263" s="23">
        <v>49.25</v>
      </c>
      <c r="E1263" s="27">
        <v>44462.447916666664</v>
      </c>
      <c r="F1263" s="23">
        <v>48.95</v>
      </c>
      <c r="G1263" s="31">
        <v>-6.1000000000000004E-3</v>
      </c>
      <c r="H1263" s="23">
        <v>-307.97000000000003</v>
      </c>
      <c r="I1263" s="31">
        <v>-6.1000000000000004E-3</v>
      </c>
      <c r="J1263" s="23">
        <v>1026.5709999999999</v>
      </c>
      <c r="K1263" s="23">
        <v>50558.63</v>
      </c>
      <c r="L1263" s="23">
        <v>111158.72</v>
      </c>
      <c r="M1263" s="23">
        <v>7</v>
      </c>
      <c r="N1263" s="23">
        <v>-44</v>
      </c>
      <c r="O1263" s="31">
        <v>-7.1000000000000004E-3</v>
      </c>
      <c r="P1263" s="31">
        <v>8.0999999999999996E-3</v>
      </c>
      <c r="Q1263" s="23" t="s">
        <v>24</v>
      </c>
      <c r="R1263" s="23">
        <v>0</v>
      </c>
      <c r="S1263" s="23">
        <v>48.41</v>
      </c>
      <c r="U1263" s="47">
        <f>VLOOKUP(AU1263,[1]expiry_dates!$B$2:$C$2894,2,FALSE)</f>
        <v>44469</v>
      </c>
      <c r="V1263" s="23" t="s">
        <v>122</v>
      </c>
      <c r="W1263" s="23" t="s">
        <v>23</v>
      </c>
      <c r="X1263" s="49">
        <v>44462.385416666664</v>
      </c>
      <c r="Y1263" s="23">
        <v>1.45</v>
      </c>
      <c r="Z1263" s="23">
        <v>44462.447916666664</v>
      </c>
      <c r="AA1263" s="23">
        <v>1.6</v>
      </c>
      <c r="AB1263" s="23">
        <v>0.10340000000000001</v>
      </c>
      <c r="AC1263" s="23">
        <v>-7167.41</v>
      </c>
      <c r="AD1263" s="23">
        <v>-0.10340000000000001</v>
      </c>
      <c r="AE1263" s="23">
        <v>47782.74</v>
      </c>
      <c r="AF1263" s="23">
        <v>69284.98</v>
      </c>
      <c r="AG1263" s="23">
        <v>3828333.41</v>
      </c>
      <c r="AH1263" s="23">
        <v>7</v>
      </c>
      <c r="AI1263" s="23">
        <v>-1023.92</v>
      </c>
      <c r="AJ1263" s="23">
        <v>-0.10340000000000001</v>
      </c>
      <c r="AK1263" s="23">
        <v>0.13789999999999999</v>
      </c>
      <c r="AL1263" s="23" t="s">
        <v>24</v>
      </c>
      <c r="AM1263" s="23">
        <v>49.25</v>
      </c>
      <c r="AN1263" s="23">
        <v>37405.9</v>
      </c>
      <c r="AO1263" s="23">
        <v>48.41</v>
      </c>
      <c r="AP1263" s="23">
        <v>0</v>
      </c>
      <c r="AR1263" s="46"/>
      <c r="AS1263" s="44"/>
      <c r="AT1263" s="45"/>
      <c r="AU1263" s="2">
        <v>44462</v>
      </c>
      <c r="AV1263" s="52">
        <v>0.38541666666666669</v>
      </c>
      <c r="AW1263" s="2" t="s">
        <v>212</v>
      </c>
      <c r="AY1263" s="3"/>
      <c r="BA1263" s="3"/>
      <c r="BG1263" s="3"/>
      <c r="BH1263" s="3"/>
    </row>
    <row r="1264" spans="1:60">
      <c r="A1264" s="23" t="s">
        <v>22</v>
      </c>
      <c r="B1264" s="23" t="s">
        <v>23</v>
      </c>
      <c r="C1264" s="27">
        <v>44462.447916666664</v>
      </c>
      <c r="D1264" s="23">
        <v>48.95</v>
      </c>
      <c r="E1264" s="27">
        <v>44463.385416666664</v>
      </c>
      <c r="F1264" s="23">
        <v>48.45</v>
      </c>
      <c r="G1264" s="31">
        <v>-1.0200000000000001E-2</v>
      </c>
      <c r="H1264" s="23">
        <v>516.4</v>
      </c>
      <c r="I1264" s="31">
        <v>1.0200000000000001E-2</v>
      </c>
      <c r="J1264" s="23">
        <v>1032.8</v>
      </c>
      <c r="K1264" s="23">
        <v>50555.54</v>
      </c>
      <c r="L1264" s="23">
        <v>111675.12</v>
      </c>
      <c r="M1264" s="23">
        <v>23</v>
      </c>
      <c r="N1264" s="23">
        <v>22.45</v>
      </c>
      <c r="O1264" s="31">
        <v>-1E-3</v>
      </c>
      <c r="P1264" s="31">
        <v>1.23E-2</v>
      </c>
      <c r="Q1264" s="23" t="s">
        <v>24</v>
      </c>
      <c r="R1264" s="23">
        <v>0</v>
      </c>
      <c r="S1264" s="23">
        <v>49.63</v>
      </c>
      <c r="U1264" s="47">
        <f>VLOOKUP(AU1264,[1]expiry_dates!$B$2:$C$2894,2,FALSE)</f>
        <v>44469</v>
      </c>
      <c r="V1264" s="23" t="s">
        <v>123</v>
      </c>
      <c r="W1264" s="23" t="s">
        <v>23</v>
      </c>
      <c r="X1264" s="49">
        <v>44462.447916666664</v>
      </c>
      <c r="Y1264" s="23">
        <v>1.65</v>
      </c>
      <c r="Z1264" s="23">
        <v>44463.385416666664</v>
      </c>
      <c r="AA1264" s="23">
        <v>1.35</v>
      </c>
      <c r="AB1264" s="23">
        <v>-0.18179999999999999</v>
      </c>
      <c r="AC1264" s="23">
        <v>12573.38</v>
      </c>
      <c r="AD1264" s="23">
        <v>0.18179999999999999</v>
      </c>
      <c r="AE1264" s="23">
        <v>41911.279999999999</v>
      </c>
      <c r="AF1264" s="23">
        <v>69153.61</v>
      </c>
      <c r="AG1264" s="23">
        <v>3840906.8</v>
      </c>
      <c r="AH1264" s="23">
        <v>23</v>
      </c>
      <c r="AI1264" s="23">
        <v>546.66999999999996</v>
      </c>
      <c r="AJ1264" s="23">
        <v>0</v>
      </c>
      <c r="AK1264" s="23">
        <v>0.2424</v>
      </c>
      <c r="AL1264" s="23" t="s">
        <v>24</v>
      </c>
      <c r="AM1264" s="23">
        <v>48.95</v>
      </c>
      <c r="AN1264" s="23">
        <v>37651.4</v>
      </c>
      <c r="AO1264" s="23">
        <v>49.63</v>
      </c>
      <c r="AP1264" s="23">
        <v>0</v>
      </c>
      <c r="AR1264" s="46"/>
      <c r="AS1264" s="44"/>
      <c r="AT1264" s="45"/>
      <c r="AU1264" s="2">
        <v>44462</v>
      </c>
      <c r="AV1264" s="52">
        <v>0.44791666666666669</v>
      </c>
      <c r="AW1264" s="2" t="s">
        <v>212</v>
      </c>
      <c r="AY1264" s="3"/>
      <c r="BA1264" s="3"/>
      <c r="BG1264" s="3"/>
      <c r="BH1264" s="3"/>
    </row>
    <row r="1265" spans="1:60">
      <c r="A1265" s="23" t="s">
        <v>22</v>
      </c>
      <c r="B1265" s="23" t="s">
        <v>25</v>
      </c>
      <c r="C1265" s="27">
        <v>44463.385416666664</v>
      </c>
      <c r="D1265" s="23">
        <v>48.45</v>
      </c>
      <c r="E1265" s="27">
        <v>44463.395833333336</v>
      </c>
      <c r="F1265" s="23">
        <v>48.65</v>
      </c>
      <c r="G1265" s="31">
        <v>4.1000000000000003E-3</v>
      </c>
      <c r="H1265" s="23">
        <v>208.7</v>
      </c>
      <c r="I1265" s="31">
        <v>4.1000000000000003E-3</v>
      </c>
      <c r="J1265" s="23">
        <v>1043.49</v>
      </c>
      <c r="K1265" s="23">
        <v>50557.09</v>
      </c>
      <c r="L1265" s="23">
        <v>111883.82</v>
      </c>
      <c r="M1265" s="23">
        <v>2</v>
      </c>
      <c r="N1265" s="23">
        <v>104.35</v>
      </c>
      <c r="O1265" s="31">
        <v>-1E-3</v>
      </c>
      <c r="P1265" s="31">
        <v>1.34E-2</v>
      </c>
      <c r="Q1265" s="23" t="s">
        <v>24</v>
      </c>
      <c r="R1265" s="23">
        <v>0</v>
      </c>
      <c r="S1265" s="23">
        <v>48.38</v>
      </c>
      <c r="U1265" s="47">
        <f>VLOOKUP(AU1265,[1]expiry_dates!$B$2:$C$2894,2,FALSE)</f>
        <v>44469</v>
      </c>
      <c r="V1265" s="23" t="s">
        <v>108</v>
      </c>
      <c r="W1265" s="23" t="s">
        <v>23</v>
      </c>
      <c r="X1265" s="49">
        <v>44463.385416666664</v>
      </c>
      <c r="Y1265" s="23">
        <v>1.1000000000000001</v>
      </c>
      <c r="Z1265" s="23">
        <v>44463.395833333336</v>
      </c>
      <c r="AA1265" s="23">
        <v>1.1000000000000001</v>
      </c>
      <c r="AB1265" s="23">
        <v>0</v>
      </c>
      <c r="AC1265" s="23">
        <v>0</v>
      </c>
      <c r="AD1265" s="23">
        <v>0</v>
      </c>
      <c r="AE1265" s="23">
        <v>62894.16</v>
      </c>
      <c r="AF1265" s="23">
        <v>69183.58</v>
      </c>
      <c r="AG1265" s="23">
        <v>3840906.8</v>
      </c>
      <c r="AH1265" s="23">
        <v>2</v>
      </c>
      <c r="AI1265" s="23">
        <v>0</v>
      </c>
      <c r="AJ1265" s="23">
        <v>-4.5499999999999999E-2</v>
      </c>
      <c r="AK1265" s="23">
        <v>4.5499999999999999E-2</v>
      </c>
      <c r="AL1265" s="23" t="s">
        <v>24</v>
      </c>
      <c r="AM1265" s="23">
        <v>48.45</v>
      </c>
      <c r="AN1265" s="23">
        <v>37878.449999999997</v>
      </c>
      <c r="AO1265" s="23">
        <v>48.38</v>
      </c>
      <c r="AP1265" s="23">
        <v>0</v>
      </c>
      <c r="AR1265" s="46"/>
      <c r="AS1265" s="44"/>
      <c r="AT1265" s="45"/>
      <c r="AU1265" s="2">
        <v>44463</v>
      </c>
      <c r="AV1265" s="52">
        <v>0.38541666666666669</v>
      </c>
      <c r="AW1265" s="2" t="s">
        <v>212</v>
      </c>
      <c r="AY1265" s="3"/>
      <c r="BA1265" s="3"/>
      <c r="BG1265" s="3"/>
      <c r="BH1265" s="3"/>
    </row>
    <row r="1266" spans="1:60">
      <c r="A1266" s="23" t="s">
        <v>22</v>
      </c>
      <c r="B1266" s="23" t="s">
        <v>23</v>
      </c>
      <c r="C1266" s="27">
        <v>44463.395833333336</v>
      </c>
      <c r="D1266" s="23">
        <v>48.65</v>
      </c>
      <c r="E1266" s="27">
        <v>44463.458333333336</v>
      </c>
      <c r="F1266" s="23">
        <v>48.45</v>
      </c>
      <c r="G1266" s="31">
        <v>-4.1000000000000003E-3</v>
      </c>
      <c r="H1266" s="23">
        <v>207.85</v>
      </c>
      <c r="I1266" s="31">
        <v>4.1000000000000003E-3</v>
      </c>
      <c r="J1266" s="23">
        <v>1039.2270000000001</v>
      </c>
      <c r="K1266" s="23">
        <v>50558.38</v>
      </c>
      <c r="L1266" s="23">
        <v>112091.66</v>
      </c>
      <c r="M1266" s="23">
        <v>7</v>
      </c>
      <c r="N1266" s="23">
        <v>29.69</v>
      </c>
      <c r="O1266" s="31">
        <v>-1E-3</v>
      </c>
      <c r="P1266" s="31">
        <v>1.95E-2</v>
      </c>
      <c r="Q1266" s="23" t="s">
        <v>24</v>
      </c>
      <c r="R1266" s="23">
        <v>0</v>
      </c>
      <c r="S1266" s="23">
        <v>49.07</v>
      </c>
      <c r="U1266" s="47">
        <f>VLOOKUP(AU1266,[1]expiry_dates!$B$2:$C$2894,2,FALSE)</f>
        <v>44469</v>
      </c>
      <c r="V1266" s="23" t="s">
        <v>123</v>
      </c>
      <c r="W1266" s="23" t="s">
        <v>23</v>
      </c>
      <c r="X1266" s="49">
        <v>44463.395833333336</v>
      </c>
      <c r="Y1266" s="23">
        <v>1.3</v>
      </c>
      <c r="Z1266" s="23">
        <v>44463.458333333336</v>
      </c>
      <c r="AA1266" s="23">
        <v>1.3</v>
      </c>
      <c r="AB1266" s="23">
        <v>0</v>
      </c>
      <c r="AC1266" s="23">
        <v>0</v>
      </c>
      <c r="AD1266" s="23">
        <v>0</v>
      </c>
      <c r="AE1266" s="23">
        <v>53234.26</v>
      </c>
      <c r="AF1266" s="23">
        <v>69204.53</v>
      </c>
      <c r="AG1266" s="23">
        <v>3840906.8</v>
      </c>
      <c r="AH1266" s="23">
        <v>7</v>
      </c>
      <c r="AI1266" s="23">
        <v>0</v>
      </c>
      <c r="AJ1266" s="23">
        <v>-7.6899999999999996E-2</v>
      </c>
      <c r="AK1266" s="23">
        <v>0.26919999999999999</v>
      </c>
      <c r="AL1266" s="23" t="s">
        <v>24</v>
      </c>
      <c r="AM1266" s="23">
        <v>48.65</v>
      </c>
      <c r="AN1266" s="23">
        <v>37882.1</v>
      </c>
      <c r="AO1266" s="23">
        <v>49.07</v>
      </c>
      <c r="AP1266" s="23">
        <v>0</v>
      </c>
      <c r="AR1266" s="46"/>
      <c r="AS1266" s="44"/>
      <c r="AT1266" s="45"/>
      <c r="AU1266" s="2">
        <v>44463</v>
      </c>
      <c r="AV1266" s="52">
        <v>0.39583333333333331</v>
      </c>
      <c r="AW1266" s="2" t="s">
        <v>212</v>
      </c>
      <c r="AY1266" s="3"/>
      <c r="BA1266" s="3"/>
      <c r="BG1266" s="3"/>
      <c r="BH1266" s="3"/>
    </row>
    <row r="1267" spans="1:60">
      <c r="A1267" s="23" t="s">
        <v>22</v>
      </c>
      <c r="B1267" s="23" t="s">
        <v>25</v>
      </c>
      <c r="C1267" s="27">
        <v>44463.458333333336</v>
      </c>
      <c r="D1267" s="23">
        <v>48.45</v>
      </c>
      <c r="E1267" s="27">
        <v>44463.520833333336</v>
      </c>
      <c r="F1267" s="23">
        <v>47.9</v>
      </c>
      <c r="G1267" s="31">
        <v>-1.14E-2</v>
      </c>
      <c r="H1267" s="23">
        <v>-573.95000000000005</v>
      </c>
      <c r="I1267" s="31">
        <v>-1.14E-2</v>
      </c>
      <c r="J1267" s="23">
        <v>1043.5429999999999</v>
      </c>
      <c r="K1267" s="23">
        <v>50559.68</v>
      </c>
      <c r="L1267" s="23">
        <v>111517.71</v>
      </c>
      <c r="M1267" s="23">
        <v>7</v>
      </c>
      <c r="N1267" s="23">
        <v>-81.99</v>
      </c>
      <c r="O1267" s="31">
        <v>-1.14E-2</v>
      </c>
      <c r="P1267" s="31">
        <v>9.2999999999999992E-3</v>
      </c>
      <c r="Q1267" s="23" t="s">
        <v>24</v>
      </c>
      <c r="R1267" s="23">
        <v>0</v>
      </c>
      <c r="S1267" s="23">
        <v>47.75</v>
      </c>
      <c r="U1267" s="47">
        <f>VLOOKUP(AU1267,[1]expiry_dates!$B$2:$C$2894,2,FALSE)</f>
        <v>44469</v>
      </c>
      <c r="V1267" s="23" t="s">
        <v>108</v>
      </c>
      <c r="W1267" s="23" t="s">
        <v>23</v>
      </c>
      <c r="X1267" s="49">
        <v>44463.458333333336</v>
      </c>
      <c r="Y1267" s="23">
        <v>1.1000000000000001</v>
      </c>
      <c r="Z1267" s="23">
        <v>44463.520833333336</v>
      </c>
      <c r="AA1267" s="23">
        <v>1.4</v>
      </c>
      <c r="AB1267" s="23">
        <v>0.2727</v>
      </c>
      <c r="AC1267" s="23">
        <v>-18866.7</v>
      </c>
      <c r="AD1267" s="23">
        <v>-0.2727</v>
      </c>
      <c r="AE1267" s="23">
        <v>62889.02</v>
      </c>
      <c r="AF1267" s="23">
        <v>69177.919999999998</v>
      </c>
      <c r="AG1267" s="23">
        <v>3822040.09</v>
      </c>
      <c r="AH1267" s="23">
        <v>7</v>
      </c>
      <c r="AI1267" s="23">
        <v>-2695.24</v>
      </c>
      <c r="AJ1267" s="23">
        <v>-0.2727</v>
      </c>
      <c r="AK1267" s="23">
        <v>0.13639999999999999</v>
      </c>
      <c r="AL1267" s="23" t="s">
        <v>24</v>
      </c>
      <c r="AM1267" s="23">
        <v>48.45</v>
      </c>
      <c r="AN1267" s="23">
        <v>37812.6</v>
      </c>
      <c r="AO1267" s="23">
        <v>47.75</v>
      </c>
      <c r="AP1267" s="23">
        <v>0</v>
      </c>
      <c r="AR1267" s="46"/>
      <c r="AS1267" s="44"/>
      <c r="AT1267" s="45"/>
      <c r="AU1267" s="2">
        <v>44463</v>
      </c>
      <c r="AV1267" s="52">
        <v>0.45833333333333331</v>
      </c>
      <c r="AW1267" s="2" t="s">
        <v>212</v>
      </c>
      <c r="AY1267" s="3"/>
      <c r="BA1267" s="3"/>
      <c r="BG1267" s="3"/>
      <c r="BH1267" s="3"/>
    </row>
    <row r="1268" spans="1:60">
      <c r="A1268" s="23" t="s">
        <v>22</v>
      </c>
      <c r="B1268" s="23" t="s">
        <v>23</v>
      </c>
      <c r="C1268" s="27">
        <v>44463.520833333336</v>
      </c>
      <c r="D1268" s="23">
        <v>47.9</v>
      </c>
      <c r="E1268" s="27">
        <v>44466.385416666664</v>
      </c>
      <c r="F1268" s="23">
        <v>47.4</v>
      </c>
      <c r="G1268" s="31">
        <v>-1.04E-2</v>
      </c>
      <c r="H1268" s="23">
        <v>527.76</v>
      </c>
      <c r="I1268" s="31">
        <v>1.04E-2</v>
      </c>
      <c r="J1268" s="23">
        <v>1055.5150000000001</v>
      </c>
      <c r="K1268" s="23">
        <v>50559.15</v>
      </c>
      <c r="L1268" s="23">
        <v>112045.47</v>
      </c>
      <c r="M1268" s="23">
        <v>16</v>
      </c>
      <c r="N1268" s="23">
        <v>32.979999999999997</v>
      </c>
      <c r="O1268" s="31">
        <v>-6.3E-3</v>
      </c>
      <c r="P1268" s="31">
        <v>2.8199999999999999E-2</v>
      </c>
      <c r="Q1268" s="23" t="s">
        <v>24</v>
      </c>
      <c r="R1268" s="23">
        <v>0</v>
      </c>
      <c r="S1268" s="23">
        <v>48.86</v>
      </c>
      <c r="U1268" s="47">
        <f>VLOOKUP(AU1268,[1]expiry_dates!$B$2:$C$2894,2,FALSE)</f>
        <v>44469</v>
      </c>
      <c r="V1268" s="23" t="s">
        <v>106</v>
      </c>
      <c r="W1268" s="23" t="s">
        <v>23</v>
      </c>
      <c r="X1268" s="49">
        <v>44463.520833333336</v>
      </c>
      <c r="Y1268" s="23">
        <v>1.35</v>
      </c>
      <c r="Z1268" s="23">
        <v>44466.385416666664</v>
      </c>
      <c r="AA1268" s="23">
        <v>0.9</v>
      </c>
      <c r="AB1268" s="23">
        <v>-0.33329999999999999</v>
      </c>
      <c r="AC1268" s="23">
        <v>23057.7</v>
      </c>
      <c r="AD1268" s="23">
        <v>0.33329999999999999</v>
      </c>
      <c r="AE1268" s="23">
        <v>51239.32</v>
      </c>
      <c r="AF1268" s="23">
        <v>69173.09</v>
      </c>
      <c r="AG1268" s="23">
        <v>3845097.79</v>
      </c>
      <c r="AH1268" s="23">
        <v>16</v>
      </c>
      <c r="AI1268" s="23">
        <v>1441.11</v>
      </c>
      <c r="AJ1268" s="23">
        <v>-7.4099999999999999E-2</v>
      </c>
      <c r="AK1268" s="23">
        <v>0.48149999999999998</v>
      </c>
      <c r="AL1268" s="23" t="s">
        <v>24</v>
      </c>
      <c r="AM1268" s="23">
        <v>47.9</v>
      </c>
      <c r="AN1268" s="23">
        <v>37769.550000000003</v>
      </c>
      <c r="AO1268" s="23">
        <v>48.86</v>
      </c>
      <c r="AP1268" s="23">
        <v>0</v>
      </c>
      <c r="AR1268" s="46"/>
      <c r="AS1268" s="44"/>
      <c r="AT1268" s="45"/>
      <c r="AU1268" s="2">
        <v>44463</v>
      </c>
      <c r="AV1268" s="52">
        <v>0.52083333333333337</v>
      </c>
      <c r="AW1268" s="2" t="s">
        <v>213</v>
      </c>
      <c r="AY1268" s="3"/>
      <c r="BA1268" s="3"/>
      <c r="BG1268" s="3"/>
      <c r="BH1268" s="3"/>
    </row>
    <row r="1269" spans="1:60">
      <c r="A1269" s="23" t="s">
        <v>22</v>
      </c>
      <c r="B1269" s="23" t="s">
        <v>25</v>
      </c>
      <c r="C1269" s="27">
        <v>44466.385416666664</v>
      </c>
      <c r="D1269" s="23">
        <v>47.4</v>
      </c>
      <c r="E1269" s="27">
        <v>44466.458333333336</v>
      </c>
      <c r="F1269" s="23">
        <v>46.95</v>
      </c>
      <c r="G1269" s="31">
        <v>-9.4999999999999998E-3</v>
      </c>
      <c r="H1269" s="23">
        <v>-480.01</v>
      </c>
      <c r="I1269" s="31">
        <v>-9.4999999999999998E-3</v>
      </c>
      <c r="J1269" s="23">
        <v>1066.694</v>
      </c>
      <c r="K1269" s="23">
        <v>50561.29</v>
      </c>
      <c r="L1269" s="23">
        <v>111565.46</v>
      </c>
      <c r="M1269" s="23">
        <v>8</v>
      </c>
      <c r="N1269" s="23">
        <v>-60</v>
      </c>
      <c r="O1269" s="31">
        <v>-9.4999999999999998E-3</v>
      </c>
      <c r="P1269" s="31">
        <v>9.4999999999999998E-3</v>
      </c>
      <c r="Q1269" s="23" t="s">
        <v>24</v>
      </c>
      <c r="R1269" s="23">
        <v>0</v>
      </c>
      <c r="S1269" s="23">
        <v>46.58</v>
      </c>
      <c r="U1269" s="47">
        <f>VLOOKUP(AU1269,[1]expiry_dates!$B$2:$C$2894,2,FALSE)</f>
        <v>44469</v>
      </c>
      <c r="V1269" s="23" t="s">
        <v>105</v>
      </c>
      <c r="W1269" s="23" t="s">
        <v>23</v>
      </c>
      <c r="X1269" s="49">
        <v>44466.385416666664</v>
      </c>
      <c r="Y1269" s="23">
        <v>0.8</v>
      </c>
      <c r="Z1269" s="23">
        <v>44466.458333333336</v>
      </c>
      <c r="AA1269" s="23">
        <v>0.9</v>
      </c>
      <c r="AB1269" s="23">
        <v>0.125</v>
      </c>
      <c r="AC1269" s="23">
        <v>-8654.7900000000009</v>
      </c>
      <c r="AD1269" s="23">
        <v>-0.125</v>
      </c>
      <c r="AE1269" s="23">
        <v>86547.88</v>
      </c>
      <c r="AF1269" s="23">
        <v>69238.3</v>
      </c>
      <c r="AG1269" s="23">
        <v>3836443</v>
      </c>
      <c r="AH1269" s="23">
        <v>8</v>
      </c>
      <c r="AI1269" s="23">
        <v>-1081.8499999999999</v>
      </c>
      <c r="AJ1269" s="23">
        <v>-0.1875</v>
      </c>
      <c r="AK1269" s="23">
        <v>0.125</v>
      </c>
      <c r="AL1269" s="23" t="s">
        <v>24</v>
      </c>
      <c r="AM1269" s="23">
        <v>47.4</v>
      </c>
      <c r="AN1269" s="23">
        <v>38202.300000000003</v>
      </c>
      <c r="AO1269" s="23">
        <v>46.58</v>
      </c>
      <c r="AP1269" s="23">
        <v>0</v>
      </c>
      <c r="AR1269" s="46"/>
      <c r="AS1269" s="44"/>
      <c r="AT1269" s="45"/>
      <c r="AU1269" s="2">
        <v>44466</v>
      </c>
      <c r="AV1269" s="52">
        <v>0.38541666666666669</v>
      </c>
      <c r="AW1269" s="2" t="s">
        <v>212</v>
      </c>
      <c r="AY1269" s="3"/>
      <c r="BA1269" s="3"/>
      <c r="BG1269" s="3"/>
      <c r="BH1269" s="3"/>
    </row>
    <row r="1270" spans="1:60">
      <c r="A1270" s="23" t="s">
        <v>22</v>
      </c>
      <c r="B1270" s="23" t="s">
        <v>23</v>
      </c>
      <c r="C1270" s="27">
        <v>44466.458333333336</v>
      </c>
      <c r="D1270" s="23">
        <v>46.95</v>
      </c>
      <c r="E1270" s="27">
        <v>44467.385416666664</v>
      </c>
      <c r="F1270" s="23">
        <v>46.85</v>
      </c>
      <c r="G1270" s="31">
        <v>-2.0999999999999999E-3</v>
      </c>
      <c r="H1270" s="23">
        <v>107.69</v>
      </c>
      <c r="I1270" s="31">
        <v>2.0999999999999999E-3</v>
      </c>
      <c r="J1270" s="23">
        <v>1076.8610000000001</v>
      </c>
      <c r="K1270" s="23">
        <v>50558.63</v>
      </c>
      <c r="L1270" s="23">
        <v>111673.14</v>
      </c>
      <c r="M1270" s="23">
        <v>22</v>
      </c>
      <c r="N1270" s="23">
        <v>4.8899999999999997</v>
      </c>
      <c r="O1270" s="31">
        <v>-4.3E-3</v>
      </c>
      <c r="P1270" s="31">
        <v>5.3E-3</v>
      </c>
      <c r="Q1270" s="23" t="s">
        <v>24</v>
      </c>
      <c r="R1270" s="23">
        <v>0</v>
      </c>
      <c r="S1270" s="23">
        <v>47.81</v>
      </c>
      <c r="U1270" s="47">
        <f>VLOOKUP(AU1270,[1]expiry_dates!$B$2:$C$2894,2,FALSE)</f>
        <v>44469</v>
      </c>
      <c r="V1270" s="23" t="s">
        <v>104</v>
      </c>
      <c r="W1270" s="23" t="s">
        <v>23</v>
      </c>
      <c r="X1270" s="49">
        <v>44466.458333333336</v>
      </c>
      <c r="Y1270" s="23">
        <v>0.9</v>
      </c>
      <c r="Z1270" s="23">
        <v>44467.385416666664</v>
      </c>
      <c r="AA1270" s="23">
        <v>0.85</v>
      </c>
      <c r="AB1270" s="23">
        <v>-5.5599999999999997E-2</v>
      </c>
      <c r="AC1270" s="23">
        <v>3844.66</v>
      </c>
      <c r="AD1270" s="23">
        <v>5.5599999999999997E-2</v>
      </c>
      <c r="AE1270" s="23">
        <v>76893.17</v>
      </c>
      <c r="AF1270" s="23">
        <v>69203.850000000006</v>
      </c>
      <c r="AG1270" s="23">
        <v>3840287.66</v>
      </c>
      <c r="AH1270" s="23">
        <v>22</v>
      </c>
      <c r="AI1270" s="23">
        <v>174.76</v>
      </c>
      <c r="AJ1270" s="23">
        <v>-0.16669999999999999</v>
      </c>
      <c r="AK1270" s="23">
        <v>0.1111</v>
      </c>
      <c r="AL1270" s="23" t="s">
        <v>24</v>
      </c>
      <c r="AM1270" s="23">
        <v>46.95</v>
      </c>
      <c r="AN1270" s="23">
        <v>38138.449999999997</v>
      </c>
      <c r="AO1270" s="23">
        <v>47.81</v>
      </c>
      <c r="AP1270" s="23">
        <v>0</v>
      </c>
      <c r="AR1270" s="46"/>
      <c r="AS1270" s="44"/>
      <c r="AT1270" s="45"/>
      <c r="AU1270" s="2">
        <v>44466</v>
      </c>
      <c r="AV1270" s="52">
        <v>0.45833333333333331</v>
      </c>
      <c r="AW1270" s="2" t="s">
        <v>212</v>
      </c>
      <c r="AY1270" s="3"/>
      <c r="BA1270" s="3"/>
      <c r="BG1270" s="3"/>
      <c r="BH1270" s="3"/>
    </row>
    <row r="1271" spans="1:60" s="17" customFormat="1">
      <c r="A1271" s="24" t="s">
        <v>22</v>
      </c>
      <c r="B1271" s="24" t="s">
        <v>25</v>
      </c>
      <c r="C1271" s="28">
        <v>44467.385416666664</v>
      </c>
      <c r="D1271" s="24">
        <v>46.85</v>
      </c>
      <c r="E1271" s="28">
        <v>44467.447916666664</v>
      </c>
      <c r="F1271" s="24">
        <v>46.9</v>
      </c>
      <c r="G1271" s="32">
        <v>1.1000000000000001E-3</v>
      </c>
      <c r="H1271" s="24">
        <v>53.96</v>
      </c>
      <c r="I1271" s="32">
        <v>1.1000000000000001E-3</v>
      </c>
      <c r="J1271" s="24">
        <v>1079.1369999999999</v>
      </c>
      <c r="K1271" s="24">
        <v>50557.56</v>
      </c>
      <c r="L1271" s="24">
        <v>111727.1</v>
      </c>
      <c r="M1271" s="24">
        <v>7</v>
      </c>
      <c r="N1271" s="24">
        <v>7.71</v>
      </c>
      <c r="O1271" s="32">
        <v>-2.0999999999999999E-3</v>
      </c>
      <c r="P1271" s="32">
        <v>9.5999999999999992E-3</v>
      </c>
      <c r="Q1271" s="24" t="s">
        <v>24</v>
      </c>
      <c r="R1271" s="24">
        <v>0</v>
      </c>
      <c r="S1271" s="24">
        <v>46.72</v>
      </c>
      <c r="U1271" s="47" t="e">
        <f>VLOOKUP(AU1271,[1]expiry_dates!$B$2:$C$2894,2,FALSE)</f>
        <v>#N/A</v>
      </c>
      <c r="V1271" s="24"/>
      <c r="W1271" s="24"/>
      <c r="X1271" s="50"/>
      <c r="Y1271" s="24"/>
      <c r="Z1271" s="24"/>
      <c r="AA1271" s="24"/>
      <c r="AB1271" s="24"/>
      <c r="AC1271" s="24"/>
      <c r="AD1271" s="24"/>
      <c r="AE1271" s="24"/>
      <c r="AF1271" s="24"/>
      <c r="AG1271" s="24"/>
      <c r="AH1271" s="24"/>
      <c r="AI1271" s="24"/>
      <c r="AJ1271" s="24"/>
      <c r="AK1271" s="24"/>
      <c r="AL1271" s="24"/>
      <c r="AM1271" s="24"/>
      <c r="AN1271" s="24"/>
      <c r="AO1271" s="24"/>
      <c r="AP1271" s="24"/>
      <c r="AR1271" s="46"/>
      <c r="AS1271" s="44"/>
      <c r="AT1271" s="45"/>
      <c r="AU1271" s="18"/>
      <c r="AW1271" s="18"/>
      <c r="AY1271" s="19"/>
      <c r="BA1271" s="19"/>
      <c r="BG1271" s="19"/>
      <c r="BH1271" s="19"/>
    </row>
    <row r="1272" spans="1:60" s="17" customFormat="1">
      <c r="A1272" s="24" t="s">
        <v>22</v>
      </c>
      <c r="B1272" s="24" t="s">
        <v>23</v>
      </c>
      <c r="C1272" s="28">
        <v>44467.447916666664</v>
      </c>
      <c r="D1272" s="24">
        <v>46.9</v>
      </c>
      <c r="E1272" s="28">
        <v>44467.625</v>
      </c>
      <c r="F1272" s="24">
        <v>46.5</v>
      </c>
      <c r="G1272" s="32">
        <v>-8.5000000000000006E-3</v>
      </c>
      <c r="H1272" s="24">
        <v>431.21</v>
      </c>
      <c r="I1272" s="32">
        <v>8.5000000000000006E-3</v>
      </c>
      <c r="J1272" s="24">
        <v>1078.0319999999999</v>
      </c>
      <c r="K1272" s="24">
        <v>50559.71</v>
      </c>
      <c r="L1272" s="24">
        <v>112158.31</v>
      </c>
      <c r="M1272" s="24">
        <v>18</v>
      </c>
      <c r="N1272" s="24">
        <v>23.96</v>
      </c>
      <c r="O1272" s="32">
        <v>-4.3E-3</v>
      </c>
      <c r="P1272" s="32">
        <v>3.3000000000000002E-2</v>
      </c>
      <c r="Q1272" s="24" t="s">
        <v>24</v>
      </c>
      <c r="R1272" s="24">
        <v>0</v>
      </c>
      <c r="S1272" s="24">
        <v>47.3</v>
      </c>
      <c r="U1272" s="47" t="e">
        <f>VLOOKUP(AU1272,[1]expiry_dates!$B$2:$C$2894,2,FALSE)</f>
        <v>#N/A</v>
      </c>
      <c r="V1272" s="24"/>
      <c r="W1272" s="24"/>
      <c r="X1272" s="50"/>
      <c r="Y1272" s="24"/>
      <c r="Z1272" s="24"/>
      <c r="AA1272" s="24"/>
      <c r="AB1272" s="24"/>
      <c r="AC1272" s="24"/>
      <c r="AD1272" s="24"/>
      <c r="AE1272" s="24"/>
      <c r="AF1272" s="24"/>
      <c r="AG1272" s="24"/>
      <c r="AH1272" s="24"/>
      <c r="AI1272" s="24"/>
      <c r="AJ1272" s="24"/>
      <c r="AK1272" s="24"/>
      <c r="AL1272" s="24"/>
      <c r="AM1272" s="24"/>
      <c r="AN1272" s="24"/>
      <c r="AO1272" s="24"/>
      <c r="AP1272" s="24"/>
      <c r="AR1272" s="46"/>
      <c r="AS1272" s="44"/>
      <c r="AT1272" s="45"/>
      <c r="AU1272" s="18"/>
      <c r="AW1272" s="18"/>
      <c r="AY1272" s="19"/>
      <c r="BA1272" s="19"/>
      <c r="BG1272" s="19"/>
      <c r="BH1272" s="19"/>
    </row>
    <row r="1273" spans="1:60">
      <c r="A1273" s="23" t="s">
        <v>22</v>
      </c>
      <c r="B1273" s="23" t="s">
        <v>25</v>
      </c>
      <c r="C1273" s="27">
        <v>44467.625</v>
      </c>
      <c r="D1273" s="23">
        <v>46.5</v>
      </c>
      <c r="E1273" s="27">
        <v>44469.520833333336</v>
      </c>
      <c r="F1273" s="23">
        <v>48.2</v>
      </c>
      <c r="G1273" s="31">
        <v>3.6600000000000001E-2</v>
      </c>
      <c r="H1273" s="23">
        <v>1848.56</v>
      </c>
      <c r="I1273" s="31">
        <v>3.6600000000000001E-2</v>
      </c>
      <c r="J1273" s="23">
        <v>1087.3869999999999</v>
      </c>
      <c r="K1273" s="23">
        <v>50563.49</v>
      </c>
      <c r="L1273" s="23">
        <v>114006.87</v>
      </c>
      <c r="M1273" s="23">
        <v>47</v>
      </c>
      <c r="N1273" s="23">
        <v>39.33</v>
      </c>
      <c r="O1273" s="31">
        <v>-1.61E-2</v>
      </c>
      <c r="P1273" s="31">
        <v>5.8099999999999999E-2</v>
      </c>
      <c r="Q1273" s="23" t="s">
        <v>24</v>
      </c>
      <c r="R1273" s="23">
        <v>0</v>
      </c>
      <c r="S1273" s="23">
        <v>45.35</v>
      </c>
      <c r="U1273" s="47">
        <f>VLOOKUP(AU1273,[1]expiry_dates!$B$2:$C$2894,2,FALSE)</f>
        <v>44469</v>
      </c>
      <c r="V1273" s="23" t="s">
        <v>107</v>
      </c>
      <c r="W1273" s="23" t="s">
        <v>23</v>
      </c>
      <c r="X1273" s="49">
        <v>44468.385416666664</v>
      </c>
      <c r="Y1273" s="23">
        <v>0.6</v>
      </c>
      <c r="Z1273" s="23">
        <v>44469.520833333336</v>
      </c>
      <c r="AA1273" s="23">
        <v>0.1</v>
      </c>
      <c r="AB1273" s="23">
        <v>-0.83330000000000004</v>
      </c>
      <c r="AC1273" s="23">
        <v>57667.86</v>
      </c>
      <c r="AD1273" s="23">
        <v>0.83330000000000004</v>
      </c>
      <c r="AE1273" s="23">
        <v>115335.7</v>
      </c>
      <c r="AF1273" s="23">
        <v>69201.440000000002</v>
      </c>
      <c r="AG1273" s="23">
        <v>3897955.52</v>
      </c>
      <c r="AH1273" s="23">
        <v>42</v>
      </c>
      <c r="AI1273" s="23">
        <v>1373.04</v>
      </c>
      <c r="AJ1273" s="23">
        <v>-4.0833000000000004</v>
      </c>
      <c r="AK1273" s="23">
        <v>0.91669999999999996</v>
      </c>
      <c r="AL1273" s="23" t="s">
        <v>24</v>
      </c>
      <c r="AM1273" s="23">
        <v>45.95</v>
      </c>
      <c r="AN1273" s="23">
        <v>37450.6</v>
      </c>
      <c r="AO1273" s="23">
        <v>45.56</v>
      </c>
      <c r="AP1273" s="23">
        <v>0</v>
      </c>
      <c r="AR1273" s="46"/>
      <c r="AS1273" s="44"/>
      <c r="AT1273" s="45"/>
      <c r="AU1273" s="2">
        <v>44468</v>
      </c>
      <c r="AV1273" s="52">
        <v>0.38541666666666669</v>
      </c>
      <c r="AW1273" s="2" t="s">
        <v>212</v>
      </c>
      <c r="AY1273" s="3"/>
      <c r="BA1273" s="3"/>
      <c r="BG1273" s="3"/>
      <c r="BH1273" s="3"/>
    </row>
    <row r="1274" spans="1:60">
      <c r="A1274" s="23" t="s">
        <v>22</v>
      </c>
      <c r="B1274" s="23" t="s">
        <v>23</v>
      </c>
      <c r="C1274" s="27">
        <v>44469.520833333336</v>
      </c>
      <c r="D1274" s="23">
        <v>48.2</v>
      </c>
      <c r="E1274" s="27">
        <v>44469.697916666664</v>
      </c>
      <c r="F1274" s="23">
        <v>47.65</v>
      </c>
      <c r="G1274" s="31">
        <v>-1.14E-2</v>
      </c>
      <c r="H1274" s="23">
        <v>577.07000000000005</v>
      </c>
      <c r="I1274" s="31">
        <v>1.14E-2</v>
      </c>
      <c r="J1274" s="23">
        <v>1049.2159999999999</v>
      </c>
      <c r="K1274" s="23">
        <v>50572.21</v>
      </c>
      <c r="L1274" s="23">
        <v>114583.94</v>
      </c>
      <c r="M1274" s="23">
        <v>14</v>
      </c>
      <c r="N1274" s="23">
        <v>41.22</v>
      </c>
      <c r="O1274" s="31">
        <v>-8.3000000000000001E-3</v>
      </c>
      <c r="P1274" s="31">
        <v>1.8700000000000001E-2</v>
      </c>
      <c r="Q1274" s="23" t="s">
        <v>24</v>
      </c>
      <c r="R1274" s="23">
        <v>0</v>
      </c>
      <c r="S1274" s="23">
        <v>49.16</v>
      </c>
      <c r="U1274" s="47">
        <f>VLOOKUP(AU1274,[1]expiry_dates!$B$2:$C$2894,2,FALSE)</f>
        <v>44469</v>
      </c>
      <c r="V1274" s="23" t="s">
        <v>106</v>
      </c>
      <c r="W1274" s="23" t="s">
        <v>23</v>
      </c>
      <c r="X1274" s="49">
        <v>44469.520833333336</v>
      </c>
      <c r="Y1274" s="23">
        <v>0.45</v>
      </c>
      <c r="Z1274" s="23">
        <v>44469.697916666664</v>
      </c>
      <c r="AA1274" s="23">
        <v>0.05</v>
      </c>
      <c r="AB1274" s="23">
        <v>-0.88890000000000002</v>
      </c>
      <c r="AC1274" s="23">
        <v>61794.33</v>
      </c>
      <c r="AD1274" s="23">
        <v>0.88890000000000002</v>
      </c>
      <c r="AE1274" s="23">
        <v>154485.79999999999</v>
      </c>
      <c r="AF1274" s="23">
        <v>69518.62</v>
      </c>
      <c r="AG1274" s="23">
        <v>3959749.85</v>
      </c>
      <c r="AH1274" s="23">
        <v>14</v>
      </c>
      <c r="AI1274" s="23">
        <v>4413.88</v>
      </c>
      <c r="AJ1274" s="23">
        <v>-0.88890000000000002</v>
      </c>
      <c r="AK1274" s="23">
        <v>0.88890000000000002</v>
      </c>
      <c r="AL1274" s="23" t="s">
        <v>24</v>
      </c>
      <c r="AM1274" s="23">
        <v>48.2</v>
      </c>
      <c r="AN1274" s="23">
        <v>37620.85</v>
      </c>
      <c r="AO1274" s="23">
        <v>49.16</v>
      </c>
      <c r="AP1274" s="23">
        <v>0</v>
      </c>
      <c r="AR1274" s="46"/>
      <c r="AS1274" s="44"/>
      <c r="AT1274" s="45"/>
      <c r="AU1274" s="2">
        <v>44469</v>
      </c>
      <c r="AV1274" s="52">
        <v>0.52083333333333337</v>
      </c>
      <c r="AW1274" s="2" t="s">
        <v>213</v>
      </c>
      <c r="AY1274" s="3"/>
      <c r="BA1274" s="3"/>
      <c r="BG1274" s="3"/>
      <c r="BH1274" s="3"/>
    </row>
    <row r="1275" spans="1:60">
      <c r="A1275" s="23" t="s">
        <v>22</v>
      </c>
      <c r="B1275" s="23" t="s">
        <v>23</v>
      </c>
      <c r="C1275" s="27">
        <v>44470.385416666664</v>
      </c>
      <c r="D1275" s="23">
        <v>47.1</v>
      </c>
      <c r="E1275" s="27">
        <v>44470.479166666664</v>
      </c>
      <c r="F1275" s="23">
        <v>47.55</v>
      </c>
      <c r="G1275" s="31">
        <v>9.5999999999999992E-3</v>
      </c>
      <c r="H1275" s="23">
        <v>-483.18</v>
      </c>
      <c r="I1275" s="31">
        <v>-9.5999999999999992E-3</v>
      </c>
      <c r="J1275" s="23">
        <v>1073.7349999999999</v>
      </c>
      <c r="K1275" s="23">
        <v>50572.92</v>
      </c>
      <c r="L1275" s="23">
        <v>114100.76</v>
      </c>
      <c r="M1275" s="23">
        <v>10</v>
      </c>
      <c r="N1275" s="23">
        <v>-48.32</v>
      </c>
      <c r="O1275" s="31">
        <v>-9.5999999999999992E-3</v>
      </c>
      <c r="P1275" s="31">
        <v>1.17E-2</v>
      </c>
      <c r="Q1275" s="23" t="s">
        <v>24</v>
      </c>
      <c r="R1275" s="23">
        <v>0</v>
      </c>
      <c r="S1275" s="23">
        <v>48.22</v>
      </c>
      <c r="U1275" s="47">
        <f>VLOOKUP(AU1275,[1]expiry_dates!$B$2:$C$2894,2,FALSE)</f>
        <v>44497</v>
      </c>
      <c r="V1275" s="23" t="s">
        <v>104</v>
      </c>
      <c r="W1275" s="23" t="s">
        <v>23</v>
      </c>
      <c r="X1275" s="49">
        <v>44470.385416666664</v>
      </c>
      <c r="Y1275" s="23">
        <v>3.05</v>
      </c>
      <c r="Z1275" s="23">
        <v>44470.479166666664</v>
      </c>
      <c r="AA1275" s="23">
        <v>3.2</v>
      </c>
      <c r="AB1275" s="23">
        <v>4.9200000000000001E-2</v>
      </c>
      <c r="AC1275" s="23">
        <v>-3432.73</v>
      </c>
      <c r="AD1275" s="23">
        <v>-4.9200000000000001E-2</v>
      </c>
      <c r="AE1275" s="23">
        <v>22884.84</v>
      </c>
      <c r="AF1275" s="23">
        <v>69798.75</v>
      </c>
      <c r="AG1275" s="23">
        <v>3956317.12</v>
      </c>
      <c r="AH1275" s="23">
        <v>10</v>
      </c>
      <c r="AI1275" s="23">
        <v>-343.27</v>
      </c>
      <c r="AJ1275" s="23">
        <v>-4.9200000000000001E-2</v>
      </c>
      <c r="AK1275" s="23">
        <v>9.8400000000000001E-2</v>
      </c>
      <c r="AL1275" s="23" t="s">
        <v>24</v>
      </c>
      <c r="AM1275" s="23">
        <v>47.1</v>
      </c>
      <c r="AN1275" s="23">
        <v>37126.75</v>
      </c>
      <c r="AO1275" s="23">
        <v>48.22</v>
      </c>
      <c r="AP1275" s="23">
        <v>0</v>
      </c>
      <c r="AR1275" s="46"/>
      <c r="AS1275" s="44"/>
      <c r="AT1275" s="45"/>
      <c r="AU1275" s="2">
        <v>44470</v>
      </c>
      <c r="AV1275" s="52">
        <v>0.38541666666666669</v>
      </c>
      <c r="AW1275" s="2" t="s">
        <v>212</v>
      </c>
      <c r="AY1275" s="3"/>
      <c r="BA1275" s="3"/>
      <c r="BG1275" s="3"/>
      <c r="BH1275" s="3"/>
    </row>
    <row r="1276" spans="1:60">
      <c r="A1276" s="23" t="s">
        <v>22</v>
      </c>
      <c r="B1276" s="23" t="s">
        <v>25</v>
      </c>
      <c r="C1276" s="27">
        <v>44470.479166666664</v>
      </c>
      <c r="D1276" s="23">
        <v>47.55</v>
      </c>
      <c r="E1276" s="27">
        <v>44473.458333333336</v>
      </c>
      <c r="F1276" s="23">
        <v>47.45</v>
      </c>
      <c r="G1276" s="31">
        <v>-2.0999999999999999E-3</v>
      </c>
      <c r="H1276" s="23">
        <v>-106.35</v>
      </c>
      <c r="I1276" s="31">
        <v>-2.0999999999999999E-3</v>
      </c>
      <c r="J1276" s="23">
        <v>1063.54</v>
      </c>
      <c r="K1276" s="23">
        <v>50571.31</v>
      </c>
      <c r="L1276" s="23">
        <v>113994.41</v>
      </c>
      <c r="M1276" s="23">
        <v>27</v>
      </c>
      <c r="N1276" s="23">
        <v>-3.94</v>
      </c>
      <c r="O1276" s="31">
        <v>-1.1599999999999999E-2</v>
      </c>
      <c r="P1276" s="31">
        <v>1.1599999999999999E-2</v>
      </c>
      <c r="Q1276" s="23" t="s">
        <v>24</v>
      </c>
      <c r="R1276" s="23">
        <v>0</v>
      </c>
      <c r="S1276" s="23">
        <v>46.57</v>
      </c>
      <c r="U1276" s="47">
        <f>VLOOKUP(AU1276,[1]expiry_dates!$B$2:$C$2894,2,FALSE)</f>
        <v>44497</v>
      </c>
      <c r="V1276" s="23" t="s">
        <v>108</v>
      </c>
      <c r="W1276" s="23" t="s">
        <v>23</v>
      </c>
      <c r="X1276" s="49">
        <v>44470.479166666664</v>
      </c>
      <c r="Y1276" s="23">
        <v>2.85</v>
      </c>
      <c r="Z1276" s="23">
        <v>44473.458333333336</v>
      </c>
      <c r="AA1276" s="23">
        <v>2.8</v>
      </c>
      <c r="AB1276" s="23">
        <v>-1.7500000000000002E-2</v>
      </c>
      <c r="AC1276" s="23">
        <v>1224.44</v>
      </c>
      <c r="AD1276" s="23">
        <v>1.7500000000000002E-2</v>
      </c>
      <c r="AE1276" s="23">
        <v>24488.78</v>
      </c>
      <c r="AF1276" s="23">
        <v>69793.03</v>
      </c>
      <c r="AG1276" s="23">
        <v>3957541.56</v>
      </c>
      <c r="AH1276" s="23">
        <v>27</v>
      </c>
      <c r="AI1276" s="23">
        <v>45.35</v>
      </c>
      <c r="AJ1276" s="23">
        <v>-8.77E-2</v>
      </c>
      <c r="AK1276" s="23">
        <v>0.12280000000000001</v>
      </c>
      <c r="AL1276" s="23" t="s">
        <v>24</v>
      </c>
      <c r="AM1276" s="23">
        <v>47.55</v>
      </c>
      <c r="AN1276" s="23">
        <v>37224.65</v>
      </c>
      <c r="AO1276" s="23">
        <v>46.57</v>
      </c>
      <c r="AP1276" s="23">
        <v>0</v>
      </c>
      <c r="AR1276" s="46"/>
      <c r="AS1276" s="44"/>
      <c r="AT1276" s="45"/>
      <c r="AU1276" s="2">
        <v>44470</v>
      </c>
      <c r="AV1276" s="52">
        <v>0.47916666666666669</v>
      </c>
      <c r="AW1276" s="2" t="s">
        <v>212</v>
      </c>
      <c r="AY1276" s="3"/>
      <c r="BA1276" s="3"/>
      <c r="BG1276" s="3"/>
      <c r="BH1276" s="3"/>
    </row>
    <row r="1277" spans="1:60">
      <c r="A1277" s="23" t="s">
        <v>22</v>
      </c>
      <c r="B1277" s="23" t="s">
        <v>23</v>
      </c>
      <c r="C1277" s="27">
        <v>44473.458333333336</v>
      </c>
      <c r="D1277" s="23">
        <v>47.45</v>
      </c>
      <c r="E1277" s="27">
        <v>44473.5</v>
      </c>
      <c r="F1277" s="23">
        <v>47.95</v>
      </c>
      <c r="G1277" s="31">
        <v>1.0500000000000001E-2</v>
      </c>
      <c r="H1277" s="23">
        <v>-532.89</v>
      </c>
      <c r="I1277" s="31">
        <v>-1.0500000000000001E-2</v>
      </c>
      <c r="J1277" s="23">
        <v>1065.7750000000001</v>
      </c>
      <c r="K1277" s="23">
        <v>50571.040000000001</v>
      </c>
      <c r="L1277" s="23">
        <v>113461.52</v>
      </c>
      <c r="M1277" s="23">
        <v>5</v>
      </c>
      <c r="N1277" s="23">
        <v>-106.58</v>
      </c>
      <c r="O1277" s="31">
        <v>-1.0500000000000001E-2</v>
      </c>
      <c r="P1277" s="31">
        <v>2.0999999999999999E-3</v>
      </c>
      <c r="Q1277" s="23" t="s">
        <v>24</v>
      </c>
      <c r="R1277" s="23">
        <v>0</v>
      </c>
      <c r="S1277" s="23">
        <v>48.09</v>
      </c>
      <c r="U1277" s="47">
        <f>VLOOKUP(AU1277,[1]expiry_dates!$B$2:$C$2894,2,FALSE)</f>
        <v>44497</v>
      </c>
      <c r="V1277" s="23" t="s">
        <v>104</v>
      </c>
      <c r="W1277" s="23" t="s">
        <v>23</v>
      </c>
      <c r="X1277" s="49">
        <v>44473.458333333336</v>
      </c>
      <c r="Y1277" s="23">
        <v>2.95</v>
      </c>
      <c r="Z1277" s="23">
        <v>44473.5</v>
      </c>
      <c r="AA1277" s="23">
        <v>3.3</v>
      </c>
      <c r="AB1277" s="23">
        <v>0.1186</v>
      </c>
      <c r="AC1277" s="23">
        <v>-8280.6200000000008</v>
      </c>
      <c r="AD1277" s="23">
        <v>-0.1186</v>
      </c>
      <c r="AE1277" s="23">
        <v>23658.93</v>
      </c>
      <c r="AF1277" s="23">
        <v>69793.84</v>
      </c>
      <c r="AG1277" s="23">
        <v>3949260.94</v>
      </c>
      <c r="AH1277" s="23">
        <v>5</v>
      </c>
      <c r="AI1277" s="23">
        <v>-1656.12</v>
      </c>
      <c r="AJ1277" s="23">
        <v>-0.1186</v>
      </c>
      <c r="AK1277" s="23">
        <v>1.6899999999999998E-2</v>
      </c>
      <c r="AL1277" s="23" t="s">
        <v>24</v>
      </c>
      <c r="AM1277" s="23">
        <v>47.45</v>
      </c>
      <c r="AN1277" s="23">
        <v>37590.550000000003</v>
      </c>
      <c r="AO1277" s="23">
        <v>48.09</v>
      </c>
      <c r="AP1277" s="23">
        <v>0</v>
      </c>
      <c r="AR1277" s="46"/>
      <c r="AS1277" s="44"/>
      <c r="AT1277" s="45"/>
      <c r="AU1277" s="2">
        <v>44473</v>
      </c>
      <c r="AV1277" s="52">
        <v>0.45833333333333331</v>
      </c>
      <c r="AW1277" s="2" t="s">
        <v>212</v>
      </c>
      <c r="AY1277" s="3"/>
      <c r="BA1277" s="3"/>
      <c r="BG1277" s="3"/>
      <c r="BH1277" s="3"/>
    </row>
    <row r="1278" spans="1:60">
      <c r="A1278" s="23" t="s">
        <v>22</v>
      </c>
      <c r="B1278" s="23" t="s">
        <v>25</v>
      </c>
      <c r="C1278" s="27">
        <v>44473.5</v>
      </c>
      <c r="D1278" s="23">
        <v>47.95</v>
      </c>
      <c r="E1278" s="27">
        <v>44473.614583333336</v>
      </c>
      <c r="F1278" s="23">
        <v>47.7</v>
      </c>
      <c r="G1278" s="31">
        <v>-5.1999999999999998E-3</v>
      </c>
      <c r="H1278" s="23">
        <v>-263.66000000000003</v>
      </c>
      <c r="I1278" s="31">
        <v>-5.1999999999999998E-3</v>
      </c>
      <c r="J1278" s="23">
        <v>1054.623</v>
      </c>
      <c r="K1278" s="23">
        <v>50569.17</v>
      </c>
      <c r="L1278" s="23">
        <v>113197.86</v>
      </c>
      <c r="M1278" s="23">
        <v>12</v>
      </c>
      <c r="N1278" s="23">
        <v>-21.97</v>
      </c>
      <c r="O1278" s="31">
        <v>-9.4000000000000004E-3</v>
      </c>
      <c r="P1278" s="31">
        <v>1E-3</v>
      </c>
      <c r="Q1278" s="23" t="s">
        <v>24</v>
      </c>
      <c r="R1278" s="23">
        <v>0</v>
      </c>
      <c r="S1278" s="23">
        <v>47.35</v>
      </c>
      <c r="U1278" s="47">
        <f>VLOOKUP(AU1278,[1]expiry_dates!$B$2:$C$2894,2,FALSE)</f>
        <v>44497</v>
      </c>
      <c r="V1278" s="23" t="s">
        <v>108</v>
      </c>
      <c r="W1278" s="23" t="s">
        <v>23</v>
      </c>
      <c r="X1278" s="49">
        <v>44473.5</v>
      </c>
      <c r="Y1278" s="23">
        <v>2.5499999999999998</v>
      </c>
      <c r="Z1278" s="23">
        <v>44473.614583333336</v>
      </c>
      <c r="AA1278" s="23">
        <v>2.6</v>
      </c>
      <c r="AB1278" s="23">
        <v>1.9599999999999999E-2</v>
      </c>
      <c r="AC1278" s="23">
        <v>-1368.15</v>
      </c>
      <c r="AD1278" s="23">
        <v>-1.9599999999999999E-2</v>
      </c>
      <c r="AE1278" s="23">
        <v>27363.09</v>
      </c>
      <c r="AF1278" s="23">
        <v>69775.88</v>
      </c>
      <c r="AG1278" s="23">
        <v>3947892.78</v>
      </c>
      <c r="AH1278" s="23">
        <v>12</v>
      </c>
      <c r="AI1278" s="23">
        <v>-114.01</v>
      </c>
      <c r="AJ1278" s="23">
        <v>-9.8000000000000004E-2</v>
      </c>
      <c r="AK1278" s="23">
        <v>1.9599999999999999E-2</v>
      </c>
      <c r="AL1278" s="23" t="s">
        <v>24</v>
      </c>
      <c r="AM1278" s="23">
        <v>47.95</v>
      </c>
      <c r="AN1278" s="23">
        <v>37615.300000000003</v>
      </c>
      <c r="AO1278" s="23">
        <v>47.35</v>
      </c>
      <c r="AP1278" s="23">
        <v>0</v>
      </c>
      <c r="AR1278" s="46"/>
      <c r="AS1278" s="44"/>
      <c r="AT1278" s="45"/>
      <c r="AU1278" s="2">
        <v>44473</v>
      </c>
      <c r="AV1278" s="52">
        <v>0.5</v>
      </c>
      <c r="AW1278" s="2" t="s">
        <v>213</v>
      </c>
      <c r="AY1278" s="3"/>
      <c r="BA1278" s="3"/>
      <c r="BG1278" s="3"/>
      <c r="BH1278" s="3"/>
    </row>
    <row r="1279" spans="1:60">
      <c r="A1279" s="23" t="s">
        <v>22</v>
      </c>
      <c r="B1279" s="23" t="s">
        <v>23</v>
      </c>
      <c r="C1279" s="27">
        <v>44473.614583333336</v>
      </c>
      <c r="D1279" s="23">
        <v>47.7</v>
      </c>
      <c r="E1279" s="27">
        <v>44474.395833333336</v>
      </c>
      <c r="F1279" s="23">
        <v>48</v>
      </c>
      <c r="G1279" s="31">
        <v>6.3E-3</v>
      </c>
      <c r="H1279" s="23">
        <v>-318.02999999999997</v>
      </c>
      <c r="I1279" s="31">
        <v>-6.3E-3</v>
      </c>
      <c r="J1279" s="23">
        <v>1060.0999999999999</v>
      </c>
      <c r="K1279" s="23">
        <v>50566.78</v>
      </c>
      <c r="L1279" s="23">
        <v>112879.83</v>
      </c>
      <c r="M1279" s="23">
        <v>8</v>
      </c>
      <c r="N1279" s="23">
        <v>-39.75</v>
      </c>
      <c r="O1279" s="31">
        <v>-6.3E-3</v>
      </c>
      <c r="P1279" s="31">
        <v>1.0500000000000001E-2</v>
      </c>
      <c r="Q1279" s="23" t="s">
        <v>24</v>
      </c>
      <c r="R1279" s="23">
        <v>0</v>
      </c>
      <c r="S1279" s="23">
        <v>47.99</v>
      </c>
      <c r="U1279" s="47">
        <f>VLOOKUP(AU1279,[1]expiry_dates!$B$2:$C$2894,2,FALSE)</f>
        <v>44497</v>
      </c>
      <c r="V1279" s="23" t="s">
        <v>106</v>
      </c>
      <c r="W1279" s="23" t="s">
        <v>23</v>
      </c>
      <c r="X1279" s="49">
        <v>44473.614583333336</v>
      </c>
      <c r="Y1279" s="23">
        <v>2.65</v>
      </c>
      <c r="Z1279" s="23">
        <v>44474.395833333336</v>
      </c>
      <c r="AA1279" s="23">
        <v>2.75</v>
      </c>
      <c r="AB1279" s="23">
        <v>3.7699999999999997E-2</v>
      </c>
      <c r="AC1279" s="23">
        <v>-2631.94</v>
      </c>
      <c r="AD1279" s="23">
        <v>-3.7699999999999997E-2</v>
      </c>
      <c r="AE1279" s="23">
        <v>26319.360000000001</v>
      </c>
      <c r="AF1279" s="23">
        <v>69746.3</v>
      </c>
      <c r="AG1279" s="23">
        <v>3945260.85</v>
      </c>
      <c r="AH1279" s="23">
        <v>8</v>
      </c>
      <c r="AI1279" s="23">
        <v>-328.99</v>
      </c>
      <c r="AJ1279" s="23">
        <v>-3.7699999999999997E-2</v>
      </c>
      <c r="AK1279" s="23">
        <v>5.6599999999999998E-2</v>
      </c>
      <c r="AL1279" s="23" t="s">
        <v>24</v>
      </c>
      <c r="AM1279" s="23">
        <v>47.7</v>
      </c>
      <c r="AN1279" s="23">
        <v>37609.199999999997</v>
      </c>
      <c r="AO1279" s="23">
        <v>47.99</v>
      </c>
      <c r="AP1279" s="23">
        <v>0</v>
      </c>
      <c r="AR1279" s="46"/>
      <c r="AS1279" s="44"/>
      <c r="AT1279" s="45"/>
      <c r="AU1279" s="2">
        <v>44473</v>
      </c>
      <c r="AV1279" s="52">
        <v>0.11458333333333333</v>
      </c>
      <c r="AW1279" s="2" t="s">
        <v>213</v>
      </c>
      <c r="AY1279" s="3"/>
      <c r="BA1279" s="3"/>
      <c r="BG1279" s="3"/>
      <c r="BH1279" s="3"/>
    </row>
    <row r="1280" spans="1:60">
      <c r="A1280" s="23" t="s">
        <v>22</v>
      </c>
      <c r="B1280" s="23" t="s">
        <v>25</v>
      </c>
      <c r="C1280" s="27">
        <v>44474.395833333336</v>
      </c>
      <c r="D1280" s="23">
        <v>48</v>
      </c>
      <c r="E1280" s="27">
        <v>44474.552083333336</v>
      </c>
      <c r="F1280" s="23">
        <v>47.75</v>
      </c>
      <c r="G1280" s="31">
        <v>-5.1999999999999998E-3</v>
      </c>
      <c r="H1280" s="23">
        <v>-263.36</v>
      </c>
      <c r="I1280" s="31">
        <v>-5.1999999999999998E-3</v>
      </c>
      <c r="J1280" s="23">
        <v>1053.4580000000001</v>
      </c>
      <c r="K1280" s="23">
        <v>50565.99</v>
      </c>
      <c r="L1280" s="23">
        <v>112616.47</v>
      </c>
      <c r="M1280" s="23">
        <v>16</v>
      </c>
      <c r="N1280" s="23">
        <v>-16.46</v>
      </c>
      <c r="O1280" s="31">
        <v>-9.4000000000000004E-3</v>
      </c>
      <c r="P1280" s="31">
        <v>1.15E-2</v>
      </c>
      <c r="Q1280" s="23" t="s">
        <v>24</v>
      </c>
      <c r="R1280" s="23">
        <v>0</v>
      </c>
      <c r="S1280" s="23">
        <v>47.22</v>
      </c>
      <c r="U1280" s="47">
        <f>VLOOKUP(AU1280,[1]expiry_dates!$B$2:$C$2894,2,FALSE)</f>
        <v>44497</v>
      </c>
      <c r="V1280" s="23" t="s">
        <v>108</v>
      </c>
      <c r="W1280" s="23" t="s">
        <v>23</v>
      </c>
      <c r="X1280" s="49">
        <v>44474.395833333336</v>
      </c>
      <c r="Y1280" s="23">
        <v>2.4500000000000002</v>
      </c>
      <c r="Z1280" s="23">
        <v>44474.552083333336</v>
      </c>
      <c r="AA1280" s="23">
        <v>2.65</v>
      </c>
      <c r="AB1280" s="23">
        <v>8.1600000000000006E-2</v>
      </c>
      <c r="AC1280" s="23">
        <v>-5693.02</v>
      </c>
      <c r="AD1280" s="23">
        <v>-8.1600000000000006E-2</v>
      </c>
      <c r="AE1280" s="23">
        <v>28465.09</v>
      </c>
      <c r="AF1280" s="23">
        <v>69739.460000000006</v>
      </c>
      <c r="AG1280" s="23">
        <v>3939567.83</v>
      </c>
      <c r="AH1280" s="23">
        <v>16</v>
      </c>
      <c r="AI1280" s="23">
        <v>-355.81</v>
      </c>
      <c r="AJ1280" s="23">
        <v>-0.10199999999999999</v>
      </c>
      <c r="AK1280" s="23">
        <v>6.1199999999999997E-2</v>
      </c>
      <c r="AL1280" s="23" t="s">
        <v>24</v>
      </c>
      <c r="AM1280" s="23">
        <v>48</v>
      </c>
      <c r="AN1280" s="23">
        <v>37494.75</v>
      </c>
      <c r="AO1280" s="23">
        <v>47.22</v>
      </c>
      <c r="AP1280" s="23">
        <v>0</v>
      </c>
      <c r="AR1280" s="46"/>
      <c r="AS1280" s="44"/>
      <c r="AT1280" s="45"/>
      <c r="AU1280" s="2">
        <v>44474</v>
      </c>
      <c r="AV1280" s="52">
        <v>0.39583333333333331</v>
      </c>
      <c r="AW1280" s="2" t="s">
        <v>212</v>
      </c>
      <c r="AY1280" s="3"/>
      <c r="BA1280" s="3"/>
      <c r="BG1280" s="3"/>
      <c r="BH1280" s="3"/>
    </row>
    <row r="1281" spans="1:60">
      <c r="A1281" s="23" t="s">
        <v>22</v>
      </c>
      <c r="B1281" s="23" t="s">
        <v>23</v>
      </c>
      <c r="C1281" s="27">
        <v>44474.552083333336</v>
      </c>
      <c r="D1281" s="23">
        <v>47.75</v>
      </c>
      <c r="E1281" s="27">
        <v>44475.385416666664</v>
      </c>
      <c r="F1281" s="23">
        <v>48.55</v>
      </c>
      <c r="G1281" s="31">
        <v>1.6799999999999999E-2</v>
      </c>
      <c r="H1281" s="23">
        <v>-847.15</v>
      </c>
      <c r="I1281" s="31">
        <v>-1.6799999999999999E-2</v>
      </c>
      <c r="J1281" s="23">
        <v>1058.94</v>
      </c>
      <c r="K1281" s="23">
        <v>50564.4</v>
      </c>
      <c r="L1281" s="23">
        <v>111769.31</v>
      </c>
      <c r="M1281" s="23">
        <v>13</v>
      </c>
      <c r="N1281" s="23">
        <v>-65.17</v>
      </c>
      <c r="O1281" s="31">
        <v>-1.6799999999999999E-2</v>
      </c>
      <c r="P1281" s="31">
        <v>3.0999999999999999E-3</v>
      </c>
      <c r="Q1281" s="23" t="s">
        <v>24</v>
      </c>
      <c r="R1281" s="23">
        <v>0</v>
      </c>
      <c r="S1281" s="23">
        <v>48.55</v>
      </c>
      <c r="U1281" s="47">
        <f>VLOOKUP(AU1281,[1]expiry_dates!$B$2:$C$2894,2,FALSE)</f>
        <v>44497</v>
      </c>
      <c r="V1281" s="23" t="s">
        <v>106</v>
      </c>
      <c r="W1281" s="23" t="s">
        <v>23</v>
      </c>
      <c r="X1281" s="49">
        <v>44474.552083333336</v>
      </c>
      <c r="Y1281" s="23">
        <v>2.6</v>
      </c>
      <c r="Z1281" s="23">
        <v>44475.385416666664</v>
      </c>
      <c r="AA1281" s="23">
        <v>3.1</v>
      </c>
      <c r="AB1281" s="23">
        <v>0.1923</v>
      </c>
      <c r="AC1281" s="23">
        <v>-13407.54</v>
      </c>
      <c r="AD1281" s="23">
        <v>-0.1923</v>
      </c>
      <c r="AE1281" s="23">
        <v>26815.07</v>
      </c>
      <c r="AF1281" s="23">
        <v>69719.19</v>
      </c>
      <c r="AG1281" s="23">
        <v>3926160.29</v>
      </c>
      <c r="AH1281" s="23">
        <v>13</v>
      </c>
      <c r="AI1281" s="23">
        <v>-1031.3499999999999</v>
      </c>
      <c r="AJ1281" s="23">
        <v>-0.1923</v>
      </c>
      <c r="AK1281" s="23">
        <v>0</v>
      </c>
      <c r="AL1281" s="23" t="s">
        <v>24</v>
      </c>
      <c r="AM1281" s="23">
        <v>47.75</v>
      </c>
      <c r="AN1281" s="23">
        <v>37640.400000000001</v>
      </c>
      <c r="AO1281" s="23">
        <v>48.55</v>
      </c>
      <c r="AP1281" s="23">
        <v>0</v>
      </c>
      <c r="AR1281" s="46"/>
      <c r="AS1281" s="44"/>
      <c r="AT1281" s="45"/>
      <c r="AU1281" s="2">
        <v>44474</v>
      </c>
      <c r="AV1281" s="52">
        <v>5.2083333333333336E-2</v>
      </c>
      <c r="AW1281" s="2" t="s">
        <v>213</v>
      </c>
      <c r="AY1281" s="3"/>
      <c r="BA1281" s="3"/>
      <c r="BG1281" s="3"/>
      <c r="BH1281" s="3"/>
    </row>
    <row r="1282" spans="1:60">
      <c r="A1282" s="23" t="s">
        <v>22</v>
      </c>
      <c r="B1282" s="23" t="s">
        <v>25</v>
      </c>
      <c r="C1282" s="27">
        <v>44475.385416666664</v>
      </c>
      <c r="D1282" s="23">
        <v>48.55</v>
      </c>
      <c r="E1282" s="27">
        <v>44475.427083333336</v>
      </c>
      <c r="F1282" s="23">
        <v>48</v>
      </c>
      <c r="G1282" s="31">
        <v>-1.1299999999999999E-2</v>
      </c>
      <c r="H1282" s="23">
        <v>-572.78</v>
      </c>
      <c r="I1282" s="31">
        <v>-1.1299999999999999E-2</v>
      </c>
      <c r="J1282" s="23">
        <v>1041.415</v>
      </c>
      <c r="K1282" s="23">
        <v>50560.7</v>
      </c>
      <c r="L1282" s="23">
        <v>111196.54</v>
      </c>
      <c r="M1282" s="23">
        <v>5</v>
      </c>
      <c r="N1282" s="23">
        <v>-114.56</v>
      </c>
      <c r="O1282" s="31">
        <v>-1.1299999999999999E-2</v>
      </c>
      <c r="P1282" s="31">
        <v>2.0999999999999999E-3</v>
      </c>
      <c r="Q1282" s="23" t="s">
        <v>24</v>
      </c>
      <c r="R1282" s="23">
        <v>0</v>
      </c>
      <c r="S1282" s="23">
        <v>47.65</v>
      </c>
      <c r="U1282" s="47">
        <f>VLOOKUP(AU1282,[1]expiry_dates!$B$2:$C$2894,2,FALSE)</f>
        <v>44497</v>
      </c>
      <c r="V1282" s="23" t="s">
        <v>122</v>
      </c>
      <c r="W1282" s="23" t="s">
        <v>23</v>
      </c>
      <c r="X1282" s="49">
        <v>44475.385416666664</v>
      </c>
      <c r="Y1282" s="23">
        <v>2.85</v>
      </c>
      <c r="Z1282" s="23">
        <v>44475.427083333336</v>
      </c>
      <c r="AA1282" s="23">
        <v>3.35</v>
      </c>
      <c r="AB1282" s="23">
        <v>0.1754</v>
      </c>
      <c r="AC1282" s="23">
        <v>-12222.99</v>
      </c>
      <c r="AD1282" s="23">
        <v>-0.1754</v>
      </c>
      <c r="AE1282" s="23">
        <v>24445.97</v>
      </c>
      <c r="AF1282" s="23">
        <v>69671.02</v>
      </c>
      <c r="AG1282" s="23">
        <v>3913937.31</v>
      </c>
      <c r="AH1282" s="23">
        <v>5</v>
      </c>
      <c r="AI1282" s="23">
        <v>-2444.6</v>
      </c>
      <c r="AJ1282" s="23">
        <v>-0.1754</v>
      </c>
      <c r="AK1282" s="23">
        <v>0</v>
      </c>
      <c r="AL1282" s="23" t="s">
        <v>24</v>
      </c>
      <c r="AM1282" s="23">
        <v>48.55</v>
      </c>
      <c r="AN1282" s="23">
        <v>37866.550000000003</v>
      </c>
      <c r="AO1282" s="23">
        <v>47.65</v>
      </c>
      <c r="AP1282" s="23">
        <v>0</v>
      </c>
      <c r="AR1282" s="46"/>
      <c r="AS1282" s="44"/>
      <c r="AT1282" s="45"/>
      <c r="AU1282" s="2">
        <v>44475</v>
      </c>
      <c r="AV1282" s="52">
        <v>0.38541666666666669</v>
      </c>
      <c r="AW1282" s="2" t="s">
        <v>212</v>
      </c>
      <c r="AY1282" s="3"/>
      <c r="BA1282" s="3"/>
      <c r="BG1282" s="3"/>
      <c r="BH1282" s="3"/>
    </row>
    <row r="1283" spans="1:60">
      <c r="A1283" s="23" t="s">
        <v>22</v>
      </c>
      <c r="B1283" s="23" t="s">
        <v>23</v>
      </c>
      <c r="C1283" s="27">
        <v>44475.427083333336</v>
      </c>
      <c r="D1283" s="23">
        <v>48</v>
      </c>
      <c r="E1283" s="27">
        <v>44476.385416666664</v>
      </c>
      <c r="F1283" s="23">
        <v>47.65</v>
      </c>
      <c r="G1283" s="31">
        <v>-7.3000000000000001E-3</v>
      </c>
      <c r="H1283" s="23">
        <v>368.64</v>
      </c>
      <c r="I1283" s="31">
        <v>7.3000000000000001E-3</v>
      </c>
      <c r="J1283" s="23">
        <v>1053.271</v>
      </c>
      <c r="K1283" s="23">
        <v>50557.02</v>
      </c>
      <c r="L1283" s="23">
        <v>111565.18</v>
      </c>
      <c r="M1283" s="23">
        <v>25</v>
      </c>
      <c r="N1283" s="23">
        <v>14.75</v>
      </c>
      <c r="O1283" s="31">
        <v>-4.1999999999999997E-3</v>
      </c>
      <c r="P1283" s="31">
        <v>2.7099999999999999E-2</v>
      </c>
      <c r="Q1283" s="23" t="s">
        <v>24</v>
      </c>
      <c r="R1283" s="23">
        <v>0</v>
      </c>
      <c r="S1283" s="23">
        <v>48.63</v>
      </c>
      <c r="U1283" s="47">
        <f>VLOOKUP(AU1283,[1]expiry_dates!$B$2:$C$2894,2,FALSE)</f>
        <v>44497</v>
      </c>
      <c r="V1283" s="23" t="s">
        <v>106</v>
      </c>
      <c r="W1283" s="23" t="s">
        <v>23</v>
      </c>
      <c r="X1283" s="49">
        <v>44475.427083333336</v>
      </c>
      <c r="Y1283" s="23">
        <v>2.85</v>
      </c>
      <c r="Z1283" s="23">
        <v>44476.385416666664</v>
      </c>
      <c r="AA1283" s="23">
        <v>2.5499999999999998</v>
      </c>
      <c r="AB1283" s="23">
        <v>-0.1053</v>
      </c>
      <c r="AC1283" s="23">
        <v>7326.34</v>
      </c>
      <c r="AD1283" s="23">
        <v>0.1053</v>
      </c>
      <c r="AE1283" s="23">
        <v>24421.14</v>
      </c>
      <c r="AF1283" s="23">
        <v>69600.240000000005</v>
      </c>
      <c r="AG1283" s="23">
        <v>3921263.65</v>
      </c>
      <c r="AH1283" s="23">
        <v>25</v>
      </c>
      <c r="AI1283" s="23">
        <v>293.05</v>
      </c>
      <c r="AJ1283" s="23">
        <v>-3.5099999999999999E-2</v>
      </c>
      <c r="AK1283" s="23">
        <v>0.2281</v>
      </c>
      <c r="AL1283" s="23" t="s">
        <v>24</v>
      </c>
      <c r="AM1283" s="23">
        <v>48</v>
      </c>
      <c r="AN1283" s="23">
        <v>37929.5</v>
      </c>
      <c r="AO1283" s="23">
        <v>48.63</v>
      </c>
      <c r="AP1283" s="23">
        <v>0</v>
      </c>
      <c r="AR1283" s="46"/>
      <c r="AS1283" s="44"/>
      <c r="AT1283" s="45"/>
      <c r="AU1283" s="2">
        <v>44475</v>
      </c>
      <c r="AV1283" s="52">
        <v>0.42708333333333331</v>
      </c>
      <c r="AW1283" s="2" t="s">
        <v>212</v>
      </c>
      <c r="AY1283" s="3"/>
      <c r="BA1283" s="3"/>
      <c r="BG1283" s="3"/>
      <c r="BH1283" s="3"/>
    </row>
    <row r="1284" spans="1:60">
      <c r="A1284" s="23" t="s">
        <v>22</v>
      </c>
      <c r="B1284" s="23" t="s">
        <v>25</v>
      </c>
      <c r="C1284" s="27">
        <v>44476.385416666664</v>
      </c>
      <c r="D1284" s="23">
        <v>47.65</v>
      </c>
      <c r="E1284" s="27">
        <v>44476.604166666664</v>
      </c>
      <c r="F1284" s="23">
        <v>47.8</v>
      </c>
      <c r="G1284" s="31">
        <v>3.0999999999999999E-3</v>
      </c>
      <c r="H1284" s="23">
        <v>159.16</v>
      </c>
      <c r="I1284" s="31">
        <v>3.0999999999999999E-3</v>
      </c>
      <c r="J1284" s="23">
        <v>1061.0409999999999</v>
      </c>
      <c r="K1284" s="23">
        <v>50558.62</v>
      </c>
      <c r="L1284" s="23">
        <v>111724.34</v>
      </c>
      <c r="M1284" s="23">
        <v>22</v>
      </c>
      <c r="N1284" s="23">
        <v>7.23</v>
      </c>
      <c r="O1284" s="31">
        <v>-7.3000000000000001E-3</v>
      </c>
      <c r="P1284" s="31">
        <v>1.5699999999999999E-2</v>
      </c>
      <c r="Q1284" s="23" t="s">
        <v>24</v>
      </c>
      <c r="R1284" s="23">
        <v>0</v>
      </c>
      <c r="S1284" s="23">
        <v>46.74</v>
      </c>
      <c r="U1284" s="47">
        <f>VLOOKUP(AU1284,[1]expiry_dates!$B$2:$C$2894,2,FALSE)</f>
        <v>44497</v>
      </c>
      <c r="V1284" s="23" t="s">
        <v>108</v>
      </c>
      <c r="W1284" s="23" t="s">
        <v>23</v>
      </c>
      <c r="X1284" s="49">
        <v>44476.385416666664</v>
      </c>
      <c r="Y1284" s="23">
        <v>2.85</v>
      </c>
      <c r="Z1284" s="23">
        <v>44476.604166666664</v>
      </c>
      <c r="AA1284" s="23">
        <v>2.6</v>
      </c>
      <c r="AB1284" s="23">
        <v>-8.77E-2</v>
      </c>
      <c r="AC1284" s="23">
        <v>6107.42</v>
      </c>
      <c r="AD1284" s="23">
        <v>8.77E-2</v>
      </c>
      <c r="AE1284" s="23">
        <v>24429.7</v>
      </c>
      <c r="AF1284" s="23">
        <v>69624.63</v>
      </c>
      <c r="AG1284" s="23">
        <v>3927371.07</v>
      </c>
      <c r="AH1284" s="23">
        <v>22</v>
      </c>
      <c r="AI1284" s="23">
        <v>277.61</v>
      </c>
      <c r="AJ1284" s="23">
        <v>-5.2600000000000001E-2</v>
      </c>
      <c r="AK1284" s="23">
        <v>0.21049999999999999</v>
      </c>
      <c r="AL1284" s="23" t="s">
        <v>24</v>
      </c>
      <c r="AM1284" s="23">
        <v>47.65</v>
      </c>
      <c r="AN1284" s="23">
        <v>37831.75</v>
      </c>
      <c r="AO1284" s="23">
        <v>46.74</v>
      </c>
      <c r="AP1284" s="23">
        <v>0</v>
      </c>
      <c r="AR1284" s="46"/>
      <c r="AS1284" s="44"/>
      <c r="AT1284" s="45"/>
      <c r="AU1284" s="2">
        <v>44476</v>
      </c>
      <c r="AV1284" s="52">
        <v>0.38541666666666669</v>
      </c>
      <c r="AW1284" s="2" t="s">
        <v>212</v>
      </c>
      <c r="AY1284" s="3"/>
      <c r="BA1284" s="3"/>
      <c r="BG1284" s="3"/>
      <c r="BH1284" s="3"/>
    </row>
    <row r="1285" spans="1:60">
      <c r="A1285" s="23" t="s">
        <v>22</v>
      </c>
      <c r="B1285" s="23" t="s">
        <v>23</v>
      </c>
      <c r="C1285" s="27">
        <v>44476.604166666664</v>
      </c>
      <c r="D1285" s="23">
        <v>47.8</v>
      </c>
      <c r="E1285" s="27">
        <v>44477.4375</v>
      </c>
      <c r="F1285" s="23">
        <v>48.05</v>
      </c>
      <c r="G1285" s="31">
        <v>5.1999999999999998E-3</v>
      </c>
      <c r="H1285" s="23">
        <v>-264.43</v>
      </c>
      <c r="I1285" s="31">
        <v>-5.1999999999999998E-3</v>
      </c>
      <c r="J1285" s="23">
        <v>1057.7339999999999</v>
      </c>
      <c r="K1285" s="23">
        <v>50559.68</v>
      </c>
      <c r="L1285" s="23">
        <v>111459.9</v>
      </c>
      <c r="M1285" s="23">
        <v>13</v>
      </c>
      <c r="N1285" s="23">
        <v>-20.34</v>
      </c>
      <c r="O1285" s="31">
        <v>-7.3000000000000001E-3</v>
      </c>
      <c r="P1285" s="31">
        <v>5.1999999999999998E-3</v>
      </c>
      <c r="Q1285" s="23" t="s">
        <v>24</v>
      </c>
      <c r="R1285" s="23">
        <v>0</v>
      </c>
      <c r="S1285" s="23">
        <v>48.4</v>
      </c>
      <c r="U1285" s="47">
        <f>VLOOKUP(AU1285,[1]expiry_dates!$B$2:$C$2894,2,FALSE)</f>
        <v>44497</v>
      </c>
      <c r="V1285" s="23" t="s">
        <v>106</v>
      </c>
      <c r="W1285" s="23" t="s">
        <v>23</v>
      </c>
      <c r="X1285" s="49">
        <v>44476.604166666664</v>
      </c>
      <c r="Y1285" s="23">
        <v>2.5499999999999998</v>
      </c>
      <c r="Z1285" s="23">
        <v>44477.4375</v>
      </c>
      <c r="AA1285" s="23">
        <v>2.7</v>
      </c>
      <c r="AB1285" s="23">
        <v>5.8799999999999998E-2</v>
      </c>
      <c r="AC1285" s="23">
        <v>-4097.72</v>
      </c>
      <c r="AD1285" s="23">
        <v>-5.8799999999999998E-2</v>
      </c>
      <c r="AE1285" s="23">
        <v>27318.15</v>
      </c>
      <c r="AF1285" s="23">
        <v>69661.289999999994</v>
      </c>
      <c r="AG1285" s="23">
        <v>3923273.35</v>
      </c>
      <c r="AH1285" s="23">
        <v>13</v>
      </c>
      <c r="AI1285" s="23">
        <v>-315.20999999999998</v>
      </c>
      <c r="AJ1285" s="23">
        <v>-7.8399999999999997E-2</v>
      </c>
      <c r="AK1285" s="23">
        <v>3.9199999999999999E-2</v>
      </c>
      <c r="AL1285" s="23" t="s">
        <v>24</v>
      </c>
      <c r="AM1285" s="23">
        <v>47.8</v>
      </c>
      <c r="AN1285" s="23">
        <v>37774.050000000003</v>
      </c>
      <c r="AO1285" s="23">
        <v>48.4</v>
      </c>
      <c r="AP1285" s="23">
        <v>0</v>
      </c>
      <c r="AR1285" s="46"/>
      <c r="AS1285" s="44"/>
      <c r="AT1285" s="45"/>
      <c r="AU1285" s="2">
        <v>44476</v>
      </c>
      <c r="AV1285" s="52">
        <v>0.10416666666666667</v>
      </c>
      <c r="AW1285" s="2" t="s">
        <v>213</v>
      </c>
      <c r="AY1285" s="3"/>
      <c r="BA1285" s="3"/>
      <c r="BG1285" s="3"/>
      <c r="BH1285" s="3"/>
    </row>
    <row r="1286" spans="1:60">
      <c r="A1286" s="23" t="s">
        <v>22</v>
      </c>
      <c r="B1286" s="23" t="s">
        <v>25</v>
      </c>
      <c r="C1286" s="27">
        <v>44477.4375</v>
      </c>
      <c r="D1286" s="23">
        <v>48.05</v>
      </c>
      <c r="E1286" s="27">
        <v>44477.489583333336</v>
      </c>
      <c r="F1286" s="23">
        <v>47.7</v>
      </c>
      <c r="G1286" s="31">
        <v>-7.3000000000000001E-3</v>
      </c>
      <c r="H1286" s="23">
        <v>-368.27</v>
      </c>
      <c r="I1286" s="31">
        <v>-7.3000000000000001E-3</v>
      </c>
      <c r="J1286" s="23">
        <v>1052.1980000000001</v>
      </c>
      <c r="K1286" s="23">
        <v>50558.09</v>
      </c>
      <c r="L1286" s="23">
        <v>111091.64</v>
      </c>
      <c r="M1286" s="23">
        <v>6</v>
      </c>
      <c r="N1286" s="23">
        <v>-61.38</v>
      </c>
      <c r="O1286" s="31">
        <v>-7.3000000000000001E-3</v>
      </c>
      <c r="P1286" s="31">
        <v>4.1999999999999997E-3</v>
      </c>
      <c r="Q1286" s="23" t="s">
        <v>24</v>
      </c>
      <c r="R1286" s="23">
        <v>0</v>
      </c>
      <c r="S1286" s="23">
        <v>47.56</v>
      </c>
      <c r="U1286" s="47">
        <f>VLOOKUP(AU1286,[1]expiry_dates!$B$2:$C$2894,2,FALSE)</f>
        <v>44497</v>
      </c>
      <c r="V1286" s="23" t="s">
        <v>108</v>
      </c>
      <c r="W1286" s="23" t="s">
        <v>23</v>
      </c>
      <c r="X1286" s="49">
        <v>44477.4375</v>
      </c>
      <c r="Y1286" s="23">
        <v>2.4</v>
      </c>
      <c r="Z1286" s="23">
        <v>44477.489583333336</v>
      </c>
      <c r="AA1286" s="23">
        <v>2.6</v>
      </c>
      <c r="AB1286" s="23">
        <v>8.3299999999999999E-2</v>
      </c>
      <c r="AC1286" s="23">
        <v>-5801.93</v>
      </c>
      <c r="AD1286" s="23">
        <v>-8.3299999999999999E-2</v>
      </c>
      <c r="AE1286" s="23">
        <v>29009.66</v>
      </c>
      <c r="AF1286" s="23">
        <v>69623.199999999997</v>
      </c>
      <c r="AG1286" s="23">
        <v>3917471.42</v>
      </c>
      <c r="AH1286" s="23">
        <v>6</v>
      </c>
      <c r="AI1286" s="23">
        <v>-966.99</v>
      </c>
      <c r="AJ1286" s="23">
        <v>-8.3299999999999999E-2</v>
      </c>
      <c r="AK1286" s="23">
        <v>4.1700000000000001E-2</v>
      </c>
      <c r="AL1286" s="23" t="s">
        <v>24</v>
      </c>
      <c r="AM1286" s="23">
        <v>48.05</v>
      </c>
      <c r="AN1286" s="23">
        <v>38019.25</v>
      </c>
      <c r="AO1286" s="23">
        <v>47.56</v>
      </c>
      <c r="AP1286" s="23">
        <v>0</v>
      </c>
      <c r="AR1286" s="46"/>
      <c r="AS1286" s="44"/>
      <c r="AT1286" s="45"/>
      <c r="AU1286" s="2">
        <v>44477</v>
      </c>
      <c r="AV1286" s="52">
        <v>0.4375</v>
      </c>
      <c r="AW1286" s="2" t="s">
        <v>212</v>
      </c>
      <c r="AY1286" s="3"/>
      <c r="BA1286" s="3"/>
      <c r="BG1286" s="3"/>
      <c r="BH1286" s="3"/>
    </row>
    <row r="1287" spans="1:60">
      <c r="A1287" s="23" t="s">
        <v>22</v>
      </c>
      <c r="B1287" s="23" t="s">
        <v>23</v>
      </c>
      <c r="C1287" s="27">
        <v>44477.489583333336</v>
      </c>
      <c r="D1287" s="23">
        <v>47.7</v>
      </c>
      <c r="E1287" s="27">
        <v>44477.583333333336</v>
      </c>
      <c r="F1287" s="23">
        <v>47.95</v>
      </c>
      <c r="G1287" s="31">
        <v>5.1999999999999998E-3</v>
      </c>
      <c r="H1287" s="23">
        <v>-264.97000000000003</v>
      </c>
      <c r="I1287" s="31">
        <v>-5.1999999999999998E-3</v>
      </c>
      <c r="J1287" s="23">
        <v>1059.8679999999999</v>
      </c>
      <c r="K1287" s="23">
        <v>50555.72</v>
      </c>
      <c r="L1287" s="23">
        <v>110826.67</v>
      </c>
      <c r="M1287" s="23">
        <v>10</v>
      </c>
      <c r="N1287" s="23">
        <v>-26.5</v>
      </c>
      <c r="O1287" s="31">
        <v>-6.3E-3</v>
      </c>
      <c r="P1287" s="31">
        <v>4.1999999999999997E-3</v>
      </c>
      <c r="Q1287" s="23" t="s">
        <v>24</v>
      </c>
      <c r="R1287" s="23">
        <v>0</v>
      </c>
      <c r="S1287" s="23">
        <v>48.23</v>
      </c>
      <c r="U1287" s="47">
        <f>VLOOKUP(AU1287,[1]expiry_dates!$B$2:$C$2894,2,FALSE)</f>
        <v>44497</v>
      </c>
      <c r="V1287" s="23" t="s">
        <v>106</v>
      </c>
      <c r="W1287" s="23" t="s">
        <v>23</v>
      </c>
      <c r="X1287" s="49">
        <v>44477.489583333336</v>
      </c>
      <c r="Y1287" s="23">
        <v>2.5</v>
      </c>
      <c r="Z1287" s="23">
        <v>44477.583333333336</v>
      </c>
      <c r="AA1287" s="23">
        <v>2.5499999999999998</v>
      </c>
      <c r="AB1287" s="23">
        <v>0.02</v>
      </c>
      <c r="AC1287" s="23">
        <v>-1392.04</v>
      </c>
      <c r="AD1287" s="23">
        <v>-0.02</v>
      </c>
      <c r="AE1287" s="23">
        <v>27840.74</v>
      </c>
      <c r="AF1287" s="23">
        <v>69601.86</v>
      </c>
      <c r="AG1287" s="23">
        <v>3916079.38</v>
      </c>
      <c r="AH1287" s="23">
        <v>10</v>
      </c>
      <c r="AI1287" s="23">
        <v>-139.19999999999999</v>
      </c>
      <c r="AJ1287" s="23">
        <v>-0.02</v>
      </c>
      <c r="AK1287" s="23">
        <v>0.08</v>
      </c>
      <c r="AL1287" s="23" t="s">
        <v>24</v>
      </c>
      <c r="AM1287" s="23">
        <v>47.7</v>
      </c>
      <c r="AN1287" s="23">
        <v>37859</v>
      </c>
      <c r="AO1287" s="23">
        <v>48.23</v>
      </c>
      <c r="AP1287" s="23">
        <v>0</v>
      </c>
      <c r="AR1287" s="46"/>
      <c r="AS1287" s="44"/>
      <c r="AT1287" s="45"/>
      <c r="AU1287" s="2">
        <v>44477</v>
      </c>
      <c r="AV1287" s="52">
        <v>0.48958333333333331</v>
      </c>
      <c r="AW1287" s="2" t="s">
        <v>212</v>
      </c>
      <c r="AY1287" s="3"/>
      <c r="BA1287" s="3"/>
      <c r="BG1287" s="3"/>
      <c r="BH1287" s="3"/>
    </row>
    <row r="1288" spans="1:60">
      <c r="A1288" s="23" t="s">
        <v>22</v>
      </c>
      <c r="B1288" s="23" t="s">
        <v>25</v>
      </c>
      <c r="C1288" s="27">
        <v>44477.583333333336</v>
      </c>
      <c r="D1288" s="23">
        <v>47.95</v>
      </c>
      <c r="E1288" s="27">
        <v>44480.46875</v>
      </c>
      <c r="F1288" s="23">
        <v>47.95</v>
      </c>
      <c r="G1288" s="31">
        <v>0</v>
      </c>
      <c r="H1288" s="23">
        <v>0</v>
      </c>
      <c r="I1288" s="31">
        <v>0</v>
      </c>
      <c r="J1288" s="23">
        <v>1054.3150000000001</v>
      </c>
      <c r="K1288" s="23">
        <v>50554.39</v>
      </c>
      <c r="L1288" s="23">
        <v>110826.67</v>
      </c>
      <c r="M1288" s="23">
        <v>18</v>
      </c>
      <c r="N1288" s="23">
        <v>0</v>
      </c>
      <c r="O1288" s="31">
        <v>-2.0999999999999999E-3</v>
      </c>
      <c r="P1288" s="31">
        <v>8.3000000000000001E-3</v>
      </c>
      <c r="Q1288" s="23" t="s">
        <v>24</v>
      </c>
      <c r="R1288" s="23">
        <v>0</v>
      </c>
      <c r="S1288" s="23">
        <v>47.52</v>
      </c>
      <c r="U1288" s="47">
        <f>VLOOKUP(AU1288,[1]expiry_dates!$B$2:$C$2894,2,FALSE)</f>
        <v>44497</v>
      </c>
      <c r="V1288" s="23" t="s">
        <v>107</v>
      </c>
      <c r="W1288" s="23" t="s">
        <v>23</v>
      </c>
      <c r="X1288" s="49">
        <v>44477.583333333336</v>
      </c>
      <c r="Y1288" s="23">
        <v>1.3</v>
      </c>
      <c r="Z1288" s="23">
        <v>44480.46875</v>
      </c>
      <c r="AA1288" s="23">
        <v>1.3</v>
      </c>
      <c r="AB1288" s="23">
        <v>0</v>
      </c>
      <c r="AC1288" s="23">
        <v>0</v>
      </c>
      <c r="AD1288" s="23">
        <v>0</v>
      </c>
      <c r="AE1288" s="23">
        <v>53528.74</v>
      </c>
      <c r="AF1288" s="23">
        <v>69587.360000000001</v>
      </c>
      <c r="AG1288" s="23">
        <v>3916079.38</v>
      </c>
      <c r="AH1288" s="23">
        <v>18</v>
      </c>
      <c r="AI1288" s="23">
        <v>0</v>
      </c>
      <c r="AJ1288" s="23">
        <v>-3.85E-2</v>
      </c>
      <c r="AK1288" s="23">
        <v>3.85E-2</v>
      </c>
      <c r="AL1288" s="23" t="s">
        <v>24</v>
      </c>
      <c r="AM1288" s="23">
        <v>47.95</v>
      </c>
      <c r="AN1288" s="23">
        <v>37791.9</v>
      </c>
      <c r="AO1288" s="23">
        <v>47.52</v>
      </c>
      <c r="AP1288" s="23">
        <v>0</v>
      </c>
      <c r="AR1288" s="46"/>
      <c r="AS1288" s="44"/>
      <c r="AT1288" s="45"/>
      <c r="AU1288" s="2">
        <v>44477</v>
      </c>
      <c r="AV1288" s="52">
        <v>8.3333333333333329E-2</v>
      </c>
      <c r="AW1288" s="2" t="s">
        <v>213</v>
      </c>
      <c r="AY1288" s="3"/>
      <c r="BA1288" s="3"/>
      <c r="BG1288" s="3"/>
      <c r="BH1288" s="3"/>
    </row>
    <row r="1289" spans="1:60">
      <c r="A1289" s="23" t="s">
        <v>22</v>
      </c>
      <c r="B1289" s="23" t="s">
        <v>23</v>
      </c>
      <c r="C1289" s="27">
        <v>44480.46875</v>
      </c>
      <c r="D1289" s="23">
        <v>47.95</v>
      </c>
      <c r="E1289" s="27">
        <v>44481.53125</v>
      </c>
      <c r="F1289" s="23">
        <v>47.75</v>
      </c>
      <c r="G1289" s="31">
        <v>-4.1999999999999997E-3</v>
      </c>
      <c r="H1289" s="23">
        <v>210.86</v>
      </c>
      <c r="I1289" s="31">
        <v>4.1999999999999997E-3</v>
      </c>
      <c r="J1289" s="23">
        <v>1054.32</v>
      </c>
      <c r="K1289" s="23">
        <v>50554.66</v>
      </c>
      <c r="L1289" s="23">
        <v>111037.53</v>
      </c>
      <c r="M1289" s="23">
        <v>35</v>
      </c>
      <c r="N1289" s="23">
        <v>6.02</v>
      </c>
      <c r="O1289" s="31">
        <v>-3.0999999999999999E-3</v>
      </c>
      <c r="P1289" s="31">
        <v>1.67E-2</v>
      </c>
      <c r="Q1289" s="23" t="s">
        <v>24</v>
      </c>
      <c r="R1289" s="23">
        <v>0</v>
      </c>
      <c r="S1289" s="23">
        <v>48.33</v>
      </c>
      <c r="U1289" s="47">
        <f>VLOOKUP(AU1289,[1]expiry_dates!$B$2:$C$2894,2,FALSE)</f>
        <v>44497</v>
      </c>
      <c r="V1289" s="23" t="s">
        <v>106</v>
      </c>
      <c r="W1289" s="23" t="s">
        <v>23</v>
      </c>
      <c r="X1289" s="49">
        <v>44480.46875</v>
      </c>
      <c r="Y1289" s="23">
        <v>2.4500000000000002</v>
      </c>
      <c r="Z1289" s="23">
        <v>44481.53125</v>
      </c>
      <c r="AA1289" s="23">
        <v>2.25</v>
      </c>
      <c r="AB1289" s="23">
        <v>-8.1600000000000006E-2</v>
      </c>
      <c r="AC1289" s="23">
        <v>5681.12</v>
      </c>
      <c r="AD1289" s="23">
        <v>8.1600000000000006E-2</v>
      </c>
      <c r="AE1289" s="23">
        <v>28405.62</v>
      </c>
      <c r="AF1289" s="23">
        <v>69593.78</v>
      </c>
      <c r="AG1289" s="23">
        <v>3921760.5</v>
      </c>
      <c r="AH1289" s="23">
        <v>35</v>
      </c>
      <c r="AI1289" s="23">
        <v>162.32</v>
      </c>
      <c r="AJ1289" s="23">
        <v>-4.0800000000000003E-2</v>
      </c>
      <c r="AK1289" s="23">
        <v>0.1837</v>
      </c>
      <c r="AL1289" s="23" t="s">
        <v>24</v>
      </c>
      <c r="AM1289" s="23">
        <v>47.95</v>
      </c>
      <c r="AN1289" s="23">
        <v>38225.449999999997</v>
      </c>
      <c r="AO1289" s="23">
        <v>48.33</v>
      </c>
      <c r="AP1289" s="23">
        <v>0</v>
      </c>
      <c r="AR1289" s="46"/>
      <c r="AS1289" s="44"/>
      <c r="AT1289" s="45"/>
      <c r="AU1289" s="2">
        <v>44480</v>
      </c>
      <c r="AV1289" s="52">
        <v>0.46875</v>
      </c>
      <c r="AW1289" s="2" t="s">
        <v>212</v>
      </c>
      <c r="AY1289" s="3"/>
      <c r="BA1289" s="3"/>
      <c r="BG1289" s="3"/>
      <c r="BH1289" s="3"/>
    </row>
    <row r="1290" spans="1:60">
      <c r="A1290" s="23" t="s">
        <v>22</v>
      </c>
      <c r="B1290" s="23" t="s">
        <v>25</v>
      </c>
      <c r="C1290" s="27">
        <v>44481.53125</v>
      </c>
      <c r="D1290" s="23">
        <v>47.75</v>
      </c>
      <c r="E1290" s="27">
        <v>44482.447916666664</v>
      </c>
      <c r="F1290" s="23">
        <v>48.85</v>
      </c>
      <c r="G1290" s="31">
        <v>2.3E-2</v>
      </c>
      <c r="H1290" s="23">
        <v>1164.6500000000001</v>
      </c>
      <c r="I1290" s="31">
        <v>2.3E-2</v>
      </c>
      <c r="J1290" s="23">
        <v>1058.7750000000001</v>
      </c>
      <c r="K1290" s="23">
        <v>50556.51</v>
      </c>
      <c r="L1290" s="23">
        <v>112202.18</v>
      </c>
      <c r="M1290" s="23">
        <v>21</v>
      </c>
      <c r="N1290" s="23">
        <v>55.46</v>
      </c>
      <c r="O1290" s="31">
        <v>-5.1999999999999998E-3</v>
      </c>
      <c r="P1290" s="31">
        <v>4.2900000000000001E-2</v>
      </c>
      <c r="Q1290" s="23" t="s">
        <v>24</v>
      </c>
      <c r="R1290" s="23">
        <v>0</v>
      </c>
      <c r="S1290" s="23">
        <v>47.17</v>
      </c>
      <c r="U1290" s="47">
        <f>VLOOKUP(AU1290,[1]expiry_dates!$B$2:$C$2894,2,FALSE)</f>
        <v>44497</v>
      </c>
      <c r="V1290" s="23" t="s">
        <v>108</v>
      </c>
      <c r="W1290" s="23" t="s">
        <v>23</v>
      </c>
      <c r="X1290" s="49">
        <v>44481.53125</v>
      </c>
      <c r="Y1290" s="23">
        <v>2.35</v>
      </c>
      <c r="Z1290" s="23">
        <v>44482.447916666664</v>
      </c>
      <c r="AA1290" s="23">
        <v>1.8</v>
      </c>
      <c r="AB1290" s="23">
        <v>-0.23400000000000001</v>
      </c>
      <c r="AC1290" s="23">
        <v>16293.09</v>
      </c>
      <c r="AD1290" s="23">
        <v>0.23400000000000001</v>
      </c>
      <c r="AE1290" s="23">
        <v>29623.79</v>
      </c>
      <c r="AF1290" s="23">
        <v>69615.91</v>
      </c>
      <c r="AG1290" s="23">
        <v>3938053.59</v>
      </c>
      <c r="AH1290" s="23">
        <v>21</v>
      </c>
      <c r="AI1290" s="23">
        <v>775.86</v>
      </c>
      <c r="AJ1290" s="23">
        <v>-0.1489</v>
      </c>
      <c r="AK1290" s="23">
        <v>0.36170000000000002</v>
      </c>
      <c r="AL1290" s="23" t="s">
        <v>24</v>
      </c>
      <c r="AM1290" s="23">
        <v>47.75</v>
      </c>
      <c r="AN1290" s="23">
        <v>38268.400000000001</v>
      </c>
      <c r="AO1290" s="23">
        <v>47.17</v>
      </c>
      <c r="AP1290" s="23">
        <v>0</v>
      </c>
      <c r="AR1290" s="46"/>
      <c r="AS1290" s="44"/>
      <c r="AT1290" s="45"/>
      <c r="AU1290" s="2">
        <v>44481</v>
      </c>
      <c r="AV1290" s="52">
        <v>0.53125</v>
      </c>
      <c r="AW1290" s="2" t="s">
        <v>213</v>
      </c>
      <c r="AY1290" s="3"/>
      <c r="BA1290" s="3"/>
      <c r="BG1290" s="3"/>
      <c r="BH1290" s="3"/>
    </row>
    <row r="1291" spans="1:60">
      <c r="A1291" s="23" t="s">
        <v>22</v>
      </c>
      <c r="B1291" s="23" t="s">
        <v>23</v>
      </c>
      <c r="C1291" s="27">
        <v>44482.447916666664</v>
      </c>
      <c r="D1291" s="23">
        <v>48.85</v>
      </c>
      <c r="E1291" s="27">
        <v>44482.520833333336</v>
      </c>
      <c r="F1291" s="23">
        <v>49.35</v>
      </c>
      <c r="G1291" s="31">
        <v>1.0200000000000001E-2</v>
      </c>
      <c r="H1291" s="23">
        <v>-517.52</v>
      </c>
      <c r="I1291" s="31">
        <v>-1.0200000000000001E-2</v>
      </c>
      <c r="J1291" s="23">
        <v>1035.037</v>
      </c>
      <c r="K1291" s="23">
        <v>50561.54</v>
      </c>
      <c r="L1291" s="23">
        <v>111684.67</v>
      </c>
      <c r="M1291" s="23">
        <v>8</v>
      </c>
      <c r="N1291" s="23">
        <v>-64.69</v>
      </c>
      <c r="O1291" s="31">
        <v>-1.23E-2</v>
      </c>
      <c r="P1291" s="31">
        <v>3.0999999999999999E-3</v>
      </c>
      <c r="Q1291" s="23" t="s">
        <v>24</v>
      </c>
      <c r="R1291" s="23">
        <v>0</v>
      </c>
      <c r="S1291" s="23">
        <v>49.78</v>
      </c>
      <c r="U1291" s="47">
        <f>VLOOKUP(AU1291,[1]expiry_dates!$B$2:$C$2894,2,FALSE)</f>
        <v>44497</v>
      </c>
      <c r="V1291" s="23" t="s">
        <v>123</v>
      </c>
      <c r="W1291" s="23" t="s">
        <v>23</v>
      </c>
      <c r="X1291" s="49">
        <v>44482.447916666664</v>
      </c>
      <c r="Y1291" s="23">
        <v>2.4</v>
      </c>
      <c r="Z1291" s="23">
        <v>44482.520833333336</v>
      </c>
      <c r="AA1291" s="23">
        <v>2.7</v>
      </c>
      <c r="AB1291" s="23">
        <v>0.125</v>
      </c>
      <c r="AC1291" s="23">
        <v>-8712.2099999999991</v>
      </c>
      <c r="AD1291" s="23">
        <v>-0.125</v>
      </c>
      <c r="AE1291" s="23">
        <v>29040.7</v>
      </c>
      <c r="AF1291" s="23">
        <v>69697.679999999993</v>
      </c>
      <c r="AG1291" s="23">
        <v>3929341.38</v>
      </c>
      <c r="AH1291" s="23">
        <v>8</v>
      </c>
      <c r="AI1291" s="23">
        <v>-1089.03</v>
      </c>
      <c r="AJ1291" s="23">
        <v>-0.125</v>
      </c>
      <c r="AK1291" s="23">
        <v>2.0799999999999999E-2</v>
      </c>
      <c r="AL1291" s="23" t="s">
        <v>24</v>
      </c>
      <c r="AM1291" s="23">
        <v>48.85</v>
      </c>
      <c r="AN1291" s="23">
        <v>38670.949999999997</v>
      </c>
      <c r="AO1291" s="23">
        <v>49.78</v>
      </c>
      <c r="AP1291" s="23">
        <v>0</v>
      </c>
      <c r="AR1291" s="46"/>
      <c r="AS1291" s="44"/>
      <c r="AT1291" s="45"/>
      <c r="AU1291" s="2">
        <v>44482</v>
      </c>
      <c r="AV1291" s="52">
        <v>0.44791666666666669</v>
      </c>
      <c r="AW1291" s="2" t="s">
        <v>212</v>
      </c>
      <c r="AY1291" s="3"/>
      <c r="BA1291" s="3"/>
      <c r="BG1291" s="3"/>
      <c r="BH1291" s="3"/>
    </row>
    <row r="1292" spans="1:60">
      <c r="A1292" s="23" t="s">
        <v>22</v>
      </c>
      <c r="B1292" s="23" t="s">
        <v>25</v>
      </c>
      <c r="C1292" s="27">
        <v>44482.520833333336</v>
      </c>
      <c r="D1292" s="23">
        <v>49.35</v>
      </c>
      <c r="E1292" s="27">
        <v>44482.583333333336</v>
      </c>
      <c r="F1292" s="23">
        <v>49.05</v>
      </c>
      <c r="G1292" s="31">
        <v>-6.1000000000000004E-3</v>
      </c>
      <c r="H1292" s="23">
        <v>-307.35000000000002</v>
      </c>
      <c r="I1292" s="31">
        <v>-6.1000000000000004E-3</v>
      </c>
      <c r="J1292" s="23">
        <v>1024.4970000000001</v>
      </c>
      <c r="K1292" s="23">
        <v>50558.94</v>
      </c>
      <c r="L1292" s="23">
        <v>111377.32</v>
      </c>
      <c r="M1292" s="23">
        <v>7</v>
      </c>
      <c r="N1292" s="23">
        <v>-43.91</v>
      </c>
      <c r="O1292" s="31">
        <v>-6.1000000000000004E-3</v>
      </c>
      <c r="P1292" s="31">
        <v>8.0999999999999996E-3</v>
      </c>
      <c r="Q1292" s="23" t="s">
        <v>24</v>
      </c>
      <c r="R1292" s="23">
        <v>0</v>
      </c>
      <c r="S1292" s="23">
        <v>48.72</v>
      </c>
      <c r="U1292" s="47">
        <f>VLOOKUP(AU1292,[1]expiry_dates!$B$2:$C$2894,2,FALSE)</f>
        <v>44497</v>
      </c>
      <c r="V1292" s="23" t="s">
        <v>122</v>
      </c>
      <c r="W1292" s="23" t="s">
        <v>23</v>
      </c>
      <c r="X1292" s="49">
        <v>44482.520833333336</v>
      </c>
      <c r="Y1292" s="23">
        <v>2.15</v>
      </c>
      <c r="Z1292" s="23">
        <v>44482.583333333336</v>
      </c>
      <c r="AA1292" s="23">
        <v>2.4</v>
      </c>
      <c r="AB1292" s="23">
        <v>0.1163</v>
      </c>
      <c r="AC1292" s="23">
        <v>-8099.3</v>
      </c>
      <c r="AD1292" s="23">
        <v>-0.1163</v>
      </c>
      <c r="AE1292" s="23">
        <v>32397.19</v>
      </c>
      <c r="AF1292" s="23">
        <v>69653.97</v>
      </c>
      <c r="AG1292" s="23">
        <v>3921242.08</v>
      </c>
      <c r="AH1292" s="23">
        <v>7</v>
      </c>
      <c r="AI1292" s="23">
        <v>-1157.04</v>
      </c>
      <c r="AJ1292" s="23">
        <v>-0.1163</v>
      </c>
      <c r="AK1292" s="23">
        <v>2.3300000000000001E-2</v>
      </c>
      <c r="AL1292" s="23" t="s">
        <v>24</v>
      </c>
      <c r="AM1292" s="23">
        <v>49.35</v>
      </c>
      <c r="AN1292" s="23">
        <v>38707</v>
      </c>
      <c r="AO1292" s="23">
        <v>48.72</v>
      </c>
      <c r="AP1292" s="23">
        <v>0</v>
      </c>
      <c r="AR1292" s="46"/>
      <c r="AS1292" s="44"/>
      <c r="AT1292" s="45"/>
      <c r="AU1292" s="2">
        <v>44482</v>
      </c>
      <c r="AV1292" s="52">
        <v>0.52083333333333337</v>
      </c>
      <c r="AW1292" s="2" t="s">
        <v>213</v>
      </c>
      <c r="AY1292" s="3"/>
      <c r="BA1292" s="3"/>
      <c r="BG1292" s="3"/>
      <c r="BH1292" s="3"/>
    </row>
    <row r="1293" spans="1:60">
      <c r="A1293" s="23" t="s">
        <v>22</v>
      </c>
      <c r="B1293" s="23" t="s">
        <v>23</v>
      </c>
      <c r="C1293" s="27">
        <v>44482.583333333336</v>
      </c>
      <c r="D1293" s="23">
        <v>49.05</v>
      </c>
      <c r="E1293" s="27">
        <v>44483.395833333336</v>
      </c>
      <c r="F1293" s="23">
        <v>49.45</v>
      </c>
      <c r="G1293" s="31">
        <v>8.2000000000000007E-3</v>
      </c>
      <c r="H1293" s="23">
        <v>-412.29</v>
      </c>
      <c r="I1293" s="31">
        <v>-8.2000000000000007E-3</v>
      </c>
      <c r="J1293" s="23">
        <v>1030.7370000000001</v>
      </c>
      <c r="K1293" s="23">
        <v>50557.65</v>
      </c>
      <c r="L1293" s="23">
        <v>110965.02</v>
      </c>
      <c r="M1293" s="23">
        <v>11</v>
      </c>
      <c r="N1293" s="23">
        <v>-37.479999999999997</v>
      </c>
      <c r="O1293" s="31">
        <v>-8.2000000000000007E-3</v>
      </c>
      <c r="P1293" s="31">
        <v>6.1000000000000004E-3</v>
      </c>
      <c r="Q1293" s="23" t="s">
        <v>24</v>
      </c>
      <c r="R1293" s="23">
        <v>0</v>
      </c>
      <c r="S1293" s="23">
        <v>49.73</v>
      </c>
      <c r="U1293" s="47">
        <f>VLOOKUP(AU1293,[1]expiry_dates!$B$2:$C$2894,2,FALSE)</f>
        <v>44497</v>
      </c>
      <c r="V1293" s="23" t="s">
        <v>123</v>
      </c>
      <c r="W1293" s="23" t="s">
        <v>23</v>
      </c>
      <c r="X1293" s="49">
        <v>44482.583333333336</v>
      </c>
      <c r="Y1293" s="23">
        <v>2.6</v>
      </c>
      <c r="Z1293" s="23">
        <v>44483.395833333336</v>
      </c>
      <c r="AA1293" s="23">
        <v>2.75</v>
      </c>
      <c r="AB1293" s="23">
        <v>5.7700000000000001E-2</v>
      </c>
      <c r="AC1293" s="23">
        <v>-4017.14</v>
      </c>
      <c r="AD1293" s="23">
        <v>-5.7700000000000001E-2</v>
      </c>
      <c r="AE1293" s="23">
        <v>26780.959999999999</v>
      </c>
      <c r="AF1293" s="23">
        <v>69630.509999999995</v>
      </c>
      <c r="AG1293" s="23">
        <v>3917224.94</v>
      </c>
      <c r="AH1293" s="23">
        <v>11</v>
      </c>
      <c r="AI1293" s="23">
        <v>-365.19</v>
      </c>
      <c r="AJ1293" s="23">
        <v>-5.7700000000000001E-2</v>
      </c>
      <c r="AK1293" s="23">
        <v>7.6899999999999996E-2</v>
      </c>
      <c r="AL1293" s="23" t="s">
        <v>24</v>
      </c>
      <c r="AM1293" s="23">
        <v>49.05</v>
      </c>
      <c r="AN1293" s="23">
        <v>38667.800000000003</v>
      </c>
      <c r="AO1293" s="23">
        <v>49.73</v>
      </c>
      <c r="AP1293" s="23">
        <v>0</v>
      </c>
      <c r="AR1293" s="46"/>
      <c r="AS1293" s="44"/>
      <c r="AT1293" s="45"/>
      <c r="AU1293" s="2">
        <v>44482</v>
      </c>
      <c r="AV1293" s="52">
        <v>8.3333333333333329E-2</v>
      </c>
      <c r="AW1293" s="2" t="s">
        <v>213</v>
      </c>
      <c r="AY1293" s="3"/>
      <c r="BA1293" s="3"/>
      <c r="BG1293" s="3"/>
      <c r="BH1293" s="3"/>
    </row>
    <row r="1294" spans="1:60">
      <c r="A1294" s="23" t="s">
        <v>22</v>
      </c>
      <c r="B1294" s="23" t="s">
        <v>25</v>
      </c>
      <c r="C1294" s="27">
        <v>44483.395833333336</v>
      </c>
      <c r="D1294" s="23">
        <v>49.45</v>
      </c>
      <c r="E1294" s="27">
        <v>44483.53125</v>
      </c>
      <c r="F1294" s="23">
        <v>49.3</v>
      </c>
      <c r="G1294" s="31">
        <v>-3.0000000000000001E-3</v>
      </c>
      <c r="H1294" s="23">
        <v>-153.36000000000001</v>
      </c>
      <c r="I1294" s="31">
        <v>-3.0000000000000001E-3</v>
      </c>
      <c r="J1294" s="23">
        <v>1022.389</v>
      </c>
      <c r="K1294" s="23">
        <v>50557.14</v>
      </c>
      <c r="L1294" s="23">
        <v>110811.66</v>
      </c>
      <c r="M1294" s="23">
        <v>14</v>
      </c>
      <c r="N1294" s="23">
        <v>-10.95</v>
      </c>
      <c r="O1294" s="31">
        <v>-9.1000000000000004E-3</v>
      </c>
      <c r="P1294" s="31">
        <v>7.1000000000000004E-3</v>
      </c>
      <c r="Q1294" s="23" t="s">
        <v>24</v>
      </c>
      <c r="R1294" s="23">
        <v>0</v>
      </c>
      <c r="S1294" s="23">
        <v>48.77</v>
      </c>
      <c r="U1294" s="47">
        <f>VLOOKUP(AU1294,[1]expiry_dates!$B$2:$C$2894,2,FALSE)</f>
        <v>44497</v>
      </c>
      <c r="V1294" s="23" t="s">
        <v>122</v>
      </c>
      <c r="W1294" s="23" t="s">
        <v>23</v>
      </c>
      <c r="X1294" s="49">
        <v>44483.395833333336</v>
      </c>
      <c r="Y1294" s="23">
        <v>2.15</v>
      </c>
      <c r="Z1294" s="23">
        <v>44483.53125</v>
      </c>
      <c r="AA1294" s="23">
        <v>2.2000000000000002</v>
      </c>
      <c r="AB1294" s="23">
        <v>2.3300000000000001E-2</v>
      </c>
      <c r="AC1294" s="23">
        <v>-1618.9</v>
      </c>
      <c r="AD1294" s="23">
        <v>-2.3300000000000001E-2</v>
      </c>
      <c r="AE1294" s="23">
        <v>32378.09</v>
      </c>
      <c r="AF1294" s="23">
        <v>69612.91</v>
      </c>
      <c r="AG1294" s="23">
        <v>3915606.03</v>
      </c>
      <c r="AH1294" s="23">
        <v>14</v>
      </c>
      <c r="AI1294" s="23">
        <v>-115.64</v>
      </c>
      <c r="AJ1294" s="23">
        <v>-0.1163</v>
      </c>
      <c r="AK1294" s="23">
        <v>4.65E-2</v>
      </c>
      <c r="AL1294" s="23" t="s">
        <v>24</v>
      </c>
      <c r="AM1294" s="23">
        <v>49.45</v>
      </c>
      <c r="AN1294" s="23">
        <v>38856.25</v>
      </c>
      <c r="AO1294" s="23">
        <v>48.77</v>
      </c>
      <c r="AP1294" s="23">
        <v>0</v>
      </c>
      <c r="AR1294" s="46"/>
      <c r="AS1294" s="44"/>
      <c r="AT1294" s="45"/>
      <c r="AU1294" s="2">
        <v>44483</v>
      </c>
      <c r="AV1294" s="52">
        <v>0.39583333333333331</v>
      </c>
      <c r="AW1294" s="2" t="s">
        <v>212</v>
      </c>
      <c r="AY1294" s="3"/>
      <c r="BA1294" s="3"/>
      <c r="BG1294" s="3"/>
      <c r="BH1294" s="3"/>
    </row>
    <row r="1295" spans="1:60">
      <c r="A1295" s="23" t="s">
        <v>22</v>
      </c>
      <c r="B1295" s="23" t="s">
        <v>23</v>
      </c>
      <c r="C1295" s="27">
        <v>44483.53125</v>
      </c>
      <c r="D1295" s="23">
        <v>49.3</v>
      </c>
      <c r="E1295" s="27">
        <v>44483.59375</v>
      </c>
      <c r="F1295" s="23">
        <v>49.5</v>
      </c>
      <c r="G1295" s="31">
        <v>4.1000000000000003E-3</v>
      </c>
      <c r="H1295" s="23">
        <v>-205.09</v>
      </c>
      <c r="I1295" s="31">
        <v>-4.1000000000000003E-3</v>
      </c>
      <c r="J1295" s="23">
        <v>1025.443</v>
      </c>
      <c r="K1295" s="23">
        <v>50554.32</v>
      </c>
      <c r="L1295" s="23">
        <v>110606.58</v>
      </c>
      <c r="M1295" s="23">
        <v>7</v>
      </c>
      <c r="N1295" s="23">
        <v>-29.3</v>
      </c>
      <c r="O1295" s="31">
        <v>-4.1000000000000003E-3</v>
      </c>
      <c r="P1295" s="31">
        <v>8.0999999999999996E-3</v>
      </c>
      <c r="Q1295" s="23" t="s">
        <v>24</v>
      </c>
      <c r="R1295" s="23">
        <v>0</v>
      </c>
      <c r="S1295" s="23">
        <v>49.78</v>
      </c>
      <c r="U1295" s="47">
        <f>VLOOKUP(AU1295,[1]expiry_dates!$B$2:$C$2894,2,FALSE)</f>
        <v>44497</v>
      </c>
      <c r="V1295" s="23" t="s">
        <v>123</v>
      </c>
      <c r="W1295" s="23" t="s">
        <v>23</v>
      </c>
      <c r="X1295" s="49">
        <v>44483.53125</v>
      </c>
      <c r="Y1295" s="23">
        <v>2.6</v>
      </c>
      <c r="Z1295" s="23">
        <v>44483.59375</v>
      </c>
      <c r="AA1295" s="23">
        <v>2.7</v>
      </c>
      <c r="AB1295" s="23">
        <v>3.85E-2</v>
      </c>
      <c r="AC1295" s="23">
        <v>-2676.7</v>
      </c>
      <c r="AD1295" s="23">
        <v>-3.85E-2</v>
      </c>
      <c r="AE1295" s="23">
        <v>26767.01</v>
      </c>
      <c r="AF1295" s="23">
        <v>69594.22</v>
      </c>
      <c r="AG1295" s="23">
        <v>3912929.33</v>
      </c>
      <c r="AH1295" s="23">
        <v>7</v>
      </c>
      <c r="AI1295" s="23">
        <v>-382.39</v>
      </c>
      <c r="AJ1295" s="23">
        <v>-3.85E-2</v>
      </c>
      <c r="AK1295" s="23">
        <v>7.6899999999999996E-2</v>
      </c>
      <c r="AL1295" s="23" t="s">
        <v>24</v>
      </c>
      <c r="AM1295" s="23">
        <v>49.3</v>
      </c>
      <c r="AN1295" s="23">
        <v>38868.75</v>
      </c>
      <c r="AO1295" s="23">
        <v>49.78</v>
      </c>
      <c r="AP1295" s="23">
        <v>0</v>
      </c>
      <c r="AR1295" s="46"/>
      <c r="AS1295" s="44"/>
      <c r="AT1295" s="45"/>
      <c r="AU1295" s="2">
        <v>44483</v>
      </c>
      <c r="AV1295" s="52">
        <v>0.53125</v>
      </c>
      <c r="AW1295" s="2" t="s">
        <v>213</v>
      </c>
      <c r="AY1295" s="3"/>
      <c r="BA1295" s="3"/>
      <c r="BG1295" s="3"/>
      <c r="BH1295" s="3"/>
    </row>
    <row r="1296" spans="1:60">
      <c r="A1296" s="23" t="s">
        <v>22</v>
      </c>
      <c r="B1296" s="23" t="s">
        <v>25</v>
      </c>
      <c r="C1296" s="27">
        <v>44483.59375</v>
      </c>
      <c r="D1296" s="23">
        <v>49.5</v>
      </c>
      <c r="E1296" s="27">
        <v>44487.614583333336</v>
      </c>
      <c r="F1296" s="23">
        <v>51.2</v>
      </c>
      <c r="G1296" s="31">
        <v>3.4299999999999997E-2</v>
      </c>
      <c r="H1296" s="23">
        <v>1736.18</v>
      </c>
      <c r="I1296" s="31">
        <v>3.4299999999999997E-2</v>
      </c>
      <c r="J1296" s="23">
        <v>1021.284</v>
      </c>
      <c r="K1296" s="23">
        <v>50553.55</v>
      </c>
      <c r="L1296" s="23">
        <v>112342.76</v>
      </c>
      <c r="M1296" s="23">
        <v>31</v>
      </c>
      <c r="N1296" s="23">
        <v>56.01</v>
      </c>
      <c r="O1296" s="31">
        <v>-4.0000000000000001E-3</v>
      </c>
      <c r="P1296" s="31">
        <v>4.9500000000000002E-2</v>
      </c>
      <c r="Q1296" s="23" t="s">
        <v>24</v>
      </c>
      <c r="R1296" s="23">
        <v>0</v>
      </c>
      <c r="S1296" s="23">
        <v>48.9</v>
      </c>
      <c r="U1296" s="47">
        <f>VLOOKUP(AU1296,[1]expiry_dates!$B$2:$C$2894,2,FALSE)</f>
        <v>44497</v>
      </c>
      <c r="V1296" s="23" t="s">
        <v>124</v>
      </c>
      <c r="W1296" s="23" t="s">
        <v>23</v>
      </c>
      <c r="X1296" s="49">
        <v>44483.59375</v>
      </c>
      <c r="Y1296" s="23">
        <v>2.6</v>
      </c>
      <c r="Z1296" s="23">
        <v>44487.614583333336</v>
      </c>
      <c r="AA1296" s="23">
        <v>1.45</v>
      </c>
      <c r="AB1296" s="23">
        <v>-0.44230000000000003</v>
      </c>
      <c r="AC1296" s="23">
        <v>30774.9</v>
      </c>
      <c r="AD1296" s="23">
        <v>0.44230000000000003</v>
      </c>
      <c r="AE1296" s="23">
        <v>26760.78</v>
      </c>
      <c r="AF1296" s="23">
        <v>69578.03</v>
      </c>
      <c r="AG1296" s="23">
        <v>3943704.23</v>
      </c>
      <c r="AH1296" s="23">
        <v>31</v>
      </c>
      <c r="AI1296" s="23">
        <v>992.74</v>
      </c>
      <c r="AJ1296" s="23">
        <v>-0.3846</v>
      </c>
      <c r="AK1296" s="23">
        <v>0.53849999999999998</v>
      </c>
      <c r="AL1296" s="23" t="s">
        <v>24</v>
      </c>
      <c r="AM1296" s="23">
        <v>49.5</v>
      </c>
      <c r="AN1296" s="23">
        <v>39252.449999999997</v>
      </c>
      <c r="AO1296" s="23">
        <v>48.9</v>
      </c>
      <c r="AP1296" s="23">
        <v>0</v>
      </c>
      <c r="AR1296" s="46"/>
      <c r="AS1296" s="44"/>
      <c r="AT1296" s="45"/>
      <c r="AU1296" s="2">
        <v>44483</v>
      </c>
      <c r="AV1296" s="52">
        <v>9.375E-2</v>
      </c>
      <c r="AW1296" s="2" t="s">
        <v>213</v>
      </c>
      <c r="AY1296" s="3"/>
      <c r="BA1296" s="3"/>
      <c r="BG1296" s="3"/>
      <c r="BH1296" s="3"/>
    </row>
    <row r="1297" spans="1:60">
      <c r="A1297" s="23" t="s">
        <v>22</v>
      </c>
      <c r="B1297" s="23" t="s">
        <v>23</v>
      </c>
      <c r="C1297" s="27">
        <v>44487.614583333336</v>
      </c>
      <c r="D1297" s="23">
        <v>51.2</v>
      </c>
      <c r="E1297" s="27">
        <v>44489.416666666664</v>
      </c>
      <c r="F1297" s="23">
        <v>49</v>
      </c>
      <c r="G1297" s="31">
        <v>-4.2999999999999997E-2</v>
      </c>
      <c r="H1297" s="23">
        <v>2172.56</v>
      </c>
      <c r="I1297" s="31">
        <v>4.2999999999999997E-2</v>
      </c>
      <c r="J1297" s="23">
        <v>987.52840000000003</v>
      </c>
      <c r="K1297" s="23">
        <v>50561.46</v>
      </c>
      <c r="L1297" s="23">
        <v>114515.32</v>
      </c>
      <c r="M1297" s="23">
        <v>38</v>
      </c>
      <c r="N1297" s="23">
        <v>57.17</v>
      </c>
      <c r="O1297" s="31">
        <v>-7.7999999999999996E-3</v>
      </c>
      <c r="P1297" s="31">
        <v>6.8400000000000002E-2</v>
      </c>
      <c r="Q1297" s="23" t="s">
        <v>24</v>
      </c>
      <c r="R1297" s="23">
        <v>0</v>
      </c>
      <c r="S1297" s="23">
        <v>51.93</v>
      </c>
      <c r="U1297" s="47">
        <f>VLOOKUP(AU1297,[1]expiry_dates!$B$2:$C$2894,2,FALSE)</f>
        <v>44497</v>
      </c>
      <c r="V1297" s="23" t="s">
        <v>119</v>
      </c>
      <c r="W1297" s="23" t="s">
        <v>23</v>
      </c>
      <c r="X1297" s="49">
        <v>44487.614583333336</v>
      </c>
      <c r="Y1297" s="23">
        <v>2.4500000000000002</v>
      </c>
      <c r="Z1297" s="23">
        <v>44489.416666666664</v>
      </c>
      <c r="AA1297" s="23">
        <v>1.35</v>
      </c>
      <c r="AB1297" s="23">
        <v>-0.44900000000000001</v>
      </c>
      <c r="AC1297" s="23">
        <v>31305.200000000001</v>
      </c>
      <c r="AD1297" s="23">
        <v>0.44900000000000001</v>
      </c>
      <c r="AE1297" s="23">
        <v>28459.27</v>
      </c>
      <c r="AF1297" s="23">
        <v>69725.210000000006</v>
      </c>
      <c r="AG1297" s="23">
        <v>3975009.43</v>
      </c>
      <c r="AH1297" s="23">
        <v>38</v>
      </c>
      <c r="AI1297" s="23">
        <v>823.82</v>
      </c>
      <c r="AJ1297" s="23">
        <v>-2.0400000000000001E-2</v>
      </c>
      <c r="AK1297" s="23">
        <v>0.63270000000000004</v>
      </c>
      <c r="AL1297" s="23" t="s">
        <v>24</v>
      </c>
      <c r="AM1297" s="23">
        <v>51.2</v>
      </c>
      <c r="AN1297" s="23">
        <v>39750</v>
      </c>
      <c r="AO1297" s="23">
        <v>51.93</v>
      </c>
      <c r="AP1297" s="23">
        <v>0</v>
      </c>
      <c r="AR1297" s="46"/>
      <c r="AS1297" s="44"/>
      <c r="AT1297" s="45"/>
      <c r="AU1297" s="2">
        <v>44487</v>
      </c>
      <c r="AV1297" s="52">
        <v>0.11458333333333333</v>
      </c>
      <c r="AW1297" s="2" t="s">
        <v>213</v>
      </c>
      <c r="AY1297" s="3"/>
      <c r="BA1297" s="3"/>
      <c r="BG1297" s="3"/>
      <c r="BH1297" s="3"/>
    </row>
    <row r="1298" spans="1:60">
      <c r="A1298" s="23" t="s">
        <v>22</v>
      </c>
      <c r="B1298" s="23" t="s">
        <v>25</v>
      </c>
      <c r="C1298" s="27">
        <v>44489.416666666664</v>
      </c>
      <c r="D1298" s="23">
        <v>49</v>
      </c>
      <c r="E1298" s="27">
        <v>44489.5</v>
      </c>
      <c r="F1298" s="23">
        <v>48.35</v>
      </c>
      <c r="G1298" s="31">
        <v>-1.3299999999999999E-2</v>
      </c>
      <c r="H1298" s="23">
        <v>-670.88</v>
      </c>
      <c r="I1298" s="31">
        <v>-1.3299999999999999E-2</v>
      </c>
      <c r="J1298" s="23">
        <v>1032.1289999999999</v>
      </c>
      <c r="K1298" s="23">
        <v>50574.3</v>
      </c>
      <c r="L1298" s="23">
        <v>113844.44</v>
      </c>
      <c r="M1298" s="23">
        <v>9</v>
      </c>
      <c r="N1298" s="23">
        <v>-74.540000000000006</v>
      </c>
      <c r="O1298" s="31">
        <v>-1.3299999999999999E-2</v>
      </c>
      <c r="P1298" s="31">
        <v>8.2000000000000007E-3</v>
      </c>
      <c r="Q1298" s="23" t="s">
        <v>24</v>
      </c>
      <c r="R1298" s="23">
        <v>0</v>
      </c>
      <c r="S1298" s="23">
        <v>47.77</v>
      </c>
      <c r="U1298" s="47">
        <f>VLOOKUP(AU1298,[1]expiry_dates!$B$2:$C$2894,2,FALSE)</f>
        <v>44497</v>
      </c>
      <c r="V1298" s="23" t="s">
        <v>122</v>
      </c>
      <c r="W1298" s="23" t="s">
        <v>23</v>
      </c>
      <c r="X1298" s="49">
        <v>44489.416666666664</v>
      </c>
      <c r="Y1298" s="23">
        <v>1.9</v>
      </c>
      <c r="Z1298" s="23">
        <v>44489.5</v>
      </c>
      <c r="AA1298" s="23">
        <v>2.1</v>
      </c>
      <c r="AB1298" s="23">
        <v>0.1053</v>
      </c>
      <c r="AC1298" s="23">
        <v>-7357.51</v>
      </c>
      <c r="AD1298" s="23">
        <v>-0.1053</v>
      </c>
      <c r="AE1298" s="23">
        <v>36787.57</v>
      </c>
      <c r="AF1298" s="23">
        <v>69896.39</v>
      </c>
      <c r="AG1298" s="23">
        <v>3967651.91</v>
      </c>
      <c r="AH1298" s="23">
        <v>9</v>
      </c>
      <c r="AI1298" s="23">
        <v>-817.5</v>
      </c>
      <c r="AJ1298" s="23">
        <v>-0.1053</v>
      </c>
      <c r="AK1298" s="23">
        <v>0.15790000000000001</v>
      </c>
      <c r="AL1298" s="23" t="s">
        <v>24</v>
      </c>
      <c r="AM1298" s="23">
        <v>49</v>
      </c>
      <c r="AN1298" s="23">
        <v>39649.449999999997</v>
      </c>
      <c r="AO1298" s="23">
        <v>47.77</v>
      </c>
      <c r="AP1298" s="23">
        <v>0</v>
      </c>
      <c r="AR1298" s="46"/>
      <c r="AS1298" s="44"/>
      <c r="AT1298" s="45"/>
      <c r="AU1298" s="2">
        <v>44489</v>
      </c>
      <c r="AV1298" s="52">
        <v>0.41666666666666669</v>
      </c>
      <c r="AW1298" s="2" t="s">
        <v>212</v>
      </c>
      <c r="AY1298" s="3"/>
      <c r="BA1298" s="3"/>
      <c r="BG1298" s="3"/>
      <c r="BH1298" s="3"/>
    </row>
    <row r="1299" spans="1:60">
      <c r="A1299" s="23" t="s">
        <v>22</v>
      </c>
      <c r="B1299" s="23" t="s">
        <v>23</v>
      </c>
      <c r="C1299" s="27">
        <v>44489.5</v>
      </c>
      <c r="D1299" s="23">
        <v>48.35</v>
      </c>
      <c r="E1299" s="27">
        <v>44489.625</v>
      </c>
      <c r="F1299" s="23">
        <v>48.65</v>
      </c>
      <c r="G1299" s="31">
        <v>6.1999999999999998E-3</v>
      </c>
      <c r="H1299" s="23">
        <v>-313.77999999999997</v>
      </c>
      <c r="I1299" s="31">
        <v>-6.1999999999999998E-3</v>
      </c>
      <c r="J1299" s="23">
        <v>1045.931</v>
      </c>
      <c r="K1299" s="23">
        <v>50570.77</v>
      </c>
      <c r="L1299" s="23">
        <v>113530.66</v>
      </c>
      <c r="M1299" s="23">
        <v>13</v>
      </c>
      <c r="N1299" s="23">
        <v>-24.14</v>
      </c>
      <c r="O1299" s="31">
        <v>-9.2999999999999992E-3</v>
      </c>
      <c r="P1299" s="31">
        <v>7.1999999999999998E-3</v>
      </c>
      <c r="Q1299" s="23" t="s">
        <v>24</v>
      </c>
      <c r="R1299" s="23">
        <v>0</v>
      </c>
      <c r="S1299" s="23">
        <v>49.38</v>
      </c>
      <c r="U1299" s="47">
        <f>VLOOKUP(AU1299,[1]expiry_dates!$B$2:$C$2894,2,FALSE)</f>
        <v>44497</v>
      </c>
      <c r="V1299" s="23" t="s">
        <v>106</v>
      </c>
      <c r="W1299" s="23" t="s">
        <v>23</v>
      </c>
      <c r="X1299" s="49">
        <v>44489.5</v>
      </c>
      <c r="Y1299" s="23">
        <v>2.1</v>
      </c>
      <c r="Z1299" s="23">
        <v>44489.625</v>
      </c>
      <c r="AA1299" s="23">
        <v>2.15</v>
      </c>
      <c r="AB1299" s="23">
        <v>2.3800000000000002E-2</v>
      </c>
      <c r="AC1299" s="23">
        <v>-1663.25</v>
      </c>
      <c r="AD1299" s="23">
        <v>-2.3800000000000002E-2</v>
      </c>
      <c r="AE1299" s="23">
        <v>33265.07</v>
      </c>
      <c r="AF1299" s="23">
        <v>69856.66</v>
      </c>
      <c r="AG1299" s="23">
        <v>3965988.66</v>
      </c>
      <c r="AH1299" s="23">
        <v>13</v>
      </c>
      <c r="AI1299" s="23">
        <v>-127.94</v>
      </c>
      <c r="AJ1299" s="23">
        <v>-9.5200000000000007E-2</v>
      </c>
      <c r="AK1299" s="23">
        <v>9.5200000000000007E-2</v>
      </c>
      <c r="AL1299" s="23" t="s">
        <v>24</v>
      </c>
      <c r="AM1299" s="23">
        <v>48.35</v>
      </c>
      <c r="AN1299" s="23">
        <v>39491.15</v>
      </c>
      <c r="AO1299" s="23">
        <v>49.38</v>
      </c>
      <c r="AP1299" s="23">
        <v>0</v>
      </c>
      <c r="AR1299" s="46"/>
      <c r="AS1299" s="44"/>
      <c r="AT1299" s="45"/>
      <c r="AU1299" s="2">
        <v>44489</v>
      </c>
      <c r="AV1299" s="52">
        <v>0.5</v>
      </c>
      <c r="AW1299" s="2" t="s">
        <v>213</v>
      </c>
      <c r="AY1299" s="3"/>
      <c r="BA1299" s="3"/>
      <c r="BG1299" s="3"/>
      <c r="BH1299" s="3"/>
    </row>
    <row r="1300" spans="1:60">
      <c r="A1300" s="23" t="s">
        <v>22</v>
      </c>
      <c r="B1300" s="23" t="s">
        <v>25</v>
      </c>
      <c r="C1300" s="27">
        <v>44489.625</v>
      </c>
      <c r="D1300" s="23">
        <v>48.65</v>
      </c>
      <c r="E1300" s="27">
        <v>44490.447916666664</v>
      </c>
      <c r="F1300" s="23">
        <v>48.55</v>
      </c>
      <c r="G1300" s="31">
        <v>-2.0999999999999999E-3</v>
      </c>
      <c r="H1300" s="23">
        <v>-103.94</v>
      </c>
      <c r="I1300" s="31">
        <v>-2.0999999999999999E-3</v>
      </c>
      <c r="J1300" s="23">
        <v>1039.4169999999999</v>
      </c>
      <c r="K1300" s="23">
        <v>50567.66</v>
      </c>
      <c r="L1300" s="23">
        <v>113426.72</v>
      </c>
      <c r="M1300" s="23">
        <v>12</v>
      </c>
      <c r="N1300" s="23">
        <v>-8.66</v>
      </c>
      <c r="O1300" s="31">
        <v>-3.0999999999999999E-3</v>
      </c>
      <c r="P1300" s="31">
        <v>1.8499999999999999E-2</v>
      </c>
      <c r="Q1300" s="23" t="s">
        <v>24</v>
      </c>
      <c r="R1300" s="23">
        <v>0</v>
      </c>
      <c r="S1300" s="23">
        <v>48.03</v>
      </c>
      <c r="U1300" s="47">
        <f>VLOOKUP(AU1300,[1]expiry_dates!$B$2:$C$2894,2,FALSE)</f>
        <v>44497</v>
      </c>
      <c r="V1300" s="23" t="s">
        <v>108</v>
      </c>
      <c r="W1300" s="23" t="s">
        <v>23</v>
      </c>
      <c r="X1300" s="49">
        <v>44489.625</v>
      </c>
      <c r="Y1300" s="23">
        <v>1.35</v>
      </c>
      <c r="Z1300" s="23">
        <v>44490.447916666664</v>
      </c>
      <c r="AA1300" s="23">
        <v>1.4</v>
      </c>
      <c r="AB1300" s="23">
        <v>3.6999999999999998E-2</v>
      </c>
      <c r="AC1300" s="23">
        <v>-2585.9899999999998</v>
      </c>
      <c r="AD1300" s="23">
        <v>-3.6999999999999998E-2</v>
      </c>
      <c r="AE1300" s="23">
        <v>51719.72</v>
      </c>
      <c r="AF1300" s="23">
        <v>69821.63</v>
      </c>
      <c r="AG1300" s="23">
        <v>3963402.67</v>
      </c>
      <c r="AH1300" s="23">
        <v>12</v>
      </c>
      <c r="AI1300" s="23">
        <v>-215.5</v>
      </c>
      <c r="AJ1300" s="23">
        <v>-7.4099999999999999E-2</v>
      </c>
      <c r="AK1300" s="23">
        <v>0.14810000000000001</v>
      </c>
      <c r="AL1300" s="23" t="s">
        <v>24</v>
      </c>
      <c r="AM1300" s="23">
        <v>48.65</v>
      </c>
      <c r="AN1300" s="23">
        <v>39510.199999999997</v>
      </c>
      <c r="AO1300" s="23">
        <v>48.03</v>
      </c>
      <c r="AP1300" s="23">
        <v>0</v>
      </c>
      <c r="AR1300" s="46"/>
      <c r="AS1300" s="44"/>
      <c r="AT1300" s="45"/>
      <c r="AU1300" s="2">
        <v>44489</v>
      </c>
      <c r="AV1300" s="52">
        <v>0.125</v>
      </c>
      <c r="AW1300" s="2" t="s">
        <v>213</v>
      </c>
      <c r="AY1300" s="3"/>
      <c r="BA1300" s="3"/>
      <c r="BG1300" s="3"/>
      <c r="BH1300" s="3"/>
    </row>
    <row r="1301" spans="1:60">
      <c r="A1301" s="23" t="s">
        <v>22</v>
      </c>
      <c r="B1301" s="23" t="s">
        <v>23</v>
      </c>
      <c r="C1301" s="27">
        <v>44490.447916666664</v>
      </c>
      <c r="D1301" s="23">
        <v>48.55</v>
      </c>
      <c r="E1301" s="27">
        <v>44490.489583333336</v>
      </c>
      <c r="F1301" s="23">
        <v>49.2</v>
      </c>
      <c r="G1301" s="31">
        <v>1.34E-2</v>
      </c>
      <c r="H1301" s="23">
        <v>-677.03</v>
      </c>
      <c r="I1301" s="31">
        <v>-1.34E-2</v>
      </c>
      <c r="J1301" s="23">
        <v>1041.58</v>
      </c>
      <c r="K1301" s="23">
        <v>50568.7</v>
      </c>
      <c r="L1301" s="23">
        <v>112749.69</v>
      </c>
      <c r="M1301" s="23">
        <v>5</v>
      </c>
      <c r="N1301" s="23">
        <v>-135.41</v>
      </c>
      <c r="O1301" s="31">
        <v>-1.34E-2</v>
      </c>
      <c r="P1301" s="31">
        <v>2.0999999999999999E-3</v>
      </c>
      <c r="Q1301" s="23" t="s">
        <v>24</v>
      </c>
      <c r="R1301" s="23">
        <v>0</v>
      </c>
      <c r="S1301" s="23">
        <v>49.53</v>
      </c>
      <c r="U1301" s="47">
        <f>VLOOKUP(AU1301,[1]expiry_dates!$B$2:$C$2894,2,FALSE)</f>
        <v>44497</v>
      </c>
      <c r="V1301" s="23" t="s">
        <v>123</v>
      </c>
      <c r="W1301" s="23" t="s">
        <v>23</v>
      </c>
      <c r="X1301" s="49">
        <v>44490.447916666664</v>
      </c>
      <c r="Y1301" s="23">
        <v>1.65</v>
      </c>
      <c r="Z1301" s="23">
        <v>44490.489583333336</v>
      </c>
      <c r="AA1301" s="23">
        <v>2</v>
      </c>
      <c r="AB1301" s="23">
        <v>0.21210000000000001</v>
      </c>
      <c r="AC1301" s="23">
        <v>-14817.9</v>
      </c>
      <c r="AD1301" s="23">
        <v>-0.21210000000000001</v>
      </c>
      <c r="AE1301" s="23">
        <v>42336.85</v>
      </c>
      <c r="AF1301" s="23">
        <v>69855.8</v>
      </c>
      <c r="AG1301" s="23">
        <v>3948584.77</v>
      </c>
      <c r="AH1301" s="23">
        <v>5</v>
      </c>
      <c r="AI1301" s="23">
        <v>-2963.58</v>
      </c>
      <c r="AJ1301" s="23">
        <v>-0.21210000000000001</v>
      </c>
      <c r="AK1301" s="23">
        <v>3.0300000000000001E-2</v>
      </c>
      <c r="AL1301" s="23" t="s">
        <v>24</v>
      </c>
      <c r="AM1301" s="23">
        <v>48.55</v>
      </c>
      <c r="AN1301" s="23">
        <v>39558.6</v>
      </c>
      <c r="AO1301" s="23">
        <v>49.53</v>
      </c>
      <c r="AP1301" s="23">
        <v>0</v>
      </c>
      <c r="AR1301" s="46"/>
      <c r="AS1301" s="44"/>
      <c r="AT1301" s="45"/>
      <c r="AU1301" s="2">
        <v>44490</v>
      </c>
      <c r="AV1301" s="52">
        <v>0.44791666666666669</v>
      </c>
      <c r="AW1301" s="2" t="s">
        <v>212</v>
      </c>
      <c r="AY1301" s="3"/>
      <c r="BA1301" s="3"/>
      <c r="BG1301" s="3"/>
      <c r="BH1301" s="3"/>
    </row>
    <row r="1302" spans="1:60">
      <c r="A1302" s="23" t="s">
        <v>22</v>
      </c>
      <c r="B1302" s="23" t="s">
        <v>25</v>
      </c>
      <c r="C1302" s="27">
        <v>44490.489583333336</v>
      </c>
      <c r="D1302" s="23">
        <v>49.2</v>
      </c>
      <c r="E1302" s="27">
        <v>44490.541666666664</v>
      </c>
      <c r="F1302" s="23">
        <v>48.9</v>
      </c>
      <c r="G1302" s="31">
        <v>-6.1000000000000004E-3</v>
      </c>
      <c r="H1302" s="23">
        <v>-308.32</v>
      </c>
      <c r="I1302" s="31">
        <v>-6.1000000000000004E-3</v>
      </c>
      <c r="J1302" s="23">
        <v>1027.7339999999999</v>
      </c>
      <c r="K1302" s="23">
        <v>50564.53</v>
      </c>
      <c r="L1302" s="23">
        <v>112441.37</v>
      </c>
      <c r="M1302" s="23">
        <v>6</v>
      </c>
      <c r="N1302" s="23">
        <v>-51.39</v>
      </c>
      <c r="O1302" s="31">
        <v>-8.0999999999999996E-3</v>
      </c>
      <c r="P1302" s="31">
        <v>6.1000000000000004E-3</v>
      </c>
      <c r="Q1302" s="23" t="s">
        <v>24</v>
      </c>
      <c r="R1302" s="23">
        <v>0</v>
      </c>
      <c r="S1302" s="23">
        <v>48.49</v>
      </c>
      <c r="U1302" s="47">
        <f>VLOOKUP(AU1302,[1]expiry_dates!$B$2:$C$2894,2,FALSE)</f>
        <v>44497</v>
      </c>
      <c r="V1302" s="23" t="s">
        <v>122</v>
      </c>
      <c r="W1302" s="23" t="s">
        <v>23</v>
      </c>
      <c r="X1302" s="49">
        <v>44490.489583333336</v>
      </c>
      <c r="Y1302" s="23">
        <v>1.6</v>
      </c>
      <c r="Z1302" s="23">
        <v>44490.541666666664</v>
      </c>
      <c r="AA1302" s="23">
        <v>1.8</v>
      </c>
      <c r="AB1302" s="23">
        <v>0.125</v>
      </c>
      <c r="AC1302" s="23">
        <v>-8719.19</v>
      </c>
      <c r="AD1302" s="23">
        <v>-0.125</v>
      </c>
      <c r="AE1302" s="23">
        <v>43595.94</v>
      </c>
      <c r="AF1302" s="23">
        <v>69753.509999999995</v>
      </c>
      <c r="AG1302" s="23">
        <v>3939865.59</v>
      </c>
      <c r="AH1302" s="23">
        <v>6</v>
      </c>
      <c r="AI1302" s="23">
        <v>-1453.2</v>
      </c>
      <c r="AJ1302" s="23">
        <v>-0.125</v>
      </c>
      <c r="AK1302" s="23">
        <v>3.1300000000000001E-2</v>
      </c>
      <c r="AL1302" s="23" t="s">
        <v>24</v>
      </c>
      <c r="AM1302" s="23">
        <v>49.2</v>
      </c>
      <c r="AN1302" s="23">
        <v>39590.949999999997</v>
      </c>
      <c r="AO1302" s="23">
        <v>48.49</v>
      </c>
      <c r="AP1302" s="23">
        <v>0</v>
      </c>
      <c r="AR1302" s="46"/>
      <c r="AS1302" s="44"/>
      <c r="AT1302" s="45"/>
      <c r="AU1302" s="2">
        <v>44490</v>
      </c>
      <c r="AV1302" s="52">
        <v>0.48958333333333331</v>
      </c>
      <c r="AW1302" s="2" t="s">
        <v>212</v>
      </c>
      <c r="AY1302" s="3"/>
      <c r="BA1302" s="3"/>
      <c r="BG1302" s="3"/>
      <c r="BH1302" s="3"/>
    </row>
    <row r="1303" spans="1:60">
      <c r="A1303" s="23" t="s">
        <v>22</v>
      </c>
      <c r="B1303" s="23" t="s">
        <v>23</v>
      </c>
      <c r="C1303" s="27">
        <v>44490.541666666664</v>
      </c>
      <c r="D1303" s="23">
        <v>48.9</v>
      </c>
      <c r="E1303" s="27">
        <v>44490.604166666664</v>
      </c>
      <c r="F1303" s="23">
        <v>49.4</v>
      </c>
      <c r="G1303" s="31">
        <v>1.0200000000000001E-2</v>
      </c>
      <c r="H1303" s="23">
        <v>-517</v>
      </c>
      <c r="I1303" s="31">
        <v>-1.0200000000000001E-2</v>
      </c>
      <c r="J1303" s="23">
        <v>1033.9970000000001</v>
      </c>
      <c r="K1303" s="23">
        <v>50562.46</v>
      </c>
      <c r="L1303" s="23">
        <v>111924.37</v>
      </c>
      <c r="M1303" s="23">
        <v>7</v>
      </c>
      <c r="N1303" s="23">
        <v>-73.86</v>
      </c>
      <c r="O1303" s="31">
        <v>-1.0200000000000001E-2</v>
      </c>
      <c r="P1303" s="31">
        <v>7.1999999999999998E-3</v>
      </c>
      <c r="Q1303" s="23" t="s">
        <v>24</v>
      </c>
      <c r="R1303" s="23">
        <v>0</v>
      </c>
      <c r="S1303" s="23">
        <v>49.5</v>
      </c>
      <c r="U1303" s="47">
        <f>VLOOKUP(AU1303,[1]expiry_dates!$B$2:$C$2894,2,FALSE)</f>
        <v>44497</v>
      </c>
      <c r="V1303" s="23" t="s">
        <v>123</v>
      </c>
      <c r="W1303" s="23" t="s">
        <v>23</v>
      </c>
      <c r="X1303" s="49">
        <v>44490.541666666664</v>
      </c>
      <c r="Y1303" s="23">
        <v>1.75</v>
      </c>
      <c r="Z1303" s="23">
        <v>44490.604166666664</v>
      </c>
      <c r="AA1303" s="23">
        <v>2</v>
      </c>
      <c r="AB1303" s="23">
        <v>0.1429</v>
      </c>
      <c r="AC1303" s="23">
        <v>-9960.16</v>
      </c>
      <c r="AD1303" s="23">
        <v>-0.1429</v>
      </c>
      <c r="AE1303" s="23">
        <v>39840.639999999999</v>
      </c>
      <c r="AF1303" s="23">
        <v>69721.13</v>
      </c>
      <c r="AG1303" s="23">
        <v>3929905.42</v>
      </c>
      <c r="AH1303" s="23">
        <v>7</v>
      </c>
      <c r="AI1303" s="23">
        <v>-1422.88</v>
      </c>
      <c r="AJ1303" s="23">
        <v>-0.1429</v>
      </c>
      <c r="AK1303" s="23">
        <v>0.1143</v>
      </c>
      <c r="AL1303" s="23" t="s">
        <v>24</v>
      </c>
      <c r="AM1303" s="23">
        <v>48.9</v>
      </c>
      <c r="AN1303" s="23">
        <v>39628.949999999997</v>
      </c>
      <c r="AO1303" s="23">
        <v>49.5</v>
      </c>
      <c r="AP1303" s="23">
        <v>0</v>
      </c>
      <c r="AR1303" s="46"/>
      <c r="AS1303" s="44"/>
      <c r="AT1303" s="45"/>
      <c r="AU1303" s="2">
        <v>44490</v>
      </c>
      <c r="AV1303" s="52">
        <v>4.1666666666666664E-2</v>
      </c>
      <c r="AW1303" s="2" t="s">
        <v>213</v>
      </c>
      <c r="AY1303" s="3"/>
      <c r="BA1303" s="3"/>
      <c r="BG1303" s="3"/>
      <c r="BH1303" s="3"/>
    </row>
    <row r="1304" spans="1:60">
      <c r="A1304" s="23" t="s">
        <v>22</v>
      </c>
      <c r="B1304" s="23" t="s">
        <v>25</v>
      </c>
      <c r="C1304" s="27">
        <v>44490.604166666664</v>
      </c>
      <c r="D1304" s="23">
        <v>49.4</v>
      </c>
      <c r="E1304" s="27">
        <v>44491.510416666664</v>
      </c>
      <c r="F1304" s="23">
        <v>50.3</v>
      </c>
      <c r="G1304" s="31">
        <v>1.8200000000000001E-2</v>
      </c>
      <c r="H1304" s="23">
        <v>921.17</v>
      </c>
      <c r="I1304" s="31">
        <v>1.8200000000000001E-2</v>
      </c>
      <c r="J1304" s="23">
        <v>1023.526</v>
      </c>
      <c r="K1304" s="23">
        <v>50562.21</v>
      </c>
      <c r="L1304" s="23">
        <v>112845.54</v>
      </c>
      <c r="M1304" s="23">
        <v>20</v>
      </c>
      <c r="N1304" s="23">
        <v>46.06</v>
      </c>
      <c r="O1304" s="31">
        <v>-1.11E-2</v>
      </c>
      <c r="P1304" s="31">
        <v>4.2500000000000003E-2</v>
      </c>
      <c r="Q1304" s="23" t="s">
        <v>24</v>
      </c>
      <c r="R1304" s="23">
        <v>0</v>
      </c>
      <c r="S1304" s="23">
        <v>48.57</v>
      </c>
      <c r="U1304" s="47">
        <f>VLOOKUP(AU1304,[1]expiry_dates!$B$2:$C$2894,2,FALSE)</f>
        <v>44497</v>
      </c>
      <c r="V1304" s="23" t="s">
        <v>122</v>
      </c>
      <c r="W1304" s="23" t="s">
        <v>23</v>
      </c>
      <c r="X1304" s="49">
        <v>44490.604166666664</v>
      </c>
      <c r="Y1304" s="23">
        <v>1.5</v>
      </c>
      <c r="Z1304" s="23">
        <v>44491.510416666664</v>
      </c>
      <c r="AA1304" s="23">
        <v>0.8</v>
      </c>
      <c r="AB1304" s="23">
        <v>-0.4667</v>
      </c>
      <c r="AC1304" s="23">
        <v>32531</v>
      </c>
      <c r="AD1304" s="23">
        <v>0.4667</v>
      </c>
      <c r="AE1304" s="23">
        <v>46472.86</v>
      </c>
      <c r="AF1304" s="23">
        <v>69709.289999999994</v>
      </c>
      <c r="AG1304" s="23">
        <v>3962436.43</v>
      </c>
      <c r="AH1304" s="23">
        <v>20</v>
      </c>
      <c r="AI1304" s="23">
        <v>1626.55</v>
      </c>
      <c r="AJ1304" s="23">
        <v>-0.26669999999999999</v>
      </c>
      <c r="AK1304" s="23">
        <v>0.63329999999999997</v>
      </c>
      <c r="AL1304" s="23" t="s">
        <v>24</v>
      </c>
      <c r="AM1304" s="23">
        <v>49.4</v>
      </c>
      <c r="AN1304" s="23">
        <v>39905.1</v>
      </c>
      <c r="AO1304" s="23">
        <v>48.57</v>
      </c>
      <c r="AP1304" s="23">
        <v>0</v>
      </c>
      <c r="AR1304" s="46"/>
      <c r="AS1304" s="44"/>
      <c r="AT1304" s="45"/>
      <c r="AU1304" s="2">
        <v>44490</v>
      </c>
      <c r="AV1304" s="52">
        <v>0.10416666666666667</v>
      </c>
      <c r="AW1304" s="2" t="s">
        <v>213</v>
      </c>
      <c r="AY1304" s="3"/>
      <c r="BA1304" s="3"/>
      <c r="BG1304" s="3"/>
      <c r="BH1304" s="3"/>
    </row>
    <row r="1305" spans="1:60">
      <c r="A1305" s="23" t="s">
        <v>22</v>
      </c>
      <c r="B1305" s="23" t="s">
        <v>23</v>
      </c>
      <c r="C1305" s="27">
        <v>44491.510416666664</v>
      </c>
      <c r="D1305" s="23">
        <v>50.3</v>
      </c>
      <c r="E1305" s="27">
        <v>44494.489583333336</v>
      </c>
      <c r="F1305" s="23">
        <v>49.7</v>
      </c>
      <c r="G1305" s="31">
        <v>-1.1900000000000001E-2</v>
      </c>
      <c r="H1305" s="23">
        <v>603.15</v>
      </c>
      <c r="I1305" s="31">
        <v>1.1900000000000001E-2</v>
      </c>
      <c r="J1305" s="23">
        <v>1005.258</v>
      </c>
      <c r="K1305" s="23">
        <v>50564.480000000003</v>
      </c>
      <c r="L1305" s="23">
        <v>113448.7</v>
      </c>
      <c r="M1305" s="23">
        <v>27</v>
      </c>
      <c r="N1305" s="23">
        <v>22.34</v>
      </c>
      <c r="O1305" s="31">
        <v>-7.0000000000000001E-3</v>
      </c>
      <c r="P1305" s="31">
        <v>4.2700000000000002E-2</v>
      </c>
      <c r="Q1305" s="23" t="s">
        <v>24</v>
      </c>
      <c r="R1305" s="23">
        <v>0</v>
      </c>
      <c r="S1305" s="23">
        <v>51.47</v>
      </c>
      <c r="U1305" s="47">
        <f>VLOOKUP(AU1305,[1]expiry_dates!$B$2:$C$2894,2,FALSE)</f>
        <v>44497</v>
      </c>
      <c r="V1305" s="23" t="s">
        <v>121</v>
      </c>
      <c r="W1305" s="23" t="s">
        <v>23</v>
      </c>
      <c r="X1305" s="49">
        <v>44491.510416666664</v>
      </c>
      <c r="Y1305" s="23">
        <v>1.8</v>
      </c>
      <c r="Z1305" s="23">
        <v>44494.489583333336</v>
      </c>
      <c r="AA1305" s="23">
        <v>1.1499999999999999</v>
      </c>
      <c r="AB1305" s="23">
        <v>-0.36109999999999998</v>
      </c>
      <c r="AC1305" s="23">
        <v>25209.96</v>
      </c>
      <c r="AD1305" s="23">
        <v>0.36109999999999998</v>
      </c>
      <c r="AE1305" s="23">
        <v>38784.550000000003</v>
      </c>
      <c r="AF1305" s="23">
        <v>69812.179999999993</v>
      </c>
      <c r="AG1305" s="23">
        <v>3987646.38</v>
      </c>
      <c r="AH1305" s="23">
        <v>27</v>
      </c>
      <c r="AI1305" s="23">
        <v>933.7</v>
      </c>
      <c r="AJ1305" s="23">
        <v>-2.7799999999999998E-2</v>
      </c>
      <c r="AK1305" s="23">
        <v>0.69440000000000002</v>
      </c>
      <c r="AL1305" s="23" t="s">
        <v>24</v>
      </c>
      <c r="AM1305" s="23">
        <v>50.3</v>
      </c>
      <c r="AN1305" s="23">
        <v>40418.25</v>
      </c>
      <c r="AO1305" s="23">
        <v>51.47</v>
      </c>
      <c r="AP1305" s="23">
        <v>0</v>
      </c>
      <c r="AR1305" s="46"/>
      <c r="AS1305" s="44"/>
      <c r="AT1305" s="45"/>
      <c r="AU1305" s="2">
        <v>44491</v>
      </c>
      <c r="AV1305" s="52">
        <v>0.51041666666666663</v>
      </c>
      <c r="AW1305" s="2" t="s">
        <v>213</v>
      </c>
      <c r="AY1305" s="3"/>
      <c r="BA1305" s="3"/>
      <c r="BG1305" s="3"/>
      <c r="BH1305" s="3"/>
    </row>
    <row r="1306" spans="1:60">
      <c r="A1306" s="23" t="s">
        <v>22</v>
      </c>
      <c r="B1306" s="23" t="s">
        <v>25</v>
      </c>
      <c r="C1306" s="27">
        <v>44494.489583333336</v>
      </c>
      <c r="D1306" s="23">
        <v>49.7</v>
      </c>
      <c r="E1306" s="27">
        <v>44494.625</v>
      </c>
      <c r="F1306" s="23">
        <v>49.15</v>
      </c>
      <c r="G1306" s="31">
        <v>-1.11E-2</v>
      </c>
      <c r="H1306" s="23">
        <v>-559.61</v>
      </c>
      <c r="I1306" s="31">
        <v>-1.11E-2</v>
      </c>
      <c r="J1306" s="23">
        <v>1017.465</v>
      </c>
      <c r="K1306" s="23">
        <v>50568</v>
      </c>
      <c r="L1306" s="23">
        <v>112889.09</v>
      </c>
      <c r="M1306" s="23">
        <v>14</v>
      </c>
      <c r="N1306" s="23">
        <v>-39.97</v>
      </c>
      <c r="O1306" s="31">
        <v>-1.11E-2</v>
      </c>
      <c r="P1306" s="31">
        <v>1.11E-2</v>
      </c>
      <c r="Q1306" s="23" t="s">
        <v>24</v>
      </c>
      <c r="R1306" s="23">
        <v>0</v>
      </c>
      <c r="S1306" s="23">
        <v>48.21</v>
      </c>
      <c r="U1306" s="47">
        <f>VLOOKUP(AU1306,[1]expiry_dates!$B$2:$C$2894,2,FALSE)</f>
        <v>44497</v>
      </c>
      <c r="V1306" s="23" t="s">
        <v>124</v>
      </c>
      <c r="W1306" s="23" t="s">
        <v>23</v>
      </c>
      <c r="X1306" s="49">
        <v>44494.489583333336</v>
      </c>
      <c r="Y1306" s="23">
        <v>1.55</v>
      </c>
      <c r="Z1306" s="23">
        <v>44494.625</v>
      </c>
      <c r="AA1306" s="23">
        <v>1.55</v>
      </c>
      <c r="AB1306" s="23">
        <v>0</v>
      </c>
      <c r="AC1306" s="23">
        <v>0</v>
      </c>
      <c r="AD1306" s="23">
        <v>0</v>
      </c>
      <c r="AE1306" s="23">
        <v>45140.21</v>
      </c>
      <c r="AF1306" s="23">
        <v>69967.320000000007</v>
      </c>
      <c r="AG1306" s="23">
        <v>3987646.38</v>
      </c>
      <c r="AH1306" s="23">
        <v>14</v>
      </c>
      <c r="AI1306" s="23">
        <v>0</v>
      </c>
      <c r="AJ1306" s="23">
        <v>-6.4500000000000002E-2</v>
      </c>
      <c r="AK1306" s="23">
        <v>0.2581</v>
      </c>
      <c r="AL1306" s="23" t="s">
        <v>24</v>
      </c>
      <c r="AM1306" s="23">
        <v>49.7</v>
      </c>
      <c r="AN1306" s="23">
        <v>41491.800000000003</v>
      </c>
      <c r="AO1306" s="23">
        <v>48.21</v>
      </c>
      <c r="AP1306" s="23">
        <v>0</v>
      </c>
      <c r="AR1306" s="46"/>
      <c r="AS1306" s="44"/>
      <c r="AT1306" s="45"/>
      <c r="AU1306" s="2">
        <v>44494</v>
      </c>
      <c r="AV1306" s="52">
        <v>0.48958333333333331</v>
      </c>
      <c r="AW1306" s="2" t="s">
        <v>212</v>
      </c>
      <c r="AY1306" s="3"/>
      <c r="BA1306" s="3"/>
      <c r="BG1306" s="3"/>
      <c r="BH1306" s="3"/>
    </row>
    <row r="1307" spans="1:60">
      <c r="A1307" s="23" t="s">
        <v>22</v>
      </c>
      <c r="B1307" s="23" t="s">
        <v>23</v>
      </c>
      <c r="C1307" s="27">
        <v>44494.625</v>
      </c>
      <c r="D1307" s="23">
        <v>49.15</v>
      </c>
      <c r="E1307" s="27">
        <v>44495.385416666664</v>
      </c>
      <c r="F1307" s="23">
        <v>50.75</v>
      </c>
      <c r="G1307" s="31">
        <v>3.2599999999999997E-2</v>
      </c>
      <c r="H1307" s="23">
        <v>-1646.11</v>
      </c>
      <c r="I1307" s="31">
        <v>-3.2599999999999997E-2</v>
      </c>
      <c r="J1307" s="23">
        <v>1028.819</v>
      </c>
      <c r="K1307" s="23">
        <v>50566.48</v>
      </c>
      <c r="L1307" s="23">
        <v>111242.98</v>
      </c>
      <c r="M1307" s="23">
        <v>6</v>
      </c>
      <c r="N1307" s="23">
        <v>-274.35000000000002</v>
      </c>
      <c r="O1307" s="31">
        <v>-3.2599999999999997E-2</v>
      </c>
      <c r="P1307" s="31">
        <v>1E-3</v>
      </c>
      <c r="Q1307" s="23" t="s">
        <v>24</v>
      </c>
      <c r="R1307" s="23">
        <v>0</v>
      </c>
      <c r="S1307" s="23">
        <v>50.25</v>
      </c>
      <c r="U1307" s="47">
        <f>VLOOKUP(AU1307,[1]expiry_dates!$B$2:$C$2894,2,FALSE)</f>
        <v>44497</v>
      </c>
      <c r="V1307" s="23" t="s">
        <v>123</v>
      </c>
      <c r="W1307" s="23" t="s">
        <v>23</v>
      </c>
      <c r="X1307" s="49">
        <v>44494.625</v>
      </c>
      <c r="Y1307" s="23">
        <v>1.3</v>
      </c>
      <c r="Z1307" s="23">
        <v>44495.385416666664</v>
      </c>
      <c r="AA1307" s="23">
        <v>2.25</v>
      </c>
      <c r="AB1307" s="23">
        <v>0.73080000000000001</v>
      </c>
      <c r="AC1307" s="23">
        <v>-51125.2</v>
      </c>
      <c r="AD1307" s="23">
        <v>-0.73080000000000001</v>
      </c>
      <c r="AE1307" s="23">
        <v>53816</v>
      </c>
      <c r="AF1307" s="23">
        <v>69960.800000000003</v>
      </c>
      <c r="AG1307" s="23">
        <v>3936521.18</v>
      </c>
      <c r="AH1307" s="23">
        <v>6</v>
      </c>
      <c r="AI1307" s="23">
        <v>-8520.8700000000008</v>
      </c>
      <c r="AJ1307" s="23">
        <v>-0.73080000000000001</v>
      </c>
      <c r="AK1307" s="23">
        <v>3.85E-2</v>
      </c>
      <c r="AL1307" s="23" t="s">
        <v>24</v>
      </c>
      <c r="AM1307" s="23">
        <v>49.15</v>
      </c>
      <c r="AN1307" s="23">
        <v>41144.85</v>
      </c>
      <c r="AO1307" s="23">
        <v>50.25</v>
      </c>
      <c r="AP1307" s="23">
        <v>0</v>
      </c>
      <c r="AR1307" s="46"/>
      <c r="AS1307" s="44"/>
      <c r="AT1307" s="45"/>
      <c r="AU1307" s="2">
        <v>44494</v>
      </c>
      <c r="AV1307" s="52">
        <v>0.125</v>
      </c>
      <c r="AW1307" s="2" t="s">
        <v>213</v>
      </c>
      <c r="AY1307" s="3"/>
      <c r="BA1307" s="3"/>
      <c r="BG1307" s="3"/>
      <c r="BH1307" s="3"/>
    </row>
    <row r="1308" spans="1:60">
      <c r="A1308" s="23" t="s">
        <v>22</v>
      </c>
      <c r="B1308" s="23" t="s">
        <v>25</v>
      </c>
      <c r="C1308" s="27">
        <v>44495.385416666664</v>
      </c>
      <c r="D1308" s="23">
        <v>50.75</v>
      </c>
      <c r="E1308" s="27">
        <v>44496.520833333336</v>
      </c>
      <c r="F1308" s="23">
        <v>52.65</v>
      </c>
      <c r="G1308" s="31">
        <v>3.7400000000000003E-2</v>
      </c>
      <c r="H1308" s="23">
        <v>1892.94</v>
      </c>
      <c r="I1308" s="31">
        <v>3.7400000000000003E-2</v>
      </c>
      <c r="J1308" s="23">
        <v>996.28300000000002</v>
      </c>
      <c r="K1308" s="23">
        <v>50561.36</v>
      </c>
      <c r="L1308" s="23">
        <v>113135.92</v>
      </c>
      <c r="M1308" s="23">
        <v>42</v>
      </c>
      <c r="N1308" s="23">
        <v>45.07</v>
      </c>
      <c r="O1308" s="31">
        <v>-2.3599999999999999E-2</v>
      </c>
      <c r="P1308" s="31">
        <v>5.4199999999999998E-2</v>
      </c>
      <c r="Q1308" s="23" t="s">
        <v>24</v>
      </c>
      <c r="R1308" s="23">
        <v>0</v>
      </c>
      <c r="S1308" s="23">
        <v>49.16</v>
      </c>
      <c r="U1308" s="47">
        <f>VLOOKUP(AU1308,[1]expiry_dates!$B$2:$C$2894,2,FALSE)</f>
        <v>44497</v>
      </c>
      <c r="V1308" s="23" t="s">
        <v>120</v>
      </c>
      <c r="W1308" s="23" t="s">
        <v>23</v>
      </c>
      <c r="X1308" s="49">
        <v>44495.385416666664</v>
      </c>
      <c r="Y1308" s="23">
        <v>1.25</v>
      </c>
      <c r="Z1308" s="23">
        <v>44496.520833333336</v>
      </c>
      <c r="AA1308" s="23">
        <v>0.15</v>
      </c>
      <c r="AB1308" s="23">
        <v>-0.88</v>
      </c>
      <c r="AC1308" s="23">
        <v>61521.96</v>
      </c>
      <c r="AD1308" s="23">
        <v>0.88</v>
      </c>
      <c r="AE1308" s="23">
        <v>55929.06</v>
      </c>
      <c r="AF1308" s="23">
        <v>69911.320000000007</v>
      </c>
      <c r="AG1308" s="23">
        <v>3998043.14</v>
      </c>
      <c r="AH1308" s="23">
        <v>42</v>
      </c>
      <c r="AI1308" s="23">
        <v>1464.81</v>
      </c>
      <c r="AJ1308" s="23">
        <v>-0.48</v>
      </c>
      <c r="AK1308" s="23">
        <v>0.88</v>
      </c>
      <c r="AL1308" s="23" t="s">
        <v>24</v>
      </c>
      <c r="AM1308" s="23">
        <v>50.75</v>
      </c>
      <c r="AN1308" s="23">
        <v>41265.15</v>
      </c>
      <c r="AO1308" s="23">
        <v>49.16</v>
      </c>
      <c r="AP1308" s="23">
        <v>0</v>
      </c>
      <c r="AR1308" s="46"/>
      <c r="AS1308" s="44"/>
      <c r="AT1308" s="45"/>
      <c r="AU1308" s="2">
        <v>44495</v>
      </c>
      <c r="AV1308" s="52">
        <v>0.38541666666666669</v>
      </c>
      <c r="AW1308" s="2" t="s">
        <v>212</v>
      </c>
      <c r="AY1308" s="3"/>
      <c r="BA1308" s="3"/>
      <c r="BG1308" s="3"/>
      <c r="BH1308" s="3"/>
    </row>
    <row r="1309" spans="1:60">
      <c r="A1309" s="23" t="s">
        <v>22</v>
      </c>
      <c r="B1309" s="23" t="s">
        <v>23</v>
      </c>
      <c r="C1309" s="27">
        <v>44496.520833333336</v>
      </c>
      <c r="D1309" s="23">
        <v>52.65</v>
      </c>
      <c r="E1309" s="27">
        <v>44497.697916666664</v>
      </c>
      <c r="F1309" s="23">
        <v>49.55</v>
      </c>
      <c r="G1309" s="31">
        <v>-5.8900000000000001E-2</v>
      </c>
      <c r="H1309" s="23">
        <v>2977.32</v>
      </c>
      <c r="I1309" s="31">
        <v>5.8900000000000001E-2</v>
      </c>
      <c r="J1309" s="23">
        <v>960.42589999999996</v>
      </c>
      <c r="K1309" s="23">
        <v>50566.43</v>
      </c>
      <c r="L1309" s="23">
        <v>116113.24</v>
      </c>
      <c r="M1309" s="23">
        <v>42</v>
      </c>
      <c r="N1309" s="23">
        <v>70.89</v>
      </c>
      <c r="O1309" s="31">
        <v>-1.04E-2</v>
      </c>
      <c r="P1309" s="31">
        <v>6.5500000000000003E-2</v>
      </c>
      <c r="Q1309" s="23" t="s">
        <v>24</v>
      </c>
      <c r="R1309" s="23">
        <v>0</v>
      </c>
      <c r="S1309" s="23">
        <v>53.5</v>
      </c>
      <c r="U1309" s="47">
        <f>VLOOKUP(AU1309,[1]expiry_dates!$B$2:$C$2894,2,FALSE)</f>
        <v>44497</v>
      </c>
      <c r="V1309" s="23" t="s">
        <v>127</v>
      </c>
      <c r="W1309" s="23" t="s">
        <v>23</v>
      </c>
      <c r="X1309" s="49">
        <v>44496.520833333336</v>
      </c>
      <c r="Y1309" s="23">
        <v>0.8</v>
      </c>
      <c r="Z1309" s="23">
        <v>44497.697916666664</v>
      </c>
      <c r="AA1309" s="23">
        <v>0.05</v>
      </c>
      <c r="AB1309" s="23">
        <v>-0.9375</v>
      </c>
      <c r="AC1309" s="23">
        <v>65615.820000000007</v>
      </c>
      <c r="AD1309" s="23">
        <v>0.9375</v>
      </c>
      <c r="AE1309" s="23">
        <v>87487.77</v>
      </c>
      <c r="AF1309" s="23">
        <v>69990.210000000006</v>
      </c>
      <c r="AG1309" s="23">
        <v>4063658.97</v>
      </c>
      <c r="AH1309" s="23">
        <v>42</v>
      </c>
      <c r="AI1309" s="23">
        <v>1562.28</v>
      </c>
      <c r="AJ1309" s="23">
        <v>-0.375</v>
      </c>
      <c r="AK1309" s="23">
        <v>0.9375</v>
      </c>
      <c r="AL1309" s="23" t="s">
        <v>24</v>
      </c>
      <c r="AM1309" s="23">
        <v>52.65</v>
      </c>
      <c r="AN1309" s="23">
        <v>41105.85</v>
      </c>
      <c r="AO1309" s="23">
        <v>53.5</v>
      </c>
      <c r="AP1309" s="23">
        <v>0</v>
      </c>
      <c r="AR1309" s="46"/>
      <c r="AS1309" s="44"/>
      <c r="AT1309" s="45"/>
      <c r="AU1309" s="2">
        <v>44496</v>
      </c>
      <c r="AV1309" s="52">
        <v>0.52083333333333337</v>
      </c>
      <c r="AW1309" s="2" t="s">
        <v>213</v>
      </c>
      <c r="AY1309" s="3"/>
      <c r="BA1309" s="3"/>
      <c r="BG1309" s="3"/>
      <c r="BH1309" s="3"/>
    </row>
    <row r="1310" spans="1:60">
      <c r="A1310" s="23" t="s">
        <v>22</v>
      </c>
      <c r="B1310" s="23" t="s">
        <v>23</v>
      </c>
      <c r="C1310" s="27">
        <v>44498.385416666664</v>
      </c>
      <c r="D1310" s="23">
        <v>48.65</v>
      </c>
      <c r="E1310" s="27">
        <v>44498.4375</v>
      </c>
      <c r="F1310" s="23">
        <v>50</v>
      </c>
      <c r="G1310" s="31">
        <v>2.7699999999999999E-2</v>
      </c>
      <c r="H1310" s="23">
        <v>-1403.57</v>
      </c>
      <c r="I1310" s="31">
        <v>-2.7699999999999999E-2</v>
      </c>
      <c r="J1310" s="23">
        <v>1039.683</v>
      </c>
      <c r="K1310" s="23">
        <v>50580.57</v>
      </c>
      <c r="L1310" s="23">
        <v>114709.67</v>
      </c>
      <c r="M1310" s="23">
        <v>6</v>
      </c>
      <c r="N1310" s="23">
        <v>-233.93</v>
      </c>
      <c r="O1310" s="31">
        <v>-2.7699999999999999E-2</v>
      </c>
      <c r="P1310" s="31">
        <v>1.54E-2</v>
      </c>
      <c r="Q1310" s="23" t="s">
        <v>24</v>
      </c>
      <c r="R1310" s="23">
        <v>0</v>
      </c>
      <c r="S1310" s="23">
        <v>50.62</v>
      </c>
      <c r="U1310" s="47">
        <f>VLOOKUP(AU1310,[1]expiry_dates!$B$2:$C$2894,2,FALSE)</f>
        <v>44525</v>
      </c>
      <c r="V1310" s="23" t="s">
        <v>123</v>
      </c>
      <c r="W1310" s="23" t="s">
        <v>23</v>
      </c>
      <c r="X1310" s="49">
        <v>44498.385416666664</v>
      </c>
      <c r="Y1310" s="23">
        <v>3.2</v>
      </c>
      <c r="Z1310" s="23">
        <v>44498.4375</v>
      </c>
      <c r="AA1310" s="23">
        <v>3.8</v>
      </c>
      <c r="AB1310" s="23">
        <v>0.1875</v>
      </c>
      <c r="AC1310" s="23">
        <v>-13184.68</v>
      </c>
      <c r="AD1310" s="23">
        <v>-0.1875</v>
      </c>
      <c r="AE1310" s="23">
        <v>21974.47</v>
      </c>
      <c r="AF1310" s="23">
        <v>70318.3</v>
      </c>
      <c r="AG1310" s="23">
        <v>4050474.29</v>
      </c>
      <c r="AH1310" s="23">
        <v>6</v>
      </c>
      <c r="AI1310" s="23">
        <v>-2197.4499999999998</v>
      </c>
      <c r="AJ1310" s="23">
        <v>-0.1875</v>
      </c>
      <c r="AK1310" s="23">
        <v>6.25E-2</v>
      </c>
      <c r="AL1310" s="23" t="s">
        <v>24</v>
      </c>
      <c r="AM1310" s="23">
        <v>48.65</v>
      </c>
      <c r="AN1310" s="23">
        <v>38898.1</v>
      </c>
      <c r="AO1310" s="23">
        <v>50.62</v>
      </c>
      <c r="AP1310" s="23">
        <v>0</v>
      </c>
      <c r="AR1310" s="46"/>
      <c r="AS1310" s="44"/>
      <c r="AT1310" s="45"/>
      <c r="AU1310" s="2">
        <v>44498</v>
      </c>
      <c r="AV1310" s="52">
        <v>0.38541666666666669</v>
      </c>
      <c r="AW1310" s="2" t="s">
        <v>212</v>
      </c>
      <c r="AY1310" s="3"/>
      <c r="BA1310" s="3"/>
      <c r="BG1310" s="3"/>
      <c r="BH1310" s="3"/>
    </row>
    <row r="1311" spans="1:60">
      <c r="A1311" s="23" t="s">
        <v>22</v>
      </c>
      <c r="B1311" s="23" t="s">
        <v>25</v>
      </c>
      <c r="C1311" s="27">
        <v>44498.4375</v>
      </c>
      <c r="D1311" s="23">
        <v>50</v>
      </c>
      <c r="E1311" s="27">
        <v>44498.583333333336</v>
      </c>
      <c r="F1311" s="23">
        <v>49.25</v>
      </c>
      <c r="G1311" s="31">
        <v>-1.4999999999999999E-2</v>
      </c>
      <c r="H1311" s="23">
        <v>-758.64</v>
      </c>
      <c r="I1311" s="31">
        <v>-1.4999999999999999E-2</v>
      </c>
      <c r="J1311" s="23">
        <v>1011.523</v>
      </c>
      <c r="K1311" s="23">
        <v>50576.15</v>
      </c>
      <c r="L1311" s="23">
        <v>113951.03</v>
      </c>
      <c r="M1311" s="23">
        <v>15</v>
      </c>
      <c r="N1311" s="23">
        <v>-50.58</v>
      </c>
      <c r="O1311" s="31">
        <v>-1.4999999999999999E-2</v>
      </c>
      <c r="P1311" s="31">
        <v>1.0999999999999999E-2</v>
      </c>
      <c r="Q1311" s="23" t="s">
        <v>24</v>
      </c>
      <c r="R1311" s="23">
        <v>0</v>
      </c>
      <c r="S1311" s="23">
        <v>47.94</v>
      </c>
      <c r="U1311" s="47">
        <f>VLOOKUP(AU1311,[1]expiry_dates!$B$2:$C$2894,2,FALSE)</f>
        <v>44525</v>
      </c>
      <c r="V1311" s="23" t="s">
        <v>124</v>
      </c>
      <c r="W1311" s="23" t="s">
        <v>23</v>
      </c>
      <c r="X1311" s="49">
        <v>44498.4375</v>
      </c>
      <c r="Y1311" s="23">
        <v>3.2</v>
      </c>
      <c r="Z1311" s="23">
        <v>44498.583333333336</v>
      </c>
      <c r="AA1311" s="23">
        <v>3.6</v>
      </c>
      <c r="AB1311" s="23">
        <v>0.125</v>
      </c>
      <c r="AC1311" s="23">
        <v>-8785.67</v>
      </c>
      <c r="AD1311" s="23">
        <v>-0.125</v>
      </c>
      <c r="AE1311" s="23">
        <v>21964.17</v>
      </c>
      <c r="AF1311" s="23">
        <v>70285.34</v>
      </c>
      <c r="AG1311" s="23">
        <v>4041688.62</v>
      </c>
      <c r="AH1311" s="23">
        <v>15</v>
      </c>
      <c r="AI1311" s="23">
        <v>-585.71</v>
      </c>
      <c r="AJ1311" s="23">
        <v>-0.125</v>
      </c>
      <c r="AK1311" s="23">
        <v>9.3700000000000006E-2</v>
      </c>
      <c r="AL1311" s="23" t="s">
        <v>24</v>
      </c>
      <c r="AM1311" s="23">
        <v>50</v>
      </c>
      <c r="AN1311" s="23">
        <v>39676.050000000003</v>
      </c>
      <c r="AO1311" s="23">
        <v>47.94</v>
      </c>
      <c r="AP1311" s="23">
        <v>0</v>
      </c>
      <c r="AR1311" s="46"/>
      <c r="AS1311" s="44"/>
      <c r="AT1311" s="45"/>
      <c r="AU1311" s="2">
        <v>44498</v>
      </c>
      <c r="AV1311" s="52">
        <v>0.4375</v>
      </c>
      <c r="AW1311" s="2" t="s">
        <v>212</v>
      </c>
      <c r="AY1311" s="3"/>
      <c r="BA1311" s="3"/>
      <c r="BG1311" s="3"/>
      <c r="BH1311" s="3"/>
    </row>
    <row r="1312" spans="1:60">
      <c r="A1312" s="23" t="s">
        <v>22</v>
      </c>
      <c r="B1312" s="23" t="s">
        <v>23</v>
      </c>
      <c r="C1312" s="27">
        <v>44498.583333333336</v>
      </c>
      <c r="D1312" s="23">
        <v>49.25</v>
      </c>
      <c r="E1312" s="27">
        <v>44501.385416666664</v>
      </c>
      <c r="F1312" s="23">
        <v>49.8</v>
      </c>
      <c r="G1312" s="31">
        <v>1.12E-2</v>
      </c>
      <c r="H1312" s="23">
        <v>-564.77</v>
      </c>
      <c r="I1312" s="31">
        <v>-1.12E-2</v>
      </c>
      <c r="J1312" s="23">
        <v>1026.848</v>
      </c>
      <c r="K1312" s="23">
        <v>50572.28</v>
      </c>
      <c r="L1312" s="23">
        <v>113386.26</v>
      </c>
      <c r="M1312" s="23">
        <v>10</v>
      </c>
      <c r="N1312" s="23">
        <v>-56.48</v>
      </c>
      <c r="O1312" s="31">
        <v>-2.3400000000000001E-2</v>
      </c>
      <c r="P1312" s="31">
        <v>2E-3</v>
      </c>
      <c r="Q1312" s="23" t="s">
        <v>24</v>
      </c>
      <c r="R1312" s="23">
        <v>0</v>
      </c>
      <c r="S1312" s="23">
        <v>50.55</v>
      </c>
      <c r="U1312" s="47">
        <f>VLOOKUP(AU1312,[1]expiry_dates!$B$2:$C$2894,2,FALSE)</f>
        <v>44525</v>
      </c>
      <c r="V1312" s="23" t="s">
        <v>123</v>
      </c>
      <c r="W1312" s="23" t="s">
        <v>23</v>
      </c>
      <c r="X1312" s="49">
        <v>44498.583333333336</v>
      </c>
      <c r="Y1312" s="23">
        <v>3.4</v>
      </c>
      <c r="Z1312" s="23">
        <v>44501.385416666664</v>
      </c>
      <c r="AA1312" s="23">
        <v>3.2</v>
      </c>
      <c r="AB1312" s="23">
        <v>-5.8799999999999998E-2</v>
      </c>
      <c r="AC1312" s="23">
        <v>4133.1400000000003</v>
      </c>
      <c r="AD1312" s="23">
        <v>5.8799999999999998E-2</v>
      </c>
      <c r="AE1312" s="23">
        <v>20665.689999999999</v>
      </c>
      <c r="AF1312" s="23">
        <v>70263.350000000006</v>
      </c>
      <c r="AG1312" s="23">
        <v>4045821.76</v>
      </c>
      <c r="AH1312" s="23">
        <v>10</v>
      </c>
      <c r="AI1312" s="23">
        <v>413.31</v>
      </c>
      <c r="AJ1312" s="23">
        <v>-0.1618</v>
      </c>
      <c r="AK1312" s="23">
        <v>5.8799999999999998E-2</v>
      </c>
      <c r="AL1312" s="23" t="s">
        <v>24</v>
      </c>
      <c r="AM1312" s="23">
        <v>49.25</v>
      </c>
      <c r="AN1312" s="23">
        <v>38852.199999999997</v>
      </c>
      <c r="AO1312" s="23">
        <v>50.55</v>
      </c>
      <c r="AP1312" s="23">
        <v>0</v>
      </c>
      <c r="AR1312" s="46"/>
      <c r="AS1312" s="44"/>
      <c r="AT1312" s="45"/>
      <c r="AU1312" s="2">
        <v>44498</v>
      </c>
      <c r="AV1312" s="52">
        <v>8.3333333333333329E-2</v>
      </c>
      <c r="AW1312" s="2" t="s">
        <v>213</v>
      </c>
      <c r="AY1312" s="3"/>
      <c r="BA1312" s="3"/>
      <c r="BG1312" s="3"/>
      <c r="BH1312" s="3"/>
    </row>
    <row r="1313" spans="1:60">
      <c r="A1313" s="23" t="s">
        <v>22</v>
      </c>
      <c r="B1313" s="23" t="s">
        <v>25</v>
      </c>
      <c r="C1313" s="27">
        <v>44501.385416666664</v>
      </c>
      <c r="D1313" s="23">
        <v>49.8</v>
      </c>
      <c r="E1313" s="27">
        <v>44501.416666666664</v>
      </c>
      <c r="F1313" s="23">
        <v>49.55</v>
      </c>
      <c r="G1313" s="31">
        <v>-5.0000000000000001E-3</v>
      </c>
      <c r="H1313" s="23">
        <v>-253.83</v>
      </c>
      <c r="I1313" s="31">
        <v>-5.0000000000000001E-3</v>
      </c>
      <c r="J1313" s="23">
        <v>1015.338</v>
      </c>
      <c r="K1313" s="23">
        <v>50563.85</v>
      </c>
      <c r="L1313" s="23">
        <v>113132.42</v>
      </c>
      <c r="M1313" s="23">
        <v>4</v>
      </c>
      <c r="N1313" s="23">
        <v>-63.46</v>
      </c>
      <c r="O1313" s="31">
        <v>-6.0000000000000001E-3</v>
      </c>
      <c r="P1313" s="31">
        <v>2.2100000000000002E-2</v>
      </c>
      <c r="Q1313" s="23" t="s">
        <v>24</v>
      </c>
      <c r="R1313" s="23">
        <v>0</v>
      </c>
      <c r="S1313" s="23">
        <v>49.24</v>
      </c>
      <c r="U1313" s="47">
        <f>VLOOKUP(AU1313,[1]expiry_dates!$B$2:$C$2894,2,FALSE)</f>
        <v>44525</v>
      </c>
      <c r="V1313" s="23" t="s">
        <v>124</v>
      </c>
      <c r="W1313" s="23" t="s">
        <v>23</v>
      </c>
      <c r="X1313" s="49">
        <v>44501.385416666664</v>
      </c>
      <c r="Y1313" s="23">
        <v>3.15</v>
      </c>
      <c r="Z1313" s="23">
        <v>44501.416666666664</v>
      </c>
      <c r="AA1313" s="23">
        <v>3.3</v>
      </c>
      <c r="AB1313" s="23">
        <v>4.7600000000000003E-2</v>
      </c>
      <c r="AC1313" s="23">
        <v>-3342.77</v>
      </c>
      <c r="AD1313" s="23">
        <v>-4.7600000000000003E-2</v>
      </c>
      <c r="AE1313" s="23">
        <v>22285.11</v>
      </c>
      <c r="AF1313" s="23">
        <v>70198.11</v>
      </c>
      <c r="AG1313" s="23">
        <v>4042478.99</v>
      </c>
      <c r="AH1313" s="23">
        <v>4</v>
      </c>
      <c r="AI1313" s="23">
        <v>-835.69</v>
      </c>
      <c r="AJ1313" s="23">
        <v>-4.7600000000000003E-2</v>
      </c>
      <c r="AK1313" s="23">
        <v>0.127</v>
      </c>
      <c r="AL1313" s="23" t="s">
        <v>24</v>
      </c>
      <c r="AM1313" s="23">
        <v>49.8</v>
      </c>
      <c r="AN1313" s="23">
        <v>39316.199999999997</v>
      </c>
      <c r="AO1313" s="23">
        <v>49.24</v>
      </c>
      <c r="AP1313" s="23">
        <v>0</v>
      </c>
      <c r="AR1313" s="46"/>
      <c r="AS1313" s="44"/>
      <c r="AT1313" s="45"/>
      <c r="AU1313" s="2">
        <v>44501</v>
      </c>
      <c r="AV1313" s="52">
        <v>0.38541666666666669</v>
      </c>
      <c r="AW1313" s="2" t="s">
        <v>212</v>
      </c>
      <c r="AY1313" s="3"/>
      <c r="BA1313" s="3"/>
      <c r="BG1313" s="3"/>
      <c r="BH1313" s="3"/>
    </row>
    <row r="1314" spans="1:60">
      <c r="A1314" s="23" t="s">
        <v>22</v>
      </c>
      <c r="B1314" s="23" t="s">
        <v>23</v>
      </c>
      <c r="C1314" s="27">
        <v>44501.416666666664</v>
      </c>
      <c r="D1314" s="23">
        <v>49.55</v>
      </c>
      <c r="E1314" s="27">
        <v>44501.510416666664</v>
      </c>
      <c r="F1314" s="23">
        <v>50.1</v>
      </c>
      <c r="G1314" s="31">
        <v>1.11E-2</v>
      </c>
      <c r="H1314" s="23">
        <v>-561.29</v>
      </c>
      <c r="I1314" s="31">
        <v>-1.11E-2</v>
      </c>
      <c r="J1314" s="23">
        <v>1020.518</v>
      </c>
      <c r="K1314" s="23">
        <v>50566.68</v>
      </c>
      <c r="L1314" s="23">
        <v>112571.14</v>
      </c>
      <c r="M1314" s="23">
        <v>10</v>
      </c>
      <c r="N1314" s="23">
        <v>-56.13</v>
      </c>
      <c r="O1314" s="31">
        <v>-1.11E-2</v>
      </c>
      <c r="P1314" s="31">
        <v>1.01E-2</v>
      </c>
      <c r="Q1314" s="23" t="s">
        <v>24</v>
      </c>
      <c r="R1314" s="23">
        <v>0</v>
      </c>
      <c r="S1314" s="23">
        <v>50.9</v>
      </c>
      <c r="U1314" s="47">
        <f>VLOOKUP(AU1314,[1]expiry_dates!$B$2:$C$2894,2,FALSE)</f>
        <v>44525</v>
      </c>
      <c r="V1314" s="23" t="s">
        <v>121</v>
      </c>
      <c r="W1314" s="23" t="s">
        <v>23</v>
      </c>
      <c r="X1314" s="49">
        <v>44501.416666666664</v>
      </c>
      <c r="Y1314" s="23">
        <v>2.8</v>
      </c>
      <c r="Z1314" s="23">
        <v>44501.510416666664</v>
      </c>
      <c r="AA1314" s="23">
        <v>3</v>
      </c>
      <c r="AB1314" s="23">
        <v>7.1400000000000005E-2</v>
      </c>
      <c r="AC1314" s="23">
        <v>-5017.16</v>
      </c>
      <c r="AD1314" s="23">
        <v>-7.1400000000000005E-2</v>
      </c>
      <c r="AE1314" s="23">
        <v>25085.8</v>
      </c>
      <c r="AF1314" s="23">
        <v>70240.25</v>
      </c>
      <c r="AG1314" s="23">
        <v>4037461.83</v>
      </c>
      <c r="AH1314" s="23">
        <v>10</v>
      </c>
      <c r="AI1314" s="23">
        <v>-501.72</v>
      </c>
      <c r="AJ1314" s="23">
        <v>-7.1400000000000005E-2</v>
      </c>
      <c r="AK1314" s="23">
        <v>5.3600000000000002E-2</v>
      </c>
      <c r="AL1314" s="23" t="s">
        <v>24</v>
      </c>
      <c r="AM1314" s="23">
        <v>49.55</v>
      </c>
      <c r="AN1314" s="23">
        <v>39272.25</v>
      </c>
      <c r="AO1314" s="23">
        <v>50.9</v>
      </c>
      <c r="AP1314" s="23">
        <v>0</v>
      </c>
      <c r="AR1314" s="46"/>
      <c r="AS1314" s="44"/>
      <c r="AT1314" s="45"/>
      <c r="AU1314" s="2">
        <v>44501</v>
      </c>
      <c r="AV1314" s="52">
        <v>0.41666666666666669</v>
      </c>
      <c r="AW1314" s="2" t="s">
        <v>212</v>
      </c>
      <c r="AY1314" s="3"/>
      <c r="BA1314" s="3"/>
      <c r="BG1314" s="3"/>
      <c r="BH1314" s="3"/>
    </row>
    <row r="1315" spans="1:60">
      <c r="A1315" s="23" t="s">
        <v>22</v>
      </c>
      <c r="B1315" s="23" t="s">
        <v>25</v>
      </c>
      <c r="C1315" s="27">
        <v>44501.510416666664</v>
      </c>
      <c r="D1315" s="23">
        <v>50.1</v>
      </c>
      <c r="E1315" s="27">
        <v>44503.427083333336</v>
      </c>
      <c r="F1315" s="23">
        <v>51.9</v>
      </c>
      <c r="G1315" s="31">
        <v>3.5900000000000001E-2</v>
      </c>
      <c r="H1315" s="23">
        <v>1816.67</v>
      </c>
      <c r="I1315" s="31">
        <v>3.5900000000000001E-2</v>
      </c>
      <c r="J1315" s="23">
        <v>1009.259</v>
      </c>
      <c r="K1315" s="23">
        <v>50563.88</v>
      </c>
      <c r="L1315" s="23">
        <v>114387.81</v>
      </c>
      <c r="M1315" s="23">
        <v>49</v>
      </c>
      <c r="N1315" s="23">
        <v>37.07</v>
      </c>
      <c r="O1315" s="31">
        <v>-6.0000000000000001E-3</v>
      </c>
      <c r="P1315" s="31">
        <v>5.0900000000000001E-2</v>
      </c>
      <c r="Q1315" s="23" t="s">
        <v>24</v>
      </c>
      <c r="R1315" s="23">
        <v>0</v>
      </c>
      <c r="S1315" s="23">
        <v>49.05</v>
      </c>
      <c r="U1315" s="47">
        <f>VLOOKUP(AU1315,[1]expiry_dates!$B$2:$C$2894,2,FALSE)</f>
        <v>44525</v>
      </c>
      <c r="V1315" s="23" t="s">
        <v>124</v>
      </c>
      <c r="W1315" s="23" t="s">
        <v>23</v>
      </c>
      <c r="X1315" s="49">
        <v>44501.510416666664</v>
      </c>
      <c r="Y1315" s="23">
        <v>2.75</v>
      </c>
      <c r="Z1315" s="23">
        <v>44503.427083333336</v>
      </c>
      <c r="AA1315" s="23">
        <v>1.5</v>
      </c>
      <c r="AB1315" s="23">
        <v>-0.45450000000000002</v>
      </c>
      <c r="AC1315" s="23">
        <v>31906.17</v>
      </c>
      <c r="AD1315" s="23">
        <v>0.45450000000000002</v>
      </c>
      <c r="AE1315" s="23">
        <v>25524.94</v>
      </c>
      <c r="AF1315" s="23">
        <v>70193.58</v>
      </c>
      <c r="AG1315" s="23">
        <v>4069368</v>
      </c>
      <c r="AH1315" s="23">
        <v>49</v>
      </c>
      <c r="AI1315" s="23">
        <v>651.15</v>
      </c>
      <c r="AJ1315" s="23">
        <v>-3.6400000000000002E-2</v>
      </c>
      <c r="AK1315" s="23">
        <v>0.5091</v>
      </c>
      <c r="AL1315" s="23" t="s">
        <v>24</v>
      </c>
      <c r="AM1315" s="23">
        <v>50.1</v>
      </c>
      <c r="AN1315" s="23">
        <v>39374.9</v>
      </c>
      <c r="AO1315" s="23">
        <v>49.05</v>
      </c>
      <c r="AP1315" s="23">
        <v>0</v>
      </c>
      <c r="AR1315" s="46"/>
      <c r="AS1315" s="44"/>
      <c r="AT1315" s="45"/>
      <c r="AU1315" s="2">
        <v>44501</v>
      </c>
      <c r="AV1315" s="52">
        <v>0.51041666666666663</v>
      </c>
      <c r="AW1315" s="2" t="s">
        <v>213</v>
      </c>
      <c r="AY1315" s="3"/>
      <c r="BA1315" s="3"/>
      <c r="BG1315" s="3"/>
      <c r="BH1315" s="3"/>
    </row>
    <row r="1316" spans="1:60">
      <c r="A1316" s="23" t="s">
        <v>22</v>
      </c>
      <c r="B1316" s="23" t="s">
        <v>23</v>
      </c>
      <c r="C1316" s="27">
        <v>44503.427083333336</v>
      </c>
      <c r="D1316" s="23">
        <v>51.9</v>
      </c>
      <c r="E1316" s="27">
        <v>44508.40625</v>
      </c>
      <c r="F1316" s="23">
        <v>51.4</v>
      </c>
      <c r="G1316" s="31">
        <v>-9.5999999999999992E-3</v>
      </c>
      <c r="H1316" s="23">
        <v>487.22</v>
      </c>
      <c r="I1316" s="31">
        <v>9.5999999999999992E-3</v>
      </c>
      <c r="J1316" s="23">
        <v>974.43060000000003</v>
      </c>
      <c r="K1316" s="23">
        <v>50572.95</v>
      </c>
      <c r="L1316" s="23">
        <v>114875.02</v>
      </c>
      <c r="M1316" s="23">
        <v>34</v>
      </c>
      <c r="N1316" s="23">
        <v>14.33</v>
      </c>
      <c r="O1316" s="31">
        <v>-4.7999999999999996E-3</v>
      </c>
      <c r="P1316" s="31">
        <v>3.1800000000000002E-2</v>
      </c>
      <c r="Q1316" s="23" t="s">
        <v>24</v>
      </c>
      <c r="R1316" s="23">
        <v>0</v>
      </c>
      <c r="S1316" s="23">
        <v>52.63</v>
      </c>
      <c r="U1316" s="47">
        <f>VLOOKUP(AU1316,[1]expiry_dates!$B$2:$C$2894,2,FALSE)</f>
        <v>44525</v>
      </c>
      <c r="V1316" s="23" t="s">
        <v>125</v>
      </c>
      <c r="W1316" s="23" t="s">
        <v>23</v>
      </c>
      <c r="X1316" s="49">
        <v>44503.427083333336</v>
      </c>
      <c r="Y1316" s="23">
        <v>2.6</v>
      </c>
      <c r="Z1316" s="23">
        <v>44508.40625</v>
      </c>
      <c r="AA1316" s="23">
        <v>2.25</v>
      </c>
      <c r="AB1316" s="23">
        <v>-0.1346</v>
      </c>
      <c r="AC1316" s="23">
        <v>9470.6299999999992</v>
      </c>
      <c r="AD1316" s="23">
        <v>0.1346</v>
      </c>
      <c r="AE1316" s="23">
        <v>27058.93</v>
      </c>
      <c r="AF1316" s="23">
        <v>70353.22</v>
      </c>
      <c r="AG1316" s="23">
        <v>4078838.63</v>
      </c>
      <c r="AH1316" s="23">
        <v>34</v>
      </c>
      <c r="AI1316" s="23">
        <v>278.55</v>
      </c>
      <c r="AJ1316" s="23">
        <v>-3.85E-2</v>
      </c>
      <c r="AK1316" s="23">
        <v>0.28849999999999998</v>
      </c>
      <c r="AL1316" s="23" t="s">
        <v>24</v>
      </c>
      <c r="AM1316" s="23">
        <v>51.9</v>
      </c>
      <c r="AN1316" s="23">
        <v>40048.400000000001</v>
      </c>
      <c r="AO1316" s="23">
        <v>52.63</v>
      </c>
      <c r="AP1316" s="23">
        <v>0</v>
      </c>
      <c r="AR1316" s="46"/>
      <c r="AS1316" s="44"/>
      <c r="AT1316" s="45"/>
      <c r="AU1316" s="2">
        <v>44503</v>
      </c>
      <c r="AV1316" s="52">
        <v>0.42708333333333331</v>
      </c>
      <c r="AW1316" s="2" t="s">
        <v>212</v>
      </c>
      <c r="AY1316" s="3"/>
      <c r="BA1316" s="3"/>
      <c r="BG1316" s="3"/>
      <c r="BH1316" s="3"/>
    </row>
    <row r="1317" spans="1:60">
      <c r="A1317" s="23" t="s">
        <v>22</v>
      </c>
      <c r="B1317" s="23" t="s">
        <v>25</v>
      </c>
      <c r="C1317" s="27">
        <v>44508.40625</v>
      </c>
      <c r="D1317" s="23">
        <v>51.4</v>
      </c>
      <c r="E1317" s="27">
        <v>44508.46875</v>
      </c>
      <c r="F1317" s="23">
        <v>50.9</v>
      </c>
      <c r="G1317" s="31">
        <v>-9.7000000000000003E-3</v>
      </c>
      <c r="H1317" s="23">
        <v>-491.97</v>
      </c>
      <c r="I1317" s="31">
        <v>-9.7000000000000003E-3</v>
      </c>
      <c r="J1317" s="23">
        <v>983.93730000000005</v>
      </c>
      <c r="K1317" s="23">
        <v>50574.38</v>
      </c>
      <c r="L1317" s="23">
        <v>114383.05</v>
      </c>
      <c r="M1317" s="23">
        <v>7</v>
      </c>
      <c r="N1317" s="23">
        <v>-70.28</v>
      </c>
      <c r="O1317" s="31">
        <v>-9.7000000000000003E-3</v>
      </c>
      <c r="P1317" s="31">
        <v>4.8999999999999998E-3</v>
      </c>
      <c r="Q1317" s="23" t="s">
        <v>24</v>
      </c>
      <c r="R1317" s="23">
        <v>0</v>
      </c>
      <c r="S1317" s="23">
        <v>50.52</v>
      </c>
      <c r="U1317" s="47">
        <f>VLOOKUP(AU1317,[1]expiry_dates!$B$2:$C$2894,2,FALSE)</f>
        <v>44525</v>
      </c>
      <c r="V1317" s="23" t="s">
        <v>124</v>
      </c>
      <c r="W1317" s="23" t="s">
        <v>23</v>
      </c>
      <c r="X1317" s="49">
        <v>44508.40625</v>
      </c>
      <c r="Y1317" s="23">
        <v>1.6</v>
      </c>
      <c r="Z1317" s="23">
        <v>44508.46875</v>
      </c>
      <c r="AA1317" s="23">
        <v>1.7</v>
      </c>
      <c r="AB1317" s="23">
        <v>6.25E-2</v>
      </c>
      <c r="AC1317" s="23">
        <v>-4399.6400000000003</v>
      </c>
      <c r="AD1317" s="23">
        <v>-6.25E-2</v>
      </c>
      <c r="AE1317" s="23">
        <v>43996.37</v>
      </c>
      <c r="AF1317" s="23">
        <v>70394.2</v>
      </c>
      <c r="AG1317" s="23">
        <v>4074438.99</v>
      </c>
      <c r="AH1317" s="23">
        <v>7</v>
      </c>
      <c r="AI1317" s="23">
        <v>-628.52</v>
      </c>
      <c r="AJ1317" s="23">
        <v>-9.3700000000000006E-2</v>
      </c>
      <c r="AK1317" s="23">
        <v>6.25E-2</v>
      </c>
      <c r="AL1317" s="23" t="s">
        <v>24</v>
      </c>
      <c r="AM1317" s="23">
        <v>51.4</v>
      </c>
      <c r="AN1317" s="23">
        <v>39239.449999999997</v>
      </c>
      <c r="AO1317" s="23">
        <v>50.52</v>
      </c>
      <c r="AP1317" s="23">
        <v>0</v>
      </c>
      <c r="AR1317" s="46"/>
      <c r="AS1317" s="44"/>
      <c r="AT1317" s="45"/>
      <c r="AU1317" s="2">
        <v>44508</v>
      </c>
      <c r="AV1317" s="52">
        <v>0.40625</v>
      </c>
      <c r="AW1317" s="2" t="s">
        <v>212</v>
      </c>
      <c r="AY1317" s="3"/>
      <c r="BA1317" s="3"/>
      <c r="BG1317" s="3"/>
      <c r="BH1317" s="3"/>
    </row>
    <row r="1318" spans="1:60">
      <c r="A1318" s="23" t="s">
        <v>22</v>
      </c>
      <c r="B1318" s="23" t="s">
        <v>23</v>
      </c>
      <c r="C1318" s="27">
        <v>44508.46875</v>
      </c>
      <c r="D1318" s="23">
        <v>50.9</v>
      </c>
      <c r="E1318" s="27">
        <v>44508.583333333336</v>
      </c>
      <c r="F1318" s="23">
        <v>51.35</v>
      </c>
      <c r="G1318" s="31">
        <v>8.8000000000000005E-3</v>
      </c>
      <c r="H1318" s="23">
        <v>-447.11</v>
      </c>
      <c r="I1318" s="31">
        <v>-8.8000000000000005E-3</v>
      </c>
      <c r="J1318" s="23">
        <v>993.56880000000001</v>
      </c>
      <c r="K1318" s="23">
        <v>50572.65</v>
      </c>
      <c r="L1318" s="23">
        <v>113935.95</v>
      </c>
      <c r="M1318" s="23">
        <v>12</v>
      </c>
      <c r="N1318" s="23">
        <v>-37.26</v>
      </c>
      <c r="O1318" s="31">
        <v>-8.8000000000000005E-3</v>
      </c>
      <c r="P1318" s="31">
        <v>2.8999999999999998E-3</v>
      </c>
      <c r="Q1318" s="23" t="s">
        <v>24</v>
      </c>
      <c r="R1318" s="23">
        <v>0</v>
      </c>
      <c r="S1318" s="23">
        <v>51.65</v>
      </c>
      <c r="U1318" s="47">
        <f>VLOOKUP(AU1318,[1]expiry_dates!$B$2:$C$2894,2,FALSE)</f>
        <v>44525</v>
      </c>
      <c r="V1318" s="23" t="s">
        <v>119</v>
      </c>
      <c r="W1318" s="23" t="s">
        <v>23</v>
      </c>
      <c r="X1318" s="49">
        <v>44508.46875</v>
      </c>
      <c r="Y1318" s="23">
        <v>2.4500000000000002</v>
      </c>
      <c r="Z1318" s="23">
        <v>44508.583333333336</v>
      </c>
      <c r="AA1318" s="23">
        <v>2.6</v>
      </c>
      <c r="AB1318" s="23">
        <v>6.1199999999999997E-2</v>
      </c>
      <c r="AC1318" s="23">
        <v>-4308.5</v>
      </c>
      <c r="AD1318" s="23">
        <v>-6.1199999999999997E-2</v>
      </c>
      <c r="AE1318" s="23">
        <v>28723.34</v>
      </c>
      <c r="AF1318" s="23">
        <v>70372.2</v>
      </c>
      <c r="AG1318" s="23">
        <v>4070130.49</v>
      </c>
      <c r="AH1318" s="23">
        <v>12</v>
      </c>
      <c r="AI1318" s="23">
        <v>-359.04</v>
      </c>
      <c r="AJ1318" s="23">
        <v>-6.1199999999999997E-2</v>
      </c>
      <c r="AK1318" s="23">
        <v>2.0400000000000001E-2</v>
      </c>
      <c r="AL1318" s="23" t="s">
        <v>24</v>
      </c>
      <c r="AM1318" s="23">
        <v>50.9</v>
      </c>
      <c r="AN1318" s="23">
        <v>39066</v>
      </c>
      <c r="AO1318" s="23">
        <v>51.65</v>
      </c>
      <c r="AP1318" s="23">
        <v>0</v>
      </c>
      <c r="AR1318" s="46"/>
      <c r="AS1318" s="44"/>
      <c r="AT1318" s="45"/>
      <c r="AU1318" s="2">
        <v>44508</v>
      </c>
      <c r="AV1318" s="52">
        <v>0.46875</v>
      </c>
      <c r="AW1318" s="2" t="s">
        <v>212</v>
      </c>
      <c r="AY1318" s="3"/>
      <c r="BA1318" s="3"/>
      <c r="BG1318" s="3"/>
      <c r="BH1318" s="3"/>
    </row>
    <row r="1319" spans="1:60">
      <c r="A1319" s="23" t="s">
        <v>22</v>
      </c>
      <c r="B1319" s="23" t="s">
        <v>25</v>
      </c>
      <c r="C1319" s="27">
        <v>44508.583333333336</v>
      </c>
      <c r="D1319" s="23">
        <v>51.35</v>
      </c>
      <c r="E1319" s="27">
        <v>44509.5625</v>
      </c>
      <c r="F1319" s="23">
        <v>52.05</v>
      </c>
      <c r="G1319" s="31">
        <v>1.3599999999999999E-2</v>
      </c>
      <c r="H1319" s="23">
        <v>689.38</v>
      </c>
      <c r="I1319" s="31">
        <v>1.3599999999999999E-2</v>
      </c>
      <c r="J1319" s="23">
        <v>984.82809999999995</v>
      </c>
      <c r="K1319" s="23">
        <v>50570.92</v>
      </c>
      <c r="L1319" s="23">
        <v>114625.33</v>
      </c>
      <c r="M1319" s="23">
        <v>27</v>
      </c>
      <c r="N1319" s="23">
        <v>25.53</v>
      </c>
      <c r="O1319" s="31">
        <v>-4.8999999999999998E-3</v>
      </c>
      <c r="P1319" s="31">
        <v>2.3400000000000001E-2</v>
      </c>
      <c r="Q1319" s="23" t="s">
        <v>24</v>
      </c>
      <c r="R1319" s="23">
        <v>0</v>
      </c>
      <c r="S1319" s="23">
        <v>50.78</v>
      </c>
      <c r="U1319" s="47">
        <f>VLOOKUP(AU1319,[1]expiry_dates!$B$2:$C$2894,2,FALSE)</f>
        <v>44525</v>
      </c>
      <c r="V1319" s="23" t="s">
        <v>120</v>
      </c>
      <c r="W1319" s="23" t="s">
        <v>23</v>
      </c>
      <c r="X1319" s="49">
        <v>44508.583333333336</v>
      </c>
      <c r="Y1319" s="23">
        <v>2</v>
      </c>
      <c r="Z1319" s="23">
        <v>44509.5625</v>
      </c>
      <c r="AA1319" s="23">
        <v>1.65</v>
      </c>
      <c r="AB1319" s="23">
        <v>-0.17499999999999999</v>
      </c>
      <c r="AC1319" s="23">
        <v>12313.88</v>
      </c>
      <c r="AD1319" s="23">
        <v>0.17499999999999999</v>
      </c>
      <c r="AE1319" s="23">
        <v>35182.51</v>
      </c>
      <c r="AF1319" s="23">
        <v>70365.02</v>
      </c>
      <c r="AG1319" s="23">
        <v>4082444.37</v>
      </c>
      <c r="AH1319" s="23">
        <v>27</v>
      </c>
      <c r="AI1319" s="23">
        <v>456.07</v>
      </c>
      <c r="AJ1319" s="23">
        <v>-0.05</v>
      </c>
      <c r="AK1319" s="23">
        <v>0.25</v>
      </c>
      <c r="AL1319" s="23" t="s">
        <v>24</v>
      </c>
      <c r="AM1319" s="23">
        <v>51.35</v>
      </c>
      <c r="AN1319" s="23">
        <v>39440.699999999997</v>
      </c>
      <c r="AO1319" s="23">
        <v>50.78</v>
      </c>
      <c r="AP1319" s="23">
        <v>0</v>
      </c>
      <c r="AR1319" s="46"/>
      <c r="AS1319" s="44"/>
      <c r="AT1319" s="45"/>
      <c r="AU1319" s="2">
        <v>44508</v>
      </c>
      <c r="AV1319" s="52">
        <v>8.3333333333333329E-2</v>
      </c>
      <c r="AW1319" s="2" t="s">
        <v>213</v>
      </c>
      <c r="AY1319" s="3"/>
      <c r="BA1319" s="3"/>
      <c r="BG1319" s="3"/>
      <c r="BH1319" s="3"/>
    </row>
    <row r="1320" spans="1:60">
      <c r="A1320" s="23" t="s">
        <v>22</v>
      </c>
      <c r="B1320" s="23" t="s">
        <v>23</v>
      </c>
      <c r="C1320" s="27">
        <v>44509.5625</v>
      </c>
      <c r="D1320" s="23">
        <v>52.05</v>
      </c>
      <c r="E1320" s="27">
        <v>44509.635416666664</v>
      </c>
      <c r="F1320" s="23">
        <v>52.45</v>
      </c>
      <c r="G1320" s="31">
        <v>7.7000000000000002E-3</v>
      </c>
      <c r="H1320" s="23">
        <v>-388.66</v>
      </c>
      <c r="I1320" s="31">
        <v>-7.7000000000000002E-3</v>
      </c>
      <c r="J1320" s="23">
        <v>971.64480000000003</v>
      </c>
      <c r="K1320" s="23">
        <v>50574.11</v>
      </c>
      <c r="L1320" s="23">
        <v>114236.67</v>
      </c>
      <c r="M1320" s="23">
        <v>8</v>
      </c>
      <c r="N1320" s="23">
        <v>-48.58</v>
      </c>
      <c r="O1320" s="31">
        <v>-8.6E-3</v>
      </c>
      <c r="P1320" s="31">
        <v>2.8999999999999998E-3</v>
      </c>
      <c r="Q1320" s="23" t="s">
        <v>24</v>
      </c>
      <c r="R1320" s="23">
        <v>0</v>
      </c>
      <c r="S1320" s="23">
        <v>52.54</v>
      </c>
      <c r="U1320" s="47">
        <f>VLOOKUP(AU1320,[1]expiry_dates!$B$2:$C$2894,2,FALSE)</f>
        <v>44525</v>
      </c>
      <c r="V1320" s="23" t="s">
        <v>125</v>
      </c>
      <c r="W1320" s="23" t="s">
        <v>23</v>
      </c>
      <c r="X1320" s="49">
        <v>44509.5625</v>
      </c>
      <c r="Y1320" s="23">
        <v>2.4500000000000002</v>
      </c>
      <c r="Z1320" s="23">
        <v>44509.635416666664</v>
      </c>
      <c r="AA1320" s="23">
        <v>2.7</v>
      </c>
      <c r="AB1320" s="23">
        <v>0.10199999999999999</v>
      </c>
      <c r="AC1320" s="23">
        <v>-7186.72</v>
      </c>
      <c r="AD1320" s="23">
        <v>-0.10199999999999999</v>
      </c>
      <c r="AE1320" s="23">
        <v>28746.86</v>
      </c>
      <c r="AF1320" s="23">
        <v>70429.81</v>
      </c>
      <c r="AG1320" s="23">
        <v>4075257.65</v>
      </c>
      <c r="AH1320" s="23">
        <v>8</v>
      </c>
      <c r="AI1320" s="23">
        <v>-898.34</v>
      </c>
      <c r="AJ1320" s="23">
        <v>-0.10199999999999999</v>
      </c>
      <c r="AK1320" s="23">
        <v>4.0800000000000003E-2</v>
      </c>
      <c r="AL1320" s="23" t="s">
        <v>24</v>
      </c>
      <c r="AM1320" s="23">
        <v>52.05</v>
      </c>
      <c r="AN1320" s="23">
        <v>39303.300000000003</v>
      </c>
      <c r="AO1320" s="23">
        <v>52.54</v>
      </c>
      <c r="AP1320" s="23">
        <v>0</v>
      </c>
      <c r="AR1320" s="46"/>
      <c r="AS1320" s="44"/>
      <c r="AT1320" s="45"/>
      <c r="AU1320" s="2">
        <v>44509</v>
      </c>
      <c r="AV1320" s="52">
        <v>6.25E-2</v>
      </c>
      <c r="AW1320" s="2" t="s">
        <v>213</v>
      </c>
      <c r="AY1320" s="3"/>
      <c r="BA1320" s="3"/>
      <c r="BG1320" s="3"/>
      <c r="BH1320" s="3"/>
    </row>
    <row r="1321" spans="1:60">
      <c r="A1321" s="23" t="s">
        <v>22</v>
      </c>
      <c r="B1321" s="23" t="s">
        <v>25</v>
      </c>
      <c r="C1321" s="27">
        <v>44509.635416666664</v>
      </c>
      <c r="D1321" s="23">
        <v>52.45</v>
      </c>
      <c r="E1321" s="27">
        <v>44510.385416666664</v>
      </c>
      <c r="F1321" s="23">
        <v>51.95</v>
      </c>
      <c r="G1321" s="31">
        <v>-9.4999999999999998E-3</v>
      </c>
      <c r="H1321" s="23">
        <v>-482.11</v>
      </c>
      <c r="I1321" s="31">
        <v>-9.4999999999999998E-3</v>
      </c>
      <c r="J1321" s="23">
        <v>964.21130000000005</v>
      </c>
      <c r="K1321" s="23">
        <v>50572.88</v>
      </c>
      <c r="L1321" s="23">
        <v>113754.56</v>
      </c>
      <c r="M1321" s="23">
        <v>5</v>
      </c>
      <c r="N1321" s="23">
        <v>-96.42</v>
      </c>
      <c r="O1321" s="31">
        <v>-9.4999999999999998E-3</v>
      </c>
      <c r="P1321" s="31">
        <v>1E-3</v>
      </c>
      <c r="Q1321" s="23" t="s">
        <v>24</v>
      </c>
      <c r="R1321" s="23">
        <v>0</v>
      </c>
      <c r="S1321" s="23">
        <v>51.91</v>
      </c>
      <c r="U1321" s="47">
        <f>VLOOKUP(AU1321,[1]expiry_dates!$B$2:$C$2894,2,FALSE)</f>
        <v>44525</v>
      </c>
      <c r="V1321" s="23" t="s">
        <v>126</v>
      </c>
      <c r="W1321" s="23" t="s">
        <v>23</v>
      </c>
      <c r="X1321" s="49">
        <v>44509.635416666664</v>
      </c>
      <c r="Y1321" s="23">
        <v>1.9</v>
      </c>
      <c r="Z1321" s="23">
        <v>44510.385416666664</v>
      </c>
      <c r="AA1321" s="23">
        <v>2.35</v>
      </c>
      <c r="AB1321" s="23">
        <v>0.23680000000000001</v>
      </c>
      <c r="AC1321" s="23">
        <v>-16674.88</v>
      </c>
      <c r="AD1321" s="23">
        <v>-0.23680000000000001</v>
      </c>
      <c r="AE1321" s="23">
        <v>37055.279999999999</v>
      </c>
      <c r="AF1321" s="23">
        <v>70405.03</v>
      </c>
      <c r="AG1321" s="23">
        <v>4058582.78</v>
      </c>
      <c r="AH1321" s="23">
        <v>5</v>
      </c>
      <c r="AI1321" s="23">
        <v>-3334.98</v>
      </c>
      <c r="AJ1321" s="23">
        <v>-0.23680000000000001</v>
      </c>
      <c r="AK1321" s="23">
        <v>0</v>
      </c>
      <c r="AL1321" s="23" t="s">
        <v>24</v>
      </c>
      <c r="AM1321" s="23">
        <v>52.45</v>
      </c>
      <c r="AN1321" s="23">
        <v>39401.699999999997</v>
      </c>
      <c r="AO1321" s="23">
        <v>51.91</v>
      </c>
      <c r="AP1321" s="23">
        <v>0</v>
      </c>
      <c r="AR1321" s="46"/>
      <c r="AS1321" s="44"/>
      <c r="AT1321" s="45"/>
      <c r="AU1321" s="2">
        <v>44509</v>
      </c>
      <c r="AV1321" s="52">
        <v>0.13541666666666666</v>
      </c>
      <c r="AW1321" s="2" t="s">
        <v>213</v>
      </c>
      <c r="AY1321" s="3"/>
      <c r="BA1321" s="3"/>
      <c r="BG1321" s="3"/>
      <c r="BH1321" s="3"/>
    </row>
    <row r="1322" spans="1:60">
      <c r="A1322" s="23" t="s">
        <v>22</v>
      </c>
      <c r="B1322" s="23" t="s">
        <v>23</v>
      </c>
      <c r="C1322" s="27">
        <v>44510.385416666664</v>
      </c>
      <c r="D1322" s="23">
        <v>51.95</v>
      </c>
      <c r="E1322" s="27">
        <v>44510.416666666664</v>
      </c>
      <c r="F1322" s="23">
        <v>52.65</v>
      </c>
      <c r="G1322" s="31">
        <v>1.35E-2</v>
      </c>
      <c r="H1322" s="23">
        <v>-681.4</v>
      </c>
      <c r="I1322" s="31">
        <v>-1.35E-2</v>
      </c>
      <c r="J1322" s="23">
        <v>973.42629999999997</v>
      </c>
      <c r="K1322" s="23">
        <v>50569.5</v>
      </c>
      <c r="L1322" s="23">
        <v>113073.16</v>
      </c>
      <c r="M1322" s="23">
        <v>4</v>
      </c>
      <c r="N1322" s="23">
        <v>-170.35</v>
      </c>
      <c r="O1322" s="31">
        <v>-1.35E-2</v>
      </c>
      <c r="P1322" s="31">
        <v>5.7999999999999996E-3</v>
      </c>
      <c r="Q1322" s="23" t="s">
        <v>24</v>
      </c>
      <c r="R1322" s="23">
        <v>0</v>
      </c>
      <c r="S1322" s="23">
        <v>52.47</v>
      </c>
      <c r="U1322" s="47">
        <f>VLOOKUP(AU1322,[1]expiry_dates!$B$2:$C$2894,2,FALSE)</f>
        <v>44525</v>
      </c>
      <c r="V1322" s="23" t="s">
        <v>125</v>
      </c>
      <c r="W1322" s="23" t="s">
        <v>23</v>
      </c>
      <c r="X1322" s="49">
        <v>44510.385416666664</v>
      </c>
      <c r="Y1322" s="23">
        <v>2.4500000000000002</v>
      </c>
      <c r="Z1322" s="23">
        <v>44510.416666666664</v>
      </c>
      <c r="AA1322" s="23">
        <v>2.9</v>
      </c>
      <c r="AB1322" s="23">
        <v>0.1837</v>
      </c>
      <c r="AC1322" s="23">
        <v>-12926.26</v>
      </c>
      <c r="AD1322" s="23">
        <v>-0.1837</v>
      </c>
      <c r="AE1322" s="23">
        <v>28725.02</v>
      </c>
      <c r="AF1322" s="23">
        <v>70376.289999999994</v>
      </c>
      <c r="AG1322" s="23">
        <v>4045656.52</v>
      </c>
      <c r="AH1322" s="23">
        <v>4</v>
      </c>
      <c r="AI1322" s="23">
        <v>-3231.56</v>
      </c>
      <c r="AJ1322" s="23">
        <v>-0.1837</v>
      </c>
      <c r="AK1322" s="23">
        <v>6.1199999999999997E-2</v>
      </c>
      <c r="AL1322" s="23" t="s">
        <v>24</v>
      </c>
      <c r="AM1322" s="23">
        <v>51.95</v>
      </c>
      <c r="AN1322" s="23">
        <v>39034.1</v>
      </c>
      <c r="AO1322" s="23">
        <v>52.47</v>
      </c>
      <c r="AP1322" s="23">
        <v>0</v>
      </c>
      <c r="AR1322" s="46"/>
      <c r="AS1322" s="44"/>
      <c r="AT1322" s="45"/>
      <c r="AU1322" s="2">
        <v>44510</v>
      </c>
      <c r="AV1322" s="52">
        <v>0.38541666666666669</v>
      </c>
      <c r="AW1322" s="2" t="s">
        <v>212</v>
      </c>
      <c r="AY1322" s="3"/>
      <c r="BA1322" s="3"/>
      <c r="BG1322" s="3"/>
      <c r="BH1322" s="3"/>
    </row>
    <row r="1323" spans="1:60">
      <c r="A1323" s="23" t="s">
        <v>22</v>
      </c>
      <c r="B1323" s="23" t="s">
        <v>25</v>
      </c>
      <c r="C1323" s="27">
        <v>44510.416666666664</v>
      </c>
      <c r="D1323" s="23">
        <v>52.65</v>
      </c>
      <c r="E1323" s="27">
        <v>44510.489583333336</v>
      </c>
      <c r="F1323" s="23">
        <v>52.05</v>
      </c>
      <c r="G1323" s="31">
        <v>-1.14E-2</v>
      </c>
      <c r="H1323" s="23">
        <v>-576.26</v>
      </c>
      <c r="I1323" s="31">
        <v>-1.14E-2</v>
      </c>
      <c r="J1323" s="23">
        <v>960.43809999999996</v>
      </c>
      <c r="K1323" s="23">
        <v>50567.07</v>
      </c>
      <c r="L1323" s="23">
        <v>112496.9</v>
      </c>
      <c r="M1323" s="23">
        <v>8</v>
      </c>
      <c r="N1323" s="23">
        <v>-72.03</v>
      </c>
      <c r="O1323" s="31">
        <v>-1.14E-2</v>
      </c>
      <c r="P1323" s="31">
        <v>5.7000000000000002E-3</v>
      </c>
      <c r="Q1323" s="23" t="s">
        <v>24</v>
      </c>
      <c r="R1323" s="23">
        <v>0</v>
      </c>
      <c r="S1323" s="23">
        <v>51.7</v>
      </c>
      <c r="U1323" s="47">
        <f>VLOOKUP(AU1323,[1]expiry_dates!$B$2:$C$2894,2,FALSE)</f>
        <v>44525</v>
      </c>
      <c r="V1323" s="23" t="s">
        <v>129</v>
      </c>
      <c r="W1323" s="23" t="s">
        <v>23</v>
      </c>
      <c r="X1323" s="49">
        <v>44510.416666666664</v>
      </c>
      <c r="Y1323" s="23">
        <v>2.5499999999999998</v>
      </c>
      <c r="Z1323" s="23">
        <v>44510.489583333336</v>
      </c>
      <c r="AA1323" s="23">
        <v>2.9</v>
      </c>
      <c r="AB1323" s="23">
        <v>0.13730000000000001</v>
      </c>
      <c r="AC1323" s="23">
        <v>-9645.09</v>
      </c>
      <c r="AD1323" s="23">
        <v>-0.13730000000000001</v>
      </c>
      <c r="AE1323" s="23">
        <v>27557.4</v>
      </c>
      <c r="AF1323" s="23">
        <v>70271.37</v>
      </c>
      <c r="AG1323" s="23">
        <v>4036011.43</v>
      </c>
      <c r="AH1323" s="23">
        <v>8</v>
      </c>
      <c r="AI1323" s="23">
        <v>-1205.6400000000001</v>
      </c>
      <c r="AJ1323" s="23">
        <v>-0.13730000000000001</v>
      </c>
      <c r="AK1323" s="23">
        <v>3.9199999999999999E-2</v>
      </c>
      <c r="AL1323" s="23" t="s">
        <v>24</v>
      </c>
      <c r="AM1323" s="23">
        <v>52.65</v>
      </c>
      <c r="AN1323" s="23">
        <v>39050.800000000003</v>
      </c>
      <c r="AO1323" s="23">
        <v>51.7</v>
      </c>
      <c r="AP1323" s="23">
        <v>0</v>
      </c>
      <c r="AR1323" s="46"/>
      <c r="AS1323" s="44"/>
      <c r="AT1323" s="45"/>
      <c r="AU1323" s="2">
        <v>44510</v>
      </c>
      <c r="AV1323" s="52">
        <v>0.41666666666666669</v>
      </c>
      <c r="AW1323" s="2" t="s">
        <v>212</v>
      </c>
      <c r="AY1323" s="3"/>
      <c r="BA1323" s="3"/>
      <c r="BG1323" s="3"/>
      <c r="BH1323" s="3"/>
    </row>
    <row r="1324" spans="1:60">
      <c r="A1324" s="23" t="s">
        <v>22</v>
      </c>
      <c r="B1324" s="23" t="s">
        <v>23</v>
      </c>
      <c r="C1324" s="27">
        <v>44510.489583333336</v>
      </c>
      <c r="D1324" s="23">
        <v>52.05</v>
      </c>
      <c r="E1324" s="27">
        <v>44511.479166666664</v>
      </c>
      <c r="F1324" s="23">
        <v>51.65</v>
      </c>
      <c r="G1324" s="31">
        <v>-7.7000000000000002E-3</v>
      </c>
      <c r="H1324" s="23">
        <v>388.58</v>
      </c>
      <c r="I1324" s="31">
        <v>7.7000000000000002E-3</v>
      </c>
      <c r="J1324" s="23">
        <v>971.44449999999995</v>
      </c>
      <c r="K1324" s="23">
        <v>50563.69</v>
      </c>
      <c r="L1324" s="23">
        <v>112885.48</v>
      </c>
      <c r="M1324" s="23">
        <v>28</v>
      </c>
      <c r="N1324" s="23">
        <v>13.88</v>
      </c>
      <c r="O1324" s="31">
        <v>-5.7999999999999996E-3</v>
      </c>
      <c r="P1324" s="31">
        <v>1.9199999999999998E-2</v>
      </c>
      <c r="Q1324" s="23" t="s">
        <v>24</v>
      </c>
      <c r="R1324" s="23">
        <v>0</v>
      </c>
      <c r="S1324" s="23">
        <v>52.95</v>
      </c>
      <c r="U1324" s="47">
        <f>VLOOKUP(AU1324,[1]expiry_dates!$B$2:$C$2894,2,FALSE)</f>
        <v>44525</v>
      </c>
      <c r="V1324" s="23" t="s">
        <v>125</v>
      </c>
      <c r="W1324" s="23" t="s">
        <v>23</v>
      </c>
      <c r="X1324" s="49">
        <v>44510.489583333336</v>
      </c>
      <c r="Y1324" s="23">
        <v>2.5499999999999998</v>
      </c>
      <c r="Z1324" s="23">
        <v>44511.479166666664</v>
      </c>
      <c r="AA1324" s="23">
        <v>2.2999999999999998</v>
      </c>
      <c r="AB1324" s="23">
        <v>-9.8000000000000004E-2</v>
      </c>
      <c r="AC1324" s="23">
        <v>6882.42</v>
      </c>
      <c r="AD1324" s="23">
        <v>9.8000000000000004E-2</v>
      </c>
      <c r="AE1324" s="23">
        <v>27529.7</v>
      </c>
      <c r="AF1324" s="23">
        <v>70200.73</v>
      </c>
      <c r="AG1324" s="23">
        <v>4042893.85</v>
      </c>
      <c r="AH1324" s="23">
        <v>28</v>
      </c>
      <c r="AI1324" s="23">
        <v>245.8</v>
      </c>
      <c r="AJ1324" s="23">
        <v>-5.8799999999999998E-2</v>
      </c>
      <c r="AK1324" s="23">
        <v>0.2157</v>
      </c>
      <c r="AL1324" s="23" t="s">
        <v>24</v>
      </c>
      <c r="AM1324" s="23">
        <v>52.05</v>
      </c>
      <c r="AN1324" s="23">
        <v>38971.5</v>
      </c>
      <c r="AO1324" s="23">
        <v>52.95</v>
      </c>
      <c r="AP1324" s="23">
        <v>0</v>
      </c>
      <c r="AR1324" s="46"/>
      <c r="AS1324" s="44"/>
      <c r="AT1324" s="45"/>
      <c r="AU1324" s="2">
        <v>44510</v>
      </c>
      <c r="AV1324" s="52">
        <v>0.48958333333333331</v>
      </c>
      <c r="AW1324" s="2" t="s">
        <v>212</v>
      </c>
      <c r="AY1324" s="3"/>
      <c r="BA1324" s="3"/>
      <c r="BG1324" s="3"/>
      <c r="BH1324" s="3"/>
    </row>
    <row r="1325" spans="1:60">
      <c r="A1325" s="23" t="s">
        <v>22</v>
      </c>
      <c r="B1325" s="23" t="s">
        <v>25</v>
      </c>
      <c r="C1325" s="27">
        <v>44511.479166666664</v>
      </c>
      <c r="D1325" s="23">
        <v>51.65</v>
      </c>
      <c r="E1325" s="27">
        <v>44511.510416666664</v>
      </c>
      <c r="F1325" s="23">
        <v>51</v>
      </c>
      <c r="G1325" s="31">
        <v>-1.26E-2</v>
      </c>
      <c r="H1325" s="23">
        <v>-636.34</v>
      </c>
      <c r="I1325" s="31">
        <v>-1.26E-2</v>
      </c>
      <c r="J1325" s="23">
        <v>978.98209999999995</v>
      </c>
      <c r="K1325" s="23">
        <v>50564.43</v>
      </c>
      <c r="L1325" s="23">
        <v>112249.14</v>
      </c>
      <c r="M1325" s="23">
        <v>4</v>
      </c>
      <c r="N1325" s="23">
        <v>-159.08000000000001</v>
      </c>
      <c r="O1325" s="31">
        <v>-1.26E-2</v>
      </c>
      <c r="P1325" s="31">
        <v>1.9E-3</v>
      </c>
      <c r="Q1325" s="23" t="s">
        <v>24</v>
      </c>
      <c r="R1325" s="23">
        <v>0</v>
      </c>
      <c r="S1325" s="23">
        <v>51.06</v>
      </c>
      <c r="U1325" s="47">
        <f>VLOOKUP(AU1325,[1]expiry_dates!$B$2:$C$2894,2,FALSE)</f>
        <v>44525</v>
      </c>
      <c r="V1325" s="23" t="s">
        <v>124</v>
      </c>
      <c r="W1325" s="23" t="s">
        <v>23</v>
      </c>
      <c r="X1325" s="49">
        <v>44511.479166666664</v>
      </c>
      <c r="Y1325" s="23">
        <v>1.55</v>
      </c>
      <c r="Z1325" s="23">
        <v>44511.510416666664</v>
      </c>
      <c r="AA1325" s="23">
        <v>1.8</v>
      </c>
      <c r="AB1325" s="23">
        <v>0.1613</v>
      </c>
      <c r="AC1325" s="23">
        <v>-11326.02</v>
      </c>
      <c r="AD1325" s="23">
        <v>-0.1613</v>
      </c>
      <c r="AE1325" s="23">
        <v>45304.1</v>
      </c>
      <c r="AF1325" s="23">
        <v>70221.350000000006</v>
      </c>
      <c r="AG1325" s="23">
        <v>4031567.83</v>
      </c>
      <c r="AH1325" s="23">
        <v>4</v>
      </c>
      <c r="AI1325" s="23">
        <v>-2831.51</v>
      </c>
      <c r="AJ1325" s="23">
        <v>-0.1613</v>
      </c>
      <c r="AK1325" s="23">
        <v>3.2300000000000002E-2</v>
      </c>
      <c r="AL1325" s="23" t="s">
        <v>24</v>
      </c>
      <c r="AM1325" s="23">
        <v>51.65</v>
      </c>
      <c r="AN1325" s="23">
        <v>38669.550000000003</v>
      </c>
      <c r="AO1325" s="23">
        <v>51.06</v>
      </c>
      <c r="AP1325" s="23">
        <v>0</v>
      </c>
      <c r="AR1325" s="46"/>
      <c r="AS1325" s="44"/>
      <c r="AT1325" s="45"/>
      <c r="AU1325" s="2">
        <v>44511</v>
      </c>
      <c r="AV1325" s="52">
        <v>0.47916666666666669</v>
      </c>
      <c r="AW1325" s="2" t="s">
        <v>212</v>
      </c>
      <c r="AY1325" s="3"/>
      <c r="BA1325" s="3"/>
      <c r="BG1325" s="3"/>
      <c r="BH1325" s="3"/>
    </row>
    <row r="1326" spans="1:60">
      <c r="A1326" s="23" t="s">
        <v>22</v>
      </c>
      <c r="B1326" s="23" t="s">
        <v>23</v>
      </c>
      <c r="C1326" s="27">
        <v>44511.510416666664</v>
      </c>
      <c r="D1326" s="23">
        <v>51</v>
      </c>
      <c r="E1326" s="27">
        <v>44512.385416666664</v>
      </c>
      <c r="F1326" s="23">
        <v>51.1</v>
      </c>
      <c r="G1326" s="31">
        <v>2E-3</v>
      </c>
      <c r="H1326" s="23">
        <v>-99.14</v>
      </c>
      <c r="I1326" s="31">
        <v>-2E-3</v>
      </c>
      <c r="J1326" s="23">
        <v>991.43539999999996</v>
      </c>
      <c r="K1326" s="23">
        <v>50563.199999999997</v>
      </c>
      <c r="L1326" s="23">
        <v>112150</v>
      </c>
      <c r="M1326" s="23">
        <v>17</v>
      </c>
      <c r="N1326" s="23">
        <v>-5.83</v>
      </c>
      <c r="O1326" s="31">
        <v>-7.7999999999999996E-3</v>
      </c>
      <c r="P1326" s="31">
        <v>1.0800000000000001E-2</v>
      </c>
      <c r="Q1326" s="23" t="s">
        <v>24</v>
      </c>
      <c r="R1326" s="23">
        <v>0</v>
      </c>
      <c r="S1326" s="23">
        <v>51.72</v>
      </c>
      <c r="U1326" s="47">
        <f>VLOOKUP(AU1326,[1]expiry_dates!$B$2:$C$2894,2,FALSE)</f>
        <v>44525</v>
      </c>
      <c r="V1326" s="23" t="s">
        <v>119</v>
      </c>
      <c r="W1326" s="23" t="s">
        <v>23</v>
      </c>
      <c r="X1326" s="49">
        <v>44511.510416666664</v>
      </c>
      <c r="Y1326" s="23">
        <v>2.4</v>
      </c>
      <c r="Z1326" s="23">
        <v>44512.385416666664</v>
      </c>
      <c r="AA1326" s="23">
        <v>2.35</v>
      </c>
      <c r="AB1326" s="23">
        <v>-2.0799999999999999E-2</v>
      </c>
      <c r="AC1326" s="23">
        <v>1462.8</v>
      </c>
      <c r="AD1326" s="23">
        <v>2.0799999999999999E-2</v>
      </c>
      <c r="AE1326" s="23">
        <v>29256.03</v>
      </c>
      <c r="AF1326" s="23">
        <v>70214.47</v>
      </c>
      <c r="AG1326" s="23">
        <v>4033030.63</v>
      </c>
      <c r="AH1326" s="23">
        <v>17</v>
      </c>
      <c r="AI1326" s="23">
        <v>86.05</v>
      </c>
      <c r="AJ1326" s="23">
        <v>-8.3299999999999999E-2</v>
      </c>
      <c r="AK1326" s="23">
        <v>0.125</v>
      </c>
      <c r="AL1326" s="23" t="s">
        <v>24</v>
      </c>
      <c r="AM1326" s="23">
        <v>51</v>
      </c>
      <c r="AN1326" s="23">
        <v>38597.1</v>
      </c>
      <c r="AO1326" s="23">
        <v>51.72</v>
      </c>
      <c r="AP1326" s="23">
        <v>0</v>
      </c>
      <c r="AR1326" s="46"/>
      <c r="AS1326" s="44"/>
      <c r="AT1326" s="45"/>
      <c r="AU1326" s="2">
        <v>44511</v>
      </c>
      <c r="AV1326" s="52">
        <v>0.51041666666666663</v>
      </c>
      <c r="AW1326" s="2" t="s">
        <v>213</v>
      </c>
      <c r="AY1326" s="3"/>
      <c r="BA1326" s="3"/>
      <c r="BG1326" s="3"/>
      <c r="BH1326" s="3"/>
    </row>
    <row r="1327" spans="1:60">
      <c r="A1327" s="23" t="s">
        <v>22</v>
      </c>
      <c r="B1327" s="23" t="s">
        <v>25</v>
      </c>
      <c r="C1327" s="27">
        <v>44512.385416666664</v>
      </c>
      <c r="D1327" s="23">
        <v>51.1</v>
      </c>
      <c r="E1327" s="27">
        <v>44512.4375</v>
      </c>
      <c r="F1327" s="23">
        <v>50.8</v>
      </c>
      <c r="G1327" s="31">
        <v>-5.8999999999999999E-3</v>
      </c>
      <c r="H1327" s="23">
        <v>-296.83</v>
      </c>
      <c r="I1327" s="31">
        <v>-5.8999999999999999E-3</v>
      </c>
      <c r="J1327" s="23">
        <v>989.42290000000003</v>
      </c>
      <c r="K1327" s="23">
        <v>50559.51</v>
      </c>
      <c r="L1327" s="23">
        <v>111853.17</v>
      </c>
      <c r="M1327" s="23">
        <v>6</v>
      </c>
      <c r="N1327" s="23">
        <v>-49.47</v>
      </c>
      <c r="O1327" s="31">
        <v>-6.7999999999999996E-3</v>
      </c>
      <c r="P1327" s="31">
        <v>3.8999999999999998E-3</v>
      </c>
      <c r="Q1327" s="23" t="s">
        <v>24</v>
      </c>
      <c r="R1327" s="23">
        <v>0</v>
      </c>
      <c r="S1327" s="23">
        <v>50.5</v>
      </c>
      <c r="U1327" s="47">
        <f>VLOOKUP(AU1327,[1]expiry_dates!$B$2:$C$2894,2,FALSE)</f>
        <v>44525</v>
      </c>
      <c r="V1327" s="23" t="s">
        <v>126</v>
      </c>
      <c r="W1327" s="23" t="s">
        <v>23</v>
      </c>
      <c r="X1327" s="49">
        <v>44512.385416666664</v>
      </c>
      <c r="Y1327" s="23">
        <v>2.85</v>
      </c>
      <c r="Z1327" s="23">
        <v>44512.4375</v>
      </c>
      <c r="AA1327" s="23">
        <v>2.85</v>
      </c>
      <c r="AB1327" s="23">
        <v>0</v>
      </c>
      <c r="AC1327" s="23">
        <v>0</v>
      </c>
      <c r="AD1327" s="23">
        <v>0</v>
      </c>
      <c r="AE1327" s="23">
        <v>24619.35</v>
      </c>
      <c r="AF1327" s="23">
        <v>70165.16</v>
      </c>
      <c r="AG1327" s="23">
        <v>4033030.63</v>
      </c>
      <c r="AH1327" s="23">
        <v>6</v>
      </c>
      <c r="AI1327" s="23">
        <v>0</v>
      </c>
      <c r="AJ1327" s="23">
        <v>-5.2600000000000001E-2</v>
      </c>
      <c r="AK1327" s="23">
        <v>3.5099999999999999E-2</v>
      </c>
      <c r="AL1327" s="23" t="s">
        <v>24</v>
      </c>
      <c r="AM1327" s="23">
        <v>51.1</v>
      </c>
      <c r="AN1327" s="23">
        <v>38711.5</v>
      </c>
      <c r="AO1327" s="23">
        <v>50.5</v>
      </c>
      <c r="AP1327" s="23">
        <v>0</v>
      </c>
      <c r="AR1327" s="46"/>
      <c r="AS1327" s="44"/>
      <c r="AT1327" s="45"/>
      <c r="AU1327" s="2">
        <v>44512</v>
      </c>
      <c r="AV1327" s="52">
        <v>0.38541666666666669</v>
      </c>
      <c r="AW1327" s="2" t="s">
        <v>212</v>
      </c>
      <c r="AY1327" s="3"/>
      <c r="BA1327" s="3"/>
      <c r="BG1327" s="3"/>
      <c r="BH1327" s="3"/>
    </row>
    <row r="1328" spans="1:60">
      <c r="A1328" s="23" t="s">
        <v>22</v>
      </c>
      <c r="B1328" s="23" t="s">
        <v>23</v>
      </c>
      <c r="C1328" s="27">
        <v>44512.4375</v>
      </c>
      <c r="D1328" s="23">
        <v>50.8</v>
      </c>
      <c r="E1328" s="27">
        <v>44512.520833333336</v>
      </c>
      <c r="F1328" s="23">
        <v>51.25</v>
      </c>
      <c r="G1328" s="31">
        <v>8.8999999999999999E-3</v>
      </c>
      <c r="H1328" s="23">
        <v>-447.87</v>
      </c>
      <c r="I1328" s="31">
        <v>-8.8999999999999999E-3</v>
      </c>
      <c r="J1328" s="23">
        <v>995.27089999999998</v>
      </c>
      <c r="K1328" s="23">
        <v>50559.76</v>
      </c>
      <c r="L1328" s="23">
        <v>111405.3</v>
      </c>
      <c r="M1328" s="23">
        <v>9</v>
      </c>
      <c r="N1328" s="23">
        <v>-49.76</v>
      </c>
      <c r="O1328" s="31">
        <v>-8.8999999999999999E-3</v>
      </c>
      <c r="P1328" s="31">
        <v>7.9000000000000008E-3</v>
      </c>
      <c r="Q1328" s="23" t="s">
        <v>24</v>
      </c>
      <c r="R1328" s="23">
        <v>0</v>
      </c>
      <c r="S1328" s="23">
        <v>51.34</v>
      </c>
      <c r="U1328" s="47">
        <f>VLOOKUP(AU1328,[1]expiry_dates!$B$2:$C$2894,2,FALSE)</f>
        <v>44525</v>
      </c>
      <c r="V1328" s="23" t="s">
        <v>119</v>
      </c>
      <c r="W1328" s="23" t="s">
        <v>23</v>
      </c>
      <c r="X1328" s="49">
        <v>44512.4375</v>
      </c>
      <c r="Y1328" s="23">
        <v>2.1</v>
      </c>
      <c r="Z1328" s="23">
        <v>44512.520833333336</v>
      </c>
      <c r="AA1328" s="23">
        <v>2.2999999999999998</v>
      </c>
      <c r="AB1328" s="23">
        <v>9.5200000000000007E-2</v>
      </c>
      <c r="AC1328" s="23">
        <v>-6682.4</v>
      </c>
      <c r="AD1328" s="23">
        <v>-9.5200000000000007E-2</v>
      </c>
      <c r="AE1328" s="23">
        <v>33411.980000000003</v>
      </c>
      <c r="AF1328" s="23">
        <v>70165.16</v>
      </c>
      <c r="AG1328" s="23">
        <v>4026348.23</v>
      </c>
      <c r="AH1328" s="23">
        <v>9</v>
      </c>
      <c r="AI1328" s="23">
        <v>-742.49</v>
      </c>
      <c r="AJ1328" s="23">
        <v>-9.5200000000000007E-2</v>
      </c>
      <c r="AK1328" s="23">
        <v>0.11899999999999999</v>
      </c>
      <c r="AL1328" s="23" t="s">
        <v>24</v>
      </c>
      <c r="AM1328" s="23">
        <v>50.8</v>
      </c>
      <c r="AN1328" s="23">
        <v>38536.85</v>
      </c>
      <c r="AO1328" s="23">
        <v>51.34</v>
      </c>
      <c r="AP1328" s="23">
        <v>0</v>
      </c>
      <c r="AR1328" s="46"/>
      <c r="AS1328" s="44"/>
      <c r="AT1328" s="45"/>
      <c r="AU1328" s="2">
        <v>44512</v>
      </c>
      <c r="AV1328" s="52">
        <v>0.4375</v>
      </c>
      <c r="AW1328" s="2" t="s">
        <v>212</v>
      </c>
      <c r="AY1328" s="3"/>
      <c r="BA1328" s="3"/>
      <c r="BG1328" s="3"/>
      <c r="BH1328" s="3"/>
    </row>
    <row r="1329" spans="1:60">
      <c r="A1329" s="23" t="s">
        <v>22</v>
      </c>
      <c r="B1329" s="23" t="s">
        <v>25</v>
      </c>
      <c r="C1329" s="27">
        <v>44512.520833333336</v>
      </c>
      <c r="D1329" s="23">
        <v>51.25</v>
      </c>
      <c r="E1329" s="27">
        <v>44515.40625</v>
      </c>
      <c r="F1329" s="23">
        <v>51.45</v>
      </c>
      <c r="G1329" s="31">
        <v>3.8999999999999998E-3</v>
      </c>
      <c r="H1329" s="23">
        <v>197.3</v>
      </c>
      <c r="I1329" s="31">
        <v>3.8999999999999998E-3</v>
      </c>
      <c r="J1329" s="23">
        <v>986.50289999999995</v>
      </c>
      <c r="K1329" s="23">
        <v>50558.27</v>
      </c>
      <c r="L1329" s="23">
        <v>111602.6</v>
      </c>
      <c r="M1329" s="23">
        <v>18</v>
      </c>
      <c r="N1329" s="23">
        <v>10.96</v>
      </c>
      <c r="O1329" s="31">
        <v>-5.8999999999999999E-3</v>
      </c>
      <c r="P1329" s="31">
        <v>1.8499999999999999E-2</v>
      </c>
      <c r="Q1329" s="23" t="s">
        <v>24</v>
      </c>
      <c r="R1329" s="23">
        <v>0</v>
      </c>
      <c r="S1329" s="23">
        <v>50.44</v>
      </c>
      <c r="U1329" s="47">
        <f>VLOOKUP(AU1329,[1]expiry_dates!$B$2:$C$2894,2,FALSE)</f>
        <v>44525</v>
      </c>
      <c r="V1329" s="23" t="s">
        <v>124</v>
      </c>
      <c r="W1329" s="23" t="s">
        <v>23</v>
      </c>
      <c r="X1329" s="49">
        <v>44512.520833333336</v>
      </c>
      <c r="Y1329" s="23">
        <v>1.4</v>
      </c>
      <c r="Z1329" s="23">
        <v>44515.40625</v>
      </c>
      <c r="AA1329" s="23">
        <v>1.25</v>
      </c>
      <c r="AB1329" s="23">
        <v>-0.1071</v>
      </c>
      <c r="AC1329" s="23">
        <v>7517.7</v>
      </c>
      <c r="AD1329" s="23">
        <v>0.1071</v>
      </c>
      <c r="AE1329" s="23">
        <v>50117.97</v>
      </c>
      <c r="AF1329" s="23">
        <v>70165.16</v>
      </c>
      <c r="AG1329" s="23">
        <v>4033865.93</v>
      </c>
      <c r="AH1329" s="23">
        <v>18</v>
      </c>
      <c r="AI1329" s="23">
        <v>417.65</v>
      </c>
      <c r="AJ1329" s="23">
        <v>-7.1400000000000005E-2</v>
      </c>
      <c r="AK1329" s="23">
        <v>0.28570000000000001</v>
      </c>
      <c r="AL1329" s="23" t="s">
        <v>24</v>
      </c>
      <c r="AM1329" s="23">
        <v>51.25</v>
      </c>
      <c r="AN1329" s="23">
        <v>38610.949999999997</v>
      </c>
      <c r="AO1329" s="23">
        <v>50.44</v>
      </c>
      <c r="AP1329" s="23">
        <v>0</v>
      </c>
      <c r="AR1329" s="46"/>
      <c r="AS1329" s="44"/>
      <c r="AT1329" s="45"/>
      <c r="AU1329" s="2">
        <v>44512</v>
      </c>
      <c r="AV1329" s="52">
        <v>0.52083333333333337</v>
      </c>
      <c r="AW1329" s="2" t="s">
        <v>213</v>
      </c>
      <c r="AY1329" s="3"/>
      <c r="BA1329" s="3"/>
      <c r="BG1329" s="3"/>
      <c r="BH1329" s="3"/>
    </row>
    <row r="1330" spans="1:60">
      <c r="A1330" s="23" t="s">
        <v>22</v>
      </c>
      <c r="B1330" s="23" t="s">
        <v>23</v>
      </c>
      <c r="C1330" s="27">
        <v>44515.40625</v>
      </c>
      <c r="D1330" s="23">
        <v>51.45</v>
      </c>
      <c r="E1330" s="27">
        <v>44515.583333333336</v>
      </c>
      <c r="F1330" s="23">
        <v>51.45</v>
      </c>
      <c r="G1330" s="31">
        <v>0</v>
      </c>
      <c r="H1330" s="23">
        <v>0</v>
      </c>
      <c r="I1330" s="31">
        <v>0</v>
      </c>
      <c r="J1330" s="23">
        <v>982.68700000000001</v>
      </c>
      <c r="K1330" s="23">
        <v>50559.25</v>
      </c>
      <c r="L1330" s="23">
        <v>111602.6</v>
      </c>
      <c r="M1330" s="23">
        <v>18</v>
      </c>
      <c r="N1330" s="23">
        <v>0</v>
      </c>
      <c r="O1330" s="31">
        <v>-5.7999999999999996E-3</v>
      </c>
      <c r="P1330" s="31">
        <v>8.6999999999999994E-3</v>
      </c>
      <c r="Q1330" s="23" t="s">
        <v>24</v>
      </c>
      <c r="R1330" s="23">
        <v>0</v>
      </c>
      <c r="S1330" s="23">
        <v>52.18</v>
      </c>
      <c r="U1330" s="47">
        <f>VLOOKUP(AU1330,[1]expiry_dates!$B$2:$C$2894,2,FALSE)</f>
        <v>44525</v>
      </c>
      <c r="V1330" s="23" t="s">
        <v>119</v>
      </c>
      <c r="W1330" s="23" t="s">
        <v>23</v>
      </c>
      <c r="X1330" s="49">
        <v>44515.40625</v>
      </c>
      <c r="Y1330" s="23">
        <v>2.15</v>
      </c>
      <c r="Z1330" s="23">
        <v>44515.583333333336</v>
      </c>
      <c r="AA1330" s="23">
        <v>2.0499999999999998</v>
      </c>
      <c r="AB1330" s="23">
        <v>-4.65E-2</v>
      </c>
      <c r="AC1330" s="23">
        <v>3264.86</v>
      </c>
      <c r="AD1330" s="23">
        <v>4.65E-2</v>
      </c>
      <c r="AE1330" s="23">
        <v>32648.55</v>
      </c>
      <c r="AF1330" s="23">
        <v>70194.39</v>
      </c>
      <c r="AG1330" s="23">
        <v>4037130.78</v>
      </c>
      <c r="AH1330" s="23">
        <v>18</v>
      </c>
      <c r="AI1330" s="23">
        <v>181.38</v>
      </c>
      <c r="AJ1330" s="23">
        <v>-9.2999999999999999E-2</v>
      </c>
      <c r="AK1330" s="23">
        <v>0.1163</v>
      </c>
      <c r="AL1330" s="23" t="s">
        <v>24</v>
      </c>
      <c r="AM1330" s="23">
        <v>51.45</v>
      </c>
      <c r="AN1330" s="23">
        <v>38936.85</v>
      </c>
      <c r="AO1330" s="23">
        <v>52.18</v>
      </c>
      <c r="AP1330" s="23">
        <v>0</v>
      </c>
      <c r="AR1330" s="46"/>
      <c r="AS1330" s="44"/>
      <c r="AT1330" s="45"/>
      <c r="AU1330" s="2">
        <v>44515</v>
      </c>
      <c r="AV1330" s="52">
        <v>0.40625</v>
      </c>
      <c r="AW1330" s="2" t="s">
        <v>212</v>
      </c>
      <c r="AY1330" s="3"/>
      <c r="BA1330" s="3"/>
      <c r="BG1330" s="3"/>
      <c r="BH1330" s="3"/>
    </row>
    <row r="1331" spans="1:60">
      <c r="A1331" s="23" t="s">
        <v>22</v>
      </c>
      <c r="B1331" s="23" t="s">
        <v>25</v>
      </c>
      <c r="C1331" s="27">
        <v>44515.583333333336</v>
      </c>
      <c r="D1331" s="23">
        <v>51.45</v>
      </c>
      <c r="E1331" s="27">
        <v>44515.635416666664</v>
      </c>
      <c r="F1331" s="23">
        <v>51.15</v>
      </c>
      <c r="G1331" s="31">
        <v>-5.7999999999999996E-3</v>
      </c>
      <c r="H1331" s="23">
        <v>-294.8</v>
      </c>
      <c r="I1331" s="31">
        <v>-5.7999999999999996E-3</v>
      </c>
      <c r="J1331" s="23">
        <v>982.68209999999999</v>
      </c>
      <c r="K1331" s="23">
        <v>50559</v>
      </c>
      <c r="L1331" s="23">
        <v>111307.79</v>
      </c>
      <c r="M1331" s="23">
        <v>6</v>
      </c>
      <c r="N1331" s="23">
        <v>-49.13</v>
      </c>
      <c r="O1331" s="31">
        <v>-5.7999999999999996E-3</v>
      </c>
      <c r="P1331" s="31">
        <v>1.9E-3</v>
      </c>
      <c r="Q1331" s="23" t="s">
        <v>24</v>
      </c>
      <c r="R1331" s="23">
        <v>0</v>
      </c>
      <c r="S1331" s="23">
        <v>51</v>
      </c>
      <c r="U1331" s="47">
        <f>VLOOKUP(AU1331,[1]expiry_dates!$B$2:$C$2894,2,FALSE)</f>
        <v>44525</v>
      </c>
      <c r="V1331" s="23" t="s">
        <v>120</v>
      </c>
      <c r="W1331" s="23" t="s">
        <v>23</v>
      </c>
      <c r="X1331" s="49">
        <v>44515.583333333336</v>
      </c>
      <c r="Y1331" s="23">
        <v>1.6</v>
      </c>
      <c r="Z1331" s="23">
        <v>44515.635416666664</v>
      </c>
      <c r="AA1331" s="23">
        <v>1.6</v>
      </c>
      <c r="AB1331" s="23">
        <v>0</v>
      </c>
      <c r="AC1331" s="23">
        <v>0</v>
      </c>
      <c r="AD1331" s="23">
        <v>0</v>
      </c>
      <c r="AE1331" s="23">
        <v>43871.13</v>
      </c>
      <c r="AF1331" s="23">
        <v>70193.81</v>
      </c>
      <c r="AG1331" s="23">
        <v>4037130.78</v>
      </c>
      <c r="AH1331" s="23">
        <v>6</v>
      </c>
      <c r="AI1331" s="23">
        <v>0</v>
      </c>
      <c r="AJ1331" s="23">
        <v>-6.25E-2</v>
      </c>
      <c r="AK1331" s="23">
        <v>9.3700000000000006E-2</v>
      </c>
      <c r="AL1331" s="23" t="s">
        <v>24</v>
      </c>
      <c r="AM1331" s="23">
        <v>51.45</v>
      </c>
      <c r="AN1331" s="23">
        <v>38746.65</v>
      </c>
      <c r="AO1331" s="23">
        <v>51</v>
      </c>
      <c r="AP1331" s="23">
        <v>0</v>
      </c>
      <c r="AR1331" s="46"/>
      <c r="AS1331" s="44"/>
      <c r="AT1331" s="45"/>
      <c r="AU1331" s="2">
        <v>44515</v>
      </c>
      <c r="AV1331" s="52">
        <v>8.3333333333333329E-2</v>
      </c>
      <c r="AW1331" s="2" t="s">
        <v>213</v>
      </c>
      <c r="AY1331" s="3"/>
      <c r="BA1331" s="3"/>
      <c r="BG1331" s="3"/>
      <c r="BH1331" s="3"/>
    </row>
    <row r="1332" spans="1:60">
      <c r="A1332" s="23" t="s">
        <v>22</v>
      </c>
      <c r="B1332" s="23" t="s">
        <v>23</v>
      </c>
      <c r="C1332" s="27">
        <v>44515.635416666664</v>
      </c>
      <c r="D1332" s="23">
        <v>51.15</v>
      </c>
      <c r="E1332" s="27">
        <v>44516.552083333336</v>
      </c>
      <c r="F1332" s="23">
        <v>50.85</v>
      </c>
      <c r="G1332" s="31">
        <v>-5.8999999999999999E-3</v>
      </c>
      <c r="H1332" s="23">
        <v>296.52</v>
      </c>
      <c r="I1332" s="31">
        <v>5.8999999999999999E-3</v>
      </c>
      <c r="J1332" s="23">
        <v>988.40719999999999</v>
      </c>
      <c r="K1332" s="23">
        <v>50557.03</v>
      </c>
      <c r="L1332" s="23">
        <v>111604.32</v>
      </c>
      <c r="M1332" s="23">
        <v>21</v>
      </c>
      <c r="N1332" s="23">
        <v>14.12</v>
      </c>
      <c r="O1332" s="31">
        <v>-3.8999999999999998E-3</v>
      </c>
      <c r="P1332" s="31">
        <v>1.7600000000000001E-2</v>
      </c>
      <c r="Q1332" s="23" t="s">
        <v>24</v>
      </c>
      <c r="R1332" s="23">
        <v>0</v>
      </c>
      <c r="S1332" s="23">
        <v>51.53</v>
      </c>
      <c r="U1332" s="47">
        <f>VLOOKUP(AU1332,[1]expiry_dates!$B$2:$C$2894,2,FALSE)</f>
        <v>44525</v>
      </c>
      <c r="V1332" s="23" t="s">
        <v>119</v>
      </c>
      <c r="W1332" s="23" t="s">
        <v>23</v>
      </c>
      <c r="X1332" s="49">
        <v>44515.635416666664</v>
      </c>
      <c r="Y1332" s="23">
        <v>1.95</v>
      </c>
      <c r="Z1332" s="23">
        <v>44516.552083333336</v>
      </c>
      <c r="AA1332" s="23">
        <v>1.55</v>
      </c>
      <c r="AB1332" s="23">
        <v>-0.2051</v>
      </c>
      <c r="AC1332" s="23">
        <v>14399.31</v>
      </c>
      <c r="AD1332" s="23">
        <v>0.2051</v>
      </c>
      <c r="AE1332" s="23">
        <v>35998.269999999997</v>
      </c>
      <c r="AF1332" s="23">
        <v>70196.62</v>
      </c>
      <c r="AG1332" s="23">
        <v>4051530.09</v>
      </c>
      <c r="AH1332" s="23">
        <v>21</v>
      </c>
      <c r="AI1332" s="23">
        <v>685.68</v>
      </c>
      <c r="AJ1332" s="23">
        <v>-2.5600000000000001E-2</v>
      </c>
      <c r="AK1332" s="23">
        <v>0.33329999999999999</v>
      </c>
      <c r="AL1332" s="23" t="s">
        <v>24</v>
      </c>
      <c r="AM1332" s="23">
        <v>51.15</v>
      </c>
      <c r="AN1332" s="23">
        <v>38679.4</v>
      </c>
      <c r="AO1332" s="23">
        <v>51.53</v>
      </c>
      <c r="AP1332" s="23">
        <v>0</v>
      </c>
      <c r="AR1332" s="46"/>
      <c r="AS1332" s="44"/>
      <c r="AT1332" s="45"/>
      <c r="AU1332" s="2">
        <v>44515</v>
      </c>
      <c r="AV1332" s="52">
        <v>0.13541666666666666</v>
      </c>
      <c r="AW1332" s="2" t="s">
        <v>213</v>
      </c>
      <c r="AY1332" s="3"/>
      <c r="BA1332" s="3"/>
      <c r="BG1332" s="3"/>
      <c r="BH1332" s="3"/>
    </row>
    <row r="1333" spans="1:60">
      <c r="A1333" s="23" t="s">
        <v>22</v>
      </c>
      <c r="B1333" s="23" t="s">
        <v>25</v>
      </c>
      <c r="C1333" s="27">
        <v>44516.552083333336</v>
      </c>
      <c r="D1333" s="23">
        <v>50.85</v>
      </c>
      <c r="E1333" s="27">
        <v>44516.59375</v>
      </c>
      <c r="F1333" s="23">
        <v>50.35</v>
      </c>
      <c r="G1333" s="31">
        <v>-9.7999999999999997E-3</v>
      </c>
      <c r="H1333" s="23">
        <v>-497.13</v>
      </c>
      <c r="I1333" s="31">
        <v>-9.7999999999999997E-3</v>
      </c>
      <c r="J1333" s="23">
        <v>994.26289999999995</v>
      </c>
      <c r="K1333" s="23">
        <v>50558.27</v>
      </c>
      <c r="L1333" s="23">
        <v>111107.19</v>
      </c>
      <c r="M1333" s="23">
        <v>5</v>
      </c>
      <c r="N1333" s="23">
        <v>-99.43</v>
      </c>
      <c r="O1333" s="31">
        <v>-9.7999999999999997E-3</v>
      </c>
      <c r="P1333" s="31">
        <v>2E-3</v>
      </c>
      <c r="Q1333" s="23" t="s">
        <v>24</v>
      </c>
      <c r="R1333" s="23">
        <v>0</v>
      </c>
      <c r="S1333" s="23">
        <v>50.28</v>
      </c>
      <c r="U1333" s="47">
        <f>VLOOKUP(AU1333,[1]expiry_dates!$B$2:$C$2894,2,FALSE)</f>
        <v>44525</v>
      </c>
      <c r="V1333" s="23" t="s">
        <v>124</v>
      </c>
      <c r="W1333" s="23" t="s">
        <v>23</v>
      </c>
      <c r="X1333" s="49">
        <v>44516.552083333336</v>
      </c>
      <c r="Y1333" s="23">
        <v>1.1000000000000001</v>
      </c>
      <c r="Z1333" s="23">
        <v>44516.59375</v>
      </c>
      <c r="AA1333" s="23">
        <v>1.3</v>
      </c>
      <c r="AB1333" s="23">
        <v>0.18179999999999999</v>
      </c>
      <c r="AC1333" s="23">
        <v>-12775.75</v>
      </c>
      <c r="AD1333" s="23">
        <v>-0.18179999999999999</v>
      </c>
      <c r="AE1333" s="23">
        <v>63878.77</v>
      </c>
      <c r="AF1333" s="23">
        <v>70266.649999999994</v>
      </c>
      <c r="AG1333" s="23">
        <v>4038754.34</v>
      </c>
      <c r="AH1333" s="23">
        <v>5</v>
      </c>
      <c r="AI1333" s="23">
        <v>-2555.15</v>
      </c>
      <c r="AJ1333" s="23">
        <v>-0.18179999999999999</v>
      </c>
      <c r="AK1333" s="23">
        <v>4.5499999999999999E-2</v>
      </c>
      <c r="AL1333" s="23" t="s">
        <v>24</v>
      </c>
      <c r="AM1333" s="23">
        <v>50.85</v>
      </c>
      <c r="AN1333" s="23">
        <v>38485.800000000003</v>
      </c>
      <c r="AO1333" s="23">
        <v>50.28</v>
      </c>
      <c r="AP1333" s="23">
        <v>0</v>
      </c>
      <c r="AR1333" s="46"/>
      <c r="AS1333" s="44"/>
      <c r="AT1333" s="45"/>
      <c r="AU1333" s="2">
        <v>44516</v>
      </c>
      <c r="AV1333" s="52">
        <v>5.2083333333333336E-2</v>
      </c>
      <c r="AW1333" s="2" t="s">
        <v>213</v>
      </c>
      <c r="AY1333" s="3"/>
      <c r="BA1333" s="3"/>
      <c r="BG1333" s="3"/>
      <c r="BH1333" s="3"/>
    </row>
    <row r="1334" spans="1:60">
      <c r="A1334" s="23" t="s">
        <v>22</v>
      </c>
      <c r="B1334" s="23" t="s">
        <v>23</v>
      </c>
      <c r="C1334" s="27">
        <v>44516.59375</v>
      </c>
      <c r="D1334" s="23">
        <v>50.35</v>
      </c>
      <c r="E1334" s="27">
        <v>44517.4375</v>
      </c>
      <c r="F1334" s="23">
        <v>50.45</v>
      </c>
      <c r="G1334" s="31">
        <v>2E-3</v>
      </c>
      <c r="H1334" s="23">
        <v>-100.41</v>
      </c>
      <c r="I1334" s="31">
        <v>-2E-3</v>
      </c>
      <c r="J1334" s="23">
        <v>1004.112</v>
      </c>
      <c r="K1334" s="23">
        <v>50557.03</v>
      </c>
      <c r="L1334" s="23">
        <v>111006.77</v>
      </c>
      <c r="M1334" s="23">
        <v>14</v>
      </c>
      <c r="N1334" s="23">
        <v>-7.17</v>
      </c>
      <c r="O1334" s="31">
        <v>-6.0000000000000001E-3</v>
      </c>
      <c r="P1334" s="31">
        <v>1.49E-2</v>
      </c>
      <c r="Q1334" s="23" t="s">
        <v>24</v>
      </c>
      <c r="R1334" s="23">
        <v>0</v>
      </c>
      <c r="S1334" s="23">
        <v>50.94</v>
      </c>
      <c r="U1334" s="47">
        <f>VLOOKUP(AU1334,[1]expiry_dates!$B$2:$C$2894,2,FALSE)</f>
        <v>44525</v>
      </c>
      <c r="V1334" s="23" t="s">
        <v>121</v>
      </c>
      <c r="W1334" s="23" t="s">
        <v>23</v>
      </c>
      <c r="X1334" s="49">
        <v>44516.59375</v>
      </c>
      <c r="Y1334" s="23">
        <v>1.65</v>
      </c>
      <c r="Z1334" s="23">
        <v>44517.4375</v>
      </c>
      <c r="AA1334" s="23">
        <v>1.6</v>
      </c>
      <c r="AB1334" s="23">
        <v>-3.0300000000000001E-2</v>
      </c>
      <c r="AC1334" s="23">
        <v>2129.02</v>
      </c>
      <c r="AD1334" s="23">
        <v>3.0300000000000001E-2</v>
      </c>
      <c r="AE1334" s="23">
        <v>42580.39</v>
      </c>
      <c r="AF1334" s="23">
        <v>70257.649999999994</v>
      </c>
      <c r="AG1334" s="23">
        <v>4040883.36</v>
      </c>
      <c r="AH1334" s="23">
        <v>14</v>
      </c>
      <c r="AI1334" s="23">
        <v>152.07</v>
      </c>
      <c r="AJ1334" s="23">
        <v>-0.1212</v>
      </c>
      <c r="AK1334" s="23">
        <v>0.2727</v>
      </c>
      <c r="AL1334" s="23" t="s">
        <v>24</v>
      </c>
      <c r="AM1334" s="23">
        <v>50.35</v>
      </c>
      <c r="AN1334" s="23">
        <v>38229</v>
      </c>
      <c r="AO1334" s="23">
        <v>50.94</v>
      </c>
      <c r="AP1334" s="23">
        <v>0</v>
      </c>
      <c r="AR1334" s="46"/>
      <c r="AS1334" s="44"/>
      <c r="AT1334" s="45"/>
      <c r="AU1334" s="2">
        <v>44516</v>
      </c>
      <c r="AV1334" s="52">
        <v>9.375E-2</v>
      </c>
      <c r="AW1334" s="2" t="s">
        <v>213</v>
      </c>
      <c r="AY1334" s="3"/>
      <c r="BA1334" s="3"/>
      <c r="BG1334" s="3"/>
      <c r="BH1334" s="3"/>
    </row>
    <row r="1335" spans="1:60">
      <c r="A1335" s="23" t="s">
        <v>22</v>
      </c>
      <c r="B1335" s="23" t="s">
        <v>25</v>
      </c>
      <c r="C1335" s="27">
        <v>44517.4375</v>
      </c>
      <c r="D1335" s="23">
        <v>50.45</v>
      </c>
      <c r="E1335" s="27">
        <v>44517.489583333336</v>
      </c>
      <c r="F1335" s="23">
        <v>49.9</v>
      </c>
      <c r="G1335" s="31">
        <v>-1.09E-2</v>
      </c>
      <c r="H1335" s="23">
        <v>-551.15</v>
      </c>
      <c r="I1335" s="31">
        <v>-1.09E-2</v>
      </c>
      <c r="J1335" s="23">
        <v>1002.092</v>
      </c>
      <c r="K1335" s="23">
        <v>50555.54</v>
      </c>
      <c r="L1335" s="23">
        <v>110455.62</v>
      </c>
      <c r="M1335" s="23">
        <v>6</v>
      </c>
      <c r="N1335" s="23">
        <v>-91.86</v>
      </c>
      <c r="O1335" s="31">
        <v>-1.09E-2</v>
      </c>
      <c r="P1335" s="31">
        <v>1E-3</v>
      </c>
      <c r="Q1335" s="23" t="s">
        <v>24</v>
      </c>
      <c r="R1335" s="23">
        <v>0</v>
      </c>
      <c r="S1335" s="23">
        <v>49.64</v>
      </c>
      <c r="U1335" s="47">
        <f>VLOOKUP(AU1335,[1]expiry_dates!$B$2:$C$2894,2,FALSE)</f>
        <v>44525</v>
      </c>
      <c r="V1335" s="23" t="s">
        <v>124</v>
      </c>
      <c r="W1335" s="23" t="s">
        <v>23</v>
      </c>
      <c r="X1335" s="49">
        <v>44517.4375</v>
      </c>
      <c r="Y1335" s="23">
        <v>1.1000000000000001</v>
      </c>
      <c r="Z1335" s="23">
        <v>44517.489583333336</v>
      </c>
      <c r="AA1335" s="23">
        <v>1.4</v>
      </c>
      <c r="AB1335" s="23">
        <v>0.2727</v>
      </c>
      <c r="AC1335" s="23">
        <v>-19146.66</v>
      </c>
      <c r="AD1335" s="23">
        <v>-0.2727</v>
      </c>
      <c r="AE1335" s="23">
        <v>63822.2</v>
      </c>
      <c r="AF1335" s="23">
        <v>70204.41</v>
      </c>
      <c r="AG1335" s="23">
        <v>4021736.7</v>
      </c>
      <c r="AH1335" s="23">
        <v>6</v>
      </c>
      <c r="AI1335" s="23">
        <v>-3191.11</v>
      </c>
      <c r="AJ1335" s="23">
        <v>-0.2727</v>
      </c>
      <c r="AK1335" s="23">
        <v>0</v>
      </c>
      <c r="AL1335" s="23" t="s">
        <v>24</v>
      </c>
      <c r="AM1335" s="23">
        <v>50.45</v>
      </c>
      <c r="AN1335" s="23">
        <v>38414.1</v>
      </c>
      <c r="AO1335" s="23">
        <v>49.64</v>
      </c>
      <c r="AP1335" s="23">
        <v>0</v>
      </c>
      <c r="AR1335" s="46"/>
      <c r="AS1335" s="44"/>
      <c r="AT1335" s="45"/>
      <c r="AU1335" s="2">
        <v>44517</v>
      </c>
      <c r="AV1335" s="52">
        <v>0.4375</v>
      </c>
      <c r="AW1335" s="2" t="s">
        <v>212</v>
      </c>
      <c r="AY1335" s="3"/>
      <c r="BA1335" s="3"/>
      <c r="BG1335" s="3"/>
      <c r="BH1335" s="3"/>
    </row>
    <row r="1336" spans="1:60">
      <c r="A1336" s="23" t="s">
        <v>22</v>
      </c>
      <c r="B1336" s="23" t="s">
        <v>23</v>
      </c>
      <c r="C1336" s="27">
        <v>44517.489583333336</v>
      </c>
      <c r="D1336" s="23">
        <v>49.9</v>
      </c>
      <c r="E1336" s="27">
        <v>44518.385416666664</v>
      </c>
      <c r="F1336" s="23">
        <v>49.65</v>
      </c>
      <c r="G1336" s="31">
        <v>-5.0000000000000001E-3</v>
      </c>
      <c r="H1336" s="23">
        <v>253.27</v>
      </c>
      <c r="I1336" s="31">
        <v>5.0000000000000001E-3</v>
      </c>
      <c r="J1336" s="23">
        <v>1013.072</v>
      </c>
      <c r="K1336" s="23">
        <v>50552.28</v>
      </c>
      <c r="L1336" s="23">
        <v>110708.89</v>
      </c>
      <c r="M1336" s="23">
        <v>19</v>
      </c>
      <c r="N1336" s="23">
        <v>13.33</v>
      </c>
      <c r="O1336" s="31">
        <v>-3.0000000000000001E-3</v>
      </c>
      <c r="P1336" s="31">
        <v>1.2E-2</v>
      </c>
      <c r="Q1336" s="23" t="s">
        <v>24</v>
      </c>
      <c r="R1336" s="23">
        <v>0</v>
      </c>
      <c r="S1336" s="23">
        <v>50.49</v>
      </c>
      <c r="U1336" s="47">
        <f>VLOOKUP(AU1336,[1]expiry_dates!$B$2:$C$2894,2,FALSE)</f>
        <v>44525</v>
      </c>
      <c r="V1336" s="23" t="s">
        <v>121</v>
      </c>
      <c r="W1336" s="23" t="s">
        <v>23</v>
      </c>
      <c r="X1336" s="49">
        <v>44517.489583333336</v>
      </c>
      <c r="Y1336" s="23">
        <v>1.3</v>
      </c>
      <c r="Z1336" s="23">
        <v>44518.385416666664</v>
      </c>
      <c r="AA1336" s="23">
        <v>1</v>
      </c>
      <c r="AB1336" s="23">
        <v>-0.23080000000000001</v>
      </c>
      <c r="AC1336" s="23">
        <v>16182.61</v>
      </c>
      <c r="AD1336" s="23">
        <v>0.23080000000000001</v>
      </c>
      <c r="AE1336" s="23">
        <v>53942.03</v>
      </c>
      <c r="AF1336" s="23">
        <v>70124.639999999999</v>
      </c>
      <c r="AG1336" s="23">
        <v>4037919.31</v>
      </c>
      <c r="AH1336" s="23">
        <v>19</v>
      </c>
      <c r="AI1336" s="23">
        <v>851.72</v>
      </c>
      <c r="AJ1336" s="23">
        <v>-3.85E-2</v>
      </c>
      <c r="AK1336" s="23">
        <v>0.30769999999999997</v>
      </c>
      <c r="AL1336" s="23" t="s">
        <v>24</v>
      </c>
      <c r="AM1336" s="23">
        <v>49.9</v>
      </c>
      <c r="AN1336" s="23">
        <v>38242.6</v>
      </c>
      <c r="AO1336" s="23">
        <v>50.49</v>
      </c>
      <c r="AP1336" s="23">
        <v>0</v>
      </c>
      <c r="AR1336" s="46"/>
      <c r="AS1336" s="44"/>
      <c r="AT1336" s="45"/>
      <c r="AU1336" s="2">
        <v>44517</v>
      </c>
      <c r="AV1336" s="52">
        <v>0.48958333333333331</v>
      </c>
      <c r="AW1336" s="2" t="s">
        <v>212</v>
      </c>
      <c r="AY1336" s="3"/>
      <c r="BA1336" s="3"/>
      <c r="BG1336" s="3"/>
      <c r="BH1336" s="3"/>
    </row>
    <row r="1337" spans="1:60">
      <c r="A1337" s="23" t="s">
        <v>22</v>
      </c>
      <c r="B1337" s="23" t="s">
        <v>25</v>
      </c>
      <c r="C1337" s="27">
        <v>44518.385416666664</v>
      </c>
      <c r="D1337" s="23">
        <v>49.65</v>
      </c>
      <c r="E1337" s="27">
        <v>44518.395833333336</v>
      </c>
      <c r="F1337" s="23">
        <v>49.4</v>
      </c>
      <c r="G1337" s="31">
        <v>-5.0000000000000001E-3</v>
      </c>
      <c r="H1337" s="23">
        <v>-254.55</v>
      </c>
      <c r="I1337" s="31">
        <v>-5.0000000000000001E-3</v>
      </c>
      <c r="J1337" s="23">
        <v>1018.2140000000001</v>
      </c>
      <c r="K1337" s="23">
        <v>50554.3</v>
      </c>
      <c r="L1337" s="23">
        <v>110454.34</v>
      </c>
      <c r="M1337" s="23">
        <v>2</v>
      </c>
      <c r="N1337" s="23">
        <v>-127.28</v>
      </c>
      <c r="O1337" s="31">
        <v>-5.0000000000000001E-3</v>
      </c>
      <c r="P1337" s="31">
        <v>6.0000000000000001E-3</v>
      </c>
      <c r="Q1337" s="23" t="s">
        <v>24</v>
      </c>
      <c r="R1337" s="23">
        <v>0</v>
      </c>
      <c r="S1337" s="23">
        <v>49.31</v>
      </c>
      <c r="U1337" s="47">
        <f>VLOOKUP(AU1337,[1]expiry_dates!$B$2:$C$2894,2,FALSE)</f>
        <v>44525</v>
      </c>
      <c r="V1337" s="23" t="s">
        <v>124</v>
      </c>
      <c r="W1337" s="23" t="s">
        <v>23</v>
      </c>
      <c r="X1337" s="49">
        <v>44518.385416666664</v>
      </c>
      <c r="Y1337" s="23">
        <v>1.35</v>
      </c>
      <c r="Z1337" s="23">
        <v>44518.395833333336</v>
      </c>
      <c r="AA1337" s="23">
        <v>1.5</v>
      </c>
      <c r="AB1337" s="23">
        <v>0.1111</v>
      </c>
      <c r="AC1337" s="23">
        <v>-7798.84</v>
      </c>
      <c r="AD1337" s="23">
        <v>-0.1111</v>
      </c>
      <c r="AE1337" s="23">
        <v>51992.29</v>
      </c>
      <c r="AF1337" s="23">
        <v>70189.59</v>
      </c>
      <c r="AG1337" s="23">
        <v>4030120.46</v>
      </c>
      <c r="AH1337" s="23">
        <v>2</v>
      </c>
      <c r="AI1337" s="23">
        <v>-3899.42</v>
      </c>
      <c r="AJ1337" s="23">
        <v>-0.1111</v>
      </c>
      <c r="AK1337" s="23">
        <v>0.1111</v>
      </c>
      <c r="AL1337" s="23" t="s">
        <v>24</v>
      </c>
      <c r="AM1337" s="23">
        <v>49.65</v>
      </c>
      <c r="AN1337" s="23">
        <v>38089.699999999997</v>
      </c>
      <c r="AO1337" s="23">
        <v>49.31</v>
      </c>
      <c r="AP1337" s="23">
        <v>0</v>
      </c>
      <c r="AR1337" s="46"/>
      <c r="AS1337" s="44"/>
      <c r="AT1337" s="45"/>
      <c r="AU1337" s="2">
        <v>44518</v>
      </c>
      <c r="AV1337" s="52">
        <v>0.38541666666666669</v>
      </c>
      <c r="AW1337" s="2" t="s">
        <v>212</v>
      </c>
      <c r="AY1337" s="3"/>
      <c r="BA1337" s="3"/>
      <c r="BG1337" s="3"/>
      <c r="BH1337" s="3"/>
    </row>
    <row r="1338" spans="1:60">
      <c r="A1338" s="23" t="s">
        <v>22</v>
      </c>
      <c r="B1338" s="23" t="s">
        <v>23</v>
      </c>
      <c r="C1338" s="27">
        <v>44518.395833333336</v>
      </c>
      <c r="D1338" s="23">
        <v>49.4</v>
      </c>
      <c r="E1338" s="27">
        <v>44518.572916666664</v>
      </c>
      <c r="F1338" s="23">
        <v>49.15</v>
      </c>
      <c r="G1338" s="31">
        <v>-5.1000000000000004E-3</v>
      </c>
      <c r="H1338" s="23">
        <v>255.84</v>
      </c>
      <c r="I1338" s="31">
        <v>5.1000000000000004E-3</v>
      </c>
      <c r="J1338" s="23">
        <v>1023.351</v>
      </c>
      <c r="K1338" s="23">
        <v>50553.54</v>
      </c>
      <c r="L1338" s="23">
        <v>110710.18</v>
      </c>
      <c r="M1338" s="23">
        <v>18</v>
      </c>
      <c r="N1338" s="23">
        <v>14.21</v>
      </c>
      <c r="O1338" s="31">
        <v>-4.0000000000000001E-3</v>
      </c>
      <c r="P1338" s="31">
        <v>1.6199999999999999E-2</v>
      </c>
      <c r="Q1338" s="23" t="s">
        <v>24</v>
      </c>
      <c r="R1338" s="23">
        <v>0</v>
      </c>
      <c r="S1338" s="23">
        <v>49.92</v>
      </c>
      <c r="U1338" s="47">
        <f>VLOOKUP(AU1338,[1]expiry_dates!$B$2:$C$2894,2,FALSE)</f>
        <v>44525</v>
      </c>
      <c r="V1338" s="23" t="s">
        <v>123</v>
      </c>
      <c r="W1338" s="23" t="s">
        <v>23</v>
      </c>
      <c r="X1338" s="49">
        <v>44518.395833333336</v>
      </c>
      <c r="Y1338" s="23">
        <v>1.3</v>
      </c>
      <c r="Z1338" s="23">
        <v>44518.572916666664</v>
      </c>
      <c r="AA1338" s="23">
        <v>1.05</v>
      </c>
      <c r="AB1338" s="23">
        <v>-0.1923</v>
      </c>
      <c r="AC1338" s="23">
        <v>13498</v>
      </c>
      <c r="AD1338" s="23">
        <v>0.1923</v>
      </c>
      <c r="AE1338" s="23">
        <v>53992</v>
      </c>
      <c r="AF1338" s="23">
        <v>70189.59</v>
      </c>
      <c r="AG1338" s="23">
        <v>4043618.46</v>
      </c>
      <c r="AH1338" s="23">
        <v>18</v>
      </c>
      <c r="AI1338" s="23">
        <v>749.89</v>
      </c>
      <c r="AJ1338" s="23">
        <v>-0.1923</v>
      </c>
      <c r="AK1338" s="23">
        <v>0.34620000000000001</v>
      </c>
      <c r="AL1338" s="23" t="s">
        <v>24</v>
      </c>
      <c r="AM1338" s="23">
        <v>49.4</v>
      </c>
      <c r="AN1338" s="23">
        <v>38065.4</v>
      </c>
      <c r="AO1338" s="23">
        <v>49.92</v>
      </c>
      <c r="AP1338" s="23">
        <v>0</v>
      </c>
      <c r="AR1338" s="46"/>
      <c r="AS1338" s="44"/>
      <c r="AT1338" s="45"/>
      <c r="AU1338" s="2">
        <v>44518</v>
      </c>
      <c r="AV1338" s="52">
        <v>0.39583333333333331</v>
      </c>
      <c r="AW1338" s="2" t="s">
        <v>212</v>
      </c>
      <c r="AY1338" s="3"/>
      <c r="BA1338" s="3"/>
      <c r="BG1338" s="3"/>
      <c r="BH1338" s="3"/>
    </row>
    <row r="1339" spans="1:60">
      <c r="A1339" s="23" t="s">
        <v>22</v>
      </c>
      <c r="B1339" s="23" t="s">
        <v>25</v>
      </c>
      <c r="C1339" s="27">
        <v>44518.572916666664</v>
      </c>
      <c r="D1339" s="23">
        <v>49.15</v>
      </c>
      <c r="E1339" s="27">
        <v>44518.604166666664</v>
      </c>
      <c r="F1339" s="23">
        <v>48.85</v>
      </c>
      <c r="G1339" s="31">
        <v>-6.1000000000000004E-3</v>
      </c>
      <c r="H1339" s="23">
        <v>-308.57</v>
      </c>
      <c r="I1339" s="31">
        <v>-6.1000000000000004E-3</v>
      </c>
      <c r="J1339" s="23">
        <v>1028.567</v>
      </c>
      <c r="K1339" s="23">
        <v>50554.06</v>
      </c>
      <c r="L1339" s="23">
        <v>110401.61</v>
      </c>
      <c r="M1339" s="23">
        <v>4</v>
      </c>
      <c r="N1339" s="23">
        <v>-77.14</v>
      </c>
      <c r="O1339" s="31">
        <v>-7.1000000000000004E-3</v>
      </c>
      <c r="P1339" s="31">
        <v>0</v>
      </c>
      <c r="Q1339" s="23" t="s">
        <v>24</v>
      </c>
      <c r="R1339" s="23">
        <v>0</v>
      </c>
      <c r="S1339" s="23">
        <v>48.62</v>
      </c>
      <c r="U1339" s="47">
        <f>VLOOKUP(AU1339,[1]expiry_dates!$B$2:$C$2894,2,FALSE)</f>
        <v>44525</v>
      </c>
      <c r="V1339" s="23" t="s">
        <v>122</v>
      </c>
      <c r="W1339" s="23" t="s">
        <v>23</v>
      </c>
      <c r="X1339" s="49">
        <v>44518.572916666664</v>
      </c>
      <c r="Y1339" s="23">
        <v>0.95</v>
      </c>
      <c r="Z1339" s="23">
        <v>44518.604166666664</v>
      </c>
      <c r="AA1339" s="23">
        <v>1.05</v>
      </c>
      <c r="AB1339" s="23">
        <v>0.1053</v>
      </c>
      <c r="AC1339" s="23">
        <v>-7391.38</v>
      </c>
      <c r="AD1339" s="23">
        <v>-0.1053</v>
      </c>
      <c r="AE1339" s="23">
        <v>73913.78</v>
      </c>
      <c r="AF1339" s="23">
        <v>70218.09</v>
      </c>
      <c r="AG1339" s="23">
        <v>4036227.08</v>
      </c>
      <c r="AH1339" s="23">
        <v>4</v>
      </c>
      <c r="AI1339" s="23">
        <v>-1847.84</v>
      </c>
      <c r="AJ1339" s="23">
        <v>-0.15790000000000001</v>
      </c>
      <c r="AK1339" s="23">
        <v>5.2600000000000001E-2</v>
      </c>
      <c r="AL1339" s="23" t="s">
        <v>24</v>
      </c>
      <c r="AM1339" s="23">
        <v>49.15</v>
      </c>
      <c r="AN1339" s="23">
        <v>38011.1</v>
      </c>
      <c r="AO1339" s="23">
        <v>48.62</v>
      </c>
      <c r="AP1339" s="23">
        <v>0</v>
      </c>
      <c r="AR1339" s="46"/>
      <c r="AS1339" s="44"/>
      <c r="AT1339" s="45"/>
      <c r="AU1339" s="2">
        <v>44518</v>
      </c>
      <c r="AV1339" s="52">
        <v>7.2916666666666671E-2</v>
      </c>
      <c r="AW1339" s="2" t="s">
        <v>213</v>
      </c>
      <c r="AY1339" s="3"/>
      <c r="BA1339" s="3"/>
      <c r="BG1339" s="3"/>
      <c r="BH1339" s="3"/>
    </row>
    <row r="1340" spans="1:60">
      <c r="A1340" s="23" t="s">
        <v>22</v>
      </c>
      <c r="B1340" s="23" t="s">
        <v>23</v>
      </c>
      <c r="C1340" s="27">
        <v>44518.604166666664</v>
      </c>
      <c r="D1340" s="23">
        <v>48.85</v>
      </c>
      <c r="E1340" s="27">
        <v>44523.395833333336</v>
      </c>
      <c r="F1340" s="23">
        <v>47.6</v>
      </c>
      <c r="G1340" s="31">
        <v>-2.5600000000000001E-2</v>
      </c>
      <c r="H1340" s="23">
        <v>1293.55</v>
      </c>
      <c r="I1340" s="31">
        <v>2.5600000000000001E-2</v>
      </c>
      <c r="J1340" s="23">
        <v>1034.8420000000001</v>
      </c>
      <c r="K1340" s="23">
        <v>50552.01</v>
      </c>
      <c r="L1340" s="23">
        <v>111695.16</v>
      </c>
      <c r="M1340" s="23">
        <v>37</v>
      </c>
      <c r="N1340" s="23">
        <v>34.96</v>
      </c>
      <c r="O1340" s="31">
        <v>-2.1499999999999998E-2</v>
      </c>
      <c r="P1340" s="31">
        <v>4.6100000000000002E-2</v>
      </c>
      <c r="Q1340" s="23" t="s">
        <v>24</v>
      </c>
      <c r="R1340" s="23">
        <v>0</v>
      </c>
      <c r="S1340" s="23">
        <v>49.14</v>
      </c>
      <c r="U1340" s="47">
        <f>VLOOKUP(AU1340,[1]expiry_dates!$B$2:$C$2894,2,FALSE)</f>
        <v>44525</v>
      </c>
      <c r="V1340" s="23" t="s">
        <v>123</v>
      </c>
      <c r="W1340" s="23" t="s">
        <v>23</v>
      </c>
      <c r="X1340" s="49">
        <v>44518.604166666664</v>
      </c>
      <c r="Y1340" s="23">
        <v>0.9</v>
      </c>
      <c r="Z1340" s="23">
        <v>44523.395833333336</v>
      </c>
      <c r="AA1340" s="23">
        <v>0.45</v>
      </c>
      <c r="AB1340" s="23">
        <v>-0.5</v>
      </c>
      <c r="AC1340" s="23">
        <v>35090.57</v>
      </c>
      <c r="AD1340" s="23">
        <v>0.5</v>
      </c>
      <c r="AE1340" s="23">
        <v>77979.039999999994</v>
      </c>
      <c r="AF1340" s="23">
        <v>70181.13</v>
      </c>
      <c r="AG1340" s="23">
        <v>4071317.65</v>
      </c>
      <c r="AH1340" s="23">
        <v>37</v>
      </c>
      <c r="AI1340" s="23">
        <v>948.39</v>
      </c>
      <c r="AJ1340" s="23">
        <v>-0.44440000000000002</v>
      </c>
      <c r="AK1340" s="23">
        <v>0.66669999999999996</v>
      </c>
      <c r="AL1340" s="23" t="s">
        <v>24</v>
      </c>
      <c r="AM1340" s="23">
        <v>48.85</v>
      </c>
      <c r="AN1340" s="23">
        <v>37933.85</v>
      </c>
      <c r="AO1340" s="23">
        <v>49.14</v>
      </c>
      <c r="AP1340" s="23">
        <v>0</v>
      </c>
      <c r="AR1340" s="46"/>
      <c r="AS1340" s="44"/>
      <c r="AT1340" s="45"/>
      <c r="AU1340" s="2">
        <v>44518</v>
      </c>
      <c r="AV1340" s="52">
        <v>0.10416666666666667</v>
      </c>
      <c r="AW1340" s="2" t="s">
        <v>213</v>
      </c>
      <c r="AY1340" s="3"/>
      <c r="BA1340" s="3"/>
      <c r="BG1340" s="3"/>
      <c r="BH1340" s="3"/>
    </row>
    <row r="1341" spans="1:60">
      <c r="A1341" s="23" t="s">
        <v>22</v>
      </c>
      <c r="B1341" s="23" t="s">
        <v>25</v>
      </c>
      <c r="C1341" s="27">
        <v>44523.395833333336</v>
      </c>
      <c r="D1341" s="23">
        <v>47.6</v>
      </c>
      <c r="E1341" s="27">
        <v>44524.59375</v>
      </c>
      <c r="F1341" s="23">
        <v>49.05</v>
      </c>
      <c r="G1341" s="31">
        <v>3.0499999999999999E-2</v>
      </c>
      <c r="H1341" s="23">
        <v>1540.17</v>
      </c>
      <c r="I1341" s="31">
        <v>3.0499999999999999E-2</v>
      </c>
      <c r="J1341" s="23">
        <v>1062.1859999999999</v>
      </c>
      <c r="K1341" s="23">
        <v>50560.03</v>
      </c>
      <c r="L1341" s="23">
        <v>113235.33</v>
      </c>
      <c r="M1341" s="23">
        <v>48</v>
      </c>
      <c r="N1341" s="23">
        <v>32.090000000000003</v>
      </c>
      <c r="O1341" s="31">
        <v>-8.3999999999999995E-3</v>
      </c>
      <c r="P1341" s="31">
        <v>4.5199999999999997E-2</v>
      </c>
      <c r="Q1341" s="23" t="s">
        <v>24</v>
      </c>
      <c r="R1341" s="23">
        <v>0</v>
      </c>
      <c r="S1341" s="23">
        <v>46.6</v>
      </c>
      <c r="U1341" s="47">
        <f>VLOOKUP(AU1341,[1]expiry_dates!$B$2:$C$2894,2,FALSE)</f>
        <v>44525</v>
      </c>
      <c r="V1341" s="23" t="s">
        <v>108</v>
      </c>
      <c r="W1341" s="23" t="s">
        <v>23</v>
      </c>
      <c r="X1341" s="49">
        <v>44523.395833333336</v>
      </c>
      <c r="Y1341" s="23">
        <v>0.95</v>
      </c>
      <c r="Z1341" s="23">
        <v>44524.59375</v>
      </c>
      <c r="AA1341" s="23">
        <v>0.2</v>
      </c>
      <c r="AB1341" s="23">
        <v>-0.78949999999999998</v>
      </c>
      <c r="AC1341" s="23">
        <v>55575.46</v>
      </c>
      <c r="AD1341" s="23">
        <v>0.78949999999999998</v>
      </c>
      <c r="AE1341" s="23">
        <v>74100.61</v>
      </c>
      <c r="AF1341" s="23">
        <v>70395.58</v>
      </c>
      <c r="AG1341" s="23">
        <v>4126893.11</v>
      </c>
      <c r="AH1341" s="23">
        <v>48</v>
      </c>
      <c r="AI1341" s="23">
        <v>1157.82</v>
      </c>
      <c r="AJ1341" s="23">
        <v>-0.36840000000000001</v>
      </c>
      <c r="AK1341" s="23">
        <v>0.89470000000000005</v>
      </c>
      <c r="AL1341" s="23" t="s">
        <v>24</v>
      </c>
      <c r="AM1341" s="23">
        <v>47.6</v>
      </c>
      <c r="AN1341" s="23">
        <v>37115.199999999997</v>
      </c>
      <c r="AO1341" s="23">
        <v>46.6</v>
      </c>
      <c r="AP1341" s="23">
        <v>0</v>
      </c>
      <c r="AR1341" s="46"/>
      <c r="AS1341" s="44"/>
      <c r="AT1341" s="45"/>
      <c r="AU1341" s="2">
        <v>44523</v>
      </c>
      <c r="AV1341" s="52">
        <v>0.39583333333333331</v>
      </c>
      <c r="AW1341" s="2" t="s">
        <v>212</v>
      </c>
      <c r="AY1341" s="3"/>
      <c r="BA1341" s="3"/>
      <c r="BG1341" s="3"/>
      <c r="BH1341" s="3"/>
    </row>
    <row r="1342" spans="1:60">
      <c r="A1342" s="23" t="s">
        <v>22</v>
      </c>
      <c r="B1342" s="23" t="s">
        <v>23</v>
      </c>
      <c r="C1342" s="27">
        <v>44524.59375</v>
      </c>
      <c r="D1342" s="23">
        <v>49.05</v>
      </c>
      <c r="E1342" s="27">
        <v>44525.552083333336</v>
      </c>
      <c r="F1342" s="23">
        <v>48.55</v>
      </c>
      <c r="G1342" s="31">
        <v>-1.0200000000000001E-2</v>
      </c>
      <c r="H1342" s="23">
        <v>515.46</v>
      </c>
      <c r="I1342" s="31">
        <v>1.0200000000000001E-2</v>
      </c>
      <c r="J1342" s="23">
        <v>1030.9269999999999</v>
      </c>
      <c r="K1342" s="23">
        <v>50566.98</v>
      </c>
      <c r="L1342" s="23">
        <v>113750.79</v>
      </c>
      <c r="M1342" s="23">
        <v>25</v>
      </c>
      <c r="N1342" s="23">
        <v>20.62</v>
      </c>
      <c r="O1342" s="31">
        <v>-3.0999999999999999E-3</v>
      </c>
      <c r="P1342" s="31">
        <v>2.0400000000000001E-2</v>
      </c>
      <c r="Q1342" s="23" t="s">
        <v>24</v>
      </c>
      <c r="R1342" s="23">
        <v>0</v>
      </c>
      <c r="S1342" s="23">
        <v>49.72</v>
      </c>
      <c r="U1342" s="47">
        <f>VLOOKUP(AU1342,[1]expiry_dates!$B$2:$C$2894,2,FALSE)</f>
        <v>44525</v>
      </c>
      <c r="V1342" s="23" t="s">
        <v>123</v>
      </c>
      <c r="W1342" s="23" t="s">
        <v>23</v>
      </c>
      <c r="X1342" s="49">
        <v>44524.59375</v>
      </c>
      <c r="Y1342" s="23">
        <v>0.5</v>
      </c>
      <c r="Z1342" s="23">
        <v>44525.552083333336</v>
      </c>
      <c r="AA1342" s="23">
        <v>0.1</v>
      </c>
      <c r="AB1342" s="23">
        <v>-0.8</v>
      </c>
      <c r="AC1342" s="23">
        <v>56522.39</v>
      </c>
      <c r="AD1342" s="23">
        <v>0.8</v>
      </c>
      <c r="AE1342" s="23">
        <v>141306</v>
      </c>
      <c r="AF1342" s="23">
        <v>70652.990000000005</v>
      </c>
      <c r="AG1342" s="23">
        <v>4183415.5</v>
      </c>
      <c r="AH1342" s="23">
        <v>25</v>
      </c>
      <c r="AI1342" s="23">
        <v>2260.9</v>
      </c>
      <c r="AJ1342" s="23">
        <v>-0.2</v>
      </c>
      <c r="AK1342" s="23">
        <v>0.9</v>
      </c>
      <c r="AL1342" s="23" t="s">
        <v>24</v>
      </c>
      <c r="AM1342" s="23">
        <v>49.05</v>
      </c>
      <c r="AN1342" s="23">
        <v>37603.9</v>
      </c>
      <c r="AO1342" s="23">
        <v>49.72</v>
      </c>
      <c r="AP1342" s="23">
        <v>0</v>
      </c>
      <c r="AR1342" s="46"/>
      <c r="AS1342" s="44"/>
      <c r="AT1342" s="45"/>
      <c r="AU1342" s="2">
        <v>44524</v>
      </c>
      <c r="AV1342" s="52">
        <v>9.375E-2</v>
      </c>
      <c r="AW1342" s="2" t="s">
        <v>213</v>
      </c>
      <c r="AY1342" s="3"/>
      <c r="BA1342" s="3"/>
      <c r="BG1342" s="3"/>
      <c r="BH1342" s="3"/>
    </row>
    <row r="1343" spans="1:60">
      <c r="A1343" s="23" t="s">
        <v>22</v>
      </c>
      <c r="B1343" s="23" t="s">
        <v>25</v>
      </c>
      <c r="C1343" s="27">
        <v>44525.552083333336</v>
      </c>
      <c r="D1343" s="23">
        <v>48.55</v>
      </c>
      <c r="E1343" s="27">
        <v>44525.697916666664</v>
      </c>
      <c r="F1343" s="23">
        <v>48.55</v>
      </c>
      <c r="G1343" s="31">
        <v>0</v>
      </c>
      <c r="H1343" s="23">
        <v>0</v>
      </c>
      <c r="I1343" s="31">
        <v>0</v>
      </c>
      <c r="J1343" s="23">
        <v>1041.597</v>
      </c>
      <c r="K1343" s="23">
        <v>50569.53</v>
      </c>
      <c r="L1343" s="23">
        <v>113750.79</v>
      </c>
      <c r="M1343" s="23">
        <v>11</v>
      </c>
      <c r="N1343" s="23">
        <v>0</v>
      </c>
      <c r="O1343" s="31">
        <v>-3.0999999999999999E-3</v>
      </c>
      <c r="P1343" s="31">
        <v>4.1000000000000003E-3</v>
      </c>
      <c r="Q1343" s="23" t="s">
        <v>24</v>
      </c>
      <c r="R1343" s="23">
        <v>0</v>
      </c>
      <c r="S1343" s="23">
        <v>48.06</v>
      </c>
      <c r="U1343" s="47">
        <f>VLOOKUP(AU1343,[1]expiry_dates!$B$2:$C$2894,2,FALSE)</f>
        <v>44525</v>
      </c>
      <c r="V1343" s="23" t="s">
        <v>122</v>
      </c>
      <c r="W1343" s="23" t="s">
        <v>23</v>
      </c>
      <c r="X1343" s="49">
        <v>44525.552083333336</v>
      </c>
      <c r="Y1343" s="23">
        <v>0.65</v>
      </c>
      <c r="Z1343" s="23">
        <v>44525.697916666664</v>
      </c>
      <c r="AA1343" s="23">
        <v>0.55000000000000004</v>
      </c>
      <c r="AB1343" s="23">
        <v>-0.15379999999999999</v>
      </c>
      <c r="AC1343" s="23">
        <v>10910.32</v>
      </c>
      <c r="AD1343" s="23">
        <v>0.15379999999999999</v>
      </c>
      <c r="AE1343" s="23">
        <v>109103.2</v>
      </c>
      <c r="AF1343" s="23">
        <v>70917.08</v>
      </c>
      <c r="AG1343" s="23">
        <v>4194325.82</v>
      </c>
      <c r="AH1343" s="23">
        <v>11</v>
      </c>
      <c r="AI1343" s="23">
        <v>991.85</v>
      </c>
      <c r="AJ1343" s="23">
        <v>-0.15379999999999999</v>
      </c>
      <c r="AK1343" s="23">
        <v>0.30769999999999997</v>
      </c>
      <c r="AL1343" s="23" t="s">
        <v>24</v>
      </c>
      <c r="AM1343" s="23">
        <v>48.55</v>
      </c>
      <c r="AN1343" s="23">
        <v>37296.199999999997</v>
      </c>
      <c r="AO1343" s="23">
        <v>48.06</v>
      </c>
      <c r="AP1343" s="23">
        <v>0</v>
      </c>
      <c r="AR1343" s="46"/>
      <c r="AS1343" s="44"/>
      <c r="AT1343" s="45"/>
      <c r="AU1343" s="2">
        <v>44525</v>
      </c>
      <c r="AV1343" s="52">
        <v>5.2083333333333336E-2</v>
      </c>
      <c r="AW1343" s="2" t="s">
        <v>213</v>
      </c>
      <c r="AY1343" s="3"/>
      <c r="BA1343" s="3"/>
      <c r="BG1343" s="3"/>
      <c r="BH1343" s="3"/>
    </row>
    <row r="1344" spans="1:60">
      <c r="A1344" s="23" t="s">
        <v>22</v>
      </c>
      <c r="B1344" s="23" t="s">
        <v>23</v>
      </c>
      <c r="C1344" s="27">
        <v>44526.385416666664</v>
      </c>
      <c r="D1344" s="23">
        <v>47.9</v>
      </c>
      <c r="E1344" s="27">
        <v>44529.416666666664</v>
      </c>
      <c r="F1344" s="23">
        <v>46.45</v>
      </c>
      <c r="G1344" s="31">
        <v>-3.0300000000000001E-2</v>
      </c>
      <c r="H1344" s="23">
        <v>1530.79</v>
      </c>
      <c r="I1344" s="31">
        <v>3.0300000000000001E-2</v>
      </c>
      <c r="J1344" s="23">
        <v>1055.7149999999999</v>
      </c>
      <c r="K1344" s="23">
        <v>50568.75</v>
      </c>
      <c r="L1344" s="23">
        <v>115281.58</v>
      </c>
      <c r="M1344" s="23">
        <v>32</v>
      </c>
      <c r="N1344" s="23">
        <v>47.84</v>
      </c>
      <c r="O1344" s="31">
        <v>-6.3E-3</v>
      </c>
      <c r="P1344" s="31">
        <v>7.5200000000000003E-2</v>
      </c>
      <c r="Q1344" s="23" t="s">
        <v>24</v>
      </c>
      <c r="R1344" s="23">
        <v>0</v>
      </c>
      <c r="S1344" s="23">
        <v>48.69</v>
      </c>
      <c r="U1344" s="47">
        <f>VLOOKUP(AU1344,[1]expiry_dates!$B$2:$C$2894,2,FALSE)</f>
        <v>44560</v>
      </c>
      <c r="V1344" s="23" t="s">
        <v>106</v>
      </c>
      <c r="W1344" s="23" t="s">
        <v>23</v>
      </c>
      <c r="X1344" s="49">
        <v>44526.385416666664</v>
      </c>
      <c r="Y1344" s="23">
        <v>1.85</v>
      </c>
      <c r="Z1344" s="23">
        <v>44529.416666666664</v>
      </c>
      <c r="AA1344" s="23">
        <v>1.4</v>
      </c>
      <c r="AB1344" s="23">
        <v>-0.2432</v>
      </c>
      <c r="AC1344" s="23">
        <v>17263.37</v>
      </c>
      <c r="AD1344" s="23">
        <v>0.2432</v>
      </c>
      <c r="AE1344" s="23">
        <v>38363.040000000001</v>
      </c>
      <c r="AF1344" s="23">
        <v>70971.63</v>
      </c>
      <c r="AG1344" s="23">
        <v>4211589.1900000004</v>
      </c>
      <c r="AH1344" s="23">
        <v>32</v>
      </c>
      <c r="AI1344" s="23">
        <v>539.48</v>
      </c>
      <c r="AJ1344" s="23">
        <v>-8.1100000000000005E-2</v>
      </c>
      <c r="AK1344" s="23">
        <v>0.45950000000000002</v>
      </c>
      <c r="AL1344" s="23" t="s">
        <v>24</v>
      </c>
      <c r="AM1344" s="23">
        <v>47.9</v>
      </c>
      <c r="AN1344" s="23">
        <v>36718.15</v>
      </c>
      <c r="AO1344" s="23">
        <v>48.69</v>
      </c>
      <c r="AP1344" s="23">
        <v>0</v>
      </c>
      <c r="AR1344" s="46"/>
      <c r="AS1344" s="44"/>
      <c r="AT1344" s="45"/>
      <c r="AU1344" s="2">
        <v>44526</v>
      </c>
      <c r="AV1344" s="52">
        <v>0.38541666666666669</v>
      </c>
      <c r="AW1344" s="2" t="s">
        <v>212</v>
      </c>
      <c r="AY1344" s="3"/>
      <c r="BA1344" s="3"/>
      <c r="BG1344" s="3"/>
      <c r="BH1344" s="3"/>
    </row>
    <row r="1345" spans="1:60">
      <c r="A1345" s="23" t="s">
        <v>22</v>
      </c>
      <c r="B1345" s="23" t="s">
        <v>25</v>
      </c>
      <c r="C1345" s="27">
        <v>44529.416666666664</v>
      </c>
      <c r="D1345" s="23">
        <v>46.45</v>
      </c>
      <c r="E1345" s="27">
        <v>44529.583333333336</v>
      </c>
      <c r="F1345" s="23">
        <v>45.7</v>
      </c>
      <c r="G1345" s="31">
        <v>-1.61E-2</v>
      </c>
      <c r="H1345" s="23">
        <v>-816.65</v>
      </c>
      <c r="I1345" s="31">
        <v>-1.61E-2</v>
      </c>
      <c r="J1345" s="23">
        <v>1088.864</v>
      </c>
      <c r="K1345" s="23">
        <v>50577.73</v>
      </c>
      <c r="L1345" s="23">
        <v>114464.93</v>
      </c>
      <c r="M1345" s="23">
        <v>17</v>
      </c>
      <c r="N1345" s="23">
        <v>-48.04</v>
      </c>
      <c r="O1345" s="31">
        <v>-2.1499999999999998E-2</v>
      </c>
      <c r="P1345" s="31">
        <v>2.2000000000000001E-3</v>
      </c>
      <c r="Q1345" s="23" t="s">
        <v>24</v>
      </c>
      <c r="R1345" s="23">
        <v>0</v>
      </c>
      <c r="S1345" s="23">
        <v>44.34</v>
      </c>
      <c r="U1345" s="47">
        <f>VLOOKUP(AU1345,[1]expiry_dates!$B$2:$C$2894,2,FALSE)</f>
        <v>44560</v>
      </c>
      <c r="V1345" s="23" t="s">
        <v>107</v>
      </c>
      <c r="W1345" s="23" t="s">
        <v>23</v>
      </c>
      <c r="X1345" s="49">
        <v>44529.416666666664</v>
      </c>
      <c r="Y1345" s="23">
        <v>1.7</v>
      </c>
      <c r="Z1345" s="23">
        <v>44529.583333333336</v>
      </c>
      <c r="AA1345" s="23">
        <v>2.0499999999999998</v>
      </c>
      <c r="AB1345" s="23">
        <v>0.2059</v>
      </c>
      <c r="AC1345" s="23">
        <v>-14631.55</v>
      </c>
      <c r="AD1345" s="23">
        <v>-0.2059</v>
      </c>
      <c r="AE1345" s="23">
        <v>41804.43</v>
      </c>
      <c r="AF1345" s="23">
        <v>71067.539999999994</v>
      </c>
      <c r="AG1345" s="23">
        <v>4196957.6399999997</v>
      </c>
      <c r="AH1345" s="23">
        <v>17</v>
      </c>
      <c r="AI1345" s="23">
        <v>-860.68</v>
      </c>
      <c r="AJ1345" s="23">
        <v>-0.32350000000000001</v>
      </c>
      <c r="AK1345" s="23">
        <v>2.9399999999999999E-2</v>
      </c>
      <c r="AL1345" s="23" t="s">
        <v>24</v>
      </c>
      <c r="AM1345" s="23">
        <v>46.45</v>
      </c>
      <c r="AN1345" s="23">
        <v>35991.85</v>
      </c>
      <c r="AO1345" s="23">
        <v>44.34</v>
      </c>
      <c r="AP1345" s="23">
        <v>0</v>
      </c>
      <c r="AR1345" s="46"/>
      <c r="AS1345" s="44"/>
      <c r="AT1345" s="45"/>
      <c r="AU1345" s="2">
        <v>44529</v>
      </c>
      <c r="AV1345" s="52">
        <v>0.41666666666666669</v>
      </c>
      <c r="AW1345" s="2" t="s">
        <v>212</v>
      </c>
      <c r="AY1345" s="3"/>
      <c r="BA1345" s="3"/>
      <c r="BG1345" s="3"/>
      <c r="BH1345" s="3"/>
    </row>
    <row r="1346" spans="1:60">
      <c r="A1346" s="23" t="s">
        <v>22</v>
      </c>
      <c r="B1346" s="23" t="s">
        <v>23</v>
      </c>
      <c r="C1346" s="27">
        <v>44529.583333333336</v>
      </c>
      <c r="D1346" s="23">
        <v>45.7</v>
      </c>
      <c r="E1346" s="27">
        <v>44530.395833333336</v>
      </c>
      <c r="F1346" s="23">
        <v>46.1</v>
      </c>
      <c r="G1346" s="31">
        <v>8.8000000000000005E-3</v>
      </c>
      <c r="H1346" s="23">
        <v>-442.65</v>
      </c>
      <c r="I1346" s="31">
        <v>-8.8000000000000005E-3</v>
      </c>
      <c r="J1346" s="23">
        <v>1106.633</v>
      </c>
      <c r="K1346" s="23">
        <v>50573.14</v>
      </c>
      <c r="L1346" s="23">
        <v>114022.28</v>
      </c>
      <c r="M1346" s="23">
        <v>11</v>
      </c>
      <c r="N1346" s="23">
        <v>-40.24</v>
      </c>
      <c r="O1346" s="31">
        <v>-8.8000000000000005E-3</v>
      </c>
      <c r="P1346" s="31">
        <v>1.4200000000000001E-2</v>
      </c>
      <c r="Q1346" s="23" t="s">
        <v>24</v>
      </c>
      <c r="R1346" s="23">
        <v>0</v>
      </c>
      <c r="S1346" s="23">
        <v>46.53</v>
      </c>
      <c r="U1346" s="47">
        <f>VLOOKUP(AU1346,[1]expiry_dates!$B$2:$C$2894,2,FALSE)</f>
        <v>44560</v>
      </c>
      <c r="V1346" s="23" t="s">
        <v>110</v>
      </c>
      <c r="W1346" s="23" t="s">
        <v>23</v>
      </c>
      <c r="X1346" s="49">
        <v>44529.583333333336</v>
      </c>
      <c r="Y1346" s="23">
        <v>1.9</v>
      </c>
      <c r="Z1346" s="23">
        <v>44530.395833333336</v>
      </c>
      <c r="AA1346" s="23">
        <v>2.0499999999999998</v>
      </c>
      <c r="AB1346" s="23">
        <v>7.8899999999999998E-2</v>
      </c>
      <c r="AC1346" s="23">
        <v>-5605.71</v>
      </c>
      <c r="AD1346" s="23">
        <v>-7.8899999999999998E-2</v>
      </c>
      <c r="AE1346" s="23">
        <v>37371.42</v>
      </c>
      <c r="AF1346" s="23">
        <v>71005.7</v>
      </c>
      <c r="AG1346" s="23">
        <v>4191351.93</v>
      </c>
      <c r="AH1346" s="23">
        <v>11</v>
      </c>
      <c r="AI1346" s="23">
        <v>-509.61</v>
      </c>
      <c r="AJ1346" s="23">
        <v>-7.8899999999999998E-2</v>
      </c>
      <c r="AK1346" s="23">
        <v>0.13159999999999999</v>
      </c>
      <c r="AL1346" s="23" t="s">
        <v>24</v>
      </c>
      <c r="AM1346" s="23">
        <v>45.7</v>
      </c>
      <c r="AN1346" s="23">
        <v>36266.6</v>
      </c>
      <c r="AO1346" s="23">
        <v>46.53</v>
      </c>
      <c r="AP1346" s="23">
        <v>0</v>
      </c>
      <c r="AR1346" s="46"/>
      <c r="AS1346" s="44"/>
      <c r="AT1346" s="45"/>
      <c r="AU1346" s="2">
        <v>44529</v>
      </c>
      <c r="AV1346" s="52">
        <v>8.3333333333333329E-2</v>
      </c>
      <c r="AW1346" s="2" t="s">
        <v>213</v>
      </c>
      <c r="AY1346" s="3"/>
      <c r="BA1346" s="3"/>
      <c r="BG1346" s="3"/>
      <c r="BH1346" s="3"/>
    </row>
    <row r="1347" spans="1:60">
      <c r="A1347" s="23" t="s">
        <v>22</v>
      </c>
      <c r="B1347" s="23" t="s">
        <v>25</v>
      </c>
      <c r="C1347" s="27">
        <v>44530.395833333336</v>
      </c>
      <c r="D1347" s="23">
        <v>46.1</v>
      </c>
      <c r="E1347" s="27">
        <v>44530.458333333336</v>
      </c>
      <c r="F1347" s="23">
        <v>45.5</v>
      </c>
      <c r="G1347" s="31">
        <v>-1.2999999999999999E-2</v>
      </c>
      <c r="H1347" s="23">
        <v>-658.19</v>
      </c>
      <c r="I1347" s="31">
        <v>-1.2999999999999999E-2</v>
      </c>
      <c r="J1347" s="23">
        <v>1096.9839999999999</v>
      </c>
      <c r="K1347" s="23">
        <v>50570.94</v>
      </c>
      <c r="L1347" s="23">
        <v>113364.09</v>
      </c>
      <c r="M1347" s="23">
        <v>7</v>
      </c>
      <c r="N1347" s="23">
        <v>-94.03</v>
      </c>
      <c r="O1347" s="31">
        <v>-1.2999999999999999E-2</v>
      </c>
      <c r="P1347" s="31">
        <v>4.3E-3</v>
      </c>
      <c r="Q1347" s="23" t="s">
        <v>24</v>
      </c>
      <c r="R1347" s="23">
        <v>0</v>
      </c>
      <c r="S1347" s="23">
        <v>45.07</v>
      </c>
      <c r="U1347" s="47">
        <f>VLOOKUP(AU1347,[1]expiry_dates!$B$2:$C$2894,2,FALSE)</f>
        <v>44560</v>
      </c>
      <c r="V1347" s="23" t="s">
        <v>115</v>
      </c>
      <c r="W1347" s="23" t="s">
        <v>23</v>
      </c>
      <c r="X1347" s="49">
        <v>44530.395833333336</v>
      </c>
      <c r="Y1347" s="23">
        <v>0.7</v>
      </c>
      <c r="Z1347" s="23">
        <v>44530.458333333336</v>
      </c>
      <c r="AA1347" s="23">
        <v>0.75</v>
      </c>
      <c r="AB1347" s="23">
        <v>7.1400000000000005E-2</v>
      </c>
      <c r="AC1347" s="23">
        <v>-5068.34</v>
      </c>
      <c r="AD1347" s="23">
        <v>-7.1400000000000005E-2</v>
      </c>
      <c r="AE1347" s="23">
        <v>101366.8</v>
      </c>
      <c r="AF1347" s="23">
        <v>70956.77</v>
      </c>
      <c r="AG1347" s="23">
        <v>4186283.59</v>
      </c>
      <c r="AH1347" s="23">
        <v>7</v>
      </c>
      <c r="AI1347" s="23">
        <v>-724.05</v>
      </c>
      <c r="AJ1347" s="23">
        <v>-7.1400000000000005E-2</v>
      </c>
      <c r="AK1347" s="23">
        <v>0.1429</v>
      </c>
      <c r="AL1347" s="23" t="s">
        <v>24</v>
      </c>
      <c r="AM1347" s="23">
        <v>46.1</v>
      </c>
      <c r="AN1347" s="23">
        <v>36402.800000000003</v>
      </c>
      <c r="AO1347" s="23">
        <v>45.07</v>
      </c>
      <c r="AP1347" s="23">
        <v>0</v>
      </c>
      <c r="AR1347" s="46"/>
      <c r="AS1347" s="44"/>
      <c r="AT1347" s="45"/>
      <c r="AU1347" s="2">
        <v>44530</v>
      </c>
      <c r="AV1347" s="52">
        <v>0.39583333333333331</v>
      </c>
      <c r="AW1347" s="2" t="s">
        <v>212</v>
      </c>
      <c r="AY1347" s="3"/>
      <c r="BA1347" s="3"/>
      <c r="BG1347" s="3"/>
      <c r="BH1347" s="3"/>
    </row>
    <row r="1348" spans="1:60">
      <c r="A1348" s="23" t="s">
        <v>22</v>
      </c>
      <c r="B1348" s="23" t="s">
        <v>23</v>
      </c>
      <c r="C1348" s="27">
        <v>44530.458333333336</v>
      </c>
      <c r="D1348" s="23">
        <v>45.5</v>
      </c>
      <c r="E1348" s="27">
        <v>44531.458333333336</v>
      </c>
      <c r="F1348" s="23">
        <v>44.95</v>
      </c>
      <c r="G1348" s="31">
        <v>-1.21E-2</v>
      </c>
      <c r="H1348" s="23">
        <v>611.27</v>
      </c>
      <c r="I1348" s="31">
        <v>1.21E-2</v>
      </c>
      <c r="J1348" s="23">
        <v>1111.4010000000001</v>
      </c>
      <c r="K1348" s="23">
        <v>50568.74</v>
      </c>
      <c r="L1348" s="23">
        <v>113975.36</v>
      </c>
      <c r="M1348" s="23">
        <v>29</v>
      </c>
      <c r="N1348" s="23">
        <v>21.08</v>
      </c>
      <c r="O1348" s="31">
        <v>-7.7000000000000002E-3</v>
      </c>
      <c r="P1348" s="31">
        <v>2.53E-2</v>
      </c>
      <c r="Q1348" s="23" t="s">
        <v>24</v>
      </c>
      <c r="R1348" s="23">
        <v>0</v>
      </c>
      <c r="S1348" s="23">
        <v>46.3</v>
      </c>
      <c r="U1348" s="47">
        <f>VLOOKUP(AU1348,[1]expiry_dates!$B$2:$C$2894,2,FALSE)</f>
        <v>44560</v>
      </c>
      <c r="V1348" s="23" t="s">
        <v>110</v>
      </c>
      <c r="W1348" s="23" t="s">
        <v>23</v>
      </c>
      <c r="X1348" s="49">
        <v>44530.458333333336</v>
      </c>
      <c r="Y1348" s="23">
        <v>1.75</v>
      </c>
      <c r="Z1348" s="23">
        <v>44531.458333333336</v>
      </c>
      <c r="AA1348" s="23">
        <v>1.6</v>
      </c>
      <c r="AB1348" s="23">
        <v>-8.5699999999999998E-2</v>
      </c>
      <c r="AC1348" s="23">
        <v>6082.01</v>
      </c>
      <c r="AD1348" s="23">
        <v>8.5699999999999998E-2</v>
      </c>
      <c r="AE1348" s="23">
        <v>40546.720000000001</v>
      </c>
      <c r="AF1348" s="23">
        <v>70956.759999999995</v>
      </c>
      <c r="AG1348" s="23">
        <v>4192365.6</v>
      </c>
      <c r="AH1348" s="23">
        <v>29</v>
      </c>
      <c r="AI1348" s="23">
        <v>209.72</v>
      </c>
      <c r="AJ1348" s="23">
        <v>-8.5699999999999998E-2</v>
      </c>
      <c r="AK1348" s="23">
        <v>0.2</v>
      </c>
      <c r="AL1348" s="23" t="s">
        <v>24</v>
      </c>
      <c r="AM1348" s="23">
        <v>45.5</v>
      </c>
      <c r="AN1348" s="23">
        <v>36298.400000000001</v>
      </c>
      <c r="AO1348" s="23">
        <v>46.3</v>
      </c>
      <c r="AP1348" s="23">
        <v>0</v>
      </c>
      <c r="AR1348" s="46"/>
      <c r="AS1348" s="44"/>
      <c r="AT1348" s="45"/>
      <c r="AU1348" s="2">
        <v>44530</v>
      </c>
      <c r="AV1348" s="52">
        <v>0.45833333333333331</v>
      </c>
      <c r="AW1348" s="2" t="s">
        <v>212</v>
      </c>
      <c r="AY1348" s="3"/>
      <c r="BA1348" s="3"/>
      <c r="BG1348" s="3"/>
      <c r="BH1348" s="3"/>
    </row>
    <row r="1349" spans="1:60">
      <c r="A1349" s="23" t="s">
        <v>22</v>
      </c>
      <c r="B1349" s="23" t="s">
        <v>25</v>
      </c>
      <c r="C1349" s="27">
        <v>44531.458333333336</v>
      </c>
      <c r="D1349" s="23">
        <v>44.95</v>
      </c>
      <c r="E1349" s="27">
        <v>44533.541666666664</v>
      </c>
      <c r="F1349" s="23">
        <v>47.25</v>
      </c>
      <c r="G1349" s="31">
        <v>5.1200000000000002E-2</v>
      </c>
      <c r="H1349" s="23">
        <v>2587.59</v>
      </c>
      <c r="I1349" s="31">
        <v>5.1200000000000002E-2</v>
      </c>
      <c r="J1349" s="23">
        <v>1125.037</v>
      </c>
      <c r="K1349" s="23">
        <v>50570.43</v>
      </c>
      <c r="L1349" s="23">
        <v>116562.94</v>
      </c>
      <c r="M1349" s="23">
        <v>65</v>
      </c>
      <c r="N1349" s="23">
        <v>39.81</v>
      </c>
      <c r="O1349" s="31">
        <v>-7.7999999999999996E-3</v>
      </c>
      <c r="P1349" s="31">
        <v>6.6699999999999995E-2</v>
      </c>
      <c r="Q1349" s="23" t="s">
        <v>24</v>
      </c>
      <c r="R1349" s="23">
        <v>0</v>
      </c>
      <c r="S1349" s="23">
        <v>44.38</v>
      </c>
      <c r="U1349" s="47">
        <f>VLOOKUP(AU1349,[1]expiry_dates!$B$2:$C$2894,2,FALSE)</f>
        <v>44560</v>
      </c>
      <c r="V1349" s="23" t="s">
        <v>111</v>
      </c>
      <c r="W1349" s="23" t="s">
        <v>23</v>
      </c>
      <c r="X1349" s="49">
        <v>44531.458333333336</v>
      </c>
      <c r="Y1349" s="23">
        <v>1.5</v>
      </c>
      <c r="Z1349" s="23">
        <v>44533.541666666664</v>
      </c>
      <c r="AA1349" s="23">
        <v>0.65</v>
      </c>
      <c r="AB1349" s="23">
        <v>-0.56669999999999998</v>
      </c>
      <c r="AC1349" s="23">
        <v>40217.449999999997</v>
      </c>
      <c r="AD1349" s="23">
        <v>0.56669999999999998</v>
      </c>
      <c r="AE1349" s="23">
        <v>47314.64</v>
      </c>
      <c r="AF1349" s="23">
        <v>70971.97</v>
      </c>
      <c r="AG1349" s="23">
        <v>4232583.04</v>
      </c>
      <c r="AH1349" s="23">
        <v>65</v>
      </c>
      <c r="AI1349" s="23">
        <v>618.73</v>
      </c>
      <c r="AJ1349" s="23">
        <v>-6.6699999999999995E-2</v>
      </c>
      <c r="AK1349" s="23">
        <v>0.6</v>
      </c>
      <c r="AL1349" s="23" t="s">
        <v>24</v>
      </c>
      <c r="AM1349" s="23">
        <v>44.95</v>
      </c>
      <c r="AN1349" s="23">
        <v>36240.449999999997</v>
      </c>
      <c r="AO1349" s="23">
        <v>44.38</v>
      </c>
      <c r="AP1349" s="23">
        <v>0</v>
      </c>
      <c r="AR1349" s="46"/>
      <c r="AS1349" s="44"/>
      <c r="AT1349" s="45"/>
      <c r="AU1349" s="2">
        <v>44531</v>
      </c>
      <c r="AV1349" s="52">
        <v>0.45833333333333331</v>
      </c>
      <c r="AW1349" s="2" t="s">
        <v>212</v>
      </c>
      <c r="AY1349" s="3"/>
      <c r="BA1349" s="3"/>
      <c r="BG1349" s="3"/>
      <c r="BH1349" s="3"/>
    </row>
    <row r="1350" spans="1:60">
      <c r="A1350" s="23" t="s">
        <v>22</v>
      </c>
      <c r="B1350" s="23" t="s">
        <v>23</v>
      </c>
      <c r="C1350" s="27">
        <v>44533.541666666664</v>
      </c>
      <c r="D1350" s="23">
        <v>47.25</v>
      </c>
      <c r="E1350" s="27">
        <v>44536.385416666664</v>
      </c>
      <c r="F1350" s="23">
        <v>47.1</v>
      </c>
      <c r="G1350" s="31">
        <v>-3.2000000000000002E-3</v>
      </c>
      <c r="H1350" s="23">
        <v>160.58000000000001</v>
      </c>
      <c r="I1350" s="31">
        <v>3.2000000000000002E-3</v>
      </c>
      <c r="J1350" s="23">
        <v>1070.548</v>
      </c>
      <c r="K1350" s="23">
        <v>50583.38</v>
      </c>
      <c r="L1350" s="23">
        <v>116723.52</v>
      </c>
      <c r="M1350" s="23">
        <v>14</v>
      </c>
      <c r="N1350" s="23">
        <v>11.47</v>
      </c>
      <c r="O1350" s="31">
        <v>-5.3E-3</v>
      </c>
      <c r="P1350" s="31">
        <v>1.38E-2</v>
      </c>
      <c r="Q1350" s="23" t="s">
        <v>24</v>
      </c>
      <c r="R1350" s="23">
        <v>0</v>
      </c>
      <c r="S1350" s="23">
        <v>47.92</v>
      </c>
      <c r="U1350" s="47">
        <f>VLOOKUP(AU1350,[1]expiry_dates!$B$2:$C$2894,2,FALSE)</f>
        <v>44560</v>
      </c>
      <c r="V1350" s="23" t="s">
        <v>104</v>
      </c>
      <c r="W1350" s="23" t="s">
        <v>23</v>
      </c>
      <c r="X1350" s="49">
        <v>44533.541666666664</v>
      </c>
      <c r="Y1350" s="23">
        <v>2.1</v>
      </c>
      <c r="Z1350" s="23">
        <v>44536.385416666664</v>
      </c>
      <c r="AA1350" s="23">
        <v>2.1</v>
      </c>
      <c r="AB1350" s="23">
        <v>0</v>
      </c>
      <c r="AC1350" s="23">
        <v>0</v>
      </c>
      <c r="AD1350" s="23">
        <v>0</v>
      </c>
      <c r="AE1350" s="23">
        <v>33887.11</v>
      </c>
      <c r="AF1350" s="23">
        <v>71162.92</v>
      </c>
      <c r="AG1350" s="23">
        <v>4232583.04</v>
      </c>
      <c r="AH1350" s="23">
        <v>14</v>
      </c>
      <c r="AI1350" s="23">
        <v>0</v>
      </c>
      <c r="AJ1350" s="23">
        <v>-9.5200000000000007E-2</v>
      </c>
      <c r="AK1350" s="23">
        <v>0.16669999999999999</v>
      </c>
      <c r="AL1350" s="23" t="s">
        <v>24</v>
      </c>
      <c r="AM1350" s="23">
        <v>47.25</v>
      </c>
      <c r="AN1350" s="23">
        <v>36351.4</v>
      </c>
      <c r="AO1350" s="23">
        <v>47.92</v>
      </c>
      <c r="AP1350" s="23">
        <v>0</v>
      </c>
      <c r="AR1350" s="46"/>
      <c r="AS1350" s="44"/>
      <c r="AT1350" s="45"/>
      <c r="AU1350" s="2">
        <v>44533</v>
      </c>
      <c r="AV1350" s="52">
        <v>4.1666666666666664E-2</v>
      </c>
      <c r="AW1350" s="2" t="s">
        <v>213</v>
      </c>
      <c r="AY1350" s="3"/>
      <c r="BA1350" s="3"/>
      <c r="BG1350" s="3"/>
      <c r="BH1350" s="3"/>
    </row>
    <row r="1351" spans="1:60">
      <c r="A1351" s="23" t="s">
        <v>22</v>
      </c>
      <c r="B1351" s="23" t="s">
        <v>25</v>
      </c>
      <c r="C1351" s="27">
        <v>44536.385416666664</v>
      </c>
      <c r="D1351" s="23">
        <v>47.1</v>
      </c>
      <c r="E1351" s="27">
        <v>44536.510416666664</v>
      </c>
      <c r="F1351" s="23">
        <v>47.3</v>
      </c>
      <c r="G1351" s="31">
        <v>4.1999999999999997E-3</v>
      </c>
      <c r="H1351" s="23">
        <v>214.79</v>
      </c>
      <c r="I1351" s="31">
        <v>4.1999999999999997E-3</v>
      </c>
      <c r="J1351" s="23">
        <v>1073.9390000000001</v>
      </c>
      <c r="K1351" s="23">
        <v>50582.55</v>
      </c>
      <c r="L1351" s="23">
        <v>116938.31</v>
      </c>
      <c r="M1351" s="23">
        <v>13</v>
      </c>
      <c r="N1351" s="23">
        <v>16.52</v>
      </c>
      <c r="O1351" s="31">
        <v>-7.4000000000000003E-3</v>
      </c>
      <c r="P1351" s="31">
        <v>1.5900000000000001E-2</v>
      </c>
      <c r="Q1351" s="23" t="s">
        <v>24</v>
      </c>
      <c r="R1351" s="23">
        <v>0</v>
      </c>
      <c r="S1351" s="23">
        <v>46.64</v>
      </c>
      <c r="U1351" s="47">
        <f>VLOOKUP(AU1351,[1]expiry_dates!$B$2:$C$2894,2,FALSE)</f>
        <v>44560</v>
      </c>
      <c r="V1351" s="23" t="s">
        <v>105</v>
      </c>
      <c r="W1351" s="23" t="s">
        <v>23</v>
      </c>
      <c r="X1351" s="49">
        <v>44536.385416666664</v>
      </c>
      <c r="Y1351" s="23">
        <v>1.75</v>
      </c>
      <c r="Z1351" s="23">
        <v>44536.510416666664</v>
      </c>
      <c r="AA1351" s="23">
        <v>1.8</v>
      </c>
      <c r="AB1351" s="23">
        <v>2.86E-2</v>
      </c>
      <c r="AC1351" s="23">
        <v>-2032.74</v>
      </c>
      <c r="AD1351" s="23">
        <v>-2.86E-2</v>
      </c>
      <c r="AE1351" s="23">
        <v>40654.839999999997</v>
      </c>
      <c r="AF1351" s="23">
        <v>71145.97</v>
      </c>
      <c r="AG1351" s="23">
        <v>4230550.3</v>
      </c>
      <c r="AH1351" s="23">
        <v>13</v>
      </c>
      <c r="AI1351" s="23">
        <v>-156.36000000000001</v>
      </c>
      <c r="AJ1351" s="23">
        <v>-8.5699999999999998E-2</v>
      </c>
      <c r="AK1351" s="23">
        <v>0.1714</v>
      </c>
      <c r="AL1351" s="23" t="s">
        <v>24</v>
      </c>
      <c r="AM1351" s="23">
        <v>47.1</v>
      </c>
      <c r="AN1351" s="23">
        <v>36034.65</v>
      </c>
      <c r="AO1351" s="23">
        <v>46.64</v>
      </c>
      <c r="AP1351" s="23">
        <v>0</v>
      </c>
      <c r="AR1351" s="46"/>
      <c r="AS1351" s="44"/>
      <c r="AT1351" s="45"/>
      <c r="AU1351" s="2">
        <v>44536</v>
      </c>
      <c r="AV1351" s="52">
        <v>0.38541666666666669</v>
      </c>
      <c r="AW1351" s="2" t="s">
        <v>212</v>
      </c>
      <c r="AY1351" s="3"/>
      <c r="BA1351" s="3"/>
      <c r="BG1351" s="3"/>
      <c r="BH1351" s="3"/>
    </row>
    <row r="1352" spans="1:60">
      <c r="A1352" s="23" t="s">
        <v>22</v>
      </c>
      <c r="B1352" s="23" t="s">
        <v>23</v>
      </c>
      <c r="C1352" s="27">
        <v>44536.510416666664</v>
      </c>
      <c r="D1352" s="23">
        <v>47.3</v>
      </c>
      <c r="E1352" s="27">
        <v>44536.541666666664</v>
      </c>
      <c r="F1352" s="23">
        <v>47.65</v>
      </c>
      <c r="G1352" s="31">
        <v>7.4000000000000003E-3</v>
      </c>
      <c r="H1352" s="23">
        <v>-374.31</v>
      </c>
      <c r="I1352" s="31">
        <v>-7.4000000000000003E-3</v>
      </c>
      <c r="J1352" s="23">
        <v>1069.444</v>
      </c>
      <c r="K1352" s="23">
        <v>50584.69</v>
      </c>
      <c r="L1352" s="23">
        <v>116564.01</v>
      </c>
      <c r="M1352" s="23">
        <v>4</v>
      </c>
      <c r="N1352" s="23">
        <v>-93.58</v>
      </c>
      <c r="O1352" s="31">
        <v>-9.4999999999999998E-3</v>
      </c>
      <c r="P1352" s="31">
        <v>4.1999999999999997E-3</v>
      </c>
      <c r="Q1352" s="23" t="s">
        <v>24</v>
      </c>
      <c r="R1352" s="23">
        <v>0</v>
      </c>
      <c r="S1352" s="23">
        <v>47.83</v>
      </c>
      <c r="U1352" s="47">
        <f>VLOOKUP(AU1352,[1]expiry_dates!$B$2:$C$2894,2,FALSE)</f>
        <v>44560</v>
      </c>
      <c r="V1352" s="23" t="s">
        <v>104</v>
      </c>
      <c r="W1352" s="23" t="s">
        <v>23</v>
      </c>
      <c r="X1352" s="49">
        <v>44536.510416666664</v>
      </c>
      <c r="Y1352" s="23">
        <v>2.1</v>
      </c>
      <c r="Z1352" s="23">
        <v>44536.541666666664</v>
      </c>
      <c r="AA1352" s="23">
        <v>2.4</v>
      </c>
      <c r="AB1352" s="23">
        <v>0.1429</v>
      </c>
      <c r="AC1352" s="23">
        <v>-10169.040000000001</v>
      </c>
      <c r="AD1352" s="23">
        <v>-0.1429</v>
      </c>
      <c r="AE1352" s="23">
        <v>33896.79</v>
      </c>
      <c r="AF1352" s="23">
        <v>71183.240000000005</v>
      </c>
      <c r="AG1352" s="23">
        <v>4220381.2699999996</v>
      </c>
      <c r="AH1352" s="23">
        <v>4</v>
      </c>
      <c r="AI1352" s="23">
        <v>-2542.2600000000002</v>
      </c>
      <c r="AJ1352" s="23">
        <v>-0.1429</v>
      </c>
      <c r="AK1352" s="23">
        <v>0</v>
      </c>
      <c r="AL1352" s="23" t="s">
        <v>24</v>
      </c>
      <c r="AM1352" s="23">
        <v>47.3</v>
      </c>
      <c r="AN1352" s="23">
        <v>36098.199999999997</v>
      </c>
      <c r="AO1352" s="23">
        <v>47.83</v>
      </c>
      <c r="AP1352" s="23">
        <v>0</v>
      </c>
      <c r="AR1352" s="46"/>
      <c r="AS1352" s="44"/>
      <c r="AT1352" s="45"/>
      <c r="AU1352" s="2">
        <v>44536</v>
      </c>
      <c r="AV1352" s="52">
        <v>0.51041666666666663</v>
      </c>
      <c r="AW1352" s="2" t="s">
        <v>213</v>
      </c>
      <c r="AY1352" s="3"/>
      <c r="BA1352" s="3"/>
      <c r="BG1352" s="3"/>
      <c r="BH1352" s="3"/>
    </row>
    <row r="1353" spans="1:60">
      <c r="A1353" s="23" t="s">
        <v>22</v>
      </c>
      <c r="B1353" s="23" t="s">
        <v>25</v>
      </c>
      <c r="C1353" s="27">
        <v>44536.541666666664</v>
      </c>
      <c r="D1353" s="23">
        <v>47.65</v>
      </c>
      <c r="E1353" s="27">
        <v>44536.583333333336</v>
      </c>
      <c r="F1353" s="23">
        <v>47.15</v>
      </c>
      <c r="G1353" s="31">
        <v>-1.0500000000000001E-2</v>
      </c>
      <c r="H1353" s="23">
        <v>-530.77</v>
      </c>
      <c r="I1353" s="31">
        <v>-1.0500000000000001E-2</v>
      </c>
      <c r="J1353" s="23">
        <v>1061.549</v>
      </c>
      <c r="K1353" s="23">
        <v>50582.82</v>
      </c>
      <c r="L1353" s="23">
        <v>116033.23</v>
      </c>
      <c r="M1353" s="23">
        <v>5</v>
      </c>
      <c r="N1353" s="23">
        <v>-106.15</v>
      </c>
      <c r="O1353" s="31">
        <v>-1.0500000000000001E-2</v>
      </c>
      <c r="P1353" s="31">
        <v>2.0999999999999999E-3</v>
      </c>
      <c r="Q1353" s="23" t="s">
        <v>24</v>
      </c>
      <c r="R1353" s="23">
        <v>0</v>
      </c>
      <c r="S1353" s="23">
        <v>47.13</v>
      </c>
      <c r="U1353" s="47">
        <f>VLOOKUP(AU1353,[1]expiry_dates!$B$2:$C$2894,2,FALSE)</f>
        <v>44560</v>
      </c>
      <c r="V1353" s="23" t="s">
        <v>105</v>
      </c>
      <c r="W1353" s="23" t="s">
        <v>23</v>
      </c>
      <c r="X1353" s="49">
        <v>44536.541666666664</v>
      </c>
      <c r="Y1353" s="23">
        <v>1.5</v>
      </c>
      <c r="Z1353" s="23">
        <v>44536.583333333336</v>
      </c>
      <c r="AA1353" s="23">
        <v>1.6</v>
      </c>
      <c r="AB1353" s="23">
        <v>6.6699999999999995E-2</v>
      </c>
      <c r="AC1353" s="23">
        <v>-4740.13</v>
      </c>
      <c r="AD1353" s="23">
        <v>-6.6699999999999995E-2</v>
      </c>
      <c r="AE1353" s="23">
        <v>47401.27</v>
      </c>
      <c r="AF1353" s="23">
        <v>71101.91</v>
      </c>
      <c r="AG1353" s="23">
        <v>4215641.1399999997</v>
      </c>
      <c r="AH1353" s="23">
        <v>5</v>
      </c>
      <c r="AI1353" s="23">
        <v>-948.03</v>
      </c>
      <c r="AJ1353" s="23">
        <v>-6.6699999999999995E-2</v>
      </c>
      <c r="AK1353" s="23">
        <v>0</v>
      </c>
      <c r="AL1353" s="23" t="s">
        <v>24</v>
      </c>
      <c r="AM1353" s="23">
        <v>47.65</v>
      </c>
      <c r="AN1353" s="23">
        <v>36119.300000000003</v>
      </c>
      <c r="AO1353" s="23">
        <v>47.13</v>
      </c>
      <c r="AP1353" s="23">
        <v>0</v>
      </c>
      <c r="AR1353" s="46"/>
      <c r="AS1353" s="44"/>
      <c r="AT1353" s="45"/>
      <c r="AU1353" s="2">
        <v>44536</v>
      </c>
      <c r="AV1353" s="52">
        <v>4.1666666666666664E-2</v>
      </c>
      <c r="AW1353" s="2" t="s">
        <v>213</v>
      </c>
      <c r="AY1353" s="3"/>
      <c r="BA1353" s="3"/>
      <c r="BG1353" s="3"/>
      <c r="BH1353" s="3"/>
    </row>
    <row r="1354" spans="1:60">
      <c r="A1354" s="23" t="s">
        <v>22</v>
      </c>
      <c r="B1354" s="23" t="s">
        <v>23</v>
      </c>
      <c r="C1354" s="27">
        <v>44536.583333333336</v>
      </c>
      <c r="D1354" s="23">
        <v>47.15</v>
      </c>
      <c r="E1354" s="27">
        <v>44537.385416666664</v>
      </c>
      <c r="F1354" s="23">
        <v>47.35</v>
      </c>
      <c r="G1354" s="31">
        <v>4.1999999999999997E-3</v>
      </c>
      <c r="H1354" s="23">
        <v>-214.56</v>
      </c>
      <c r="I1354" s="31">
        <v>-4.1999999999999997E-3</v>
      </c>
      <c r="J1354" s="23">
        <v>1072.7840000000001</v>
      </c>
      <c r="K1354" s="23">
        <v>50581.760000000002</v>
      </c>
      <c r="L1354" s="23">
        <v>115818.68</v>
      </c>
      <c r="M1354" s="23">
        <v>10</v>
      </c>
      <c r="N1354" s="23">
        <v>-21.46</v>
      </c>
      <c r="O1354" s="31">
        <v>-7.4000000000000003E-3</v>
      </c>
      <c r="P1354" s="31">
        <v>1.4800000000000001E-2</v>
      </c>
      <c r="Q1354" s="23" t="s">
        <v>24</v>
      </c>
      <c r="R1354" s="23">
        <v>0</v>
      </c>
      <c r="S1354" s="23">
        <v>47.74</v>
      </c>
      <c r="U1354" s="47">
        <f>VLOOKUP(AU1354,[1]expiry_dates!$B$2:$C$2894,2,FALSE)</f>
        <v>44560</v>
      </c>
      <c r="V1354" s="23" t="s">
        <v>104</v>
      </c>
      <c r="W1354" s="23" t="s">
        <v>23</v>
      </c>
      <c r="X1354" s="49">
        <v>44536.583333333336</v>
      </c>
      <c r="Y1354" s="23">
        <v>2.15</v>
      </c>
      <c r="Z1354" s="23">
        <v>44537.385416666664</v>
      </c>
      <c r="AA1354" s="23">
        <v>2.2000000000000002</v>
      </c>
      <c r="AB1354" s="23">
        <v>2.3300000000000001E-2</v>
      </c>
      <c r="AC1354" s="23">
        <v>-1652.98</v>
      </c>
      <c r="AD1354" s="23">
        <v>-2.3300000000000001E-2</v>
      </c>
      <c r="AE1354" s="23">
        <v>33059.629999999997</v>
      </c>
      <c r="AF1354" s="23">
        <v>71078.2</v>
      </c>
      <c r="AG1354" s="23">
        <v>4213988.16</v>
      </c>
      <c r="AH1354" s="23">
        <v>10</v>
      </c>
      <c r="AI1354" s="23">
        <v>-165.3</v>
      </c>
      <c r="AJ1354" s="23">
        <v>-4.65E-2</v>
      </c>
      <c r="AK1354" s="23">
        <v>0.20930000000000001</v>
      </c>
      <c r="AL1354" s="23" t="s">
        <v>24</v>
      </c>
      <c r="AM1354" s="23">
        <v>47.15</v>
      </c>
      <c r="AN1354" s="23">
        <v>35938.949999999997</v>
      </c>
      <c r="AO1354" s="23">
        <v>47.74</v>
      </c>
      <c r="AP1354" s="23">
        <v>0</v>
      </c>
      <c r="AR1354" s="46"/>
      <c r="AS1354" s="44"/>
      <c r="AT1354" s="45"/>
      <c r="AU1354" s="2">
        <v>44536</v>
      </c>
      <c r="AV1354" s="52">
        <v>8.3333333333333329E-2</v>
      </c>
      <c r="AW1354" s="2" t="s">
        <v>213</v>
      </c>
      <c r="AY1354" s="3"/>
      <c r="BA1354" s="3"/>
      <c r="BG1354" s="3"/>
      <c r="BH1354" s="3"/>
    </row>
    <row r="1355" spans="1:60">
      <c r="A1355" s="23" t="s">
        <v>22</v>
      </c>
      <c r="B1355" s="23" t="s">
        <v>25</v>
      </c>
      <c r="C1355" s="27">
        <v>44537.385416666664</v>
      </c>
      <c r="D1355" s="23">
        <v>47.35</v>
      </c>
      <c r="E1355" s="27">
        <v>44539.385416666664</v>
      </c>
      <c r="F1355" s="23">
        <v>48.5</v>
      </c>
      <c r="G1355" s="31">
        <v>2.4299999999999999E-2</v>
      </c>
      <c r="H1355" s="23">
        <v>1228.48</v>
      </c>
      <c r="I1355" s="31">
        <v>2.4299999999999999E-2</v>
      </c>
      <c r="J1355" s="23">
        <v>1068.242</v>
      </c>
      <c r="K1355" s="23">
        <v>50581.24</v>
      </c>
      <c r="L1355" s="23">
        <v>117047.15</v>
      </c>
      <c r="M1355" s="23">
        <v>57</v>
      </c>
      <c r="N1355" s="23">
        <v>21.55</v>
      </c>
      <c r="O1355" s="31">
        <v>-9.4999999999999998E-3</v>
      </c>
      <c r="P1355" s="31">
        <v>2.8500000000000001E-2</v>
      </c>
      <c r="Q1355" s="23" t="s">
        <v>24</v>
      </c>
      <c r="R1355" s="23">
        <v>0</v>
      </c>
      <c r="S1355" s="23">
        <v>46.45</v>
      </c>
      <c r="U1355" s="47">
        <f>VLOOKUP(AU1355,[1]expiry_dates!$B$2:$C$2894,2,FALSE)</f>
        <v>44560</v>
      </c>
      <c r="V1355" s="23" t="s">
        <v>105</v>
      </c>
      <c r="W1355" s="23" t="s">
        <v>23</v>
      </c>
      <c r="X1355" s="49">
        <v>44537.385416666664</v>
      </c>
      <c r="Y1355" s="23">
        <v>1.55</v>
      </c>
      <c r="Z1355" s="23">
        <v>44539.385416666664</v>
      </c>
      <c r="AA1355" s="23">
        <v>0.85</v>
      </c>
      <c r="AB1355" s="23">
        <v>-0.4516</v>
      </c>
      <c r="AC1355" s="23">
        <v>32122.23</v>
      </c>
      <c r="AD1355" s="23">
        <v>0.4516</v>
      </c>
      <c r="AE1355" s="23">
        <v>45888.9</v>
      </c>
      <c r="AF1355" s="23">
        <v>71127.8</v>
      </c>
      <c r="AG1355" s="23">
        <v>4246110.3899999997</v>
      </c>
      <c r="AH1355" s="23">
        <v>57</v>
      </c>
      <c r="AI1355" s="23">
        <v>563.54999999999995</v>
      </c>
      <c r="AJ1355" s="23">
        <v>-0.2258</v>
      </c>
      <c r="AK1355" s="23">
        <v>0.4839</v>
      </c>
      <c r="AL1355" s="23" t="s">
        <v>24</v>
      </c>
      <c r="AM1355" s="23">
        <v>47.35</v>
      </c>
      <c r="AN1355" s="23">
        <v>36141.050000000003</v>
      </c>
      <c r="AO1355" s="23">
        <v>46.45</v>
      </c>
      <c r="AP1355" s="23">
        <v>0</v>
      </c>
      <c r="AR1355" s="46"/>
      <c r="AS1355" s="44"/>
      <c r="AT1355" s="45"/>
      <c r="AU1355" s="2">
        <v>44537</v>
      </c>
      <c r="AV1355" s="52">
        <v>0.38541666666666669</v>
      </c>
      <c r="AW1355" s="2" t="s">
        <v>212</v>
      </c>
      <c r="AY1355" s="3"/>
      <c r="BA1355" s="3"/>
      <c r="BG1355" s="3"/>
      <c r="BH1355" s="3"/>
    </row>
    <row r="1356" spans="1:60">
      <c r="A1356" s="23" t="s">
        <v>22</v>
      </c>
      <c r="B1356" s="23" t="s">
        <v>23</v>
      </c>
      <c r="C1356" s="27">
        <v>44539.385416666664</v>
      </c>
      <c r="D1356" s="23">
        <v>48.5</v>
      </c>
      <c r="E1356" s="27">
        <v>44539.40625</v>
      </c>
      <c r="F1356" s="23">
        <v>48.75</v>
      </c>
      <c r="G1356" s="31">
        <v>5.1999999999999998E-3</v>
      </c>
      <c r="H1356" s="23">
        <v>-260.75</v>
      </c>
      <c r="I1356" s="31">
        <v>-5.1999999999999998E-3</v>
      </c>
      <c r="J1356" s="23">
        <v>1043.0170000000001</v>
      </c>
      <c r="K1356" s="23">
        <v>50586.3</v>
      </c>
      <c r="L1356" s="23">
        <v>116786.4</v>
      </c>
      <c r="M1356" s="23">
        <v>3</v>
      </c>
      <c r="N1356" s="23">
        <v>-86.92</v>
      </c>
      <c r="O1356" s="31">
        <v>-9.2999999999999992E-3</v>
      </c>
      <c r="P1356" s="31">
        <v>4.1000000000000003E-3</v>
      </c>
      <c r="Q1356" s="23" t="s">
        <v>24</v>
      </c>
      <c r="R1356" s="23">
        <v>0</v>
      </c>
      <c r="S1356" s="23">
        <v>48.95</v>
      </c>
      <c r="U1356" s="47">
        <f>VLOOKUP(AU1356,[1]expiry_dates!$B$2:$C$2894,2,FALSE)</f>
        <v>44560</v>
      </c>
      <c r="V1356" s="23" t="s">
        <v>123</v>
      </c>
      <c r="W1356" s="23" t="s">
        <v>23</v>
      </c>
      <c r="X1356" s="49">
        <v>44539.385416666664</v>
      </c>
      <c r="Y1356" s="23">
        <v>1.4</v>
      </c>
      <c r="Z1356" s="23">
        <v>44539.40625</v>
      </c>
      <c r="AA1356" s="23">
        <v>1.55</v>
      </c>
      <c r="AB1356" s="23">
        <v>0.1071</v>
      </c>
      <c r="AC1356" s="23">
        <v>-7631.84</v>
      </c>
      <c r="AD1356" s="23">
        <v>-0.1071</v>
      </c>
      <c r="AE1356" s="23">
        <v>50878.96</v>
      </c>
      <c r="AF1356" s="23">
        <v>71230.55</v>
      </c>
      <c r="AG1356" s="23">
        <v>4238478.54</v>
      </c>
      <c r="AH1356" s="23">
        <v>3</v>
      </c>
      <c r="AI1356" s="23">
        <v>-2543.9499999999998</v>
      </c>
      <c r="AJ1356" s="23">
        <v>-0.17860000000000001</v>
      </c>
      <c r="AK1356" s="23">
        <v>0</v>
      </c>
      <c r="AL1356" s="23" t="s">
        <v>24</v>
      </c>
      <c r="AM1356" s="23">
        <v>48.5</v>
      </c>
      <c r="AN1356" s="23">
        <v>37085</v>
      </c>
      <c r="AO1356" s="23">
        <v>48.95</v>
      </c>
      <c r="AP1356" s="23">
        <v>0</v>
      </c>
      <c r="AR1356" s="46"/>
      <c r="AS1356" s="44"/>
      <c r="AT1356" s="45"/>
      <c r="AU1356" s="2">
        <v>44539</v>
      </c>
      <c r="AV1356" s="52">
        <v>0.38541666666666669</v>
      </c>
      <c r="AW1356" s="2" t="s">
        <v>212</v>
      </c>
      <c r="AY1356" s="3"/>
      <c r="BA1356" s="3"/>
      <c r="BG1356" s="3"/>
      <c r="BH1356" s="3"/>
    </row>
    <row r="1357" spans="1:60">
      <c r="A1357" s="23" t="s">
        <v>22</v>
      </c>
      <c r="B1357" s="23" t="s">
        <v>25</v>
      </c>
      <c r="C1357" s="27">
        <v>44539.40625</v>
      </c>
      <c r="D1357" s="23">
        <v>48.75</v>
      </c>
      <c r="E1357" s="27">
        <v>44540.385416666664</v>
      </c>
      <c r="F1357" s="23">
        <v>49.55</v>
      </c>
      <c r="G1357" s="31">
        <v>1.6400000000000001E-2</v>
      </c>
      <c r="H1357" s="23">
        <v>830.1</v>
      </c>
      <c r="I1357" s="31">
        <v>1.6400000000000001E-2</v>
      </c>
      <c r="J1357" s="23">
        <v>1037.625</v>
      </c>
      <c r="K1357" s="23">
        <v>50584.2</v>
      </c>
      <c r="L1357" s="23">
        <v>117616.5</v>
      </c>
      <c r="M1357" s="23">
        <v>27</v>
      </c>
      <c r="N1357" s="23">
        <v>30.74</v>
      </c>
      <c r="O1357" s="31">
        <v>-2.0999999999999999E-3</v>
      </c>
      <c r="P1357" s="31">
        <v>1.8499999999999999E-2</v>
      </c>
      <c r="Q1357" s="23" t="s">
        <v>24</v>
      </c>
      <c r="R1357" s="23">
        <v>0</v>
      </c>
      <c r="S1357" s="23">
        <v>48.31</v>
      </c>
      <c r="U1357" s="47">
        <f>VLOOKUP(AU1357,[1]expiry_dates!$B$2:$C$2894,2,FALSE)</f>
        <v>44560</v>
      </c>
      <c r="V1357" s="23" t="s">
        <v>108</v>
      </c>
      <c r="W1357" s="23" t="s">
        <v>23</v>
      </c>
      <c r="X1357" s="49">
        <v>44539.40625</v>
      </c>
      <c r="Y1357" s="23">
        <v>1.1000000000000001</v>
      </c>
      <c r="Z1357" s="23">
        <v>44540.385416666664</v>
      </c>
      <c r="AA1357" s="23">
        <v>0.95</v>
      </c>
      <c r="AB1357" s="23">
        <v>-0.13639999999999999</v>
      </c>
      <c r="AC1357" s="23">
        <v>9709.7900000000009</v>
      </c>
      <c r="AD1357" s="23">
        <v>0.13639999999999999</v>
      </c>
      <c r="AE1357" s="23">
        <v>64731.92</v>
      </c>
      <c r="AF1357" s="23">
        <v>71205.11</v>
      </c>
      <c r="AG1357" s="23">
        <v>4248188.33</v>
      </c>
      <c r="AH1357" s="23">
        <v>27</v>
      </c>
      <c r="AI1357" s="23">
        <v>359.62</v>
      </c>
      <c r="AJ1357" s="23">
        <v>-0.68179999999999996</v>
      </c>
      <c r="AK1357" s="23">
        <v>0.2727</v>
      </c>
      <c r="AL1357" s="23" t="s">
        <v>24</v>
      </c>
      <c r="AM1357" s="23">
        <v>48.75</v>
      </c>
      <c r="AN1357" s="23">
        <v>37026.550000000003</v>
      </c>
      <c r="AO1357" s="23">
        <v>48.31</v>
      </c>
      <c r="AP1357" s="23">
        <v>0</v>
      </c>
      <c r="AR1357" s="46"/>
      <c r="AS1357" s="44"/>
      <c r="AT1357" s="45"/>
      <c r="AU1357" s="2">
        <v>44539</v>
      </c>
      <c r="AV1357" s="52">
        <v>0.40625</v>
      </c>
      <c r="AW1357" s="2" t="s">
        <v>212</v>
      </c>
      <c r="AY1357" s="3"/>
      <c r="BA1357" s="3"/>
      <c r="BG1357" s="3"/>
      <c r="BH1357" s="3"/>
    </row>
    <row r="1358" spans="1:60">
      <c r="A1358" s="23" t="s">
        <v>22</v>
      </c>
      <c r="B1358" s="23" t="s">
        <v>23</v>
      </c>
      <c r="C1358" s="27">
        <v>44540.385416666664</v>
      </c>
      <c r="D1358" s="23">
        <v>49.55</v>
      </c>
      <c r="E1358" s="27">
        <v>44540.40625</v>
      </c>
      <c r="F1358" s="23">
        <v>49.6</v>
      </c>
      <c r="G1358" s="31">
        <v>1E-3</v>
      </c>
      <c r="H1358" s="23">
        <v>-51.05</v>
      </c>
      <c r="I1358" s="31">
        <v>-1E-3</v>
      </c>
      <c r="J1358" s="23">
        <v>1020.94</v>
      </c>
      <c r="K1358" s="23">
        <v>50587.56</v>
      </c>
      <c r="L1358" s="23">
        <v>117565.45</v>
      </c>
      <c r="M1358" s="23">
        <v>3</v>
      </c>
      <c r="N1358" s="23">
        <v>-17.02</v>
      </c>
      <c r="O1358" s="31">
        <v>-1E-3</v>
      </c>
      <c r="P1358" s="31">
        <v>1.11E-2</v>
      </c>
      <c r="Q1358" s="23" t="s">
        <v>24</v>
      </c>
      <c r="R1358" s="23">
        <v>0</v>
      </c>
      <c r="S1358" s="23">
        <v>49.62</v>
      </c>
      <c r="U1358" s="47">
        <f>VLOOKUP(AU1358,[1]expiry_dates!$B$2:$C$2894,2,FALSE)</f>
        <v>44560</v>
      </c>
      <c r="V1358" s="23" t="s">
        <v>121</v>
      </c>
      <c r="W1358" s="23" t="s">
        <v>23</v>
      </c>
      <c r="X1358" s="49">
        <v>44540.385416666664</v>
      </c>
      <c r="Y1358" s="23">
        <v>1.5</v>
      </c>
      <c r="Z1358" s="23">
        <v>44540.40625</v>
      </c>
      <c r="AA1358" s="23">
        <v>1.55</v>
      </c>
      <c r="AB1358" s="23">
        <v>3.3300000000000003E-2</v>
      </c>
      <c r="AC1358" s="23">
        <v>-2375.7800000000002</v>
      </c>
      <c r="AD1358" s="23">
        <v>-3.3300000000000003E-2</v>
      </c>
      <c r="AE1358" s="23">
        <v>47515.54</v>
      </c>
      <c r="AF1358" s="23">
        <v>71273.31</v>
      </c>
      <c r="AG1358" s="23">
        <v>4245812.55</v>
      </c>
      <c r="AH1358" s="23">
        <v>3</v>
      </c>
      <c r="AI1358" s="23">
        <v>-791.93</v>
      </c>
      <c r="AJ1358" s="23">
        <v>-3.3300000000000003E-2</v>
      </c>
      <c r="AK1358" s="23">
        <v>0.1333</v>
      </c>
      <c r="AL1358" s="23" t="s">
        <v>24</v>
      </c>
      <c r="AM1358" s="23">
        <v>49.55</v>
      </c>
      <c r="AN1358" s="23">
        <v>37108.75</v>
      </c>
      <c r="AO1358" s="23">
        <v>49.62</v>
      </c>
      <c r="AP1358" s="23">
        <v>0</v>
      </c>
      <c r="AR1358" s="46"/>
      <c r="AS1358" s="44"/>
      <c r="AT1358" s="45"/>
      <c r="AU1358" s="2">
        <v>44540</v>
      </c>
      <c r="AV1358" s="52">
        <v>0.38541666666666669</v>
      </c>
      <c r="AW1358" s="2" t="s">
        <v>212</v>
      </c>
      <c r="AY1358" s="3"/>
      <c r="BA1358" s="3"/>
      <c r="BG1358" s="3"/>
      <c r="BH1358" s="3"/>
    </row>
    <row r="1359" spans="1:60">
      <c r="A1359" s="23" t="s">
        <v>22</v>
      </c>
      <c r="B1359" s="23" t="s">
        <v>25</v>
      </c>
      <c r="C1359" s="27">
        <v>44540.40625</v>
      </c>
      <c r="D1359" s="23">
        <v>49.6</v>
      </c>
      <c r="E1359" s="27">
        <v>44543.46875</v>
      </c>
      <c r="F1359" s="23">
        <v>51.8</v>
      </c>
      <c r="G1359" s="31">
        <v>4.4400000000000002E-2</v>
      </c>
      <c r="H1359" s="23">
        <v>2243.84</v>
      </c>
      <c r="I1359" s="31">
        <v>4.4400000000000002E-2</v>
      </c>
      <c r="J1359" s="23">
        <v>1019.926</v>
      </c>
      <c r="K1359" s="23">
        <v>50588.34</v>
      </c>
      <c r="L1359" s="23">
        <v>119809.29</v>
      </c>
      <c r="M1359" s="23">
        <v>35</v>
      </c>
      <c r="N1359" s="23">
        <v>64.11</v>
      </c>
      <c r="O1359" s="31">
        <v>-3.0000000000000001E-3</v>
      </c>
      <c r="P1359" s="31">
        <v>6.25E-2</v>
      </c>
      <c r="Q1359" s="23" t="s">
        <v>24</v>
      </c>
      <c r="R1359" s="23">
        <v>0</v>
      </c>
      <c r="S1359" s="23">
        <v>49.01</v>
      </c>
      <c r="U1359" s="47">
        <f>VLOOKUP(AU1359,[1]expiry_dates!$B$2:$C$2894,2,FALSE)</f>
        <v>44560</v>
      </c>
      <c r="V1359" s="23" t="s">
        <v>124</v>
      </c>
      <c r="W1359" s="23" t="s">
        <v>23</v>
      </c>
      <c r="X1359" s="49">
        <v>44540.40625</v>
      </c>
      <c r="Y1359" s="23">
        <v>1.65</v>
      </c>
      <c r="Z1359" s="23">
        <v>44543.46875</v>
      </c>
      <c r="AA1359" s="23">
        <v>0.85</v>
      </c>
      <c r="AB1359" s="23">
        <v>-0.48480000000000001</v>
      </c>
      <c r="AC1359" s="23">
        <v>34541.06</v>
      </c>
      <c r="AD1359" s="23">
        <v>0.48480000000000001</v>
      </c>
      <c r="AE1359" s="23">
        <v>43176.33</v>
      </c>
      <c r="AF1359" s="23">
        <v>71240.94</v>
      </c>
      <c r="AG1359" s="23">
        <v>4280353.62</v>
      </c>
      <c r="AH1359" s="23">
        <v>35</v>
      </c>
      <c r="AI1359" s="23">
        <v>986.89</v>
      </c>
      <c r="AJ1359" s="23">
        <v>-3.0300000000000001E-2</v>
      </c>
      <c r="AK1359" s="23">
        <v>0.63639999999999997</v>
      </c>
      <c r="AL1359" s="23" t="s">
        <v>24</v>
      </c>
      <c r="AM1359" s="23">
        <v>49.6</v>
      </c>
      <c r="AN1359" s="23">
        <v>36934.9</v>
      </c>
      <c r="AO1359" s="23">
        <v>49.01</v>
      </c>
      <c r="AP1359" s="23">
        <v>0</v>
      </c>
      <c r="AR1359" s="46"/>
      <c r="AS1359" s="44"/>
      <c r="AT1359" s="45"/>
      <c r="AU1359" s="2">
        <v>44540</v>
      </c>
      <c r="AV1359" s="52">
        <v>0.40625</v>
      </c>
      <c r="AW1359" s="2" t="s">
        <v>212</v>
      </c>
      <c r="AY1359" s="3"/>
      <c r="BA1359" s="3"/>
      <c r="BG1359" s="3"/>
      <c r="BH1359" s="3"/>
    </row>
    <row r="1360" spans="1:60">
      <c r="A1360" s="23" t="s">
        <v>22</v>
      </c>
      <c r="B1360" s="23" t="s">
        <v>23</v>
      </c>
      <c r="C1360" s="27">
        <v>44543.46875</v>
      </c>
      <c r="D1360" s="23">
        <v>51.8</v>
      </c>
      <c r="E1360" s="27">
        <v>44544.510416666664</v>
      </c>
      <c r="F1360" s="23">
        <v>50.7</v>
      </c>
      <c r="G1360" s="31">
        <v>-2.12E-2</v>
      </c>
      <c r="H1360" s="23">
        <v>1074.49</v>
      </c>
      <c r="I1360" s="31">
        <v>2.12E-2</v>
      </c>
      <c r="J1360" s="23">
        <v>976.8107</v>
      </c>
      <c r="K1360" s="23">
        <v>50598.79</v>
      </c>
      <c r="L1360" s="23">
        <v>120883.78</v>
      </c>
      <c r="M1360" s="23">
        <v>33</v>
      </c>
      <c r="N1360" s="23">
        <v>32.56</v>
      </c>
      <c r="O1360" s="31">
        <v>-1E-3</v>
      </c>
      <c r="P1360" s="31">
        <v>3.4700000000000002E-2</v>
      </c>
      <c r="Q1360" s="23" t="s">
        <v>24</v>
      </c>
      <c r="R1360" s="23">
        <v>0</v>
      </c>
      <c r="S1360" s="23">
        <v>52.66</v>
      </c>
      <c r="U1360" s="47">
        <f>VLOOKUP(AU1360,[1]expiry_dates!$B$2:$C$2894,2,FALSE)</f>
        <v>44560</v>
      </c>
      <c r="V1360" s="23" t="s">
        <v>125</v>
      </c>
      <c r="W1360" s="23" t="s">
        <v>23</v>
      </c>
      <c r="X1360" s="49">
        <v>44543.46875</v>
      </c>
      <c r="Y1360" s="23">
        <v>1.7</v>
      </c>
      <c r="Z1360" s="23">
        <v>44544.510416666664</v>
      </c>
      <c r="AA1360" s="23">
        <v>1.2</v>
      </c>
      <c r="AB1360" s="23">
        <v>-0.29409999999999997</v>
      </c>
      <c r="AC1360" s="23">
        <v>21003.69</v>
      </c>
      <c r="AD1360" s="23">
        <v>0.29409999999999997</v>
      </c>
      <c r="AE1360" s="23">
        <v>42007.39</v>
      </c>
      <c r="AF1360" s="23">
        <v>71412.56</v>
      </c>
      <c r="AG1360" s="23">
        <v>4301357.3099999996</v>
      </c>
      <c r="AH1360" s="23">
        <v>33</v>
      </c>
      <c r="AI1360" s="23">
        <v>636.48</v>
      </c>
      <c r="AJ1360" s="23">
        <v>0</v>
      </c>
      <c r="AK1360" s="23">
        <v>0.47060000000000002</v>
      </c>
      <c r="AL1360" s="23" t="s">
        <v>24</v>
      </c>
      <c r="AM1360" s="23">
        <v>51.8</v>
      </c>
      <c r="AN1360" s="23">
        <v>37501.300000000003</v>
      </c>
      <c r="AO1360" s="23">
        <v>52.66</v>
      </c>
      <c r="AP1360" s="23">
        <v>0</v>
      </c>
      <c r="AR1360" s="46"/>
      <c r="AS1360" s="44"/>
      <c r="AT1360" s="45"/>
      <c r="AU1360" s="2">
        <v>44543</v>
      </c>
      <c r="AV1360" s="52">
        <v>0.46875</v>
      </c>
      <c r="AW1360" s="2" t="s">
        <v>212</v>
      </c>
      <c r="AY1360" s="3"/>
      <c r="BA1360" s="3"/>
      <c r="BG1360" s="3"/>
      <c r="BH1360" s="3"/>
    </row>
    <row r="1361" spans="1:60">
      <c r="A1361" s="23" t="s">
        <v>22</v>
      </c>
      <c r="B1361" s="23" t="s">
        <v>25</v>
      </c>
      <c r="C1361" s="27">
        <v>44544.510416666664</v>
      </c>
      <c r="D1361" s="23">
        <v>50.7</v>
      </c>
      <c r="E1361" s="27">
        <v>44545.40625</v>
      </c>
      <c r="F1361" s="23">
        <v>51.1</v>
      </c>
      <c r="G1361" s="31">
        <v>7.9000000000000008E-3</v>
      </c>
      <c r="H1361" s="23">
        <v>399.24</v>
      </c>
      <c r="I1361" s="31">
        <v>7.9000000000000008E-3</v>
      </c>
      <c r="J1361" s="23">
        <v>998.10509999999999</v>
      </c>
      <c r="K1361" s="23">
        <v>50603.93</v>
      </c>
      <c r="L1361" s="23">
        <v>121283.02</v>
      </c>
      <c r="M1361" s="23">
        <v>19</v>
      </c>
      <c r="N1361" s="23">
        <v>21.01</v>
      </c>
      <c r="O1361" s="31">
        <v>-4.8999999999999998E-3</v>
      </c>
      <c r="P1361" s="31">
        <v>2.07E-2</v>
      </c>
      <c r="Q1361" s="23" t="s">
        <v>24</v>
      </c>
      <c r="R1361" s="23">
        <v>0</v>
      </c>
      <c r="S1361" s="23">
        <v>50.03</v>
      </c>
      <c r="U1361" s="47">
        <f>VLOOKUP(AU1361,[1]expiry_dates!$B$2:$C$2894,2,FALSE)</f>
        <v>44560</v>
      </c>
      <c r="V1361" s="23" t="s">
        <v>124</v>
      </c>
      <c r="W1361" s="23" t="s">
        <v>23</v>
      </c>
      <c r="X1361" s="49">
        <v>44544.510416666664</v>
      </c>
      <c r="Y1361" s="23">
        <v>1.1499999999999999</v>
      </c>
      <c r="Z1361" s="23">
        <v>44545.40625</v>
      </c>
      <c r="AA1361" s="23">
        <v>1</v>
      </c>
      <c r="AB1361" s="23">
        <v>-0.13039999999999999</v>
      </c>
      <c r="AC1361" s="23">
        <v>9325.6</v>
      </c>
      <c r="AD1361" s="23">
        <v>0.13039999999999999</v>
      </c>
      <c r="AE1361" s="23">
        <v>62170.68</v>
      </c>
      <c r="AF1361" s="23">
        <v>71496.28</v>
      </c>
      <c r="AG1361" s="23">
        <v>4310682.91</v>
      </c>
      <c r="AH1361" s="23">
        <v>19</v>
      </c>
      <c r="AI1361" s="23">
        <v>490.82</v>
      </c>
      <c r="AJ1361" s="23">
        <v>-4.3499999999999997E-2</v>
      </c>
      <c r="AK1361" s="23">
        <v>0.21740000000000001</v>
      </c>
      <c r="AL1361" s="23" t="s">
        <v>24</v>
      </c>
      <c r="AM1361" s="23">
        <v>50.7</v>
      </c>
      <c r="AN1361" s="23">
        <v>36857.550000000003</v>
      </c>
      <c r="AO1361" s="23">
        <v>50.03</v>
      </c>
      <c r="AP1361" s="23">
        <v>0</v>
      </c>
      <c r="AR1361" s="46"/>
      <c r="AS1361" s="44"/>
      <c r="AT1361" s="45"/>
      <c r="AU1361" s="2">
        <v>44544</v>
      </c>
      <c r="AV1361" s="52">
        <v>0.51041666666666663</v>
      </c>
      <c r="AW1361" s="2" t="s">
        <v>213</v>
      </c>
      <c r="AY1361" s="3"/>
      <c r="BA1361" s="3"/>
      <c r="BG1361" s="3"/>
      <c r="BH1361" s="3"/>
    </row>
    <row r="1362" spans="1:60">
      <c r="A1362" s="23" t="s">
        <v>22</v>
      </c>
      <c r="B1362" s="23" t="s">
        <v>23</v>
      </c>
      <c r="C1362" s="27">
        <v>44545.40625</v>
      </c>
      <c r="D1362" s="23">
        <v>51.1</v>
      </c>
      <c r="E1362" s="27">
        <v>44546.385416666664</v>
      </c>
      <c r="F1362" s="23">
        <v>50.6</v>
      </c>
      <c r="G1362" s="31">
        <v>-9.7999999999999997E-3</v>
      </c>
      <c r="H1362" s="23">
        <v>495.16</v>
      </c>
      <c r="I1362" s="31">
        <v>9.7999999999999997E-3</v>
      </c>
      <c r="J1362" s="23">
        <v>990.32129999999995</v>
      </c>
      <c r="K1362" s="23">
        <v>50605.42</v>
      </c>
      <c r="L1362" s="23">
        <v>121778.18</v>
      </c>
      <c r="M1362" s="23">
        <v>27</v>
      </c>
      <c r="N1362" s="23">
        <v>18.34</v>
      </c>
      <c r="O1362" s="31">
        <v>-4.8999999999999998E-3</v>
      </c>
      <c r="P1362" s="31">
        <v>2.0500000000000001E-2</v>
      </c>
      <c r="Q1362" s="23" t="s">
        <v>24</v>
      </c>
      <c r="R1362" s="23">
        <v>0</v>
      </c>
      <c r="S1362" s="23">
        <v>51.71</v>
      </c>
      <c r="U1362" s="47">
        <f>VLOOKUP(AU1362,[1]expiry_dates!$B$2:$C$2894,2,FALSE)</f>
        <v>44560</v>
      </c>
      <c r="V1362" s="23" t="s">
        <v>119</v>
      </c>
      <c r="W1362" s="23" t="s">
        <v>23</v>
      </c>
      <c r="X1362" s="49">
        <v>44545.40625</v>
      </c>
      <c r="Y1362" s="23">
        <v>1.75</v>
      </c>
      <c r="Z1362" s="23">
        <v>44546.385416666664</v>
      </c>
      <c r="AA1362" s="23">
        <v>1.6</v>
      </c>
      <c r="AB1362" s="23">
        <v>-8.5699999999999998E-2</v>
      </c>
      <c r="AC1362" s="23">
        <v>6130.49</v>
      </c>
      <c r="AD1362" s="23">
        <v>8.5699999999999998E-2</v>
      </c>
      <c r="AE1362" s="23">
        <v>40869.9</v>
      </c>
      <c r="AF1362" s="23">
        <v>71522.33</v>
      </c>
      <c r="AG1362" s="23">
        <v>4316813.4000000004</v>
      </c>
      <c r="AH1362" s="23">
        <v>27</v>
      </c>
      <c r="AI1362" s="23">
        <v>227.06</v>
      </c>
      <c r="AJ1362" s="23">
        <v>-0.1143</v>
      </c>
      <c r="AK1362" s="23">
        <v>0.28570000000000001</v>
      </c>
      <c r="AL1362" s="23" t="s">
        <v>24</v>
      </c>
      <c r="AM1362" s="23">
        <v>51.1</v>
      </c>
      <c r="AN1362" s="23">
        <v>36891.949999999997</v>
      </c>
      <c r="AO1362" s="23">
        <v>51.71</v>
      </c>
      <c r="AP1362" s="23">
        <v>0</v>
      </c>
      <c r="AR1362" s="46"/>
      <c r="AS1362" s="44"/>
      <c r="AT1362" s="45"/>
      <c r="AU1362" s="2">
        <v>44545</v>
      </c>
      <c r="AV1362" s="52">
        <v>0.40625</v>
      </c>
      <c r="AW1362" s="2" t="s">
        <v>212</v>
      </c>
      <c r="AY1362" s="3"/>
      <c r="BA1362" s="3"/>
      <c r="BG1362" s="3"/>
      <c r="BH1362" s="3"/>
    </row>
    <row r="1363" spans="1:60">
      <c r="A1363" s="23" t="s">
        <v>22</v>
      </c>
      <c r="B1363" s="23" t="s">
        <v>25</v>
      </c>
      <c r="C1363" s="27">
        <v>44546.385416666664</v>
      </c>
      <c r="D1363" s="23">
        <v>50.6</v>
      </c>
      <c r="E1363" s="27">
        <v>44546.40625</v>
      </c>
      <c r="F1363" s="23">
        <v>50.35</v>
      </c>
      <c r="G1363" s="31">
        <v>-4.8999999999999998E-3</v>
      </c>
      <c r="H1363" s="23">
        <v>-250.05</v>
      </c>
      <c r="I1363" s="31">
        <v>-4.8999999999999998E-3</v>
      </c>
      <c r="J1363" s="23">
        <v>1000.19</v>
      </c>
      <c r="K1363" s="23">
        <v>50609.63</v>
      </c>
      <c r="L1363" s="23">
        <v>121528.14</v>
      </c>
      <c r="M1363" s="23">
        <v>3</v>
      </c>
      <c r="N1363" s="23">
        <v>-83.35</v>
      </c>
      <c r="O1363" s="31">
        <v>-5.8999999999999999E-3</v>
      </c>
      <c r="P1363" s="31">
        <v>4.8999999999999998E-3</v>
      </c>
      <c r="Q1363" s="23" t="s">
        <v>24</v>
      </c>
      <c r="R1363" s="23">
        <v>0</v>
      </c>
      <c r="S1363" s="23">
        <v>50.08</v>
      </c>
      <c r="U1363" s="47">
        <f>VLOOKUP(AU1363,[1]expiry_dates!$B$2:$C$2894,2,FALSE)</f>
        <v>44560</v>
      </c>
      <c r="V1363" s="23" t="s">
        <v>120</v>
      </c>
      <c r="W1363" s="23" t="s">
        <v>23</v>
      </c>
      <c r="X1363" s="49">
        <v>44546.385416666664</v>
      </c>
      <c r="Y1363" s="23">
        <v>1.7</v>
      </c>
      <c r="Z1363" s="23">
        <v>44546.40625</v>
      </c>
      <c r="AA1363" s="23">
        <v>1.9</v>
      </c>
      <c r="AB1363" s="23">
        <v>0.1176</v>
      </c>
      <c r="AC1363" s="23">
        <v>-8428.8700000000008</v>
      </c>
      <c r="AD1363" s="23">
        <v>-0.1176</v>
      </c>
      <c r="AE1363" s="23">
        <v>42144.34</v>
      </c>
      <c r="AF1363" s="23">
        <v>71645.38</v>
      </c>
      <c r="AG1363" s="23">
        <v>4308384.53</v>
      </c>
      <c r="AH1363" s="23">
        <v>3</v>
      </c>
      <c r="AI1363" s="23">
        <v>-2809.62</v>
      </c>
      <c r="AJ1363" s="23">
        <v>-0.1176</v>
      </c>
      <c r="AK1363" s="23">
        <v>5.8799999999999998E-2</v>
      </c>
      <c r="AL1363" s="23" t="s">
        <v>24</v>
      </c>
      <c r="AM1363" s="23">
        <v>50.6</v>
      </c>
      <c r="AN1363" s="23">
        <v>36975.35</v>
      </c>
      <c r="AO1363" s="23">
        <v>50.08</v>
      </c>
      <c r="AP1363" s="23">
        <v>0</v>
      </c>
      <c r="AR1363" s="46"/>
      <c r="AS1363" s="44"/>
      <c r="AT1363" s="45"/>
      <c r="AU1363" s="2">
        <v>44546</v>
      </c>
      <c r="AV1363" s="52">
        <v>0.38541666666666669</v>
      </c>
      <c r="AW1363" s="2" t="s">
        <v>212</v>
      </c>
      <c r="AY1363" s="3"/>
      <c r="BA1363" s="3"/>
      <c r="BG1363" s="3"/>
      <c r="BH1363" s="3"/>
    </row>
    <row r="1364" spans="1:60">
      <c r="A1364" s="23" t="s">
        <v>22</v>
      </c>
      <c r="B1364" s="23" t="s">
        <v>23</v>
      </c>
      <c r="C1364" s="27">
        <v>44546.40625</v>
      </c>
      <c r="D1364" s="23">
        <v>50.35</v>
      </c>
      <c r="E1364" s="27">
        <v>44551.385416666664</v>
      </c>
      <c r="F1364" s="23">
        <v>46.2</v>
      </c>
      <c r="G1364" s="31">
        <v>-8.2400000000000001E-2</v>
      </c>
      <c r="H1364" s="23">
        <v>4171.28</v>
      </c>
      <c r="I1364" s="31">
        <v>8.2400000000000001E-2</v>
      </c>
      <c r="J1364" s="23">
        <v>1005.127</v>
      </c>
      <c r="K1364" s="23">
        <v>50608.14</v>
      </c>
      <c r="L1364" s="23">
        <v>125699.41</v>
      </c>
      <c r="M1364" s="23">
        <v>83</v>
      </c>
      <c r="N1364" s="23">
        <v>50.26</v>
      </c>
      <c r="O1364" s="31">
        <v>-4.0000000000000001E-3</v>
      </c>
      <c r="P1364" s="31">
        <v>0.1082</v>
      </c>
      <c r="Q1364" s="23" t="s">
        <v>24</v>
      </c>
      <c r="R1364" s="23">
        <v>0</v>
      </c>
      <c r="S1364" s="23">
        <v>50.85</v>
      </c>
      <c r="U1364" s="47">
        <f>VLOOKUP(AU1364,[1]expiry_dates!$B$2:$C$2894,2,FALSE)</f>
        <v>44560</v>
      </c>
      <c r="V1364" s="23" t="s">
        <v>121</v>
      </c>
      <c r="W1364" s="23" t="s">
        <v>23</v>
      </c>
      <c r="X1364" s="49">
        <v>44546.40625</v>
      </c>
      <c r="Y1364" s="23">
        <v>1.85</v>
      </c>
      <c r="Z1364" s="23">
        <v>44551.385416666664</v>
      </c>
      <c r="AA1364" s="23">
        <v>0.25</v>
      </c>
      <c r="AB1364" s="23">
        <v>-0.8649</v>
      </c>
      <c r="AC1364" s="23">
        <v>61919.66</v>
      </c>
      <c r="AD1364" s="23">
        <v>0.8649</v>
      </c>
      <c r="AE1364" s="23">
        <v>38699.79</v>
      </c>
      <c r="AF1364" s="23">
        <v>71594.600000000006</v>
      </c>
      <c r="AG1364" s="23">
        <v>4370304.1900000004</v>
      </c>
      <c r="AH1364" s="23">
        <v>83</v>
      </c>
      <c r="AI1364" s="23">
        <v>746.02</v>
      </c>
      <c r="AJ1364" s="23">
        <v>-5.4100000000000002E-2</v>
      </c>
      <c r="AK1364" s="23">
        <v>0.8649</v>
      </c>
      <c r="AL1364" s="23" t="s">
        <v>24</v>
      </c>
      <c r="AM1364" s="23">
        <v>50.35</v>
      </c>
      <c r="AN1364" s="23">
        <v>36857.300000000003</v>
      </c>
      <c r="AO1364" s="23">
        <v>50.85</v>
      </c>
      <c r="AP1364" s="23">
        <v>0</v>
      </c>
      <c r="AR1364" s="46"/>
      <c r="AS1364" s="44"/>
      <c r="AT1364" s="45"/>
      <c r="AU1364" s="2">
        <v>44546</v>
      </c>
      <c r="AV1364" s="52">
        <v>0.40625</v>
      </c>
      <c r="AW1364" s="2" t="s">
        <v>212</v>
      </c>
      <c r="AY1364" s="3"/>
      <c r="BA1364" s="3"/>
      <c r="BG1364" s="3"/>
      <c r="BH1364" s="3"/>
    </row>
    <row r="1365" spans="1:60" s="17" customFormat="1">
      <c r="A1365" s="24" t="s">
        <v>22</v>
      </c>
      <c r="B1365" s="24" t="s">
        <v>25</v>
      </c>
      <c r="C1365" s="28">
        <v>44551.385416666664</v>
      </c>
      <c r="D1365" s="24">
        <v>46.2</v>
      </c>
      <c r="E1365" s="28">
        <v>44551.583333333336</v>
      </c>
      <c r="F1365" s="24">
        <v>45.7</v>
      </c>
      <c r="G1365" s="32">
        <v>-1.0800000000000001E-2</v>
      </c>
      <c r="H1365" s="24">
        <v>-547.94000000000005</v>
      </c>
      <c r="I1365" s="32">
        <v>-1.0800000000000001E-2</v>
      </c>
      <c r="J1365" s="24">
        <v>1095.8879999999999</v>
      </c>
      <c r="K1365" s="24">
        <v>50630.01</v>
      </c>
      <c r="L1365" s="24">
        <v>125151.47</v>
      </c>
      <c r="M1365" s="24">
        <v>20</v>
      </c>
      <c r="N1365" s="24">
        <v>-27.4</v>
      </c>
      <c r="O1365" s="32">
        <v>-1.0800000000000001E-2</v>
      </c>
      <c r="P1365" s="32">
        <v>6.4999999999999997E-3</v>
      </c>
      <c r="Q1365" s="24" t="s">
        <v>24</v>
      </c>
      <c r="R1365" s="24">
        <v>0</v>
      </c>
      <c r="S1365" s="24">
        <v>44.97</v>
      </c>
      <c r="U1365" s="47" t="e">
        <f>VLOOKUP(AU1365,[1]expiry_dates!$B$2:$C$2894,2,FALSE)</f>
        <v>#N/A</v>
      </c>
      <c r="V1365" s="24"/>
      <c r="W1365" s="24"/>
      <c r="X1365" s="50"/>
      <c r="Y1365" s="24"/>
      <c r="Z1365" s="24"/>
      <c r="AA1365" s="24"/>
      <c r="AB1365" s="24"/>
      <c r="AC1365" s="24"/>
      <c r="AD1365" s="24"/>
      <c r="AE1365" s="24"/>
      <c r="AF1365" s="24"/>
      <c r="AG1365" s="24"/>
      <c r="AH1365" s="24"/>
      <c r="AI1365" s="24"/>
      <c r="AJ1365" s="24"/>
      <c r="AK1365" s="24"/>
      <c r="AL1365" s="24"/>
      <c r="AM1365" s="24"/>
      <c r="AN1365" s="24"/>
      <c r="AO1365" s="24"/>
      <c r="AP1365" s="24"/>
      <c r="AR1365" s="46"/>
      <c r="AS1365" s="44"/>
      <c r="AT1365" s="45"/>
      <c r="AU1365" s="18"/>
      <c r="AW1365" s="18"/>
      <c r="AY1365" s="19"/>
      <c r="BA1365" s="19"/>
      <c r="BG1365" s="19"/>
      <c r="BH1365" s="19"/>
    </row>
    <row r="1366" spans="1:60" s="17" customFormat="1">
      <c r="A1366" s="24" t="s">
        <v>22</v>
      </c>
      <c r="B1366" s="24" t="s">
        <v>23</v>
      </c>
      <c r="C1366" s="28">
        <v>44551.583333333336</v>
      </c>
      <c r="D1366" s="24">
        <v>45.7</v>
      </c>
      <c r="E1366" s="28">
        <v>44552.385416666664</v>
      </c>
      <c r="F1366" s="24">
        <v>46.25</v>
      </c>
      <c r="G1366" s="32">
        <v>1.2E-2</v>
      </c>
      <c r="H1366" s="24">
        <v>-609.30999999999995</v>
      </c>
      <c r="I1366" s="32">
        <v>-1.2E-2</v>
      </c>
      <c r="J1366" s="24">
        <v>1107.8389999999999</v>
      </c>
      <c r="K1366" s="24">
        <v>50628.22</v>
      </c>
      <c r="L1366" s="24">
        <v>124542.16</v>
      </c>
      <c r="M1366" s="24">
        <v>10</v>
      </c>
      <c r="N1366" s="24">
        <v>-60.93</v>
      </c>
      <c r="O1366" s="32">
        <v>-1.2E-2</v>
      </c>
      <c r="P1366" s="32">
        <v>1.2E-2</v>
      </c>
      <c r="Q1366" s="24" t="s">
        <v>24</v>
      </c>
      <c r="R1366" s="24">
        <v>0</v>
      </c>
      <c r="S1366" s="24">
        <v>46.48</v>
      </c>
      <c r="U1366" s="47" t="e">
        <f>VLOOKUP(AU1366,[1]expiry_dates!$B$2:$C$2894,2,FALSE)</f>
        <v>#N/A</v>
      </c>
      <c r="V1366" s="24"/>
      <c r="W1366" s="24"/>
      <c r="X1366" s="50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/>
      <c r="AK1366" s="24"/>
      <c r="AL1366" s="24"/>
      <c r="AM1366" s="24"/>
      <c r="AN1366" s="24"/>
      <c r="AO1366" s="24"/>
      <c r="AP1366" s="24"/>
      <c r="AR1366" s="46"/>
      <c r="AS1366" s="44"/>
      <c r="AT1366" s="45"/>
      <c r="AU1366" s="18"/>
      <c r="AW1366" s="18"/>
      <c r="AY1366" s="19"/>
      <c r="BA1366" s="19"/>
      <c r="BG1366" s="19"/>
      <c r="BH1366" s="19"/>
    </row>
    <row r="1367" spans="1:60">
      <c r="A1367" s="23" t="s">
        <v>22</v>
      </c>
      <c r="B1367" s="23" t="s">
        <v>25</v>
      </c>
      <c r="C1367" s="27">
        <v>44552.385416666664</v>
      </c>
      <c r="D1367" s="23">
        <v>46.25</v>
      </c>
      <c r="E1367" s="27">
        <v>44553.572916666664</v>
      </c>
      <c r="F1367" s="23">
        <v>48</v>
      </c>
      <c r="G1367" s="31">
        <v>3.78E-2</v>
      </c>
      <c r="H1367" s="23">
        <v>1915.56</v>
      </c>
      <c r="I1367" s="31">
        <v>3.78E-2</v>
      </c>
      <c r="J1367" s="23">
        <v>1094.605</v>
      </c>
      <c r="K1367" s="23">
        <v>50625.48</v>
      </c>
      <c r="L1367" s="23">
        <v>126457.72</v>
      </c>
      <c r="M1367" s="23">
        <v>47</v>
      </c>
      <c r="N1367" s="23">
        <v>40.76</v>
      </c>
      <c r="O1367" s="31">
        <v>-1.0800000000000001E-2</v>
      </c>
      <c r="P1367" s="31">
        <v>4.7600000000000003E-2</v>
      </c>
      <c r="Q1367" s="23" t="s">
        <v>24</v>
      </c>
      <c r="R1367" s="23">
        <v>0</v>
      </c>
      <c r="S1367" s="23">
        <v>45.2</v>
      </c>
      <c r="U1367" s="47">
        <f>VLOOKUP(AU1367,[1]expiry_dates!$B$2:$C$2894,2,FALSE)</f>
        <v>44560</v>
      </c>
      <c r="V1367" s="23" t="s">
        <v>107</v>
      </c>
      <c r="W1367" s="23" t="s">
        <v>23</v>
      </c>
      <c r="X1367" s="49">
        <v>44552.385416666664</v>
      </c>
      <c r="Y1367" s="23">
        <v>0.85</v>
      </c>
      <c r="Z1367" s="23">
        <v>44553.572916666664</v>
      </c>
      <c r="AA1367" s="23">
        <v>0.25</v>
      </c>
      <c r="AB1367" s="23">
        <v>-0.70589999999999997</v>
      </c>
      <c r="AC1367" s="23">
        <v>50718.720000000001</v>
      </c>
      <c r="AD1367" s="23">
        <v>0.70589999999999997</v>
      </c>
      <c r="AE1367" s="23">
        <v>84531.199999999997</v>
      </c>
      <c r="AF1367" s="23">
        <v>71851.520000000004</v>
      </c>
      <c r="AG1367" s="23">
        <v>4421022.9000000004</v>
      </c>
      <c r="AH1367" s="23">
        <v>47</v>
      </c>
      <c r="AI1367" s="23">
        <v>1079.1199999999999</v>
      </c>
      <c r="AJ1367" s="23">
        <v>-0.23530000000000001</v>
      </c>
      <c r="AK1367" s="23">
        <v>0.76470000000000005</v>
      </c>
      <c r="AL1367" s="23" t="s">
        <v>24</v>
      </c>
      <c r="AM1367" s="23">
        <v>46.25</v>
      </c>
      <c r="AN1367" s="23">
        <v>34859.5</v>
      </c>
      <c r="AO1367" s="23">
        <v>45.2</v>
      </c>
      <c r="AP1367" s="23">
        <v>0</v>
      </c>
      <c r="AR1367" s="46"/>
      <c r="AS1367" s="44"/>
      <c r="AT1367" s="45"/>
      <c r="AU1367" s="2">
        <v>44552</v>
      </c>
      <c r="AV1367" s="52">
        <v>0.38541666666666669</v>
      </c>
      <c r="AW1367" s="2" t="s">
        <v>212</v>
      </c>
      <c r="AY1367" s="3"/>
      <c r="BA1367" s="3"/>
      <c r="BG1367" s="3"/>
      <c r="BH1367" s="3"/>
    </row>
    <row r="1368" spans="1:60">
      <c r="A1368" s="23" t="s">
        <v>22</v>
      </c>
      <c r="B1368" s="23" t="s">
        <v>23</v>
      </c>
      <c r="C1368" s="27">
        <v>44553.572916666664</v>
      </c>
      <c r="D1368" s="23">
        <v>48</v>
      </c>
      <c r="E1368" s="27">
        <v>44554.5625</v>
      </c>
      <c r="F1368" s="23">
        <v>47.35</v>
      </c>
      <c r="G1368" s="31">
        <v>-1.35E-2</v>
      </c>
      <c r="H1368" s="23">
        <v>685.65</v>
      </c>
      <c r="I1368" s="31">
        <v>1.35E-2</v>
      </c>
      <c r="J1368" s="23">
        <v>1054.845</v>
      </c>
      <c r="K1368" s="23">
        <v>50632.56</v>
      </c>
      <c r="L1368" s="23">
        <v>127143.37</v>
      </c>
      <c r="M1368" s="23">
        <v>28</v>
      </c>
      <c r="N1368" s="23">
        <v>24.49</v>
      </c>
      <c r="O1368" s="31">
        <v>-2.0999999999999999E-3</v>
      </c>
      <c r="P1368" s="31">
        <v>2.5000000000000001E-2</v>
      </c>
      <c r="Q1368" s="23" t="s">
        <v>24</v>
      </c>
      <c r="R1368" s="23">
        <v>0</v>
      </c>
      <c r="S1368" s="23">
        <v>48.43</v>
      </c>
      <c r="U1368" s="47">
        <f>VLOOKUP(AU1368,[1]expiry_dates!$B$2:$C$2894,2,FALSE)</f>
        <v>44560</v>
      </c>
      <c r="V1368" s="23" t="s">
        <v>106</v>
      </c>
      <c r="W1368" s="23" t="s">
        <v>23</v>
      </c>
      <c r="X1368" s="49">
        <v>44553.572916666664</v>
      </c>
      <c r="Y1368" s="23">
        <v>0.9</v>
      </c>
      <c r="Z1368" s="23">
        <v>44554.5625</v>
      </c>
      <c r="AA1368" s="23">
        <v>0.55000000000000004</v>
      </c>
      <c r="AB1368" s="23">
        <v>-0.38890000000000002</v>
      </c>
      <c r="AC1368" s="23">
        <v>28049.1</v>
      </c>
      <c r="AD1368" s="23">
        <v>0.38890000000000002</v>
      </c>
      <c r="AE1368" s="23">
        <v>80140.27</v>
      </c>
      <c r="AF1368" s="23">
        <v>72126.240000000005</v>
      </c>
      <c r="AG1368" s="23">
        <v>4449072</v>
      </c>
      <c r="AH1368" s="23">
        <v>28</v>
      </c>
      <c r="AI1368" s="23">
        <v>1001.75</v>
      </c>
      <c r="AJ1368" s="23">
        <v>-5.5599999999999997E-2</v>
      </c>
      <c r="AK1368" s="23">
        <v>0.5</v>
      </c>
      <c r="AL1368" s="23" t="s">
        <v>24</v>
      </c>
      <c r="AM1368" s="23">
        <v>48</v>
      </c>
      <c r="AN1368" s="23">
        <v>35318.199999999997</v>
      </c>
      <c r="AO1368" s="23">
        <v>48.43</v>
      </c>
      <c r="AP1368" s="23">
        <v>0</v>
      </c>
      <c r="AR1368" s="46"/>
      <c r="AS1368" s="44"/>
      <c r="AT1368" s="45"/>
      <c r="AU1368" s="2">
        <v>44553</v>
      </c>
      <c r="AV1368" s="52">
        <v>7.2916666666666671E-2</v>
      </c>
      <c r="AW1368" s="2" t="s">
        <v>213</v>
      </c>
      <c r="AY1368" s="3"/>
      <c r="BA1368" s="3"/>
      <c r="BG1368" s="3"/>
      <c r="BH1368" s="3"/>
    </row>
    <row r="1369" spans="1:60">
      <c r="A1369" s="23" t="s">
        <v>22</v>
      </c>
      <c r="B1369" s="23" t="s">
        <v>25</v>
      </c>
      <c r="C1369" s="27">
        <v>44554.5625</v>
      </c>
      <c r="D1369" s="23">
        <v>47.35</v>
      </c>
      <c r="E1369" s="27">
        <v>44554.625</v>
      </c>
      <c r="F1369" s="23">
        <v>46.95</v>
      </c>
      <c r="G1369" s="31">
        <v>-8.3999999999999995E-3</v>
      </c>
      <c r="H1369" s="23">
        <v>-427.77</v>
      </c>
      <c r="I1369" s="31">
        <v>-8.3999999999999995E-3</v>
      </c>
      <c r="J1369" s="23">
        <v>1069.431</v>
      </c>
      <c r="K1369" s="23">
        <v>50637.56</v>
      </c>
      <c r="L1369" s="23">
        <v>126715.59</v>
      </c>
      <c r="M1369" s="23">
        <v>7</v>
      </c>
      <c r="N1369" s="23">
        <v>-61.11</v>
      </c>
      <c r="O1369" s="31">
        <v>-8.3999999999999995E-3</v>
      </c>
      <c r="P1369" s="31">
        <v>5.3E-3</v>
      </c>
      <c r="Q1369" s="23" t="s">
        <v>24</v>
      </c>
      <c r="R1369" s="23">
        <v>0</v>
      </c>
      <c r="S1369" s="23">
        <v>46.8</v>
      </c>
      <c r="U1369" s="47">
        <f>VLOOKUP(AU1369,[1]expiry_dates!$B$2:$C$2894,2,FALSE)</f>
        <v>44560</v>
      </c>
      <c r="V1369" s="23" t="s">
        <v>105</v>
      </c>
      <c r="W1369" s="23" t="s">
        <v>23</v>
      </c>
      <c r="X1369" s="49">
        <v>44554.5625</v>
      </c>
      <c r="Y1369" s="23">
        <v>0.7</v>
      </c>
      <c r="Z1369" s="23">
        <v>44554.625</v>
      </c>
      <c r="AA1369" s="23">
        <v>0.75</v>
      </c>
      <c r="AB1369" s="23">
        <v>7.1400000000000005E-2</v>
      </c>
      <c r="AC1369" s="23">
        <v>-5163.24</v>
      </c>
      <c r="AD1369" s="23">
        <v>-7.1400000000000005E-2</v>
      </c>
      <c r="AE1369" s="23">
        <v>103264.9</v>
      </c>
      <c r="AF1369" s="23">
        <v>72285.429999999993</v>
      </c>
      <c r="AG1369" s="23">
        <v>4443908.76</v>
      </c>
      <c r="AH1369" s="23">
        <v>7</v>
      </c>
      <c r="AI1369" s="23">
        <v>-737.61</v>
      </c>
      <c r="AJ1369" s="23">
        <v>-0.28570000000000001</v>
      </c>
      <c r="AK1369" s="23">
        <v>0.28570000000000001</v>
      </c>
      <c r="AL1369" s="23" t="s">
        <v>24</v>
      </c>
      <c r="AM1369" s="23">
        <v>47.35</v>
      </c>
      <c r="AN1369" s="23">
        <v>34922.400000000001</v>
      </c>
      <c r="AO1369" s="23">
        <v>46.8</v>
      </c>
      <c r="AP1369" s="23">
        <v>0</v>
      </c>
      <c r="AR1369" s="46"/>
      <c r="AS1369" s="44"/>
      <c r="AT1369" s="45"/>
      <c r="AU1369" s="2">
        <v>44554</v>
      </c>
      <c r="AV1369" s="52">
        <v>6.25E-2</v>
      </c>
      <c r="AW1369" s="2" t="s">
        <v>213</v>
      </c>
      <c r="AY1369" s="3"/>
      <c r="BA1369" s="3"/>
      <c r="BG1369" s="3"/>
      <c r="BH1369" s="3"/>
    </row>
    <row r="1370" spans="1:60">
      <c r="A1370" s="23" t="s">
        <v>22</v>
      </c>
      <c r="B1370" s="23" t="s">
        <v>23</v>
      </c>
      <c r="C1370" s="27">
        <v>44554.625</v>
      </c>
      <c r="D1370" s="23">
        <v>46.95</v>
      </c>
      <c r="E1370" s="27">
        <v>44557.4375</v>
      </c>
      <c r="F1370" s="23">
        <v>46.25</v>
      </c>
      <c r="G1370" s="31">
        <v>-1.49E-2</v>
      </c>
      <c r="H1370" s="23">
        <v>754.93</v>
      </c>
      <c r="I1370" s="31">
        <v>1.49E-2</v>
      </c>
      <c r="J1370" s="23">
        <v>1078.4690000000001</v>
      </c>
      <c r="K1370" s="23">
        <v>50634.11</v>
      </c>
      <c r="L1370" s="23">
        <v>127470.52</v>
      </c>
      <c r="M1370" s="23">
        <v>11</v>
      </c>
      <c r="N1370" s="23">
        <v>68.63</v>
      </c>
      <c r="O1370" s="31">
        <v>-3.2000000000000002E-3</v>
      </c>
      <c r="P1370" s="31">
        <v>7.2400000000000006E-2</v>
      </c>
      <c r="Q1370" s="23" t="s">
        <v>24</v>
      </c>
      <c r="R1370" s="23">
        <v>0</v>
      </c>
      <c r="S1370" s="23">
        <v>47.57</v>
      </c>
      <c r="U1370" s="47">
        <f>VLOOKUP(AU1370,[1]expiry_dates!$B$2:$C$2894,2,FALSE)</f>
        <v>44560</v>
      </c>
      <c r="V1370" s="23" t="s">
        <v>104</v>
      </c>
      <c r="W1370" s="23" t="s">
        <v>23</v>
      </c>
      <c r="X1370" s="49">
        <v>44554.625</v>
      </c>
      <c r="Y1370" s="23">
        <v>0.75</v>
      </c>
      <c r="Z1370" s="23">
        <v>44557.4375</v>
      </c>
      <c r="AA1370" s="23">
        <v>0.45</v>
      </c>
      <c r="AB1370" s="23">
        <v>-0.4</v>
      </c>
      <c r="AC1370" s="23">
        <v>28887.82</v>
      </c>
      <c r="AD1370" s="23">
        <v>0.4</v>
      </c>
      <c r="AE1370" s="23">
        <v>96292.73</v>
      </c>
      <c r="AF1370" s="23">
        <v>72219.55</v>
      </c>
      <c r="AG1370" s="23">
        <v>4472796.57</v>
      </c>
      <c r="AH1370" s="23">
        <v>11</v>
      </c>
      <c r="AI1370" s="23">
        <v>2626.17</v>
      </c>
      <c r="AJ1370" s="23">
        <v>-0.1333</v>
      </c>
      <c r="AK1370" s="23">
        <v>0.66669999999999996</v>
      </c>
      <c r="AL1370" s="23" t="s">
        <v>24</v>
      </c>
      <c r="AM1370" s="23">
        <v>46.95</v>
      </c>
      <c r="AN1370" s="23">
        <v>34871.1</v>
      </c>
      <c r="AO1370" s="23">
        <v>47.57</v>
      </c>
      <c r="AP1370" s="23">
        <v>0</v>
      </c>
      <c r="AR1370" s="46"/>
      <c r="AS1370" s="44"/>
      <c r="AT1370" s="45"/>
      <c r="AU1370" s="2">
        <v>44554</v>
      </c>
      <c r="AV1370" s="52">
        <v>0.125</v>
      </c>
      <c r="AW1370" s="2" t="s">
        <v>213</v>
      </c>
      <c r="AY1370" s="3"/>
      <c r="BA1370" s="3"/>
      <c r="BG1370" s="3"/>
      <c r="BH1370" s="3"/>
    </row>
    <row r="1371" spans="1:60">
      <c r="A1371" s="23" t="s">
        <v>22</v>
      </c>
      <c r="B1371" s="23" t="s">
        <v>25</v>
      </c>
      <c r="C1371" s="27">
        <v>44557.4375</v>
      </c>
      <c r="D1371" s="23">
        <v>46.25</v>
      </c>
      <c r="E1371" s="27">
        <v>44558.604166666664</v>
      </c>
      <c r="F1371" s="23">
        <v>47.25</v>
      </c>
      <c r="G1371" s="31">
        <v>2.1600000000000001E-2</v>
      </c>
      <c r="H1371" s="23">
        <v>1094.8900000000001</v>
      </c>
      <c r="I1371" s="31">
        <v>2.1600000000000001E-2</v>
      </c>
      <c r="J1371" s="23">
        <v>1094.8910000000001</v>
      </c>
      <c r="K1371" s="23">
        <v>50638.7</v>
      </c>
      <c r="L1371" s="23">
        <v>128565.41</v>
      </c>
      <c r="M1371" s="23">
        <v>45</v>
      </c>
      <c r="N1371" s="23">
        <v>24.33</v>
      </c>
      <c r="O1371" s="31">
        <v>-1.0800000000000001E-2</v>
      </c>
      <c r="P1371" s="31">
        <v>3.5700000000000003E-2</v>
      </c>
      <c r="Q1371" s="23" t="s">
        <v>24</v>
      </c>
      <c r="R1371" s="23">
        <v>0</v>
      </c>
      <c r="S1371" s="23">
        <v>43.55</v>
      </c>
      <c r="U1371" s="47">
        <f>VLOOKUP(AU1371,[1]expiry_dates!$B$2:$C$2894,2,FALSE)</f>
        <v>44560</v>
      </c>
      <c r="V1371" s="23" t="s">
        <v>107</v>
      </c>
      <c r="W1371" s="23" t="s">
        <v>23</v>
      </c>
      <c r="X1371" s="49">
        <v>44557.4375</v>
      </c>
      <c r="Y1371" s="23">
        <v>0.6</v>
      </c>
      <c r="Z1371" s="23">
        <v>44558.604166666664</v>
      </c>
      <c r="AA1371" s="23">
        <v>0.2</v>
      </c>
      <c r="AB1371" s="23">
        <v>-0.66669999999999996</v>
      </c>
      <c r="AC1371" s="23">
        <v>48258.7</v>
      </c>
      <c r="AD1371" s="23">
        <v>0.66669999999999996</v>
      </c>
      <c r="AE1371" s="23">
        <v>120646.8</v>
      </c>
      <c r="AF1371" s="23">
        <v>72388.05</v>
      </c>
      <c r="AG1371" s="23">
        <v>4521055.28</v>
      </c>
      <c r="AH1371" s="23">
        <v>45</v>
      </c>
      <c r="AI1371" s="23">
        <v>1072.42</v>
      </c>
      <c r="AJ1371" s="23">
        <v>-0.41670000000000001</v>
      </c>
      <c r="AK1371" s="23">
        <v>0.83330000000000004</v>
      </c>
      <c r="AL1371" s="23" t="s">
        <v>24</v>
      </c>
      <c r="AM1371" s="23">
        <v>46.25</v>
      </c>
      <c r="AN1371" s="23">
        <v>34743.550000000003</v>
      </c>
      <c r="AO1371" s="23">
        <v>43.55</v>
      </c>
      <c r="AP1371" s="23">
        <v>0</v>
      </c>
      <c r="AR1371" s="46"/>
      <c r="AS1371" s="44"/>
      <c r="AT1371" s="45"/>
      <c r="AU1371" s="2">
        <v>44557</v>
      </c>
      <c r="AV1371" s="52">
        <v>0.4375</v>
      </c>
      <c r="AW1371" s="2" t="s">
        <v>212</v>
      </c>
      <c r="AY1371" s="3"/>
      <c r="BA1371" s="3"/>
      <c r="BG1371" s="3"/>
      <c r="BH1371" s="3"/>
    </row>
    <row r="1372" spans="1:60">
      <c r="A1372" s="23" t="s">
        <v>22</v>
      </c>
      <c r="B1372" s="23" t="s">
        <v>23</v>
      </c>
      <c r="C1372" s="27">
        <v>44558.604166666664</v>
      </c>
      <c r="D1372" s="23">
        <v>47.25</v>
      </c>
      <c r="E1372" s="27">
        <v>44559.395833333336</v>
      </c>
      <c r="F1372" s="23">
        <v>47.85</v>
      </c>
      <c r="G1372" s="31">
        <v>1.2699999999999999E-2</v>
      </c>
      <c r="H1372" s="23">
        <v>-643.11</v>
      </c>
      <c r="I1372" s="31">
        <v>-1.2699999999999999E-2</v>
      </c>
      <c r="J1372" s="23">
        <v>1071.846</v>
      </c>
      <c r="K1372" s="23">
        <v>50644.74</v>
      </c>
      <c r="L1372" s="23">
        <v>127922.3</v>
      </c>
      <c r="M1372" s="23">
        <v>9</v>
      </c>
      <c r="N1372" s="23">
        <v>-71.459999999999994</v>
      </c>
      <c r="O1372" s="31">
        <v>-1.2699999999999999E-2</v>
      </c>
      <c r="P1372" s="31">
        <v>4.1999999999999997E-3</v>
      </c>
      <c r="Q1372" s="23" t="s">
        <v>24</v>
      </c>
      <c r="R1372" s="23">
        <v>0</v>
      </c>
      <c r="S1372" s="23">
        <v>47.9</v>
      </c>
      <c r="U1372" s="47">
        <f>VLOOKUP(AU1372,[1]expiry_dates!$B$2:$C$2894,2,FALSE)</f>
        <v>44560</v>
      </c>
      <c r="V1372" s="23" t="s">
        <v>104</v>
      </c>
      <c r="W1372" s="23" t="s">
        <v>23</v>
      </c>
      <c r="X1372" s="49">
        <v>44558.604166666664</v>
      </c>
      <c r="Y1372" s="23">
        <v>0.75</v>
      </c>
      <c r="Z1372" s="23">
        <v>44559.395833333336</v>
      </c>
      <c r="AA1372" s="23">
        <v>1.1499999999999999</v>
      </c>
      <c r="AB1372" s="23">
        <v>0.5333</v>
      </c>
      <c r="AC1372" s="23">
        <v>-38738.9</v>
      </c>
      <c r="AD1372" s="23">
        <v>-0.5333</v>
      </c>
      <c r="AE1372" s="23">
        <v>96847.25</v>
      </c>
      <c r="AF1372" s="23">
        <v>72635.44</v>
      </c>
      <c r="AG1372" s="23">
        <v>4482316.38</v>
      </c>
      <c r="AH1372" s="23">
        <v>9</v>
      </c>
      <c r="AI1372" s="23">
        <v>-4304.32</v>
      </c>
      <c r="AJ1372" s="23">
        <v>-0.5333</v>
      </c>
      <c r="AK1372" s="23">
        <v>0.2</v>
      </c>
      <c r="AL1372" s="23" t="s">
        <v>24</v>
      </c>
      <c r="AM1372" s="23">
        <v>47.25</v>
      </c>
      <c r="AN1372" s="23">
        <v>35131.75</v>
      </c>
      <c r="AO1372" s="23">
        <v>47.9</v>
      </c>
      <c r="AP1372" s="23">
        <v>0</v>
      </c>
      <c r="AR1372" s="46"/>
      <c r="AS1372" s="44"/>
      <c r="AT1372" s="45"/>
      <c r="AU1372" s="2">
        <v>44558</v>
      </c>
      <c r="AV1372" s="52">
        <v>0.10416666666666667</v>
      </c>
      <c r="AW1372" s="2" t="s">
        <v>213</v>
      </c>
      <c r="AY1372" s="3"/>
      <c r="BA1372" s="3"/>
      <c r="BG1372" s="3"/>
      <c r="BH1372" s="3"/>
    </row>
    <row r="1373" spans="1:60">
      <c r="A1373" s="23" t="s">
        <v>22</v>
      </c>
      <c r="B1373" s="23" t="s">
        <v>25</v>
      </c>
      <c r="C1373" s="27">
        <v>44559.395833333336</v>
      </c>
      <c r="D1373" s="23">
        <v>47.85</v>
      </c>
      <c r="E1373" s="27">
        <v>44559.458333333336</v>
      </c>
      <c r="F1373" s="23">
        <v>47.5</v>
      </c>
      <c r="G1373" s="31">
        <v>-7.3000000000000001E-3</v>
      </c>
      <c r="H1373" s="23">
        <v>-370.41</v>
      </c>
      <c r="I1373" s="31">
        <v>-7.3000000000000001E-3</v>
      </c>
      <c r="J1373" s="23">
        <v>1058.3219999999999</v>
      </c>
      <c r="K1373" s="23">
        <v>50640.68</v>
      </c>
      <c r="L1373" s="23">
        <v>127551.89</v>
      </c>
      <c r="M1373" s="23">
        <v>7</v>
      </c>
      <c r="N1373" s="23">
        <v>-52.92</v>
      </c>
      <c r="O1373" s="31">
        <v>-8.3999999999999995E-3</v>
      </c>
      <c r="P1373" s="31">
        <v>6.3E-3</v>
      </c>
      <c r="Q1373" s="23" t="s">
        <v>24</v>
      </c>
      <c r="R1373" s="23">
        <v>0</v>
      </c>
      <c r="S1373" s="23">
        <v>47.08</v>
      </c>
      <c r="U1373" s="47">
        <f>VLOOKUP(AU1373,[1]expiry_dates!$B$2:$C$2894,2,FALSE)</f>
        <v>44560</v>
      </c>
      <c r="V1373" s="23" t="s">
        <v>108</v>
      </c>
      <c r="W1373" s="23" t="s">
        <v>23</v>
      </c>
      <c r="X1373" s="49">
        <v>44559.395833333336</v>
      </c>
      <c r="Y1373" s="23">
        <v>0.55000000000000004</v>
      </c>
      <c r="Z1373" s="23">
        <v>44559.458333333336</v>
      </c>
      <c r="AA1373" s="23">
        <v>0.7</v>
      </c>
      <c r="AB1373" s="23">
        <v>0.2727</v>
      </c>
      <c r="AC1373" s="23">
        <v>-19788.23</v>
      </c>
      <c r="AD1373" s="23">
        <v>-0.2727</v>
      </c>
      <c r="AE1373" s="23">
        <v>131921.5</v>
      </c>
      <c r="AF1373" s="23">
        <v>72556.850000000006</v>
      </c>
      <c r="AG1373" s="23">
        <v>4462528.1399999997</v>
      </c>
      <c r="AH1373" s="23">
        <v>7</v>
      </c>
      <c r="AI1373" s="23">
        <v>-2826.89</v>
      </c>
      <c r="AJ1373" s="23">
        <v>-0.45450000000000002</v>
      </c>
      <c r="AK1373" s="23">
        <v>0.2727</v>
      </c>
      <c r="AL1373" s="23" t="s">
        <v>24</v>
      </c>
      <c r="AM1373" s="23">
        <v>47.85</v>
      </c>
      <c r="AN1373" s="23">
        <v>35330.9</v>
      </c>
      <c r="AO1373" s="23">
        <v>47.08</v>
      </c>
      <c r="AP1373" s="23">
        <v>0</v>
      </c>
      <c r="AR1373" s="46"/>
      <c r="AS1373" s="44"/>
      <c r="AT1373" s="45"/>
      <c r="AU1373" s="2">
        <v>44559</v>
      </c>
      <c r="AV1373" s="52">
        <v>0.39583333333333331</v>
      </c>
      <c r="AW1373" s="2" t="s">
        <v>212</v>
      </c>
      <c r="AY1373" s="3"/>
      <c r="BA1373" s="3"/>
      <c r="BG1373" s="3"/>
      <c r="BH1373" s="3"/>
    </row>
    <row r="1374" spans="1:60">
      <c r="A1374" s="23" t="s">
        <v>22</v>
      </c>
      <c r="B1374" s="23" t="s">
        <v>23</v>
      </c>
      <c r="C1374" s="27">
        <v>44559.458333333336</v>
      </c>
      <c r="D1374" s="23">
        <v>47.5</v>
      </c>
      <c r="E1374" s="27">
        <v>44559.552083333336</v>
      </c>
      <c r="F1374" s="23">
        <v>47.85</v>
      </c>
      <c r="G1374" s="31">
        <v>7.4000000000000003E-3</v>
      </c>
      <c r="H1374" s="23">
        <v>-373.12</v>
      </c>
      <c r="I1374" s="31">
        <v>-7.4000000000000003E-3</v>
      </c>
      <c r="J1374" s="23">
        <v>1066.0640000000001</v>
      </c>
      <c r="K1374" s="23">
        <v>50638.03</v>
      </c>
      <c r="L1374" s="23">
        <v>127178.77</v>
      </c>
      <c r="M1374" s="23">
        <v>10</v>
      </c>
      <c r="N1374" s="23">
        <v>-37.31</v>
      </c>
      <c r="O1374" s="31">
        <v>-7.4000000000000003E-3</v>
      </c>
      <c r="P1374" s="31">
        <v>2.0999999999999999E-3</v>
      </c>
      <c r="Q1374" s="23" t="s">
        <v>24</v>
      </c>
      <c r="R1374" s="23">
        <v>0</v>
      </c>
      <c r="S1374" s="23">
        <v>48.15</v>
      </c>
      <c r="U1374" s="47">
        <f>VLOOKUP(AU1374,[1]expiry_dates!$B$2:$C$2894,2,FALSE)</f>
        <v>44560</v>
      </c>
      <c r="V1374" s="23" t="s">
        <v>106</v>
      </c>
      <c r="W1374" s="23" t="s">
        <v>23</v>
      </c>
      <c r="X1374" s="49">
        <v>44559.458333333336</v>
      </c>
      <c r="Y1374" s="23">
        <v>0.3</v>
      </c>
      <c r="Z1374" s="23">
        <v>44559.552083333336</v>
      </c>
      <c r="AA1374" s="23">
        <v>0.35</v>
      </c>
      <c r="AB1374" s="23">
        <v>0.16669999999999999</v>
      </c>
      <c r="AC1374" s="23">
        <v>-12052.11</v>
      </c>
      <c r="AD1374" s="23">
        <v>-0.16669999999999999</v>
      </c>
      <c r="AE1374" s="23">
        <v>241042.1</v>
      </c>
      <c r="AF1374" s="23">
        <v>72312.639999999999</v>
      </c>
      <c r="AG1374" s="23">
        <v>4450476.04</v>
      </c>
      <c r="AH1374" s="23">
        <v>10</v>
      </c>
      <c r="AI1374" s="23">
        <v>-1205.21</v>
      </c>
      <c r="AJ1374" s="23">
        <v>-0.5</v>
      </c>
      <c r="AK1374" s="23">
        <v>0.16669999999999999</v>
      </c>
      <c r="AL1374" s="23" t="s">
        <v>24</v>
      </c>
      <c r="AM1374" s="23">
        <v>47.5</v>
      </c>
      <c r="AN1374" s="23">
        <v>35168.65</v>
      </c>
      <c r="AO1374" s="23">
        <v>48.15</v>
      </c>
      <c r="AP1374" s="23">
        <v>0</v>
      </c>
      <c r="AR1374" s="46"/>
      <c r="AS1374" s="44"/>
      <c r="AT1374" s="45"/>
      <c r="AU1374" s="2">
        <v>44559</v>
      </c>
      <c r="AV1374" s="52">
        <v>0.45833333333333331</v>
      </c>
      <c r="AW1374" s="2" t="s">
        <v>212</v>
      </c>
      <c r="AY1374" s="3"/>
      <c r="BA1374" s="3"/>
      <c r="BG1374" s="3"/>
      <c r="BH1374" s="3"/>
    </row>
    <row r="1375" spans="1:60">
      <c r="A1375" s="23" t="s">
        <v>22</v>
      </c>
      <c r="B1375" s="23" t="s">
        <v>25</v>
      </c>
      <c r="C1375" s="27">
        <v>44559.552083333336</v>
      </c>
      <c r="D1375" s="23">
        <v>47.85</v>
      </c>
      <c r="E1375" s="27">
        <v>44559.614583333336</v>
      </c>
      <c r="F1375" s="23">
        <v>47.45</v>
      </c>
      <c r="G1375" s="31">
        <v>-8.3999999999999995E-3</v>
      </c>
      <c r="H1375" s="23">
        <v>-423.29</v>
      </c>
      <c r="I1375" s="31">
        <v>-8.3999999999999995E-3</v>
      </c>
      <c r="J1375" s="23">
        <v>1058.2329999999999</v>
      </c>
      <c r="K1375" s="23">
        <v>50636.43</v>
      </c>
      <c r="L1375" s="23">
        <v>126755.48</v>
      </c>
      <c r="M1375" s="23">
        <v>7</v>
      </c>
      <c r="N1375" s="23">
        <v>-60.47</v>
      </c>
      <c r="O1375" s="31">
        <v>-8.3999999999999995E-3</v>
      </c>
      <c r="P1375" s="31">
        <v>2.0999999999999999E-3</v>
      </c>
      <c r="Q1375" s="23" t="s">
        <v>24</v>
      </c>
      <c r="R1375" s="23">
        <v>0</v>
      </c>
      <c r="S1375" s="23">
        <v>47.41</v>
      </c>
      <c r="U1375" s="47">
        <f>VLOOKUP(AU1375,[1]expiry_dates!$B$2:$C$2894,2,FALSE)</f>
        <v>44560</v>
      </c>
      <c r="V1375" s="23" t="s">
        <v>108</v>
      </c>
      <c r="W1375" s="23" t="s">
        <v>23</v>
      </c>
      <c r="X1375" s="49">
        <v>44559.552083333336</v>
      </c>
      <c r="Y1375" s="23">
        <v>0.45</v>
      </c>
      <c r="Z1375" s="23">
        <v>44559.614583333336</v>
      </c>
      <c r="AA1375" s="23">
        <v>0.75</v>
      </c>
      <c r="AB1375" s="23">
        <v>0.66669999999999996</v>
      </c>
      <c r="AC1375" s="23">
        <v>-48168.25</v>
      </c>
      <c r="AD1375" s="23">
        <v>-0.66669999999999996</v>
      </c>
      <c r="AE1375" s="23">
        <v>160560.79999999999</v>
      </c>
      <c r="AF1375" s="23">
        <v>72252.38</v>
      </c>
      <c r="AG1375" s="23">
        <v>4402307.79</v>
      </c>
      <c r="AH1375" s="23">
        <v>7</v>
      </c>
      <c r="AI1375" s="23">
        <v>-6881.18</v>
      </c>
      <c r="AJ1375" s="23">
        <v>-0.66669999999999996</v>
      </c>
      <c r="AK1375" s="23">
        <v>0.1111</v>
      </c>
      <c r="AL1375" s="23" t="s">
        <v>24</v>
      </c>
      <c r="AM1375" s="23">
        <v>47.85</v>
      </c>
      <c r="AN1375" s="23">
        <v>35193.85</v>
      </c>
      <c r="AO1375" s="23">
        <v>47.41</v>
      </c>
      <c r="AP1375" s="23">
        <v>0</v>
      </c>
      <c r="AR1375" s="46"/>
      <c r="AS1375" s="44"/>
      <c r="AT1375" s="45"/>
      <c r="AU1375" s="2">
        <v>44559</v>
      </c>
      <c r="AV1375" s="52">
        <v>5.2083333333333336E-2</v>
      </c>
      <c r="AW1375" s="2" t="s">
        <v>213</v>
      </c>
      <c r="AY1375" s="3"/>
      <c r="BA1375" s="3"/>
      <c r="BG1375" s="3"/>
      <c r="BH1375" s="3"/>
    </row>
    <row r="1376" spans="1:60">
      <c r="A1376" s="23" t="s">
        <v>22</v>
      </c>
      <c r="B1376" s="23" t="s">
        <v>23</v>
      </c>
      <c r="C1376" s="27">
        <v>44559.614583333336</v>
      </c>
      <c r="D1376" s="23">
        <v>47.45</v>
      </c>
      <c r="E1376" s="27">
        <v>44560.572916666664</v>
      </c>
      <c r="F1376" s="23">
        <v>46.75</v>
      </c>
      <c r="G1376" s="31">
        <v>-1.4800000000000001E-2</v>
      </c>
      <c r="H1376" s="23">
        <v>747</v>
      </c>
      <c r="I1376" s="31">
        <v>1.4800000000000001E-2</v>
      </c>
      <c r="J1376" s="23">
        <v>1067.1420000000001</v>
      </c>
      <c r="K1376" s="23">
        <v>50635.89</v>
      </c>
      <c r="L1376" s="23">
        <v>127502.48</v>
      </c>
      <c r="M1376" s="23">
        <v>25</v>
      </c>
      <c r="N1376" s="23">
        <v>29.88</v>
      </c>
      <c r="O1376" s="31">
        <v>-8.3999999999999995E-3</v>
      </c>
      <c r="P1376" s="31">
        <v>2.8500000000000001E-2</v>
      </c>
      <c r="Q1376" s="23" t="s">
        <v>24</v>
      </c>
      <c r="R1376" s="23">
        <v>0</v>
      </c>
      <c r="S1376" s="23">
        <v>47.93</v>
      </c>
      <c r="U1376" s="47">
        <f>VLOOKUP(AU1376,[1]expiry_dates!$B$2:$C$2894,2,FALSE)</f>
        <v>44560</v>
      </c>
      <c r="V1376" s="23" t="s">
        <v>104</v>
      </c>
      <c r="W1376" s="23" t="s">
        <v>23</v>
      </c>
      <c r="X1376" s="49">
        <v>44559.614583333336</v>
      </c>
      <c r="Y1376" s="23">
        <v>0.9</v>
      </c>
      <c r="Z1376" s="23">
        <v>44560.572916666664</v>
      </c>
      <c r="AA1376" s="23">
        <v>0.25</v>
      </c>
      <c r="AB1376" s="23">
        <v>-0.72219999999999995</v>
      </c>
      <c r="AC1376" s="23">
        <v>52124.3</v>
      </c>
      <c r="AD1376" s="23">
        <v>0.72219999999999995</v>
      </c>
      <c r="AE1376" s="23">
        <v>80191.23</v>
      </c>
      <c r="AF1376" s="23">
        <v>72172.100000000006</v>
      </c>
      <c r="AG1376" s="23">
        <v>4454432.08</v>
      </c>
      <c r="AH1376" s="23">
        <v>25</v>
      </c>
      <c r="AI1376" s="23">
        <v>2084.9699999999998</v>
      </c>
      <c r="AJ1376" s="23">
        <v>-0.16669999999999999</v>
      </c>
      <c r="AK1376" s="23">
        <v>0.88890000000000002</v>
      </c>
      <c r="AL1376" s="23" t="s">
        <v>24</v>
      </c>
      <c r="AM1376" s="23">
        <v>47.45</v>
      </c>
      <c r="AN1376" s="23">
        <v>35190.15</v>
      </c>
      <c r="AO1376" s="23">
        <v>47.93</v>
      </c>
      <c r="AP1376" s="23">
        <v>0</v>
      </c>
      <c r="AR1376" s="46"/>
      <c r="AS1376" s="44"/>
      <c r="AT1376" s="45"/>
      <c r="AU1376" s="2">
        <v>44559</v>
      </c>
      <c r="AV1376" s="52">
        <v>0.11458333333333333</v>
      </c>
      <c r="AW1376" s="2" t="s">
        <v>213</v>
      </c>
      <c r="AY1376" s="3"/>
      <c r="BA1376" s="3"/>
      <c r="BG1376" s="3"/>
      <c r="BH1376" s="3"/>
    </row>
    <row r="1377" spans="1:60">
      <c r="A1377" s="23" t="s">
        <v>22</v>
      </c>
      <c r="B1377" s="23" t="s">
        <v>25</v>
      </c>
      <c r="C1377" s="27">
        <v>44560.572916666664</v>
      </c>
      <c r="D1377" s="23">
        <v>46.75</v>
      </c>
      <c r="E1377" s="27">
        <v>44560.697916666664</v>
      </c>
      <c r="F1377" s="23">
        <v>47.5</v>
      </c>
      <c r="G1377" s="31">
        <v>1.6E-2</v>
      </c>
      <c r="H1377" s="23">
        <v>812.37</v>
      </c>
      <c r="I1377" s="31">
        <v>1.6E-2</v>
      </c>
      <c r="J1377" s="23">
        <v>1083.1610000000001</v>
      </c>
      <c r="K1377" s="23">
        <v>50637.78</v>
      </c>
      <c r="L1377" s="23">
        <v>128314.85</v>
      </c>
      <c r="M1377" s="23">
        <v>9</v>
      </c>
      <c r="N1377" s="23">
        <v>90.26</v>
      </c>
      <c r="O1377" s="31">
        <v>-2.0999999999999999E-3</v>
      </c>
      <c r="P1377" s="31">
        <v>2.5700000000000001E-2</v>
      </c>
      <c r="Q1377" s="23" t="s">
        <v>24</v>
      </c>
      <c r="R1377" s="23">
        <v>0</v>
      </c>
      <c r="S1377" s="23">
        <v>46.11</v>
      </c>
      <c r="U1377" s="47">
        <f>VLOOKUP(AU1377,[1]expiry_dates!$B$2:$C$2894,2,FALSE)</f>
        <v>44560</v>
      </c>
      <c r="V1377" s="23" t="s">
        <v>105</v>
      </c>
      <c r="W1377" s="23" t="s">
        <v>23</v>
      </c>
      <c r="X1377" s="49">
        <v>44560.572916666664</v>
      </c>
      <c r="Y1377" s="23">
        <v>0.4</v>
      </c>
      <c r="Z1377" s="23">
        <v>44560.697916666664</v>
      </c>
      <c r="AA1377" s="23">
        <v>0.05</v>
      </c>
      <c r="AB1377" s="23">
        <v>-0.875</v>
      </c>
      <c r="AC1377" s="23">
        <v>63255.68</v>
      </c>
      <c r="AD1377" s="23">
        <v>0.875</v>
      </c>
      <c r="AE1377" s="23">
        <v>180730.5</v>
      </c>
      <c r="AF1377" s="23">
        <v>72292.210000000006</v>
      </c>
      <c r="AG1377" s="23">
        <v>4517687.76</v>
      </c>
      <c r="AH1377" s="23">
        <v>9</v>
      </c>
      <c r="AI1377" s="23">
        <v>7028.41</v>
      </c>
      <c r="AJ1377" s="23">
        <v>-0.25</v>
      </c>
      <c r="AK1377" s="23">
        <v>0.875</v>
      </c>
      <c r="AL1377" s="23" t="s">
        <v>24</v>
      </c>
      <c r="AM1377" s="23">
        <v>46.75</v>
      </c>
      <c r="AN1377" s="23">
        <v>35132.449999999997</v>
      </c>
      <c r="AO1377" s="23">
        <v>46.11</v>
      </c>
      <c r="AP1377" s="23">
        <v>0</v>
      </c>
      <c r="AR1377" s="46"/>
      <c r="AS1377" s="44"/>
      <c r="AT1377" s="45"/>
      <c r="AU1377" s="2">
        <v>44560</v>
      </c>
      <c r="AV1377" s="52">
        <v>7.2916666666666671E-2</v>
      </c>
      <c r="AW1377" s="2" t="s">
        <v>213</v>
      </c>
      <c r="AY1377" s="3"/>
      <c r="BA1377" s="3"/>
      <c r="BG1377" s="3"/>
      <c r="BH1377" s="3"/>
    </row>
    <row r="1378" spans="1:60">
      <c r="A1378" s="23" t="s">
        <v>22</v>
      </c>
      <c r="B1378" s="23" t="s">
        <v>25</v>
      </c>
      <c r="C1378" s="27">
        <v>44561.385416666664</v>
      </c>
      <c r="D1378" s="23">
        <v>47.65</v>
      </c>
      <c r="E1378" s="27">
        <v>44561.614583333336</v>
      </c>
      <c r="F1378" s="23">
        <v>48.45</v>
      </c>
      <c r="G1378" s="31">
        <v>1.6799999999999999E-2</v>
      </c>
      <c r="H1378" s="23">
        <v>850.23</v>
      </c>
      <c r="I1378" s="31">
        <v>1.6799999999999999E-2</v>
      </c>
      <c r="J1378" s="23">
        <v>1062.7819999999999</v>
      </c>
      <c r="K1378" s="23">
        <v>50641.57</v>
      </c>
      <c r="L1378" s="23">
        <v>129165.07</v>
      </c>
      <c r="M1378" s="23">
        <v>23</v>
      </c>
      <c r="N1378" s="23">
        <v>36.97</v>
      </c>
      <c r="O1378" s="31">
        <v>-8.3999999999999995E-3</v>
      </c>
      <c r="P1378" s="31">
        <v>3.5700000000000003E-2</v>
      </c>
      <c r="Q1378" s="23" t="s">
        <v>24</v>
      </c>
      <c r="R1378" s="23">
        <v>0</v>
      </c>
      <c r="S1378" s="23">
        <v>46.68</v>
      </c>
      <c r="U1378" s="47">
        <f>VLOOKUP(AU1378,[1]expiry_dates!$B$2:$C$2894,2,FALSE)</f>
        <v>44588</v>
      </c>
      <c r="V1378" s="23" t="s">
        <v>108</v>
      </c>
      <c r="W1378" s="23" t="s">
        <v>23</v>
      </c>
      <c r="X1378" s="49">
        <v>44561.385416666664</v>
      </c>
      <c r="Y1378" s="23">
        <v>2.2999999999999998</v>
      </c>
      <c r="Z1378" s="23">
        <v>44561.614583333336</v>
      </c>
      <c r="AA1378" s="23">
        <v>1.6</v>
      </c>
      <c r="AB1378" s="23">
        <v>-0.30430000000000001</v>
      </c>
      <c r="AC1378" s="23">
        <v>22092.13</v>
      </c>
      <c r="AD1378" s="23">
        <v>0.30430000000000001</v>
      </c>
      <c r="AE1378" s="23">
        <v>31560.19</v>
      </c>
      <c r="AF1378" s="23">
        <v>72588.44</v>
      </c>
      <c r="AG1378" s="23">
        <v>4539779.9000000004</v>
      </c>
      <c r="AH1378" s="23">
        <v>23</v>
      </c>
      <c r="AI1378" s="23">
        <v>960.53</v>
      </c>
      <c r="AJ1378" s="23">
        <v>-4.3499999999999997E-2</v>
      </c>
      <c r="AK1378" s="23">
        <v>0.43480000000000002</v>
      </c>
      <c r="AL1378" s="23" t="s">
        <v>24</v>
      </c>
      <c r="AM1378" s="23">
        <v>47.65</v>
      </c>
      <c r="AN1378" s="23">
        <v>35370.400000000001</v>
      </c>
      <c r="AO1378" s="23">
        <v>46.68</v>
      </c>
      <c r="AP1378" s="23">
        <v>0</v>
      </c>
      <c r="AR1378" s="46"/>
      <c r="AS1378" s="44"/>
      <c r="AT1378" s="45"/>
      <c r="AU1378" s="2">
        <v>44561</v>
      </c>
      <c r="AV1378" s="52">
        <v>0.38541666666666669</v>
      </c>
      <c r="AW1378" s="2" t="s">
        <v>212</v>
      </c>
      <c r="AY1378" s="3"/>
      <c r="BA1378" s="3"/>
      <c r="BG1378" s="3"/>
      <c r="BH1378" s="3"/>
    </row>
    <row r="1379" spans="1:60">
      <c r="A1379" s="23" t="s">
        <v>22</v>
      </c>
      <c r="B1379" s="23" t="s">
        <v>23</v>
      </c>
      <c r="C1379" s="27">
        <v>44561.614583333336</v>
      </c>
      <c r="D1379" s="23">
        <v>48.45</v>
      </c>
      <c r="E1379" s="27">
        <v>44564.395833333336</v>
      </c>
      <c r="F1379" s="23">
        <v>48.85</v>
      </c>
      <c r="G1379" s="31">
        <v>8.3000000000000001E-3</v>
      </c>
      <c r="H1379" s="23">
        <v>-418.15</v>
      </c>
      <c r="I1379" s="31">
        <v>-8.3000000000000001E-3</v>
      </c>
      <c r="J1379" s="23">
        <v>1045.365</v>
      </c>
      <c r="K1379" s="23">
        <v>50647.95</v>
      </c>
      <c r="L1379" s="23">
        <v>128746.93</v>
      </c>
      <c r="M1379" s="23">
        <v>8</v>
      </c>
      <c r="N1379" s="23">
        <v>-52.27</v>
      </c>
      <c r="O1379" s="31">
        <v>-9.2999999999999992E-3</v>
      </c>
      <c r="P1379" s="31">
        <v>5.1999999999999998E-3</v>
      </c>
      <c r="Q1379" s="23" t="s">
        <v>24</v>
      </c>
      <c r="R1379" s="23">
        <v>0</v>
      </c>
      <c r="S1379" s="23">
        <v>49.33</v>
      </c>
      <c r="U1379" s="47">
        <f>VLOOKUP(AU1379,[1]expiry_dates!$B$2:$C$2894,2,FALSE)</f>
        <v>44588</v>
      </c>
      <c r="V1379" s="23" t="s">
        <v>106</v>
      </c>
      <c r="W1379" s="23" t="s">
        <v>23</v>
      </c>
      <c r="X1379" s="49">
        <v>44561.614583333336</v>
      </c>
      <c r="Y1379" s="23">
        <v>2.25</v>
      </c>
      <c r="Z1379" s="23">
        <v>44564.395833333336</v>
      </c>
      <c r="AA1379" s="23">
        <v>2.7</v>
      </c>
      <c r="AB1379" s="23">
        <v>0.2</v>
      </c>
      <c r="AC1379" s="23">
        <v>-14542.94</v>
      </c>
      <c r="AD1379" s="23">
        <v>-0.2</v>
      </c>
      <c r="AE1379" s="23">
        <v>32317.63</v>
      </c>
      <c r="AF1379" s="23">
        <v>72714.679999999993</v>
      </c>
      <c r="AG1379" s="23">
        <v>4525236.96</v>
      </c>
      <c r="AH1379" s="23">
        <v>8</v>
      </c>
      <c r="AI1379" s="23">
        <v>-1817.87</v>
      </c>
      <c r="AJ1379" s="23">
        <v>-0.2</v>
      </c>
      <c r="AK1379" s="23">
        <v>2.2200000000000001E-2</v>
      </c>
      <c r="AL1379" s="23" t="s">
        <v>24</v>
      </c>
      <c r="AM1379" s="23">
        <v>48.45</v>
      </c>
      <c r="AN1379" s="23">
        <v>35480.400000000001</v>
      </c>
      <c r="AO1379" s="23">
        <v>49.33</v>
      </c>
      <c r="AP1379" s="23">
        <v>0</v>
      </c>
      <c r="AR1379" s="46"/>
      <c r="AS1379" s="44"/>
      <c r="AT1379" s="45"/>
      <c r="AU1379" s="2">
        <v>44561</v>
      </c>
      <c r="AV1379" s="52">
        <v>0.11458333333333333</v>
      </c>
      <c r="AW1379" s="2" t="s">
        <v>213</v>
      </c>
      <c r="AY1379" s="3"/>
      <c r="BA1379" s="3"/>
      <c r="BG1379" s="3"/>
      <c r="BH1379" s="3"/>
    </row>
    <row r="1380" spans="1:60">
      <c r="A1380" s="23" t="s">
        <v>22</v>
      </c>
      <c r="B1380" s="23" t="s">
        <v>25</v>
      </c>
      <c r="C1380" s="27">
        <v>44564.395833333336</v>
      </c>
      <c r="D1380" s="23">
        <v>48.85</v>
      </c>
      <c r="E1380" s="27">
        <v>44565.395833333336</v>
      </c>
      <c r="F1380" s="23">
        <v>49.55</v>
      </c>
      <c r="G1380" s="31">
        <v>1.43E-2</v>
      </c>
      <c r="H1380" s="23">
        <v>725.74</v>
      </c>
      <c r="I1380" s="31">
        <v>1.43E-2</v>
      </c>
      <c r="J1380" s="23">
        <v>1036.7670000000001</v>
      </c>
      <c r="K1380" s="23">
        <v>50646.09</v>
      </c>
      <c r="L1380" s="23">
        <v>129472.66</v>
      </c>
      <c r="M1380" s="23">
        <v>29</v>
      </c>
      <c r="N1380" s="23">
        <v>25.03</v>
      </c>
      <c r="O1380" s="31">
        <v>-1.23E-2</v>
      </c>
      <c r="P1380" s="31">
        <v>2.5600000000000001E-2</v>
      </c>
      <c r="Q1380" s="23" t="s">
        <v>24</v>
      </c>
      <c r="R1380" s="23">
        <v>0</v>
      </c>
      <c r="S1380" s="23">
        <v>48.22</v>
      </c>
      <c r="U1380" s="47">
        <f>VLOOKUP(AU1380,[1]expiry_dates!$B$2:$C$2894,2,FALSE)</f>
        <v>44588</v>
      </c>
      <c r="V1380" s="23" t="s">
        <v>108</v>
      </c>
      <c r="W1380" s="23" t="s">
        <v>23</v>
      </c>
      <c r="X1380" s="49">
        <v>44564.395833333336</v>
      </c>
      <c r="Y1380" s="23">
        <v>1.45</v>
      </c>
      <c r="Z1380" s="23">
        <v>44565.395833333336</v>
      </c>
      <c r="AA1380" s="23">
        <v>1.1499999999999999</v>
      </c>
      <c r="AB1380" s="23">
        <v>-0.2069</v>
      </c>
      <c r="AC1380" s="23">
        <v>15039.48</v>
      </c>
      <c r="AD1380" s="23">
        <v>0.2069</v>
      </c>
      <c r="AE1380" s="23">
        <v>50131.6</v>
      </c>
      <c r="AF1380" s="23">
        <v>72690.820000000007</v>
      </c>
      <c r="AG1380" s="23">
        <v>4540276.4400000004</v>
      </c>
      <c r="AH1380" s="23">
        <v>29</v>
      </c>
      <c r="AI1380" s="23">
        <v>518.6</v>
      </c>
      <c r="AJ1380" s="23">
        <v>-0.1724</v>
      </c>
      <c r="AK1380" s="23">
        <v>0.37930000000000003</v>
      </c>
      <c r="AL1380" s="23" t="s">
        <v>24</v>
      </c>
      <c r="AM1380" s="23">
        <v>48.85</v>
      </c>
      <c r="AN1380" s="23">
        <v>35651.35</v>
      </c>
      <c r="AO1380" s="23">
        <v>48.22</v>
      </c>
      <c r="AP1380" s="23">
        <v>0</v>
      </c>
      <c r="AR1380" s="46"/>
      <c r="AS1380" s="44"/>
      <c r="AT1380" s="45"/>
      <c r="AU1380" s="2">
        <v>44564</v>
      </c>
      <c r="AV1380" s="52">
        <v>0.39583333333333331</v>
      </c>
      <c r="AW1380" s="2" t="s">
        <v>212</v>
      </c>
      <c r="AY1380" s="3"/>
      <c r="BA1380" s="3"/>
      <c r="BG1380" s="3"/>
      <c r="BH1380" s="3"/>
    </row>
    <row r="1381" spans="1:60">
      <c r="A1381" s="23" t="s">
        <v>22</v>
      </c>
      <c r="B1381" s="23" t="s">
        <v>23</v>
      </c>
      <c r="C1381" s="27">
        <v>44565.395833333336</v>
      </c>
      <c r="D1381" s="23">
        <v>49.55</v>
      </c>
      <c r="E1381" s="27">
        <v>44565.458333333336</v>
      </c>
      <c r="F1381" s="23">
        <v>49.4</v>
      </c>
      <c r="G1381" s="31">
        <v>-3.0000000000000001E-3</v>
      </c>
      <c r="H1381" s="23">
        <v>153.33000000000001</v>
      </c>
      <c r="I1381" s="31">
        <v>3.0000000000000001E-3</v>
      </c>
      <c r="J1381" s="23">
        <v>1022.173</v>
      </c>
      <c r="K1381" s="23">
        <v>50648.66</v>
      </c>
      <c r="L1381" s="23">
        <v>129625.99</v>
      </c>
      <c r="M1381" s="23">
        <v>7</v>
      </c>
      <c r="N1381" s="23">
        <v>21.9</v>
      </c>
      <c r="O1381" s="31">
        <v>-9.1000000000000004E-3</v>
      </c>
      <c r="P1381" s="31">
        <v>5.0000000000000001E-3</v>
      </c>
      <c r="Q1381" s="23" t="s">
        <v>24</v>
      </c>
      <c r="R1381" s="23">
        <v>0</v>
      </c>
      <c r="S1381" s="23">
        <v>50.09</v>
      </c>
      <c r="U1381" s="47">
        <f>VLOOKUP(AU1381,[1]expiry_dates!$B$2:$C$2894,2,FALSE)</f>
        <v>44588</v>
      </c>
      <c r="V1381" s="23" t="s">
        <v>121</v>
      </c>
      <c r="W1381" s="23" t="s">
        <v>23</v>
      </c>
      <c r="X1381" s="49">
        <v>44565.395833333336</v>
      </c>
      <c r="Y1381" s="23">
        <v>1.8</v>
      </c>
      <c r="Z1381" s="23">
        <v>44565.458333333336</v>
      </c>
      <c r="AA1381" s="23">
        <v>1.8</v>
      </c>
      <c r="AB1381" s="23">
        <v>0</v>
      </c>
      <c r="AC1381" s="23">
        <v>0</v>
      </c>
      <c r="AD1381" s="23">
        <v>0</v>
      </c>
      <c r="AE1381" s="23">
        <v>40417.51</v>
      </c>
      <c r="AF1381" s="23">
        <v>72751.520000000004</v>
      </c>
      <c r="AG1381" s="23">
        <v>4540276.4400000004</v>
      </c>
      <c r="AH1381" s="23">
        <v>7</v>
      </c>
      <c r="AI1381" s="23">
        <v>0</v>
      </c>
      <c r="AJ1381" s="23">
        <v>-0.1111</v>
      </c>
      <c r="AK1381" s="23">
        <v>8.3299999999999999E-2</v>
      </c>
      <c r="AL1381" s="23" t="s">
        <v>24</v>
      </c>
      <c r="AM1381" s="23">
        <v>49.55</v>
      </c>
      <c r="AN1381" s="23">
        <v>36557</v>
      </c>
      <c r="AO1381" s="23">
        <v>50.09</v>
      </c>
      <c r="AP1381" s="23">
        <v>0</v>
      </c>
      <c r="AR1381" s="46"/>
      <c r="AS1381" s="44"/>
      <c r="AT1381" s="45"/>
      <c r="AU1381" s="2">
        <v>44565</v>
      </c>
      <c r="AV1381" s="52">
        <v>0.39583333333333331</v>
      </c>
      <c r="AW1381" s="2" t="s">
        <v>212</v>
      </c>
      <c r="AY1381" s="3"/>
      <c r="BA1381" s="3"/>
      <c r="BG1381" s="3"/>
      <c r="BH1381" s="3"/>
    </row>
    <row r="1382" spans="1:60">
      <c r="A1382" s="23" t="s">
        <v>22</v>
      </c>
      <c r="B1382" s="23" t="s">
        <v>25</v>
      </c>
      <c r="C1382" s="27">
        <v>44565.458333333336</v>
      </c>
      <c r="D1382" s="23">
        <v>49.4</v>
      </c>
      <c r="E1382" s="27">
        <v>44565.46875</v>
      </c>
      <c r="F1382" s="23">
        <v>49.25</v>
      </c>
      <c r="G1382" s="31">
        <v>-3.0000000000000001E-3</v>
      </c>
      <c r="H1382" s="23">
        <v>-153.79</v>
      </c>
      <c r="I1382" s="31">
        <v>-3.0000000000000001E-3</v>
      </c>
      <c r="J1382" s="23">
        <v>1025.25</v>
      </c>
      <c r="K1382" s="23">
        <v>50647.360000000001</v>
      </c>
      <c r="L1382" s="23">
        <v>129472.2</v>
      </c>
      <c r="M1382" s="23">
        <v>2</v>
      </c>
      <c r="N1382" s="23">
        <v>-76.89</v>
      </c>
      <c r="O1382" s="31">
        <v>-3.0000000000000001E-3</v>
      </c>
      <c r="P1382" s="31">
        <v>1.01E-2</v>
      </c>
      <c r="Q1382" s="23" t="s">
        <v>24</v>
      </c>
      <c r="R1382" s="23">
        <v>0</v>
      </c>
      <c r="S1382" s="23">
        <v>49.32</v>
      </c>
      <c r="U1382" s="47">
        <f>VLOOKUP(AU1382,[1]expiry_dates!$B$2:$C$2894,2,FALSE)</f>
        <v>44588</v>
      </c>
      <c r="V1382" s="23" t="s">
        <v>122</v>
      </c>
      <c r="W1382" s="23" t="s">
        <v>23</v>
      </c>
      <c r="X1382" s="49">
        <v>44565.458333333336</v>
      </c>
      <c r="Y1382" s="23">
        <v>1.6</v>
      </c>
      <c r="Z1382" s="23">
        <v>44565.46875</v>
      </c>
      <c r="AA1382" s="23">
        <v>1.65</v>
      </c>
      <c r="AB1382" s="23">
        <v>3.1199999999999999E-2</v>
      </c>
      <c r="AC1382" s="23">
        <v>-2271.92</v>
      </c>
      <c r="AD1382" s="23">
        <v>-3.1199999999999999E-2</v>
      </c>
      <c r="AE1382" s="23">
        <v>45438.36</v>
      </c>
      <c r="AF1382" s="23">
        <v>72701.38</v>
      </c>
      <c r="AG1382" s="23">
        <v>4538004.5199999996</v>
      </c>
      <c r="AH1382" s="23">
        <v>2</v>
      </c>
      <c r="AI1382" s="23">
        <v>-1135.96</v>
      </c>
      <c r="AJ1382" s="23">
        <v>-3.1199999999999999E-2</v>
      </c>
      <c r="AK1382" s="23">
        <v>0.1875</v>
      </c>
      <c r="AL1382" s="23" t="s">
        <v>24</v>
      </c>
      <c r="AM1382" s="23">
        <v>49.4</v>
      </c>
      <c r="AN1382" s="23">
        <v>36718.449999999997</v>
      </c>
      <c r="AO1382" s="23">
        <v>49.32</v>
      </c>
      <c r="AP1382" s="23">
        <v>0</v>
      </c>
      <c r="AR1382" s="46"/>
      <c r="AS1382" s="44"/>
      <c r="AT1382" s="45"/>
      <c r="AU1382" s="2">
        <v>44565</v>
      </c>
      <c r="AV1382" s="52">
        <v>0.45833333333333331</v>
      </c>
      <c r="AW1382" s="2" t="s">
        <v>212</v>
      </c>
      <c r="AY1382" s="3"/>
      <c r="BA1382" s="3"/>
      <c r="BG1382" s="3"/>
      <c r="BH1382" s="3"/>
    </row>
    <row r="1383" spans="1:60">
      <c r="A1383" s="23" t="s">
        <v>22</v>
      </c>
      <c r="B1383" s="23" t="s">
        <v>23</v>
      </c>
      <c r="C1383" s="27">
        <v>44565.46875</v>
      </c>
      <c r="D1383" s="23">
        <v>49.25</v>
      </c>
      <c r="E1383" s="27">
        <v>44565.604166666664</v>
      </c>
      <c r="F1383" s="23">
        <v>49.25</v>
      </c>
      <c r="G1383" s="31">
        <v>0</v>
      </c>
      <c r="H1383" s="23">
        <v>0</v>
      </c>
      <c r="I1383" s="31">
        <v>0</v>
      </c>
      <c r="J1383" s="23">
        <v>1028.3879999999999</v>
      </c>
      <c r="K1383" s="23">
        <v>50648.13</v>
      </c>
      <c r="L1383" s="23">
        <v>129472.2</v>
      </c>
      <c r="M1383" s="23">
        <v>14</v>
      </c>
      <c r="N1383" s="23">
        <v>0</v>
      </c>
      <c r="O1383" s="31">
        <v>-5.1000000000000004E-3</v>
      </c>
      <c r="P1383" s="31">
        <v>1.32E-2</v>
      </c>
      <c r="Q1383" s="23" t="s">
        <v>24</v>
      </c>
      <c r="R1383" s="23">
        <v>0</v>
      </c>
      <c r="S1383" s="23">
        <v>49.87</v>
      </c>
      <c r="U1383" s="47">
        <f>VLOOKUP(AU1383,[1]expiry_dates!$B$2:$C$2894,2,FALSE)</f>
        <v>44588</v>
      </c>
      <c r="V1383" s="23" t="s">
        <v>123</v>
      </c>
      <c r="W1383" s="23" t="s">
        <v>23</v>
      </c>
      <c r="X1383" s="49">
        <v>44565.46875</v>
      </c>
      <c r="Y1383" s="23">
        <v>2.1</v>
      </c>
      <c r="Z1383" s="23">
        <v>44565.604166666664</v>
      </c>
      <c r="AA1383" s="23">
        <v>2.15</v>
      </c>
      <c r="AB1383" s="23">
        <v>2.3800000000000002E-2</v>
      </c>
      <c r="AC1383" s="23">
        <v>-1730.99</v>
      </c>
      <c r="AD1383" s="23">
        <v>-2.3800000000000002E-2</v>
      </c>
      <c r="AE1383" s="23">
        <v>34619.71</v>
      </c>
      <c r="AF1383" s="23">
        <v>72701.38</v>
      </c>
      <c r="AG1383" s="23">
        <v>4536273.54</v>
      </c>
      <c r="AH1383" s="23">
        <v>14</v>
      </c>
      <c r="AI1383" s="23">
        <v>-123.64</v>
      </c>
      <c r="AJ1383" s="23">
        <v>-7.1400000000000005E-2</v>
      </c>
      <c r="AK1383" s="23">
        <v>0.11899999999999999</v>
      </c>
      <c r="AL1383" s="23" t="s">
        <v>24</v>
      </c>
      <c r="AM1383" s="23">
        <v>49.25</v>
      </c>
      <c r="AN1383" s="23">
        <v>36703.550000000003</v>
      </c>
      <c r="AO1383" s="23">
        <v>49.87</v>
      </c>
      <c r="AP1383" s="23">
        <v>0</v>
      </c>
      <c r="AR1383" s="46"/>
      <c r="AS1383" s="44"/>
      <c r="AT1383" s="45"/>
      <c r="AU1383" s="2">
        <v>44565</v>
      </c>
      <c r="AV1383" s="52">
        <v>0.46875</v>
      </c>
      <c r="AW1383" s="2" t="s">
        <v>212</v>
      </c>
      <c r="AY1383" s="3"/>
      <c r="BA1383" s="3"/>
      <c r="BG1383" s="3"/>
      <c r="BH1383" s="3"/>
    </row>
    <row r="1384" spans="1:60">
      <c r="A1384" s="23" t="s">
        <v>22</v>
      </c>
      <c r="B1384" s="23" t="s">
        <v>25</v>
      </c>
      <c r="C1384" s="27">
        <v>44565.604166666664</v>
      </c>
      <c r="D1384" s="23">
        <v>49.25</v>
      </c>
      <c r="E1384" s="27">
        <v>44566.447916666664</v>
      </c>
      <c r="F1384" s="23">
        <v>49.2</v>
      </c>
      <c r="G1384" s="31">
        <v>-1E-3</v>
      </c>
      <c r="H1384" s="23">
        <v>-51.42</v>
      </c>
      <c r="I1384" s="31">
        <v>-1E-3</v>
      </c>
      <c r="J1384" s="23">
        <v>1028.383</v>
      </c>
      <c r="K1384" s="23">
        <v>50647.88</v>
      </c>
      <c r="L1384" s="23">
        <v>129420.78</v>
      </c>
      <c r="M1384" s="23">
        <v>14</v>
      </c>
      <c r="N1384" s="23">
        <v>-3.67</v>
      </c>
      <c r="O1384" s="31">
        <v>-8.0999999999999996E-3</v>
      </c>
      <c r="P1384" s="31">
        <v>8.0999999999999996E-3</v>
      </c>
      <c r="Q1384" s="23" t="s">
        <v>24</v>
      </c>
      <c r="R1384" s="23">
        <v>0</v>
      </c>
      <c r="S1384" s="23">
        <v>48.6</v>
      </c>
      <c r="U1384" s="47">
        <f>VLOOKUP(AU1384,[1]expiry_dates!$B$2:$C$2894,2,FALSE)</f>
        <v>44588</v>
      </c>
      <c r="V1384" s="23" t="s">
        <v>122</v>
      </c>
      <c r="W1384" s="23" t="s">
        <v>23</v>
      </c>
      <c r="X1384" s="49">
        <v>44565.604166666664</v>
      </c>
      <c r="Y1384" s="23">
        <v>1.55</v>
      </c>
      <c r="Z1384" s="23">
        <v>44566.447916666664</v>
      </c>
      <c r="AA1384" s="23">
        <v>1.65</v>
      </c>
      <c r="AB1384" s="23">
        <v>6.4500000000000002E-2</v>
      </c>
      <c r="AC1384" s="23">
        <v>-4689.68</v>
      </c>
      <c r="AD1384" s="23">
        <v>-6.4500000000000002E-2</v>
      </c>
      <c r="AE1384" s="23">
        <v>46896.79</v>
      </c>
      <c r="AF1384" s="23">
        <v>72690.02</v>
      </c>
      <c r="AG1384" s="23">
        <v>4531583.8600000003</v>
      </c>
      <c r="AH1384" s="23">
        <v>14</v>
      </c>
      <c r="AI1384" s="23">
        <v>-334.98</v>
      </c>
      <c r="AJ1384" s="23">
        <v>-0.129</v>
      </c>
      <c r="AK1384" s="23">
        <v>9.6799999999999997E-2</v>
      </c>
      <c r="AL1384" s="23" t="s">
        <v>24</v>
      </c>
      <c r="AM1384" s="23">
        <v>49.25</v>
      </c>
      <c r="AN1384" s="23">
        <v>36823.949999999997</v>
      </c>
      <c r="AO1384" s="23">
        <v>48.6</v>
      </c>
      <c r="AP1384" s="23">
        <v>0</v>
      </c>
      <c r="AR1384" s="46"/>
      <c r="AS1384" s="44"/>
      <c r="AT1384" s="45"/>
      <c r="AU1384" s="2">
        <v>44565</v>
      </c>
      <c r="AV1384" s="52">
        <v>0.10416666666666667</v>
      </c>
      <c r="AW1384" s="2" t="s">
        <v>213</v>
      </c>
      <c r="AY1384" s="3"/>
      <c r="BA1384" s="3"/>
      <c r="BG1384" s="3"/>
      <c r="BH1384" s="3"/>
    </row>
    <row r="1385" spans="1:60">
      <c r="A1385" s="23" t="s">
        <v>22</v>
      </c>
      <c r="B1385" s="23" t="s">
        <v>23</v>
      </c>
      <c r="C1385" s="27">
        <v>44566.447916666664</v>
      </c>
      <c r="D1385" s="23">
        <v>49.2</v>
      </c>
      <c r="E1385" s="27">
        <v>44566.479166666664</v>
      </c>
      <c r="F1385" s="23">
        <v>49.45</v>
      </c>
      <c r="G1385" s="31">
        <v>5.1000000000000004E-3</v>
      </c>
      <c r="H1385" s="23">
        <v>-257.36</v>
      </c>
      <c r="I1385" s="31">
        <v>-5.1000000000000004E-3</v>
      </c>
      <c r="J1385" s="23">
        <v>1029.4280000000001</v>
      </c>
      <c r="K1385" s="23">
        <v>50647.88</v>
      </c>
      <c r="L1385" s="23">
        <v>129163.43</v>
      </c>
      <c r="M1385" s="23">
        <v>4</v>
      </c>
      <c r="N1385" s="23">
        <v>-64.34</v>
      </c>
      <c r="O1385" s="31">
        <v>-6.1000000000000004E-3</v>
      </c>
      <c r="P1385" s="31">
        <v>4.1000000000000003E-3</v>
      </c>
      <c r="Q1385" s="23" t="s">
        <v>24</v>
      </c>
      <c r="R1385" s="23">
        <v>0</v>
      </c>
      <c r="S1385" s="23">
        <v>49.65</v>
      </c>
      <c r="U1385" s="47">
        <f>VLOOKUP(AU1385,[1]expiry_dates!$B$2:$C$2894,2,FALSE)</f>
        <v>44588</v>
      </c>
      <c r="V1385" s="23" t="s">
        <v>123</v>
      </c>
      <c r="W1385" s="23" t="s">
        <v>23</v>
      </c>
      <c r="X1385" s="49">
        <v>44566.447916666664</v>
      </c>
      <c r="Y1385" s="23">
        <v>2.0499999999999998</v>
      </c>
      <c r="Z1385" s="23">
        <v>44566.479166666664</v>
      </c>
      <c r="AA1385" s="23">
        <v>2.2000000000000002</v>
      </c>
      <c r="AB1385" s="23">
        <v>7.3200000000000001E-2</v>
      </c>
      <c r="AC1385" s="23">
        <v>-5319.01</v>
      </c>
      <c r="AD1385" s="23">
        <v>-7.3200000000000001E-2</v>
      </c>
      <c r="AE1385" s="23">
        <v>35460.050000000003</v>
      </c>
      <c r="AF1385" s="23">
        <v>72693.09</v>
      </c>
      <c r="AG1385" s="23">
        <v>4526264.8499999996</v>
      </c>
      <c r="AH1385" s="23">
        <v>4</v>
      </c>
      <c r="AI1385" s="23">
        <v>-1329.75</v>
      </c>
      <c r="AJ1385" s="23">
        <v>-9.7600000000000006E-2</v>
      </c>
      <c r="AK1385" s="23">
        <v>2.4400000000000002E-2</v>
      </c>
      <c r="AL1385" s="23" t="s">
        <v>24</v>
      </c>
      <c r="AM1385" s="23">
        <v>49.2</v>
      </c>
      <c r="AN1385" s="23">
        <v>37358.800000000003</v>
      </c>
      <c r="AO1385" s="23">
        <v>49.65</v>
      </c>
      <c r="AP1385" s="23">
        <v>0</v>
      </c>
      <c r="AR1385" s="46"/>
      <c r="AS1385" s="44"/>
      <c r="AT1385" s="45"/>
      <c r="AU1385" s="2">
        <v>44566</v>
      </c>
      <c r="AV1385" s="52">
        <v>0.44791666666666669</v>
      </c>
      <c r="AW1385" s="2" t="s">
        <v>212</v>
      </c>
      <c r="AY1385" s="3"/>
      <c r="BA1385" s="3"/>
      <c r="BG1385" s="3"/>
      <c r="BH1385" s="3"/>
    </row>
    <row r="1386" spans="1:60">
      <c r="A1386" s="23" t="s">
        <v>22</v>
      </c>
      <c r="B1386" s="23" t="s">
        <v>25</v>
      </c>
      <c r="C1386" s="27">
        <v>44566.479166666664</v>
      </c>
      <c r="D1386" s="23">
        <v>49.45</v>
      </c>
      <c r="E1386" s="27">
        <v>44566.625</v>
      </c>
      <c r="F1386" s="23">
        <v>49.8</v>
      </c>
      <c r="G1386" s="31">
        <v>7.1000000000000004E-3</v>
      </c>
      <c r="H1386" s="23">
        <v>358.46</v>
      </c>
      <c r="I1386" s="31">
        <v>7.1000000000000004E-3</v>
      </c>
      <c r="J1386" s="23">
        <v>1024.1769999999999</v>
      </c>
      <c r="K1386" s="23">
        <v>50645.56</v>
      </c>
      <c r="L1386" s="23">
        <v>129521.89</v>
      </c>
      <c r="M1386" s="23">
        <v>15</v>
      </c>
      <c r="N1386" s="23">
        <v>23.9</v>
      </c>
      <c r="O1386" s="31">
        <v>-1E-3</v>
      </c>
      <c r="P1386" s="31">
        <v>1.8200000000000001E-2</v>
      </c>
      <c r="Q1386" s="23" t="s">
        <v>24</v>
      </c>
      <c r="R1386" s="23">
        <v>0</v>
      </c>
      <c r="S1386" s="23">
        <v>49.02</v>
      </c>
      <c r="U1386" s="47">
        <f>VLOOKUP(AU1386,[1]expiry_dates!$B$2:$C$2894,2,FALSE)</f>
        <v>44588</v>
      </c>
      <c r="V1386" s="23" t="s">
        <v>108</v>
      </c>
      <c r="W1386" s="23" t="s">
        <v>23</v>
      </c>
      <c r="X1386" s="49">
        <v>44566.479166666664</v>
      </c>
      <c r="Y1386" s="23">
        <v>1.1000000000000001</v>
      </c>
      <c r="Z1386" s="23">
        <v>44566.625</v>
      </c>
      <c r="AA1386" s="23">
        <v>0.95</v>
      </c>
      <c r="AB1386" s="23">
        <v>-0.13639999999999999</v>
      </c>
      <c r="AC1386" s="23">
        <v>9903.06</v>
      </c>
      <c r="AD1386" s="23">
        <v>0.13639999999999999</v>
      </c>
      <c r="AE1386" s="23">
        <v>66020.41</v>
      </c>
      <c r="AF1386" s="23">
        <v>72622.460000000006</v>
      </c>
      <c r="AG1386" s="23">
        <v>4536167.91</v>
      </c>
      <c r="AH1386" s="23">
        <v>15</v>
      </c>
      <c r="AI1386" s="23">
        <v>660.2</v>
      </c>
      <c r="AJ1386" s="23">
        <v>0</v>
      </c>
      <c r="AK1386" s="23">
        <v>0.2727</v>
      </c>
      <c r="AL1386" s="23" t="s">
        <v>24</v>
      </c>
      <c r="AM1386" s="23">
        <v>49.45</v>
      </c>
      <c r="AN1386" s="23">
        <v>37496.199999999997</v>
      </c>
      <c r="AO1386" s="23">
        <v>49.02</v>
      </c>
      <c r="AP1386" s="23">
        <v>0</v>
      </c>
      <c r="AR1386" s="46"/>
      <c r="AS1386" s="44"/>
      <c r="AT1386" s="45"/>
      <c r="AU1386" s="2">
        <v>44566</v>
      </c>
      <c r="AV1386" s="52">
        <v>0.47916666666666669</v>
      </c>
      <c r="AW1386" s="2" t="s">
        <v>212</v>
      </c>
      <c r="AY1386" s="3"/>
      <c r="BA1386" s="3"/>
      <c r="BG1386" s="3"/>
      <c r="BH1386" s="3"/>
    </row>
    <row r="1387" spans="1:60">
      <c r="A1387" s="23" t="s">
        <v>22</v>
      </c>
      <c r="B1387" s="23" t="s">
        <v>23</v>
      </c>
      <c r="C1387" s="27">
        <v>44566.625</v>
      </c>
      <c r="D1387" s="23">
        <v>49.8</v>
      </c>
      <c r="E1387" s="27">
        <v>44567.479166666664</v>
      </c>
      <c r="F1387" s="23">
        <v>49.45</v>
      </c>
      <c r="G1387" s="31">
        <v>-7.0000000000000001E-3</v>
      </c>
      <c r="H1387" s="23">
        <v>355.95</v>
      </c>
      <c r="I1387" s="31">
        <v>7.0000000000000001E-3</v>
      </c>
      <c r="J1387" s="23">
        <v>1017.01</v>
      </c>
      <c r="K1387" s="23">
        <v>50647.1</v>
      </c>
      <c r="L1387" s="23">
        <v>129877.84</v>
      </c>
      <c r="M1387" s="23">
        <v>15</v>
      </c>
      <c r="N1387" s="23">
        <v>23.73</v>
      </c>
      <c r="O1387" s="31">
        <v>-4.0000000000000001E-3</v>
      </c>
      <c r="P1387" s="31">
        <v>2.2100000000000002E-2</v>
      </c>
      <c r="Q1387" s="23" t="s">
        <v>24</v>
      </c>
      <c r="R1387" s="23">
        <v>0</v>
      </c>
      <c r="S1387" s="23">
        <v>50.32</v>
      </c>
      <c r="U1387" s="47">
        <f>VLOOKUP(AU1387,[1]expiry_dates!$B$2:$C$2894,2,FALSE)</f>
        <v>44588</v>
      </c>
      <c r="V1387" s="23" t="s">
        <v>121</v>
      </c>
      <c r="W1387" s="23" t="s">
        <v>23</v>
      </c>
      <c r="X1387" s="49">
        <v>44566.625</v>
      </c>
      <c r="Y1387" s="23">
        <v>1.8</v>
      </c>
      <c r="Z1387" s="23">
        <v>44567.479166666664</v>
      </c>
      <c r="AA1387" s="23">
        <v>1.6</v>
      </c>
      <c r="AB1387" s="23">
        <v>-0.1111</v>
      </c>
      <c r="AC1387" s="23">
        <v>8073.81</v>
      </c>
      <c r="AD1387" s="23">
        <v>0.1111</v>
      </c>
      <c r="AE1387" s="23">
        <v>40369.07</v>
      </c>
      <c r="AF1387" s="23">
        <v>72664.33</v>
      </c>
      <c r="AG1387" s="23">
        <v>4544241.7300000004</v>
      </c>
      <c r="AH1387" s="23">
        <v>15</v>
      </c>
      <c r="AI1387" s="23">
        <v>538.25</v>
      </c>
      <c r="AJ1387" s="23">
        <v>-2.7799999999999998E-2</v>
      </c>
      <c r="AK1387" s="23">
        <v>0.27779999999999999</v>
      </c>
      <c r="AL1387" s="23" t="s">
        <v>24</v>
      </c>
      <c r="AM1387" s="23">
        <v>49.8</v>
      </c>
      <c r="AN1387" s="23">
        <v>37721.15</v>
      </c>
      <c r="AO1387" s="23">
        <v>50.32</v>
      </c>
      <c r="AP1387" s="23">
        <v>0</v>
      </c>
      <c r="AR1387" s="46"/>
      <c r="AS1387" s="44"/>
      <c r="AT1387" s="45"/>
      <c r="AU1387" s="2">
        <v>44566</v>
      </c>
      <c r="AV1387" s="52">
        <v>0.125</v>
      </c>
      <c r="AW1387" s="2" t="s">
        <v>213</v>
      </c>
      <c r="AY1387" s="3"/>
      <c r="BA1387" s="3"/>
      <c r="BG1387" s="3"/>
      <c r="BH1387" s="3"/>
    </row>
    <row r="1388" spans="1:60">
      <c r="A1388" s="23" t="s">
        <v>22</v>
      </c>
      <c r="B1388" s="23" t="s">
        <v>25</v>
      </c>
      <c r="C1388" s="27">
        <v>44567.479166666664</v>
      </c>
      <c r="D1388" s="23">
        <v>49.45</v>
      </c>
      <c r="E1388" s="27">
        <v>44568.447916666664</v>
      </c>
      <c r="F1388" s="23">
        <v>49.75</v>
      </c>
      <c r="G1388" s="31">
        <v>6.1000000000000004E-3</v>
      </c>
      <c r="H1388" s="23">
        <v>307.27</v>
      </c>
      <c r="I1388" s="31">
        <v>6.1000000000000004E-3</v>
      </c>
      <c r="J1388" s="23">
        <v>1024.2439999999999</v>
      </c>
      <c r="K1388" s="23">
        <v>50648.88</v>
      </c>
      <c r="L1388" s="23">
        <v>130185.11</v>
      </c>
      <c r="M1388" s="23">
        <v>26</v>
      </c>
      <c r="N1388" s="23">
        <v>11.82</v>
      </c>
      <c r="O1388" s="31">
        <v>-5.1000000000000004E-3</v>
      </c>
      <c r="P1388" s="31">
        <v>1.6199999999999999E-2</v>
      </c>
      <c r="Q1388" s="23" t="s">
        <v>24</v>
      </c>
      <c r="R1388" s="23">
        <v>0</v>
      </c>
      <c r="S1388" s="23">
        <v>48.74</v>
      </c>
      <c r="U1388" s="47">
        <f>VLOOKUP(AU1388,[1]expiry_dates!$B$2:$C$2894,2,FALSE)</f>
        <v>44588</v>
      </c>
      <c r="V1388" s="23" t="s">
        <v>108</v>
      </c>
      <c r="W1388" s="23" t="s">
        <v>23</v>
      </c>
      <c r="X1388" s="49">
        <v>44567.479166666664</v>
      </c>
      <c r="Y1388" s="23">
        <v>1.05</v>
      </c>
      <c r="Z1388" s="23">
        <v>44568.447916666664</v>
      </c>
      <c r="AA1388" s="23">
        <v>0.95</v>
      </c>
      <c r="AB1388" s="23">
        <v>-9.5200000000000007E-2</v>
      </c>
      <c r="AC1388" s="23">
        <v>6923.91</v>
      </c>
      <c r="AD1388" s="23">
        <v>9.5200000000000007E-2</v>
      </c>
      <c r="AE1388" s="23">
        <v>69239.070000000007</v>
      </c>
      <c r="AF1388" s="23">
        <v>72701.02</v>
      </c>
      <c r="AG1388" s="23">
        <v>4551165.6399999997</v>
      </c>
      <c r="AH1388" s="23">
        <v>26</v>
      </c>
      <c r="AI1388" s="23">
        <v>266.3</v>
      </c>
      <c r="AJ1388" s="23">
        <v>-0.1429</v>
      </c>
      <c r="AK1388" s="23">
        <v>0.23810000000000001</v>
      </c>
      <c r="AL1388" s="23" t="s">
        <v>24</v>
      </c>
      <c r="AM1388" s="23">
        <v>49.45</v>
      </c>
      <c r="AN1388" s="23">
        <v>37312</v>
      </c>
      <c r="AO1388" s="23">
        <v>48.74</v>
      </c>
      <c r="AP1388" s="23">
        <v>0</v>
      </c>
      <c r="AR1388" s="46"/>
      <c r="AS1388" s="44"/>
      <c r="AT1388" s="45"/>
      <c r="AU1388" s="2">
        <v>44567</v>
      </c>
      <c r="AV1388" s="52">
        <v>0.47916666666666669</v>
      </c>
      <c r="AW1388" s="2" t="s">
        <v>212</v>
      </c>
      <c r="AY1388" s="3"/>
      <c r="BA1388" s="3"/>
      <c r="BG1388" s="3"/>
      <c r="BH1388" s="3"/>
    </row>
    <row r="1389" spans="1:60">
      <c r="A1389" s="23" t="s">
        <v>22</v>
      </c>
      <c r="B1389" s="23" t="s">
        <v>23</v>
      </c>
      <c r="C1389" s="27">
        <v>44568.447916666664</v>
      </c>
      <c r="D1389" s="23">
        <v>49.75</v>
      </c>
      <c r="E1389" s="27">
        <v>44571.385416666664</v>
      </c>
      <c r="F1389" s="23">
        <v>49.45</v>
      </c>
      <c r="G1389" s="31">
        <v>-6.0000000000000001E-3</v>
      </c>
      <c r="H1389" s="23">
        <v>305.44</v>
      </c>
      <c r="I1389" s="31">
        <v>6.0000000000000001E-3</v>
      </c>
      <c r="J1389" s="23">
        <v>1018.119</v>
      </c>
      <c r="K1389" s="23">
        <v>50651.44</v>
      </c>
      <c r="L1389" s="23">
        <v>130490.55</v>
      </c>
      <c r="M1389" s="23">
        <v>23</v>
      </c>
      <c r="N1389" s="23">
        <v>13.28</v>
      </c>
      <c r="O1389" s="31">
        <v>-2E-3</v>
      </c>
      <c r="P1389" s="31">
        <v>1.5100000000000001E-2</v>
      </c>
      <c r="Q1389" s="23" t="s">
        <v>24</v>
      </c>
      <c r="R1389" s="23">
        <v>0</v>
      </c>
      <c r="S1389" s="23">
        <v>50.24</v>
      </c>
      <c r="U1389" s="47">
        <f>VLOOKUP(AU1389,[1]expiry_dates!$B$2:$C$2894,2,FALSE)</f>
        <v>44588</v>
      </c>
      <c r="V1389" s="23" t="s">
        <v>121</v>
      </c>
      <c r="W1389" s="23" t="s">
        <v>23</v>
      </c>
      <c r="X1389" s="49">
        <v>44568.447916666664</v>
      </c>
      <c r="Y1389" s="23">
        <v>1.8</v>
      </c>
      <c r="Z1389" s="23">
        <v>44571.385416666664</v>
      </c>
      <c r="AA1389" s="23">
        <v>1.6</v>
      </c>
      <c r="AB1389" s="23">
        <v>-0.1111</v>
      </c>
      <c r="AC1389" s="23">
        <v>8085.9</v>
      </c>
      <c r="AD1389" s="23">
        <v>0.1111</v>
      </c>
      <c r="AE1389" s="23">
        <v>40429.519999999997</v>
      </c>
      <c r="AF1389" s="23">
        <v>72773.14</v>
      </c>
      <c r="AG1389" s="23">
        <v>4559251.54</v>
      </c>
      <c r="AH1389" s="23">
        <v>23</v>
      </c>
      <c r="AI1389" s="23">
        <v>351.56</v>
      </c>
      <c r="AJ1389" s="23">
        <v>0</v>
      </c>
      <c r="AK1389" s="23">
        <v>0.22220000000000001</v>
      </c>
      <c r="AL1389" s="23" t="s">
        <v>24</v>
      </c>
      <c r="AM1389" s="23">
        <v>49.75</v>
      </c>
      <c r="AN1389" s="23">
        <v>38017.699999999997</v>
      </c>
      <c r="AO1389" s="23">
        <v>50.24</v>
      </c>
      <c r="AP1389" s="23">
        <v>0</v>
      </c>
      <c r="AR1389" s="46"/>
      <c r="AS1389" s="44"/>
      <c r="AT1389" s="45"/>
      <c r="AU1389" s="2">
        <v>44568</v>
      </c>
      <c r="AV1389" s="52">
        <v>0.44791666666666669</v>
      </c>
      <c r="AW1389" s="2" t="s">
        <v>212</v>
      </c>
      <c r="AY1389" s="3"/>
      <c r="BA1389" s="3"/>
      <c r="BG1389" s="3"/>
      <c r="BH1389" s="3"/>
    </row>
    <row r="1390" spans="1:60">
      <c r="A1390" s="23" t="s">
        <v>22</v>
      </c>
      <c r="B1390" s="23" t="s">
        <v>25</v>
      </c>
      <c r="C1390" s="27">
        <v>44571.385416666664</v>
      </c>
      <c r="D1390" s="23">
        <v>49.45</v>
      </c>
      <c r="E1390" s="27">
        <v>44571.46875</v>
      </c>
      <c r="F1390" s="23">
        <v>49.35</v>
      </c>
      <c r="G1390" s="31">
        <v>-2E-3</v>
      </c>
      <c r="H1390" s="23">
        <v>-102.43</v>
      </c>
      <c r="I1390" s="31">
        <v>-2E-3</v>
      </c>
      <c r="J1390" s="23">
        <v>1024.3219999999999</v>
      </c>
      <c r="K1390" s="23">
        <v>50652.71</v>
      </c>
      <c r="L1390" s="23">
        <v>130388.12</v>
      </c>
      <c r="M1390" s="23">
        <v>9</v>
      </c>
      <c r="N1390" s="23">
        <v>-11.38</v>
      </c>
      <c r="O1390" s="31">
        <v>-5.1000000000000004E-3</v>
      </c>
      <c r="P1390" s="31">
        <v>1.11E-2</v>
      </c>
      <c r="Q1390" s="23" t="s">
        <v>24</v>
      </c>
      <c r="R1390" s="23">
        <v>0</v>
      </c>
      <c r="S1390" s="23">
        <v>49.02</v>
      </c>
      <c r="U1390" s="47">
        <f>VLOOKUP(AU1390,[1]expiry_dates!$B$2:$C$2894,2,FALSE)</f>
        <v>44588</v>
      </c>
      <c r="V1390" s="23" t="s">
        <v>122</v>
      </c>
      <c r="W1390" s="23" t="s">
        <v>23</v>
      </c>
      <c r="X1390" s="49">
        <v>44571.385416666664</v>
      </c>
      <c r="Y1390" s="23">
        <v>1.3</v>
      </c>
      <c r="Z1390" s="23">
        <v>44571.46875</v>
      </c>
      <c r="AA1390" s="23">
        <v>1.35</v>
      </c>
      <c r="AB1390" s="23">
        <v>3.85E-2</v>
      </c>
      <c r="AC1390" s="23">
        <v>-2801.02</v>
      </c>
      <c r="AD1390" s="23">
        <v>-3.85E-2</v>
      </c>
      <c r="AE1390" s="23">
        <v>56020.45</v>
      </c>
      <c r="AF1390" s="23">
        <v>72826.58</v>
      </c>
      <c r="AG1390" s="23">
        <v>4556450.5199999996</v>
      </c>
      <c r="AH1390" s="23">
        <v>9</v>
      </c>
      <c r="AI1390" s="23">
        <v>-311.22000000000003</v>
      </c>
      <c r="AJ1390" s="23">
        <v>-7.6899999999999996E-2</v>
      </c>
      <c r="AK1390" s="23">
        <v>0.1154</v>
      </c>
      <c r="AL1390" s="23" t="s">
        <v>24</v>
      </c>
      <c r="AM1390" s="23">
        <v>49.45</v>
      </c>
      <c r="AN1390" s="23">
        <v>38006.35</v>
      </c>
      <c r="AO1390" s="23">
        <v>49.02</v>
      </c>
      <c r="AP1390" s="23">
        <v>0</v>
      </c>
      <c r="AR1390" s="46"/>
      <c r="AS1390" s="44"/>
      <c r="AT1390" s="45"/>
      <c r="AU1390" s="2">
        <v>44571</v>
      </c>
      <c r="AV1390" s="52">
        <v>0.38541666666666669</v>
      </c>
      <c r="AW1390" s="2" t="s">
        <v>212</v>
      </c>
      <c r="AY1390" s="3"/>
      <c r="BA1390" s="3"/>
      <c r="BG1390" s="3"/>
      <c r="BH1390" s="3"/>
    </row>
    <row r="1391" spans="1:60">
      <c r="A1391" s="23" t="s">
        <v>22</v>
      </c>
      <c r="B1391" s="23" t="s">
        <v>23</v>
      </c>
      <c r="C1391" s="27">
        <v>44571.46875</v>
      </c>
      <c r="D1391" s="23">
        <v>49.35</v>
      </c>
      <c r="E1391" s="27">
        <v>44571.520833333336</v>
      </c>
      <c r="F1391" s="23">
        <v>49.85</v>
      </c>
      <c r="G1391" s="31">
        <v>1.01E-2</v>
      </c>
      <c r="H1391" s="23">
        <v>-513.20000000000005</v>
      </c>
      <c r="I1391" s="31">
        <v>-1.01E-2</v>
      </c>
      <c r="J1391" s="23">
        <v>1026.3920000000001</v>
      </c>
      <c r="K1391" s="23">
        <v>50652.45</v>
      </c>
      <c r="L1391" s="23">
        <v>129874.92</v>
      </c>
      <c r="M1391" s="23">
        <v>6</v>
      </c>
      <c r="N1391" s="23">
        <v>-85.53</v>
      </c>
      <c r="O1391" s="31">
        <v>-1.01E-2</v>
      </c>
      <c r="P1391" s="31">
        <v>0</v>
      </c>
      <c r="Q1391" s="23" t="s">
        <v>24</v>
      </c>
      <c r="R1391" s="23">
        <v>0</v>
      </c>
      <c r="S1391" s="23">
        <v>50</v>
      </c>
      <c r="U1391" s="47">
        <f>VLOOKUP(AU1391,[1]expiry_dates!$B$2:$C$2894,2,FALSE)</f>
        <v>44588</v>
      </c>
      <c r="V1391" s="23" t="s">
        <v>123</v>
      </c>
      <c r="W1391" s="23" t="s">
        <v>23</v>
      </c>
      <c r="X1391" s="49">
        <v>44571.46875</v>
      </c>
      <c r="Y1391" s="23">
        <v>2</v>
      </c>
      <c r="Z1391" s="23">
        <v>44571.520833333336</v>
      </c>
      <c r="AA1391" s="23">
        <v>2.25</v>
      </c>
      <c r="AB1391" s="23">
        <v>0.125</v>
      </c>
      <c r="AC1391" s="23">
        <v>-9099.5300000000007</v>
      </c>
      <c r="AD1391" s="23">
        <v>-0.125</v>
      </c>
      <c r="AE1391" s="23">
        <v>36398.129999999997</v>
      </c>
      <c r="AF1391" s="23">
        <v>72796.259999999995</v>
      </c>
      <c r="AG1391" s="23">
        <v>4547350.99</v>
      </c>
      <c r="AH1391" s="23">
        <v>6</v>
      </c>
      <c r="AI1391" s="23">
        <v>-1516.59</v>
      </c>
      <c r="AJ1391" s="23">
        <v>-0.125</v>
      </c>
      <c r="AK1391" s="23">
        <v>0</v>
      </c>
      <c r="AL1391" s="23" t="s">
        <v>24</v>
      </c>
      <c r="AM1391" s="23">
        <v>49.35</v>
      </c>
      <c r="AN1391" s="23">
        <v>38059.1</v>
      </c>
      <c r="AO1391" s="23">
        <v>50</v>
      </c>
      <c r="AP1391" s="23">
        <v>0</v>
      </c>
      <c r="AR1391" s="46"/>
      <c r="AS1391" s="44"/>
      <c r="AT1391" s="45"/>
      <c r="AU1391" s="2">
        <v>44571</v>
      </c>
      <c r="AV1391" s="52">
        <v>0.46875</v>
      </c>
      <c r="AW1391" s="2" t="s">
        <v>212</v>
      </c>
      <c r="AY1391" s="3"/>
      <c r="BA1391" s="3"/>
      <c r="BG1391" s="3"/>
      <c r="BH1391" s="3"/>
    </row>
    <row r="1392" spans="1:60">
      <c r="A1392" s="23" t="s">
        <v>22</v>
      </c>
      <c r="B1392" s="23" t="s">
        <v>25</v>
      </c>
      <c r="C1392" s="27">
        <v>44571.520833333336</v>
      </c>
      <c r="D1392" s="23">
        <v>49.85</v>
      </c>
      <c r="E1392" s="27">
        <v>44571.625</v>
      </c>
      <c r="F1392" s="23">
        <v>49.85</v>
      </c>
      <c r="G1392" s="31">
        <v>0</v>
      </c>
      <c r="H1392" s="23">
        <v>0</v>
      </c>
      <c r="I1392" s="31">
        <v>0</v>
      </c>
      <c r="J1392" s="23">
        <v>1016.0359999999999</v>
      </c>
      <c r="K1392" s="23">
        <v>50649.38</v>
      </c>
      <c r="L1392" s="23">
        <v>129874.92</v>
      </c>
      <c r="M1392" s="23">
        <v>11</v>
      </c>
      <c r="N1392" s="23">
        <v>0</v>
      </c>
      <c r="O1392" s="31">
        <v>-7.0000000000000001E-3</v>
      </c>
      <c r="P1392" s="31">
        <v>8.0000000000000002E-3</v>
      </c>
      <c r="Q1392" s="23" t="s">
        <v>24</v>
      </c>
      <c r="R1392" s="23">
        <v>0</v>
      </c>
      <c r="S1392" s="23">
        <v>49.37</v>
      </c>
      <c r="U1392" s="47">
        <f>VLOOKUP(AU1392,[1]expiry_dates!$B$2:$C$2894,2,FALSE)</f>
        <v>44588</v>
      </c>
      <c r="V1392" s="23" t="s">
        <v>124</v>
      </c>
      <c r="W1392" s="23" t="s">
        <v>23</v>
      </c>
      <c r="X1392" s="49">
        <v>44571.520833333336</v>
      </c>
      <c r="Y1392" s="23">
        <v>1.6</v>
      </c>
      <c r="Z1392" s="23">
        <v>44571.625</v>
      </c>
      <c r="AA1392" s="23">
        <v>1.6</v>
      </c>
      <c r="AB1392" s="23">
        <v>0</v>
      </c>
      <c r="AC1392" s="23">
        <v>0</v>
      </c>
      <c r="AD1392" s="23">
        <v>0</v>
      </c>
      <c r="AE1392" s="23">
        <v>45466.16</v>
      </c>
      <c r="AF1392" s="23">
        <v>72745.86</v>
      </c>
      <c r="AG1392" s="23">
        <v>4547350.99</v>
      </c>
      <c r="AH1392" s="23">
        <v>11</v>
      </c>
      <c r="AI1392" s="23">
        <v>0</v>
      </c>
      <c r="AJ1392" s="23">
        <v>-0.125</v>
      </c>
      <c r="AK1392" s="23">
        <v>9.3700000000000006E-2</v>
      </c>
      <c r="AL1392" s="23" t="s">
        <v>24</v>
      </c>
      <c r="AM1392" s="23">
        <v>49.85</v>
      </c>
      <c r="AN1392" s="23">
        <v>38145.5</v>
      </c>
      <c r="AO1392" s="23">
        <v>49.37</v>
      </c>
      <c r="AP1392" s="23">
        <v>0</v>
      </c>
      <c r="AR1392" s="46"/>
      <c r="AS1392" s="44"/>
      <c r="AT1392" s="45"/>
      <c r="AU1392" s="2">
        <v>44571</v>
      </c>
      <c r="AV1392" s="52">
        <v>0.52083333333333337</v>
      </c>
      <c r="AW1392" s="2" t="s">
        <v>213</v>
      </c>
      <c r="AY1392" s="3"/>
      <c r="BA1392" s="3"/>
      <c r="BG1392" s="3"/>
      <c r="BH1392" s="3"/>
    </row>
    <row r="1393" spans="1:60">
      <c r="A1393" s="23" t="s">
        <v>22</v>
      </c>
      <c r="B1393" s="23" t="s">
        <v>23</v>
      </c>
      <c r="C1393" s="27">
        <v>44571.625</v>
      </c>
      <c r="D1393" s="23">
        <v>49.85</v>
      </c>
      <c r="E1393" s="27">
        <v>44572.385416666664</v>
      </c>
      <c r="F1393" s="23">
        <v>50.4</v>
      </c>
      <c r="G1393" s="31">
        <v>1.0999999999999999E-2</v>
      </c>
      <c r="H1393" s="23">
        <v>-558.80999999999995</v>
      </c>
      <c r="I1393" s="31">
        <v>-1.0999999999999999E-2</v>
      </c>
      <c r="J1393" s="23">
        <v>1016.02</v>
      </c>
      <c r="K1393" s="23">
        <v>50648.61</v>
      </c>
      <c r="L1393" s="23">
        <v>129316.11</v>
      </c>
      <c r="M1393" s="23">
        <v>6</v>
      </c>
      <c r="N1393" s="23">
        <v>-93.14</v>
      </c>
      <c r="O1393" s="31">
        <v>-1.0999999999999999E-2</v>
      </c>
      <c r="P1393" s="31">
        <v>5.0000000000000001E-3</v>
      </c>
      <c r="Q1393" s="23" t="s">
        <v>24</v>
      </c>
      <c r="R1393" s="23">
        <v>0</v>
      </c>
      <c r="S1393" s="23">
        <v>50.22</v>
      </c>
      <c r="U1393" s="47">
        <f>VLOOKUP(AU1393,[1]expiry_dates!$B$2:$C$2894,2,FALSE)</f>
        <v>44588</v>
      </c>
      <c r="V1393" s="23" t="s">
        <v>121</v>
      </c>
      <c r="W1393" s="23" t="s">
        <v>23</v>
      </c>
      <c r="X1393" s="49">
        <v>44571.625</v>
      </c>
      <c r="Y1393" s="23">
        <v>1.75</v>
      </c>
      <c r="Z1393" s="23">
        <v>44572.385416666664</v>
      </c>
      <c r="AA1393" s="23">
        <v>2.0499999999999998</v>
      </c>
      <c r="AB1393" s="23">
        <v>0.1714</v>
      </c>
      <c r="AC1393" s="23">
        <v>-12467.21</v>
      </c>
      <c r="AD1393" s="23">
        <v>-0.1714</v>
      </c>
      <c r="AE1393" s="23">
        <v>41557.360000000001</v>
      </c>
      <c r="AF1393" s="23">
        <v>72725.38</v>
      </c>
      <c r="AG1393" s="23">
        <v>4534883.78</v>
      </c>
      <c r="AH1393" s="23">
        <v>6</v>
      </c>
      <c r="AI1393" s="23">
        <v>-2077.87</v>
      </c>
      <c r="AJ1393" s="23">
        <v>-0.1714</v>
      </c>
      <c r="AK1393" s="23">
        <v>8.5699999999999998E-2</v>
      </c>
      <c r="AL1393" s="23" t="s">
        <v>24</v>
      </c>
      <c r="AM1393" s="23">
        <v>49.85</v>
      </c>
      <c r="AN1393" s="23">
        <v>38356.75</v>
      </c>
      <c r="AO1393" s="23">
        <v>50.22</v>
      </c>
      <c r="AP1393" s="23">
        <v>0</v>
      </c>
      <c r="AR1393" s="46"/>
      <c r="AS1393" s="44"/>
      <c r="AT1393" s="45"/>
      <c r="AU1393" s="2">
        <v>44571</v>
      </c>
      <c r="AV1393" s="52">
        <v>0.125</v>
      </c>
      <c r="AW1393" s="2" t="s">
        <v>213</v>
      </c>
      <c r="AY1393" s="3"/>
      <c r="BA1393" s="3"/>
      <c r="BG1393" s="3"/>
      <c r="BH1393" s="3"/>
    </row>
    <row r="1394" spans="1:60">
      <c r="A1394" s="23" t="s">
        <v>22</v>
      </c>
      <c r="B1394" s="23" t="s">
        <v>25</v>
      </c>
      <c r="C1394" s="27">
        <v>44572.385416666664</v>
      </c>
      <c r="D1394" s="23">
        <v>50.4</v>
      </c>
      <c r="E1394" s="27">
        <v>44572.395833333336</v>
      </c>
      <c r="F1394" s="23">
        <v>49.9</v>
      </c>
      <c r="G1394" s="31">
        <v>-9.9000000000000008E-3</v>
      </c>
      <c r="H1394" s="23">
        <v>-502.47</v>
      </c>
      <c r="I1394" s="31">
        <v>-9.9000000000000008E-3</v>
      </c>
      <c r="J1394" s="23">
        <v>1004.933</v>
      </c>
      <c r="K1394" s="23">
        <v>50648.61</v>
      </c>
      <c r="L1394" s="23">
        <v>128813.64</v>
      </c>
      <c r="M1394" s="23">
        <v>2</v>
      </c>
      <c r="N1394" s="23">
        <v>-251.23</v>
      </c>
      <c r="O1394" s="31">
        <v>-9.9000000000000008E-3</v>
      </c>
      <c r="P1394" s="31">
        <v>4.0000000000000001E-3</v>
      </c>
      <c r="Q1394" s="23" t="s">
        <v>24</v>
      </c>
      <c r="R1394" s="23">
        <v>0</v>
      </c>
      <c r="S1394" s="23">
        <v>49.64</v>
      </c>
      <c r="U1394" s="47">
        <f>VLOOKUP(AU1394,[1]expiry_dates!$B$2:$C$2894,2,FALSE)</f>
        <v>44588</v>
      </c>
      <c r="V1394" s="23" t="s">
        <v>124</v>
      </c>
      <c r="W1394" s="23" t="s">
        <v>23</v>
      </c>
      <c r="X1394" s="49">
        <v>44572.385416666664</v>
      </c>
      <c r="Y1394" s="23">
        <v>1.45</v>
      </c>
      <c r="Z1394" s="23">
        <v>44572.395833333336</v>
      </c>
      <c r="AA1394" s="23">
        <v>1.7</v>
      </c>
      <c r="AB1394" s="23">
        <v>0.1724</v>
      </c>
      <c r="AC1394" s="23">
        <v>-12540.82</v>
      </c>
      <c r="AD1394" s="23">
        <v>-0.1724</v>
      </c>
      <c r="AE1394" s="23">
        <v>50163.28</v>
      </c>
      <c r="AF1394" s="23">
        <v>72736.759999999995</v>
      </c>
      <c r="AG1394" s="23">
        <v>4522342.96</v>
      </c>
      <c r="AH1394" s="23">
        <v>2</v>
      </c>
      <c r="AI1394" s="23">
        <v>-6270.41</v>
      </c>
      <c r="AJ1394" s="23">
        <v>-0.1724</v>
      </c>
      <c r="AK1394" s="23">
        <v>0.10340000000000001</v>
      </c>
      <c r="AL1394" s="23" t="s">
        <v>24</v>
      </c>
      <c r="AM1394" s="23">
        <v>50.4</v>
      </c>
      <c r="AN1394" s="23">
        <v>38313.199999999997</v>
      </c>
      <c r="AO1394" s="23">
        <v>49.64</v>
      </c>
      <c r="AP1394" s="23">
        <v>0</v>
      </c>
      <c r="AR1394" s="46"/>
      <c r="AS1394" s="44"/>
      <c r="AT1394" s="45"/>
      <c r="AU1394" s="2">
        <v>44572</v>
      </c>
      <c r="AV1394" s="52">
        <v>0.38541666666666669</v>
      </c>
      <c r="AW1394" s="2" t="s">
        <v>212</v>
      </c>
      <c r="AY1394" s="3"/>
      <c r="BA1394" s="3"/>
      <c r="BG1394" s="3"/>
      <c r="BH1394" s="3"/>
    </row>
    <row r="1395" spans="1:60">
      <c r="A1395" s="23" t="s">
        <v>22</v>
      </c>
      <c r="B1395" s="23" t="s">
        <v>23</v>
      </c>
      <c r="C1395" s="27">
        <v>44572.395833333336</v>
      </c>
      <c r="D1395" s="23">
        <v>49.9</v>
      </c>
      <c r="E1395" s="27">
        <v>44573.385416666664</v>
      </c>
      <c r="F1395" s="23">
        <v>49.65</v>
      </c>
      <c r="G1395" s="31">
        <v>-5.0000000000000001E-3</v>
      </c>
      <c r="H1395" s="23">
        <v>253.74</v>
      </c>
      <c r="I1395" s="31">
        <v>5.0000000000000001E-3</v>
      </c>
      <c r="J1395" s="23">
        <v>1014.961</v>
      </c>
      <c r="K1395" s="23">
        <v>50646.58</v>
      </c>
      <c r="L1395" s="23">
        <v>129067.39</v>
      </c>
      <c r="M1395" s="23">
        <v>28</v>
      </c>
      <c r="N1395" s="23">
        <v>9.06</v>
      </c>
      <c r="O1395" s="31">
        <v>-0.01</v>
      </c>
      <c r="P1395" s="31">
        <v>1.6E-2</v>
      </c>
      <c r="Q1395" s="23" t="s">
        <v>24</v>
      </c>
      <c r="R1395" s="23">
        <v>0</v>
      </c>
      <c r="S1395" s="23">
        <v>50.6</v>
      </c>
      <c r="U1395" s="47">
        <f>VLOOKUP(AU1395,[1]expiry_dates!$B$2:$C$2894,2,FALSE)</f>
        <v>44588</v>
      </c>
      <c r="V1395" s="23" t="s">
        <v>121</v>
      </c>
      <c r="W1395" s="23" t="s">
        <v>23</v>
      </c>
      <c r="X1395" s="49">
        <v>44572.395833333336</v>
      </c>
      <c r="Y1395" s="23">
        <v>1.7</v>
      </c>
      <c r="Z1395" s="23">
        <v>44573.385416666664</v>
      </c>
      <c r="AA1395" s="23">
        <v>1.65</v>
      </c>
      <c r="AB1395" s="23">
        <v>-2.9399999999999999E-2</v>
      </c>
      <c r="AC1395" s="23">
        <v>2137.48</v>
      </c>
      <c r="AD1395" s="23">
        <v>2.9399999999999999E-2</v>
      </c>
      <c r="AE1395" s="23">
        <v>42749.66</v>
      </c>
      <c r="AF1395" s="23">
        <v>72674.41</v>
      </c>
      <c r="AG1395" s="23">
        <v>4524480.4400000004</v>
      </c>
      <c r="AH1395" s="23">
        <v>28</v>
      </c>
      <c r="AI1395" s="23">
        <v>76.34</v>
      </c>
      <c r="AJ1395" s="23">
        <v>-0.2059</v>
      </c>
      <c r="AK1395" s="23">
        <v>0.17649999999999999</v>
      </c>
      <c r="AL1395" s="23" t="s">
        <v>24</v>
      </c>
      <c r="AM1395" s="23">
        <v>49.9</v>
      </c>
      <c r="AN1395" s="23">
        <v>38135.599999999999</v>
      </c>
      <c r="AO1395" s="23">
        <v>50.6</v>
      </c>
      <c r="AP1395" s="23">
        <v>0</v>
      </c>
      <c r="AR1395" s="46"/>
      <c r="AS1395" s="44"/>
      <c r="AT1395" s="45"/>
      <c r="AU1395" s="2">
        <v>44572</v>
      </c>
      <c r="AV1395" s="52">
        <v>0.39583333333333331</v>
      </c>
      <c r="AW1395" s="2" t="s">
        <v>212</v>
      </c>
      <c r="AY1395" s="3"/>
      <c r="BA1395" s="3"/>
      <c r="BG1395" s="3"/>
      <c r="BH1395" s="3"/>
    </row>
    <row r="1396" spans="1:60">
      <c r="A1396" s="23" t="s">
        <v>22</v>
      </c>
      <c r="B1396" s="23" t="s">
        <v>25</v>
      </c>
      <c r="C1396" s="27">
        <v>44573.385416666664</v>
      </c>
      <c r="D1396" s="23">
        <v>49.65</v>
      </c>
      <c r="E1396" s="27">
        <v>44573.458333333336</v>
      </c>
      <c r="F1396" s="23">
        <v>49.35</v>
      </c>
      <c r="G1396" s="31">
        <v>-6.0000000000000001E-3</v>
      </c>
      <c r="H1396" s="23">
        <v>-306.01</v>
      </c>
      <c r="I1396" s="31">
        <v>-6.0000000000000001E-3</v>
      </c>
      <c r="J1396" s="23">
        <v>1020.047</v>
      </c>
      <c r="K1396" s="23">
        <v>50645.34</v>
      </c>
      <c r="L1396" s="23">
        <v>128761.37</v>
      </c>
      <c r="M1396" s="23">
        <v>8</v>
      </c>
      <c r="N1396" s="23">
        <v>-38.25</v>
      </c>
      <c r="O1396" s="31">
        <v>-6.0000000000000001E-3</v>
      </c>
      <c r="P1396" s="31">
        <v>4.0000000000000001E-3</v>
      </c>
      <c r="Q1396" s="23" t="s">
        <v>24</v>
      </c>
      <c r="R1396" s="23">
        <v>0</v>
      </c>
      <c r="S1396" s="23">
        <v>49.13</v>
      </c>
      <c r="U1396" s="47">
        <f>VLOOKUP(AU1396,[1]expiry_dates!$B$2:$C$2894,2,FALSE)</f>
        <v>44588</v>
      </c>
      <c r="V1396" s="23" t="s">
        <v>124</v>
      </c>
      <c r="W1396" s="23" t="s">
        <v>23</v>
      </c>
      <c r="X1396" s="49">
        <v>44573.385416666664</v>
      </c>
      <c r="Y1396" s="23">
        <v>1.75</v>
      </c>
      <c r="Z1396" s="23">
        <v>44573.458333333336</v>
      </c>
      <c r="AA1396" s="23">
        <v>1.85</v>
      </c>
      <c r="AB1396" s="23">
        <v>5.7099999999999998E-2</v>
      </c>
      <c r="AC1396" s="23">
        <v>-4151.68</v>
      </c>
      <c r="AD1396" s="23">
        <v>-5.7099999999999998E-2</v>
      </c>
      <c r="AE1396" s="23">
        <v>41516.839999999997</v>
      </c>
      <c r="AF1396" s="23">
        <v>72654.460000000006</v>
      </c>
      <c r="AG1396" s="23">
        <v>4520328.76</v>
      </c>
      <c r="AH1396" s="23">
        <v>8</v>
      </c>
      <c r="AI1396" s="23">
        <v>-518.96</v>
      </c>
      <c r="AJ1396" s="23">
        <v>-8.5699999999999998E-2</v>
      </c>
      <c r="AK1396" s="23">
        <v>5.7099999999999998E-2</v>
      </c>
      <c r="AL1396" s="23" t="s">
        <v>24</v>
      </c>
      <c r="AM1396" s="23">
        <v>49.65</v>
      </c>
      <c r="AN1396" s="23">
        <v>38667</v>
      </c>
      <c r="AO1396" s="23">
        <v>49.13</v>
      </c>
      <c r="AP1396" s="23">
        <v>0</v>
      </c>
      <c r="AR1396" s="46"/>
      <c r="AS1396" s="44"/>
      <c r="AT1396" s="45"/>
      <c r="AU1396" s="2">
        <v>44573</v>
      </c>
      <c r="AV1396" s="52">
        <v>0.38541666666666669</v>
      </c>
      <c r="AW1396" s="2" t="s">
        <v>212</v>
      </c>
      <c r="AY1396" s="3"/>
      <c r="BA1396" s="3"/>
      <c r="BG1396" s="3"/>
      <c r="BH1396" s="3"/>
    </row>
    <row r="1397" spans="1:60">
      <c r="A1397" s="23" t="s">
        <v>22</v>
      </c>
      <c r="B1397" s="23" t="s">
        <v>23</v>
      </c>
      <c r="C1397" s="27">
        <v>44573.458333333336</v>
      </c>
      <c r="D1397" s="23">
        <v>49.35</v>
      </c>
      <c r="E1397" s="27">
        <v>44573.59375</v>
      </c>
      <c r="F1397" s="23">
        <v>49.5</v>
      </c>
      <c r="G1397" s="31">
        <v>3.0000000000000001E-3</v>
      </c>
      <c r="H1397" s="23">
        <v>-153.93</v>
      </c>
      <c r="I1397" s="31">
        <v>-3.0000000000000001E-3</v>
      </c>
      <c r="J1397" s="23">
        <v>1026.2329999999999</v>
      </c>
      <c r="K1397" s="23">
        <v>50644.57</v>
      </c>
      <c r="L1397" s="23">
        <v>128607.44</v>
      </c>
      <c r="M1397" s="23">
        <v>14</v>
      </c>
      <c r="N1397" s="23">
        <v>-11</v>
      </c>
      <c r="O1397" s="31">
        <v>-4.1000000000000003E-3</v>
      </c>
      <c r="P1397" s="31">
        <v>4.1000000000000003E-3</v>
      </c>
      <c r="Q1397" s="23" t="s">
        <v>24</v>
      </c>
      <c r="R1397" s="23">
        <v>0</v>
      </c>
      <c r="S1397" s="23">
        <v>49.85</v>
      </c>
      <c r="U1397" s="47">
        <f>VLOOKUP(AU1397,[1]expiry_dates!$B$2:$C$2894,2,FALSE)</f>
        <v>44588</v>
      </c>
      <c r="V1397" s="23" t="s">
        <v>123</v>
      </c>
      <c r="W1397" s="23" t="s">
        <v>23</v>
      </c>
      <c r="X1397" s="49">
        <v>44573.458333333336</v>
      </c>
      <c r="Y1397" s="23">
        <v>1.95</v>
      </c>
      <c r="Z1397" s="23">
        <v>44573.59375</v>
      </c>
      <c r="AA1397" s="23">
        <v>2</v>
      </c>
      <c r="AB1397" s="23">
        <v>2.5600000000000001E-2</v>
      </c>
      <c r="AC1397" s="23">
        <v>-1861.85</v>
      </c>
      <c r="AD1397" s="23">
        <v>-2.5600000000000001E-2</v>
      </c>
      <c r="AE1397" s="23">
        <v>37236.93</v>
      </c>
      <c r="AF1397" s="23">
        <v>72612.02</v>
      </c>
      <c r="AG1397" s="23">
        <v>4518466.91</v>
      </c>
      <c r="AH1397" s="23">
        <v>14</v>
      </c>
      <c r="AI1397" s="23">
        <v>-132.99</v>
      </c>
      <c r="AJ1397" s="23">
        <v>-2.5600000000000001E-2</v>
      </c>
      <c r="AK1397" s="23">
        <v>7.6899999999999996E-2</v>
      </c>
      <c r="AL1397" s="23" t="s">
        <v>24</v>
      </c>
      <c r="AM1397" s="23">
        <v>49.35</v>
      </c>
      <c r="AN1397" s="23">
        <v>38766.449999999997</v>
      </c>
      <c r="AO1397" s="23">
        <v>49.85</v>
      </c>
      <c r="AP1397" s="23">
        <v>0</v>
      </c>
      <c r="AR1397" s="46"/>
      <c r="AS1397" s="44"/>
      <c r="AT1397" s="45"/>
      <c r="AU1397" s="2">
        <v>44573</v>
      </c>
      <c r="AV1397" s="52">
        <v>0.45833333333333331</v>
      </c>
      <c r="AW1397" s="2" t="s">
        <v>212</v>
      </c>
      <c r="AY1397" s="3"/>
      <c r="BA1397" s="3"/>
      <c r="BG1397" s="3"/>
      <c r="BH1397" s="3"/>
    </row>
    <row r="1398" spans="1:60">
      <c r="A1398" s="23" t="s">
        <v>22</v>
      </c>
      <c r="B1398" s="23" t="s">
        <v>25</v>
      </c>
      <c r="C1398" s="27">
        <v>44573.59375</v>
      </c>
      <c r="D1398" s="23">
        <v>49.5</v>
      </c>
      <c r="E1398" s="27">
        <v>44574.385416666664</v>
      </c>
      <c r="F1398" s="23">
        <v>49.2</v>
      </c>
      <c r="G1398" s="31">
        <v>-6.1000000000000004E-3</v>
      </c>
      <c r="H1398" s="23">
        <v>-306.93</v>
      </c>
      <c r="I1398" s="31">
        <v>-6.1000000000000004E-3</v>
      </c>
      <c r="J1398" s="23">
        <v>1023.112</v>
      </c>
      <c r="K1398" s="23">
        <v>50644.06</v>
      </c>
      <c r="L1398" s="23">
        <v>128300.5</v>
      </c>
      <c r="M1398" s="23">
        <v>9</v>
      </c>
      <c r="N1398" s="23">
        <v>-34.1</v>
      </c>
      <c r="O1398" s="31">
        <v>-6.1000000000000004E-3</v>
      </c>
      <c r="P1398" s="31">
        <v>5.1000000000000004E-3</v>
      </c>
      <c r="Q1398" s="23" t="s">
        <v>24</v>
      </c>
      <c r="R1398" s="23">
        <v>0</v>
      </c>
      <c r="S1398" s="23">
        <v>49.16</v>
      </c>
      <c r="U1398" s="47">
        <f>VLOOKUP(AU1398,[1]expiry_dates!$B$2:$C$2894,2,FALSE)</f>
        <v>44588</v>
      </c>
      <c r="V1398" s="23" t="s">
        <v>122</v>
      </c>
      <c r="W1398" s="23" t="s">
        <v>23</v>
      </c>
      <c r="X1398" s="49">
        <v>44573.59375</v>
      </c>
      <c r="Y1398" s="23">
        <v>1.25</v>
      </c>
      <c r="Z1398" s="23">
        <v>44574.385416666664</v>
      </c>
      <c r="AA1398" s="23">
        <v>1.4</v>
      </c>
      <c r="AB1398" s="23">
        <v>0.12</v>
      </c>
      <c r="AC1398" s="23">
        <v>-8714.43</v>
      </c>
      <c r="AD1398" s="23">
        <v>-0.12</v>
      </c>
      <c r="AE1398" s="23">
        <v>58096.21</v>
      </c>
      <c r="AF1398" s="23">
        <v>72620.27</v>
      </c>
      <c r="AG1398" s="23">
        <v>4509752.4800000004</v>
      </c>
      <c r="AH1398" s="23">
        <v>9</v>
      </c>
      <c r="AI1398" s="23">
        <v>-968.27</v>
      </c>
      <c r="AJ1398" s="23">
        <v>-0.12</v>
      </c>
      <c r="AK1398" s="23">
        <v>0.08</v>
      </c>
      <c r="AL1398" s="23" t="s">
        <v>24</v>
      </c>
      <c r="AM1398" s="23">
        <v>49.5</v>
      </c>
      <c r="AN1398" s="23">
        <v>38692.699999999997</v>
      </c>
      <c r="AO1398" s="23">
        <v>49.16</v>
      </c>
      <c r="AP1398" s="23">
        <v>0</v>
      </c>
      <c r="AR1398" s="46"/>
      <c r="AS1398" s="44"/>
      <c r="AT1398" s="45"/>
      <c r="AU1398" s="2">
        <v>44573</v>
      </c>
      <c r="AV1398" s="52">
        <v>9.375E-2</v>
      </c>
      <c r="AW1398" s="2" t="s">
        <v>213</v>
      </c>
      <c r="AY1398" s="3"/>
      <c r="BA1398" s="3"/>
      <c r="BG1398" s="3"/>
      <c r="BH1398" s="3"/>
    </row>
    <row r="1399" spans="1:60">
      <c r="A1399" s="23" t="s">
        <v>22</v>
      </c>
      <c r="B1399" s="23" t="s">
        <v>23</v>
      </c>
      <c r="C1399" s="27">
        <v>44574.385416666664</v>
      </c>
      <c r="D1399" s="23">
        <v>49.2</v>
      </c>
      <c r="E1399" s="27">
        <v>44574.458333333336</v>
      </c>
      <c r="F1399" s="23">
        <v>49.6</v>
      </c>
      <c r="G1399" s="31">
        <v>8.0999999999999996E-3</v>
      </c>
      <c r="H1399" s="23">
        <v>-411.73</v>
      </c>
      <c r="I1399" s="31">
        <v>-8.0999999999999996E-3</v>
      </c>
      <c r="J1399" s="23">
        <v>1029.33</v>
      </c>
      <c r="K1399" s="23">
        <v>50643.040000000001</v>
      </c>
      <c r="L1399" s="23">
        <v>127888.77</v>
      </c>
      <c r="M1399" s="23">
        <v>8</v>
      </c>
      <c r="N1399" s="23">
        <v>-51.47</v>
      </c>
      <c r="O1399" s="31">
        <v>-8.0999999999999996E-3</v>
      </c>
      <c r="P1399" s="31">
        <v>6.1000000000000004E-3</v>
      </c>
      <c r="Q1399" s="23" t="s">
        <v>24</v>
      </c>
      <c r="R1399" s="23">
        <v>0</v>
      </c>
      <c r="S1399" s="23">
        <v>49.73</v>
      </c>
      <c r="U1399" s="47">
        <f>VLOOKUP(AU1399,[1]expiry_dates!$B$2:$C$2894,2,FALSE)</f>
        <v>44588</v>
      </c>
      <c r="V1399" s="23" t="s">
        <v>123</v>
      </c>
      <c r="W1399" s="23" t="s">
        <v>23</v>
      </c>
      <c r="X1399" s="49">
        <v>44574.385416666664</v>
      </c>
      <c r="Y1399" s="23">
        <v>1.8</v>
      </c>
      <c r="Z1399" s="23">
        <v>44574.458333333336</v>
      </c>
      <c r="AA1399" s="23">
        <v>2.0499999999999998</v>
      </c>
      <c r="AB1399" s="23">
        <v>0.1389</v>
      </c>
      <c r="AC1399" s="23">
        <v>-10082.27</v>
      </c>
      <c r="AD1399" s="23">
        <v>-0.1389</v>
      </c>
      <c r="AE1399" s="23">
        <v>40329.07</v>
      </c>
      <c r="AF1399" s="23">
        <v>72592.33</v>
      </c>
      <c r="AG1399" s="23">
        <v>4499670.21</v>
      </c>
      <c r="AH1399" s="23">
        <v>8</v>
      </c>
      <c r="AI1399" s="23">
        <v>-1260.28</v>
      </c>
      <c r="AJ1399" s="23">
        <v>-0.1389</v>
      </c>
      <c r="AK1399" s="23">
        <v>0.1111</v>
      </c>
      <c r="AL1399" s="23" t="s">
        <v>24</v>
      </c>
      <c r="AM1399" s="23">
        <v>49.2</v>
      </c>
      <c r="AN1399" s="23">
        <v>38538.699999999997</v>
      </c>
      <c r="AO1399" s="23">
        <v>49.73</v>
      </c>
      <c r="AP1399" s="23">
        <v>0</v>
      </c>
      <c r="AR1399" s="46"/>
      <c r="AS1399" s="44"/>
      <c r="AT1399" s="45"/>
      <c r="AU1399" s="2">
        <v>44574</v>
      </c>
      <c r="AV1399" s="52">
        <v>0.38541666666666669</v>
      </c>
      <c r="AW1399" s="2" t="s">
        <v>212</v>
      </c>
      <c r="AY1399" s="3"/>
      <c r="BA1399" s="3"/>
      <c r="BG1399" s="3"/>
      <c r="BH1399" s="3"/>
    </row>
    <row r="1400" spans="1:60">
      <c r="A1400" s="23" t="s">
        <v>22</v>
      </c>
      <c r="B1400" s="23" t="s">
        <v>25</v>
      </c>
      <c r="C1400" s="27">
        <v>44574.458333333336</v>
      </c>
      <c r="D1400" s="23">
        <v>49.6</v>
      </c>
      <c r="E1400" s="27">
        <v>44574.604166666664</v>
      </c>
      <c r="F1400" s="23">
        <v>49.65</v>
      </c>
      <c r="G1400" s="31">
        <v>1E-3</v>
      </c>
      <c r="H1400" s="23">
        <v>51.05</v>
      </c>
      <c r="I1400" s="31">
        <v>1E-3</v>
      </c>
      <c r="J1400" s="23">
        <v>1020.982</v>
      </c>
      <c r="K1400" s="23">
        <v>50640.73</v>
      </c>
      <c r="L1400" s="23">
        <v>127939.82</v>
      </c>
      <c r="M1400" s="23">
        <v>15</v>
      </c>
      <c r="N1400" s="23">
        <v>3.4</v>
      </c>
      <c r="O1400" s="31">
        <v>-6.0000000000000001E-3</v>
      </c>
      <c r="P1400" s="31">
        <v>7.1000000000000004E-3</v>
      </c>
      <c r="Q1400" s="23" t="s">
        <v>24</v>
      </c>
      <c r="R1400" s="23">
        <v>0</v>
      </c>
      <c r="S1400" s="23">
        <v>48.94</v>
      </c>
      <c r="U1400" s="47">
        <f>VLOOKUP(AU1400,[1]expiry_dates!$B$2:$C$2894,2,FALSE)</f>
        <v>44588</v>
      </c>
      <c r="V1400" s="23" t="s">
        <v>122</v>
      </c>
      <c r="W1400" s="23" t="s">
        <v>23</v>
      </c>
      <c r="X1400" s="49">
        <v>44574.458333333336</v>
      </c>
      <c r="Y1400" s="23">
        <v>1.1499999999999999</v>
      </c>
      <c r="Z1400" s="23">
        <v>44574.604166666664</v>
      </c>
      <c r="AA1400" s="23">
        <v>1.1499999999999999</v>
      </c>
      <c r="AB1400" s="23">
        <v>0</v>
      </c>
      <c r="AC1400" s="23">
        <v>0</v>
      </c>
      <c r="AD1400" s="23">
        <v>0</v>
      </c>
      <c r="AE1400" s="23">
        <v>63085.88</v>
      </c>
      <c r="AF1400" s="23">
        <v>72548.77</v>
      </c>
      <c r="AG1400" s="23">
        <v>4499670.21</v>
      </c>
      <c r="AH1400" s="23">
        <v>15</v>
      </c>
      <c r="AI1400" s="23">
        <v>0</v>
      </c>
      <c r="AJ1400" s="23">
        <v>-0.13039999999999999</v>
      </c>
      <c r="AK1400" s="23">
        <v>8.6999999999999994E-2</v>
      </c>
      <c r="AL1400" s="23" t="s">
        <v>24</v>
      </c>
      <c r="AM1400" s="23">
        <v>49.6</v>
      </c>
      <c r="AN1400" s="23">
        <v>38518.300000000003</v>
      </c>
      <c r="AO1400" s="23">
        <v>48.94</v>
      </c>
      <c r="AP1400" s="23">
        <v>0</v>
      </c>
      <c r="AR1400" s="46"/>
      <c r="AS1400" s="44"/>
      <c r="AT1400" s="45"/>
      <c r="AU1400" s="2">
        <v>44574</v>
      </c>
      <c r="AV1400" s="52">
        <v>0.45833333333333331</v>
      </c>
      <c r="AW1400" s="2" t="s">
        <v>212</v>
      </c>
      <c r="AY1400" s="3"/>
      <c r="BA1400" s="3"/>
      <c r="BG1400" s="3"/>
      <c r="BH1400" s="3"/>
    </row>
    <row r="1401" spans="1:60">
      <c r="A1401" s="23" t="s">
        <v>22</v>
      </c>
      <c r="B1401" s="23" t="s">
        <v>23</v>
      </c>
      <c r="C1401" s="27">
        <v>44574.604166666664</v>
      </c>
      <c r="D1401" s="23">
        <v>49.65</v>
      </c>
      <c r="E1401" s="27">
        <v>44574.625</v>
      </c>
      <c r="F1401" s="23">
        <v>49.85</v>
      </c>
      <c r="G1401" s="31">
        <v>4.0000000000000001E-3</v>
      </c>
      <c r="H1401" s="23">
        <v>-203.99</v>
      </c>
      <c r="I1401" s="31">
        <v>-4.0000000000000001E-3</v>
      </c>
      <c r="J1401" s="23">
        <v>1019.933</v>
      </c>
      <c r="K1401" s="23">
        <v>50639.7</v>
      </c>
      <c r="L1401" s="23">
        <v>127735.83</v>
      </c>
      <c r="M1401" s="23">
        <v>3</v>
      </c>
      <c r="N1401" s="23">
        <v>-68</v>
      </c>
      <c r="O1401" s="31">
        <v>-4.0000000000000001E-3</v>
      </c>
      <c r="P1401" s="31">
        <v>3.0000000000000001E-3</v>
      </c>
      <c r="Q1401" s="23" t="s">
        <v>24</v>
      </c>
      <c r="R1401" s="23">
        <v>0</v>
      </c>
      <c r="S1401" s="23">
        <v>49.94</v>
      </c>
      <c r="U1401" s="47">
        <f>VLOOKUP(AU1401,[1]expiry_dates!$B$2:$C$2894,2,FALSE)</f>
        <v>44588</v>
      </c>
      <c r="V1401" s="23" t="s">
        <v>121</v>
      </c>
      <c r="W1401" s="23" t="s">
        <v>23</v>
      </c>
      <c r="X1401" s="49">
        <v>44574.604166666664</v>
      </c>
      <c r="Y1401" s="23">
        <v>1.45</v>
      </c>
      <c r="Z1401" s="23">
        <v>44574.625</v>
      </c>
      <c r="AA1401" s="23">
        <v>1.5</v>
      </c>
      <c r="AB1401" s="23">
        <v>3.4500000000000003E-2</v>
      </c>
      <c r="AC1401" s="23">
        <v>-2500.4899999999998</v>
      </c>
      <c r="AD1401" s="23">
        <v>-3.4500000000000003E-2</v>
      </c>
      <c r="AE1401" s="23">
        <v>50009.74</v>
      </c>
      <c r="AF1401" s="23">
        <v>72514.13</v>
      </c>
      <c r="AG1401" s="23">
        <v>4497169.72</v>
      </c>
      <c r="AH1401" s="23">
        <v>3</v>
      </c>
      <c r="AI1401" s="23">
        <v>-833.5</v>
      </c>
      <c r="AJ1401" s="23">
        <v>-3.4500000000000003E-2</v>
      </c>
      <c r="AK1401" s="23">
        <v>0</v>
      </c>
      <c r="AL1401" s="23" t="s">
        <v>24</v>
      </c>
      <c r="AM1401" s="23">
        <v>49.65</v>
      </c>
      <c r="AN1401" s="23">
        <v>38418.300000000003</v>
      </c>
      <c r="AO1401" s="23">
        <v>49.94</v>
      </c>
      <c r="AP1401" s="23">
        <v>0</v>
      </c>
      <c r="AR1401" s="46"/>
      <c r="AS1401" s="44"/>
      <c r="AT1401" s="45"/>
      <c r="AU1401" s="2">
        <v>44574</v>
      </c>
      <c r="AV1401" s="52">
        <v>0.10416666666666667</v>
      </c>
      <c r="AW1401" s="2" t="s">
        <v>213</v>
      </c>
      <c r="AY1401" s="3"/>
      <c r="BA1401" s="3"/>
      <c r="BG1401" s="3"/>
      <c r="BH1401" s="3"/>
    </row>
    <row r="1402" spans="1:60">
      <c r="A1402" s="23" t="s">
        <v>22</v>
      </c>
      <c r="B1402" s="23" t="s">
        <v>25</v>
      </c>
      <c r="C1402" s="27">
        <v>44574.625</v>
      </c>
      <c r="D1402" s="23">
        <v>49.85</v>
      </c>
      <c r="E1402" s="27">
        <v>44575.385416666664</v>
      </c>
      <c r="F1402" s="23">
        <v>49.65</v>
      </c>
      <c r="G1402" s="31">
        <v>-4.0000000000000001E-3</v>
      </c>
      <c r="H1402" s="23">
        <v>-203.17</v>
      </c>
      <c r="I1402" s="31">
        <v>-4.0000000000000001E-3</v>
      </c>
      <c r="J1402" s="23">
        <v>1015.842</v>
      </c>
      <c r="K1402" s="23">
        <v>50639.7</v>
      </c>
      <c r="L1402" s="23">
        <v>127532.66</v>
      </c>
      <c r="M1402" s="23">
        <v>6</v>
      </c>
      <c r="N1402" s="23">
        <v>-33.86</v>
      </c>
      <c r="O1402" s="31">
        <v>-1.0999999999999999E-2</v>
      </c>
      <c r="P1402" s="31">
        <v>1E-3</v>
      </c>
      <c r="Q1402" s="23" t="s">
        <v>24</v>
      </c>
      <c r="R1402" s="23">
        <v>0</v>
      </c>
      <c r="S1402" s="23">
        <v>49.51</v>
      </c>
      <c r="U1402" s="47">
        <f>VLOOKUP(AU1402,[1]expiry_dates!$B$2:$C$2894,2,FALSE)</f>
        <v>44588</v>
      </c>
      <c r="V1402" s="23" t="s">
        <v>122</v>
      </c>
      <c r="W1402" s="23" t="s">
        <v>23</v>
      </c>
      <c r="X1402" s="49">
        <v>44574.625</v>
      </c>
      <c r="Y1402" s="23">
        <v>1.05</v>
      </c>
      <c r="Z1402" s="23">
        <v>44575.385416666664</v>
      </c>
      <c r="AA1402" s="23">
        <v>1.1499999999999999</v>
      </c>
      <c r="AB1402" s="23">
        <v>9.5200000000000007E-2</v>
      </c>
      <c r="AC1402" s="23">
        <v>-6903.41</v>
      </c>
      <c r="AD1402" s="23">
        <v>-9.5200000000000007E-2</v>
      </c>
      <c r="AE1402" s="23">
        <v>69034.149999999994</v>
      </c>
      <c r="AF1402" s="23">
        <v>72485.850000000006</v>
      </c>
      <c r="AG1402" s="23">
        <v>4490266.3099999996</v>
      </c>
      <c r="AH1402" s="23">
        <v>6</v>
      </c>
      <c r="AI1402" s="23">
        <v>-1150.57</v>
      </c>
      <c r="AJ1402" s="23">
        <v>-0.1905</v>
      </c>
      <c r="AK1402" s="23">
        <v>4.7600000000000003E-2</v>
      </c>
      <c r="AL1402" s="23" t="s">
        <v>24</v>
      </c>
      <c r="AM1402" s="23">
        <v>49.85</v>
      </c>
      <c r="AN1402" s="23">
        <v>38494.949999999997</v>
      </c>
      <c r="AO1402" s="23">
        <v>49.51</v>
      </c>
      <c r="AP1402" s="23">
        <v>0</v>
      </c>
      <c r="AR1402" s="46"/>
      <c r="AS1402" s="44"/>
      <c r="AT1402" s="45"/>
      <c r="AU1402" s="2">
        <v>44574</v>
      </c>
      <c r="AV1402" s="52">
        <v>0.125</v>
      </c>
      <c r="AW1402" s="2" t="s">
        <v>213</v>
      </c>
      <c r="AY1402" s="3"/>
      <c r="BA1402" s="3"/>
      <c r="BG1402" s="3"/>
      <c r="BH1402" s="3"/>
    </row>
    <row r="1403" spans="1:60">
      <c r="A1403" s="23" t="s">
        <v>22</v>
      </c>
      <c r="B1403" s="23" t="s">
        <v>23</v>
      </c>
      <c r="C1403" s="27">
        <v>44575.385416666664</v>
      </c>
      <c r="D1403" s="23">
        <v>49.65</v>
      </c>
      <c r="E1403" s="27">
        <v>44575.395833333336</v>
      </c>
      <c r="F1403" s="23">
        <v>50</v>
      </c>
      <c r="G1403" s="31">
        <v>7.0000000000000001E-3</v>
      </c>
      <c r="H1403" s="23">
        <v>-356.95</v>
      </c>
      <c r="I1403" s="31">
        <v>-7.0000000000000001E-3</v>
      </c>
      <c r="J1403" s="23">
        <v>1019.857</v>
      </c>
      <c r="K1403" s="23">
        <v>50635.89</v>
      </c>
      <c r="L1403" s="23">
        <v>127175.71</v>
      </c>
      <c r="M1403" s="23">
        <v>2</v>
      </c>
      <c r="N1403" s="23">
        <v>-178.47</v>
      </c>
      <c r="O1403" s="31">
        <v>-7.0000000000000001E-3</v>
      </c>
      <c r="P1403" s="31">
        <v>9.1000000000000004E-3</v>
      </c>
      <c r="Q1403" s="23" t="s">
        <v>24</v>
      </c>
      <c r="R1403" s="23">
        <v>0</v>
      </c>
      <c r="S1403" s="23">
        <v>49.86</v>
      </c>
      <c r="U1403" s="47">
        <f>VLOOKUP(AU1403,[1]expiry_dates!$B$2:$C$2894,2,FALSE)</f>
        <v>44588</v>
      </c>
      <c r="V1403" s="23" t="s">
        <v>121</v>
      </c>
      <c r="W1403" s="23" t="s">
        <v>23</v>
      </c>
      <c r="X1403" s="49">
        <v>44575.385416666664</v>
      </c>
      <c r="Y1403" s="23">
        <v>1.4</v>
      </c>
      <c r="Z1403" s="23">
        <v>44575.395833333336</v>
      </c>
      <c r="AA1403" s="23">
        <v>1.6</v>
      </c>
      <c r="AB1403" s="23">
        <v>0.1429</v>
      </c>
      <c r="AC1403" s="23">
        <v>-10352.66</v>
      </c>
      <c r="AD1403" s="23">
        <v>-0.1429</v>
      </c>
      <c r="AE1403" s="23">
        <v>51763.28</v>
      </c>
      <c r="AF1403" s="23">
        <v>72468.59</v>
      </c>
      <c r="AG1403" s="23">
        <v>4479913.6500000004</v>
      </c>
      <c r="AH1403" s="23">
        <v>2</v>
      </c>
      <c r="AI1403" s="23">
        <v>-5176.33</v>
      </c>
      <c r="AJ1403" s="23">
        <v>-0.1429</v>
      </c>
      <c r="AK1403" s="23">
        <v>0.1071</v>
      </c>
      <c r="AL1403" s="23" t="s">
        <v>24</v>
      </c>
      <c r="AM1403" s="23">
        <v>49.65</v>
      </c>
      <c r="AN1403" s="23">
        <v>38208.1</v>
      </c>
      <c r="AO1403" s="23">
        <v>49.86</v>
      </c>
      <c r="AP1403" s="23">
        <v>0</v>
      </c>
      <c r="AR1403" s="46"/>
      <c r="AS1403" s="44"/>
      <c r="AT1403" s="45"/>
      <c r="AU1403" s="2">
        <v>44575</v>
      </c>
      <c r="AV1403" s="52">
        <v>0.38541666666666669</v>
      </c>
      <c r="AW1403" s="2" t="s">
        <v>212</v>
      </c>
      <c r="AY1403" s="3"/>
      <c r="BA1403" s="3"/>
      <c r="BG1403" s="3"/>
      <c r="BH1403" s="3"/>
    </row>
    <row r="1404" spans="1:60">
      <c r="A1404" s="23" t="s">
        <v>22</v>
      </c>
      <c r="B1404" s="23" t="s">
        <v>25</v>
      </c>
      <c r="C1404" s="27">
        <v>44575.395833333336</v>
      </c>
      <c r="D1404" s="23">
        <v>50</v>
      </c>
      <c r="E1404" s="27">
        <v>44575.4375</v>
      </c>
      <c r="F1404" s="23">
        <v>49.35</v>
      </c>
      <c r="G1404" s="31">
        <v>-1.2999999999999999E-2</v>
      </c>
      <c r="H1404" s="23">
        <v>-658.29</v>
      </c>
      <c r="I1404" s="31">
        <v>-1.2999999999999999E-2</v>
      </c>
      <c r="J1404" s="23">
        <v>1012.753</v>
      </c>
      <c r="K1404" s="23">
        <v>50637.66</v>
      </c>
      <c r="L1404" s="23">
        <v>126517.43</v>
      </c>
      <c r="M1404" s="23">
        <v>5</v>
      </c>
      <c r="N1404" s="23">
        <v>-131.66</v>
      </c>
      <c r="O1404" s="31">
        <v>-1.2999999999999999E-2</v>
      </c>
      <c r="P1404" s="31">
        <v>3.0000000000000001E-3</v>
      </c>
      <c r="Q1404" s="23" t="s">
        <v>24</v>
      </c>
      <c r="R1404" s="23">
        <v>0</v>
      </c>
      <c r="S1404" s="23">
        <v>49.23</v>
      </c>
      <c r="U1404" s="47">
        <f>VLOOKUP(AU1404,[1]expiry_dates!$B$2:$C$2894,2,FALSE)</f>
        <v>44588</v>
      </c>
      <c r="V1404" s="23" t="s">
        <v>124</v>
      </c>
      <c r="W1404" s="23" t="s">
        <v>23</v>
      </c>
      <c r="X1404" s="49">
        <v>44575.395833333336</v>
      </c>
      <c r="Y1404" s="23">
        <v>1.4</v>
      </c>
      <c r="Z1404" s="23">
        <v>44575.4375</v>
      </c>
      <c r="AA1404" s="23">
        <v>1.85</v>
      </c>
      <c r="AB1404" s="23">
        <v>0.32140000000000002</v>
      </c>
      <c r="AC1404" s="23">
        <v>-23287.93</v>
      </c>
      <c r="AD1404" s="23">
        <v>-0.32140000000000002</v>
      </c>
      <c r="AE1404" s="23">
        <v>51750.95</v>
      </c>
      <c r="AF1404" s="23">
        <v>72451.34</v>
      </c>
      <c r="AG1404" s="23">
        <v>4456625.72</v>
      </c>
      <c r="AH1404" s="23">
        <v>5</v>
      </c>
      <c r="AI1404" s="23">
        <v>-4657.59</v>
      </c>
      <c r="AJ1404" s="23">
        <v>-0.32140000000000002</v>
      </c>
      <c r="AK1404" s="23">
        <v>0</v>
      </c>
      <c r="AL1404" s="23" t="s">
        <v>24</v>
      </c>
      <c r="AM1404" s="23">
        <v>50</v>
      </c>
      <c r="AN1404" s="23">
        <v>38345.85</v>
      </c>
      <c r="AO1404" s="23">
        <v>49.23</v>
      </c>
      <c r="AP1404" s="23">
        <v>0</v>
      </c>
      <c r="AR1404" s="46"/>
      <c r="AS1404" s="44"/>
      <c r="AT1404" s="45"/>
      <c r="AU1404" s="2">
        <v>44575</v>
      </c>
      <c r="AV1404" s="52">
        <v>0.39583333333333331</v>
      </c>
      <c r="AW1404" s="2" t="s">
        <v>212</v>
      </c>
      <c r="AY1404" s="3"/>
      <c r="BA1404" s="3"/>
      <c r="BG1404" s="3"/>
      <c r="BH1404" s="3"/>
    </row>
    <row r="1405" spans="1:60">
      <c r="A1405" s="23" t="s">
        <v>22</v>
      </c>
      <c r="B1405" s="23" t="s">
        <v>23</v>
      </c>
      <c r="C1405" s="27">
        <v>44575.4375</v>
      </c>
      <c r="D1405" s="23">
        <v>49.35</v>
      </c>
      <c r="E1405" s="27">
        <v>44578.385416666664</v>
      </c>
      <c r="F1405" s="23">
        <v>49.25</v>
      </c>
      <c r="G1405" s="31">
        <v>-2E-3</v>
      </c>
      <c r="H1405" s="23">
        <v>102.6</v>
      </c>
      <c r="I1405" s="31">
        <v>2E-3</v>
      </c>
      <c r="J1405" s="23">
        <v>1025.9949999999999</v>
      </c>
      <c r="K1405" s="23">
        <v>50632.84</v>
      </c>
      <c r="L1405" s="23">
        <v>126620.02</v>
      </c>
      <c r="M1405" s="23">
        <v>24</v>
      </c>
      <c r="N1405" s="23">
        <v>4.2699999999999996</v>
      </c>
      <c r="O1405" s="31">
        <v>-2E-3</v>
      </c>
      <c r="P1405" s="31">
        <v>6.1000000000000004E-3</v>
      </c>
      <c r="Q1405" s="23" t="s">
        <v>24</v>
      </c>
      <c r="R1405" s="23">
        <v>0</v>
      </c>
      <c r="S1405" s="23">
        <v>50.12</v>
      </c>
      <c r="U1405" s="47">
        <f>VLOOKUP(AU1405,[1]expiry_dates!$B$2:$C$2894,2,FALSE)</f>
        <v>44588</v>
      </c>
      <c r="V1405" s="23" t="s">
        <v>123</v>
      </c>
      <c r="W1405" s="23" t="s">
        <v>23</v>
      </c>
      <c r="X1405" s="49">
        <v>44575.4375</v>
      </c>
      <c r="Y1405" s="23">
        <v>1.85</v>
      </c>
      <c r="Z1405" s="23">
        <v>44578.385416666664</v>
      </c>
      <c r="AA1405" s="23">
        <v>1.75</v>
      </c>
      <c r="AB1405" s="23">
        <v>-5.4100000000000002E-2</v>
      </c>
      <c r="AC1405" s="23">
        <v>3909.29</v>
      </c>
      <c r="AD1405" s="23">
        <v>5.4100000000000002E-2</v>
      </c>
      <c r="AE1405" s="23">
        <v>39092.94</v>
      </c>
      <c r="AF1405" s="23">
        <v>72321.95</v>
      </c>
      <c r="AG1405" s="23">
        <v>4460535.0199999996</v>
      </c>
      <c r="AH1405" s="23">
        <v>24</v>
      </c>
      <c r="AI1405" s="23">
        <v>162.88999999999999</v>
      </c>
      <c r="AJ1405" s="23">
        <v>-2.7E-2</v>
      </c>
      <c r="AK1405" s="23">
        <v>8.1100000000000005E-2</v>
      </c>
      <c r="AL1405" s="23" t="s">
        <v>24</v>
      </c>
      <c r="AM1405" s="23">
        <v>49.35</v>
      </c>
      <c r="AN1405" s="23">
        <v>38119.35</v>
      </c>
      <c r="AO1405" s="23">
        <v>50.12</v>
      </c>
      <c r="AP1405" s="23">
        <v>0</v>
      </c>
      <c r="AR1405" s="46"/>
      <c r="AS1405" s="44"/>
      <c r="AT1405" s="45"/>
      <c r="AU1405" s="2">
        <v>44575</v>
      </c>
      <c r="AV1405" s="52">
        <v>0.4375</v>
      </c>
      <c r="AW1405" s="2" t="s">
        <v>212</v>
      </c>
      <c r="AY1405" s="3"/>
      <c r="BA1405" s="3"/>
      <c r="BG1405" s="3"/>
      <c r="BH1405" s="3"/>
    </row>
    <row r="1406" spans="1:60">
      <c r="A1406" s="23" t="s">
        <v>22</v>
      </c>
      <c r="B1406" s="23" t="s">
        <v>25</v>
      </c>
      <c r="C1406" s="27">
        <v>44578.385416666664</v>
      </c>
      <c r="D1406" s="23">
        <v>49.25</v>
      </c>
      <c r="E1406" s="27">
        <v>44578.40625</v>
      </c>
      <c r="F1406" s="23">
        <v>49.1</v>
      </c>
      <c r="G1406" s="31">
        <v>-3.0000000000000001E-3</v>
      </c>
      <c r="H1406" s="23">
        <v>-154.21</v>
      </c>
      <c r="I1406" s="31">
        <v>-3.0000000000000001E-3</v>
      </c>
      <c r="J1406" s="23">
        <v>1028.0889999999999</v>
      </c>
      <c r="K1406" s="23">
        <v>50633.36</v>
      </c>
      <c r="L1406" s="23">
        <v>126465.81</v>
      </c>
      <c r="M1406" s="23">
        <v>3</v>
      </c>
      <c r="N1406" s="23">
        <v>-51.4</v>
      </c>
      <c r="O1406" s="31">
        <v>-3.0000000000000001E-3</v>
      </c>
      <c r="P1406" s="31">
        <v>4.1000000000000003E-3</v>
      </c>
      <c r="Q1406" s="23" t="s">
        <v>24</v>
      </c>
      <c r="R1406" s="23">
        <v>0</v>
      </c>
      <c r="S1406" s="23">
        <v>49.07</v>
      </c>
      <c r="U1406" s="47">
        <f>VLOOKUP(AU1406,[1]expiry_dates!$B$2:$C$2894,2,FALSE)</f>
        <v>44588</v>
      </c>
      <c r="V1406" s="23" t="s">
        <v>122</v>
      </c>
      <c r="W1406" s="23" t="s">
        <v>23</v>
      </c>
      <c r="X1406" s="49">
        <v>44578.385416666664</v>
      </c>
      <c r="Y1406" s="23">
        <v>1.3</v>
      </c>
      <c r="Z1406" s="23">
        <v>44578.40625</v>
      </c>
      <c r="AA1406" s="23">
        <v>1.3</v>
      </c>
      <c r="AB1406" s="23">
        <v>0</v>
      </c>
      <c r="AC1406" s="23">
        <v>0</v>
      </c>
      <c r="AD1406" s="23">
        <v>0</v>
      </c>
      <c r="AE1406" s="23">
        <v>55617.45</v>
      </c>
      <c r="AF1406" s="23">
        <v>72302.679999999993</v>
      </c>
      <c r="AG1406" s="23">
        <v>4460535.0199999996</v>
      </c>
      <c r="AH1406" s="23">
        <v>3</v>
      </c>
      <c r="AI1406" s="23">
        <v>0</v>
      </c>
      <c r="AJ1406" s="23">
        <v>0</v>
      </c>
      <c r="AK1406" s="23">
        <v>7.6899999999999996E-2</v>
      </c>
      <c r="AL1406" s="23" t="s">
        <v>24</v>
      </c>
      <c r="AM1406" s="23">
        <v>49.25</v>
      </c>
      <c r="AN1406" s="23">
        <v>38352.9</v>
      </c>
      <c r="AO1406" s="23">
        <v>49.07</v>
      </c>
      <c r="AP1406" s="23">
        <v>0</v>
      </c>
      <c r="AR1406" s="46"/>
      <c r="AS1406" s="44"/>
      <c r="AT1406" s="45"/>
      <c r="AU1406" s="2">
        <v>44578</v>
      </c>
      <c r="AV1406" s="52">
        <v>0.38541666666666669</v>
      </c>
      <c r="AW1406" s="2" t="s">
        <v>212</v>
      </c>
      <c r="AY1406" s="3"/>
      <c r="BA1406" s="3"/>
      <c r="BG1406" s="3"/>
      <c r="BH1406" s="3"/>
    </row>
    <row r="1407" spans="1:60">
      <c r="A1407" s="23" t="s">
        <v>22</v>
      </c>
      <c r="B1407" s="23" t="s">
        <v>23</v>
      </c>
      <c r="C1407" s="27">
        <v>44578.40625</v>
      </c>
      <c r="D1407" s="23">
        <v>49.1</v>
      </c>
      <c r="E1407" s="27">
        <v>44578.510416666664</v>
      </c>
      <c r="F1407" s="23">
        <v>49.25</v>
      </c>
      <c r="G1407" s="31">
        <v>3.0999999999999999E-3</v>
      </c>
      <c r="H1407" s="23">
        <v>-154.68</v>
      </c>
      <c r="I1407" s="31">
        <v>-3.0999999999999999E-3</v>
      </c>
      <c r="J1407" s="23">
        <v>1031.2139999999999</v>
      </c>
      <c r="K1407" s="23">
        <v>50632.59</v>
      </c>
      <c r="L1407" s="23">
        <v>126311.13</v>
      </c>
      <c r="M1407" s="23">
        <v>11</v>
      </c>
      <c r="N1407" s="23">
        <v>-14.06</v>
      </c>
      <c r="O1407" s="31">
        <v>-3.0999999999999999E-3</v>
      </c>
      <c r="P1407" s="31">
        <v>4.1000000000000003E-3</v>
      </c>
      <c r="Q1407" s="23" t="s">
        <v>24</v>
      </c>
      <c r="R1407" s="23">
        <v>0</v>
      </c>
      <c r="S1407" s="23">
        <v>49.44</v>
      </c>
      <c r="U1407" s="47">
        <f>VLOOKUP(AU1407,[1]expiry_dates!$B$2:$C$2894,2,FALSE)</f>
        <v>44588</v>
      </c>
      <c r="V1407" s="23" t="s">
        <v>123</v>
      </c>
      <c r="W1407" s="23" t="s">
        <v>23</v>
      </c>
      <c r="X1407" s="49">
        <v>44578.40625</v>
      </c>
      <c r="Y1407" s="23">
        <v>1.55</v>
      </c>
      <c r="Z1407" s="23">
        <v>44578.510416666664</v>
      </c>
      <c r="AA1407" s="23">
        <v>1.6</v>
      </c>
      <c r="AB1407" s="23">
        <v>3.2300000000000002E-2</v>
      </c>
      <c r="AC1407" s="23">
        <v>-2332.34</v>
      </c>
      <c r="AD1407" s="23">
        <v>-3.2300000000000002E-2</v>
      </c>
      <c r="AE1407" s="23">
        <v>46646.89</v>
      </c>
      <c r="AF1407" s="23">
        <v>72302.67</v>
      </c>
      <c r="AG1407" s="23">
        <v>4458202.67</v>
      </c>
      <c r="AH1407" s="23">
        <v>11</v>
      </c>
      <c r="AI1407" s="23">
        <v>-212.03</v>
      </c>
      <c r="AJ1407" s="23">
        <v>-9.6799999999999997E-2</v>
      </c>
      <c r="AK1407" s="23">
        <v>3.2300000000000002E-2</v>
      </c>
      <c r="AL1407" s="23" t="s">
        <v>24</v>
      </c>
      <c r="AM1407" s="23">
        <v>49.1</v>
      </c>
      <c r="AN1407" s="23">
        <v>38307.949999999997</v>
      </c>
      <c r="AO1407" s="23">
        <v>49.44</v>
      </c>
      <c r="AP1407" s="23">
        <v>0</v>
      </c>
      <c r="AR1407" s="46"/>
      <c r="AS1407" s="44"/>
      <c r="AT1407" s="45"/>
      <c r="AU1407" s="2">
        <v>44578</v>
      </c>
      <c r="AV1407" s="52">
        <v>0.40625</v>
      </c>
      <c r="AW1407" s="2" t="s">
        <v>212</v>
      </c>
      <c r="AY1407" s="3"/>
      <c r="BA1407" s="3"/>
      <c r="BG1407" s="3"/>
      <c r="BH1407" s="3"/>
    </row>
    <row r="1408" spans="1:60">
      <c r="A1408" s="23" t="s">
        <v>22</v>
      </c>
      <c r="B1408" s="23" t="s">
        <v>25</v>
      </c>
      <c r="C1408" s="27">
        <v>44578.510416666664</v>
      </c>
      <c r="D1408" s="23">
        <v>49.25</v>
      </c>
      <c r="E1408" s="27">
        <v>44578.583333333336</v>
      </c>
      <c r="F1408" s="23">
        <v>49.2</v>
      </c>
      <c r="G1408" s="31">
        <v>-1E-3</v>
      </c>
      <c r="H1408" s="23">
        <v>-51.4</v>
      </c>
      <c r="I1408" s="31">
        <v>-1E-3</v>
      </c>
      <c r="J1408" s="23">
        <v>1028.0619999999999</v>
      </c>
      <c r="K1408" s="23">
        <v>50632.07</v>
      </c>
      <c r="L1408" s="23">
        <v>126259.73</v>
      </c>
      <c r="M1408" s="23">
        <v>8</v>
      </c>
      <c r="N1408" s="23">
        <v>-6.43</v>
      </c>
      <c r="O1408" s="31">
        <v>-6.1000000000000004E-3</v>
      </c>
      <c r="P1408" s="31">
        <v>1.0200000000000001E-2</v>
      </c>
      <c r="Q1408" s="23" t="s">
        <v>24</v>
      </c>
      <c r="R1408" s="23">
        <v>0</v>
      </c>
      <c r="S1408" s="23">
        <v>48.9</v>
      </c>
      <c r="U1408" s="47">
        <f>VLOOKUP(AU1408,[1]expiry_dates!$B$2:$C$2894,2,FALSE)</f>
        <v>44588</v>
      </c>
      <c r="V1408" s="23" t="s">
        <v>122</v>
      </c>
      <c r="W1408" s="23" t="s">
        <v>23</v>
      </c>
      <c r="X1408" s="49">
        <v>44578.510416666664</v>
      </c>
      <c r="Y1408" s="23">
        <v>1.25</v>
      </c>
      <c r="Z1408" s="23">
        <v>44578.583333333336</v>
      </c>
      <c r="AA1408" s="23">
        <v>1.1499999999999999</v>
      </c>
      <c r="AB1408" s="23">
        <v>-0.08</v>
      </c>
      <c r="AC1408" s="23">
        <v>5783.28</v>
      </c>
      <c r="AD1408" s="23">
        <v>0.08</v>
      </c>
      <c r="AE1408" s="23">
        <v>57832.81</v>
      </c>
      <c r="AF1408" s="23">
        <v>72291.02</v>
      </c>
      <c r="AG1408" s="23">
        <v>4463985.95</v>
      </c>
      <c r="AH1408" s="23">
        <v>8</v>
      </c>
      <c r="AI1408" s="23">
        <v>722.91</v>
      </c>
      <c r="AJ1408" s="23">
        <v>-0.04</v>
      </c>
      <c r="AK1408" s="23">
        <v>0.2</v>
      </c>
      <c r="AL1408" s="23" t="s">
        <v>24</v>
      </c>
      <c r="AM1408" s="23">
        <v>49.25</v>
      </c>
      <c r="AN1408" s="23">
        <v>38219.85</v>
      </c>
      <c r="AO1408" s="23">
        <v>48.9</v>
      </c>
      <c r="AP1408" s="23">
        <v>0</v>
      </c>
      <c r="AR1408" s="46"/>
      <c r="AS1408" s="44"/>
      <c r="AT1408" s="45"/>
      <c r="AU1408" s="2">
        <v>44578</v>
      </c>
      <c r="AV1408" s="52">
        <v>0.51041666666666663</v>
      </c>
      <c r="AW1408" s="2" t="s">
        <v>213</v>
      </c>
      <c r="AY1408" s="3"/>
      <c r="BA1408" s="3"/>
      <c r="BG1408" s="3"/>
      <c r="BH1408" s="3"/>
    </row>
    <row r="1409" spans="1:60">
      <c r="A1409" s="23" t="s">
        <v>22</v>
      </c>
      <c r="B1409" s="23" t="s">
        <v>23</v>
      </c>
      <c r="C1409" s="27">
        <v>44578.583333333336</v>
      </c>
      <c r="D1409" s="23">
        <v>49.2</v>
      </c>
      <c r="E1409" s="27">
        <v>44579.385416666664</v>
      </c>
      <c r="F1409" s="23">
        <v>49.4</v>
      </c>
      <c r="G1409" s="31">
        <v>4.1000000000000003E-3</v>
      </c>
      <c r="H1409" s="23">
        <v>-205.82</v>
      </c>
      <c r="I1409" s="31">
        <v>-4.1000000000000003E-3</v>
      </c>
      <c r="J1409" s="23">
        <v>1029.0909999999999</v>
      </c>
      <c r="K1409" s="23">
        <v>50631.3</v>
      </c>
      <c r="L1409" s="23">
        <v>126053.91</v>
      </c>
      <c r="M1409" s="23">
        <v>10</v>
      </c>
      <c r="N1409" s="23">
        <v>-20.58</v>
      </c>
      <c r="O1409" s="31">
        <v>-4.1000000000000003E-3</v>
      </c>
      <c r="P1409" s="31">
        <v>5.1000000000000004E-3</v>
      </c>
      <c r="Q1409" s="23" t="s">
        <v>24</v>
      </c>
      <c r="R1409" s="23">
        <v>0</v>
      </c>
      <c r="S1409" s="23">
        <v>49.75</v>
      </c>
      <c r="U1409" s="47">
        <f>VLOOKUP(AU1409,[1]expiry_dates!$B$2:$C$2894,2,FALSE)</f>
        <v>44588</v>
      </c>
      <c r="V1409" s="23" t="s">
        <v>123</v>
      </c>
      <c r="W1409" s="23" t="s">
        <v>23</v>
      </c>
      <c r="X1409" s="49">
        <v>44578.583333333336</v>
      </c>
      <c r="Y1409" s="23">
        <v>1.6</v>
      </c>
      <c r="Z1409" s="23">
        <v>44579.385416666664</v>
      </c>
      <c r="AA1409" s="23">
        <v>1.75</v>
      </c>
      <c r="AB1409" s="23">
        <v>9.3799999999999994E-2</v>
      </c>
      <c r="AC1409" s="23">
        <v>-6778.64</v>
      </c>
      <c r="AD1409" s="23">
        <v>-9.3700000000000006E-2</v>
      </c>
      <c r="AE1409" s="23">
        <v>45190.92</v>
      </c>
      <c r="AF1409" s="23">
        <v>72305.47</v>
      </c>
      <c r="AG1409" s="23">
        <v>4457207.32</v>
      </c>
      <c r="AH1409" s="23">
        <v>10</v>
      </c>
      <c r="AI1409" s="23">
        <v>-677.86</v>
      </c>
      <c r="AJ1409" s="23">
        <v>-9.3700000000000006E-2</v>
      </c>
      <c r="AK1409" s="23">
        <v>6.25E-2</v>
      </c>
      <c r="AL1409" s="23" t="s">
        <v>24</v>
      </c>
      <c r="AM1409" s="23">
        <v>49.2</v>
      </c>
      <c r="AN1409" s="23">
        <v>38230.949999999997</v>
      </c>
      <c r="AO1409" s="23">
        <v>49.75</v>
      </c>
      <c r="AP1409" s="23">
        <v>0</v>
      </c>
      <c r="AR1409" s="46"/>
      <c r="AS1409" s="44"/>
      <c r="AT1409" s="45"/>
      <c r="AU1409" s="2">
        <v>44578</v>
      </c>
      <c r="AV1409" s="52">
        <v>8.3333333333333329E-2</v>
      </c>
      <c r="AW1409" s="2" t="s">
        <v>213</v>
      </c>
      <c r="AY1409" s="3"/>
      <c r="BA1409" s="3"/>
      <c r="BG1409" s="3"/>
      <c r="BH1409" s="3"/>
    </row>
    <row r="1410" spans="1:60">
      <c r="A1410" s="23" t="s">
        <v>22</v>
      </c>
      <c r="B1410" s="23" t="s">
        <v>25</v>
      </c>
      <c r="C1410" s="27">
        <v>44579.385416666664</v>
      </c>
      <c r="D1410" s="23">
        <v>49.4</v>
      </c>
      <c r="E1410" s="27">
        <v>44579.40625</v>
      </c>
      <c r="F1410" s="23">
        <v>49</v>
      </c>
      <c r="G1410" s="31">
        <v>-8.0999999999999996E-3</v>
      </c>
      <c r="H1410" s="23">
        <v>-409.96</v>
      </c>
      <c r="I1410" s="31">
        <v>-8.0999999999999996E-3</v>
      </c>
      <c r="J1410" s="23">
        <v>1024.904</v>
      </c>
      <c r="K1410" s="23">
        <v>50630.27</v>
      </c>
      <c r="L1410" s="23">
        <v>125643.95</v>
      </c>
      <c r="M1410" s="23">
        <v>3</v>
      </c>
      <c r="N1410" s="23">
        <v>-136.65</v>
      </c>
      <c r="O1410" s="31">
        <v>-8.0999999999999996E-3</v>
      </c>
      <c r="P1410" s="31">
        <v>4.0000000000000001E-3</v>
      </c>
      <c r="Q1410" s="23" t="s">
        <v>24</v>
      </c>
      <c r="R1410" s="23">
        <v>0</v>
      </c>
      <c r="S1410" s="23">
        <v>48.96</v>
      </c>
      <c r="U1410" s="47">
        <f>VLOOKUP(AU1410,[1]expiry_dates!$B$2:$C$2894,2,FALSE)</f>
        <v>44588</v>
      </c>
      <c r="V1410" s="23" t="s">
        <v>122</v>
      </c>
      <c r="W1410" s="23" t="s">
        <v>23</v>
      </c>
      <c r="X1410" s="49">
        <v>44579.385416666664</v>
      </c>
      <c r="Y1410" s="23">
        <v>1.05</v>
      </c>
      <c r="Z1410" s="23">
        <v>44579.40625</v>
      </c>
      <c r="AA1410" s="23">
        <v>1.25</v>
      </c>
      <c r="AB1410" s="23">
        <v>0.1905</v>
      </c>
      <c r="AC1410" s="23">
        <v>-13775.22</v>
      </c>
      <c r="AD1410" s="23">
        <v>-0.1905</v>
      </c>
      <c r="AE1410" s="23">
        <v>68876.13</v>
      </c>
      <c r="AF1410" s="23">
        <v>72319.929999999993</v>
      </c>
      <c r="AG1410" s="23">
        <v>4443432.09</v>
      </c>
      <c r="AH1410" s="23">
        <v>3</v>
      </c>
      <c r="AI1410" s="23">
        <v>-4591.74</v>
      </c>
      <c r="AJ1410" s="23">
        <v>-0.1905</v>
      </c>
      <c r="AK1410" s="23">
        <v>4.7600000000000003E-2</v>
      </c>
      <c r="AL1410" s="23" t="s">
        <v>24</v>
      </c>
      <c r="AM1410" s="23">
        <v>49.4</v>
      </c>
      <c r="AN1410" s="23">
        <v>38448.1</v>
      </c>
      <c r="AO1410" s="23">
        <v>48.96</v>
      </c>
      <c r="AP1410" s="23">
        <v>0</v>
      </c>
      <c r="AR1410" s="46"/>
      <c r="AS1410" s="44"/>
      <c r="AT1410" s="45"/>
      <c r="AU1410" s="2">
        <v>44579</v>
      </c>
      <c r="AV1410" s="52">
        <v>0.38541666666666669</v>
      </c>
      <c r="AW1410" s="2" t="s">
        <v>212</v>
      </c>
      <c r="AY1410" s="3"/>
      <c r="BA1410" s="3"/>
      <c r="BG1410" s="3"/>
      <c r="BH1410" s="3"/>
    </row>
    <row r="1411" spans="1:60">
      <c r="A1411" s="23" t="s">
        <v>22</v>
      </c>
      <c r="B1411" s="23" t="s">
        <v>23</v>
      </c>
      <c r="C1411" s="27">
        <v>44579.40625</v>
      </c>
      <c r="D1411" s="23">
        <v>49</v>
      </c>
      <c r="E1411" s="27">
        <v>44579.552083333336</v>
      </c>
      <c r="F1411" s="23">
        <v>49.05</v>
      </c>
      <c r="G1411" s="31">
        <v>1E-3</v>
      </c>
      <c r="H1411" s="23">
        <v>-51.66</v>
      </c>
      <c r="I1411" s="31">
        <v>-1E-3</v>
      </c>
      <c r="J1411" s="23">
        <v>1033.239</v>
      </c>
      <c r="K1411" s="23">
        <v>50628.73</v>
      </c>
      <c r="L1411" s="23">
        <v>125592.28</v>
      </c>
      <c r="M1411" s="23">
        <v>15</v>
      </c>
      <c r="N1411" s="23">
        <v>-3.44</v>
      </c>
      <c r="O1411" s="31">
        <v>-4.1000000000000003E-3</v>
      </c>
      <c r="P1411" s="31">
        <v>6.1000000000000004E-3</v>
      </c>
      <c r="Q1411" s="23" t="s">
        <v>24</v>
      </c>
      <c r="R1411" s="23">
        <v>0</v>
      </c>
      <c r="S1411" s="23">
        <v>49.6</v>
      </c>
      <c r="U1411" s="47">
        <f>VLOOKUP(AU1411,[1]expiry_dates!$B$2:$C$2894,2,FALSE)</f>
        <v>44588</v>
      </c>
      <c r="V1411" s="23" t="s">
        <v>123</v>
      </c>
      <c r="W1411" s="23" t="s">
        <v>23</v>
      </c>
      <c r="X1411" s="49">
        <v>44579.40625</v>
      </c>
      <c r="Y1411" s="23">
        <v>1.45</v>
      </c>
      <c r="Z1411" s="23">
        <v>44579.552083333336</v>
      </c>
      <c r="AA1411" s="23">
        <v>1.55</v>
      </c>
      <c r="AB1411" s="23">
        <v>6.9000000000000006E-2</v>
      </c>
      <c r="AC1411" s="23">
        <v>-4981.68</v>
      </c>
      <c r="AD1411" s="23">
        <v>-6.9000000000000006E-2</v>
      </c>
      <c r="AE1411" s="23">
        <v>49816.81</v>
      </c>
      <c r="AF1411" s="23">
        <v>72234.38</v>
      </c>
      <c r="AG1411" s="23">
        <v>4438450.41</v>
      </c>
      <c r="AH1411" s="23">
        <v>15</v>
      </c>
      <c r="AI1411" s="23">
        <v>-332.11</v>
      </c>
      <c r="AJ1411" s="23">
        <v>-6.9000000000000006E-2</v>
      </c>
      <c r="AK1411" s="23">
        <v>0.13789999999999999</v>
      </c>
      <c r="AL1411" s="23" t="s">
        <v>24</v>
      </c>
      <c r="AM1411" s="23">
        <v>49</v>
      </c>
      <c r="AN1411" s="23">
        <v>38298.35</v>
      </c>
      <c r="AO1411" s="23">
        <v>49.6</v>
      </c>
      <c r="AP1411" s="23">
        <v>0</v>
      </c>
      <c r="AR1411" s="46"/>
      <c r="AS1411" s="44"/>
      <c r="AT1411" s="45"/>
      <c r="AU1411" s="2">
        <v>44579</v>
      </c>
      <c r="AV1411" s="52">
        <v>0.40625</v>
      </c>
      <c r="AW1411" s="2" t="s">
        <v>212</v>
      </c>
      <c r="AY1411" s="3"/>
      <c r="BA1411" s="3"/>
      <c r="BG1411" s="3"/>
      <c r="BH1411" s="3"/>
    </row>
    <row r="1412" spans="1:60">
      <c r="A1412" s="23" t="s">
        <v>22</v>
      </c>
      <c r="B1412" s="23" t="s">
        <v>25</v>
      </c>
      <c r="C1412" s="27">
        <v>44579.552083333336</v>
      </c>
      <c r="D1412" s="23">
        <v>49.05</v>
      </c>
      <c r="E1412" s="27">
        <v>44579.604166666664</v>
      </c>
      <c r="F1412" s="23">
        <v>48.45</v>
      </c>
      <c r="G1412" s="31">
        <v>-1.2200000000000001E-2</v>
      </c>
      <c r="H1412" s="23">
        <v>-619.29999999999995</v>
      </c>
      <c r="I1412" s="31">
        <v>-1.2200000000000001E-2</v>
      </c>
      <c r="J1412" s="23">
        <v>1032.171</v>
      </c>
      <c r="K1412" s="23">
        <v>50627.96</v>
      </c>
      <c r="L1412" s="23">
        <v>124972.98</v>
      </c>
      <c r="M1412" s="23">
        <v>6</v>
      </c>
      <c r="N1412" s="23">
        <v>-103.22</v>
      </c>
      <c r="O1412" s="31">
        <v>-1.2200000000000001E-2</v>
      </c>
      <c r="P1412" s="31">
        <v>5.1000000000000004E-3</v>
      </c>
      <c r="Q1412" s="23" t="s">
        <v>24</v>
      </c>
      <c r="R1412" s="23">
        <v>0</v>
      </c>
      <c r="S1412" s="23">
        <v>48.71</v>
      </c>
      <c r="U1412" s="47">
        <f>VLOOKUP(AU1412,[1]expiry_dates!$B$2:$C$2894,2,FALSE)</f>
        <v>44588</v>
      </c>
      <c r="V1412" s="23" t="s">
        <v>122</v>
      </c>
      <c r="W1412" s="23" t="s">
        <v>23</v>
      </c>
      <c r="X1412" s="49">
        <v>44579.552083333336</v>
      </c>
      <c r="Y1412" s="23">
        <v>1.1499999999999999</v>
      </c>
      <c r="Z1412" s="23">
        <v>44579.604166666664</v>
      </c>
      <c r="AA1412" s="23">
        <v>1.55</v>
      </c>
      <c r="AB1412" s="23">
        <v>0.3478</v>
      </c>
      <c r="AC1412" s="23">
        <v>-25119.01</v>
      </c>
      <c r="AD1412" s="23">
        <v>-0.3478</v>
      </c>
      <c r="AE1412" s="23">
        <v>62797.53</v>
      </c>
      <c r="AF1412" s="23">
        <v>72217.16</v>
      </c>
      <c r="AG1412" s="23">
        <v>4413331.4000000004</v>
      </c>
      <c r="AH1412" s="23">
        <v>6</v>
      </c>
      <c r="AI1412" s="23">
        <v>-4186.5</v>
      </c>
      <c r="AJ1412" s="23">
        <v>-0.3478</v>
      </c>
      <c r="AK1412" s="23">
        <v>4.3499999999999997E-2</v>
      </c>
      <c r="AL1412" s="23" t="s">
        <v>24</v>
      </c>
      <c r="AM1412" s="23">
        <v>49.05</v>
      </c>
      <c r="AN1412" s="23">
        <v>38771</v>
      </c>
      <c r="AO1412" s="23">
        <v>48.71</v>
      </c>
      <c r="AP1412" s="23">
        <v>0</v>
      </c>
      <c r="AR1412" s="46"/>
      <c r="AS1412" s="44"/>
      <c r="AT1412" s="45"/>
      <c r="AU1412" s="2">
        <v>44579</v>
      </c>
      <c r="AV1412" s="52">
        <v>5.2083333333333336E-2</v>
      </c>
      <c r="AW1412" s="2" t="s">
        <v>213</v>
      </c>
      <c r="AY1412" s="3"/>
      <c r="BA1412" s="3"/>
      <c r="BG1412" s="3"/>
      <c r="BH1412" s="3"/>
    </row>
    <row r="1413" spans="1:60">
      <c r="A1413" s="23" t="s">
        <v>22</v>
      </c>
      <c r="B1413" s="23" t="s">
        <v>23</v>
      </c>
      <c r="C1413" s="27">
        <v>44579.604166666664</v>
      </c>
      <c r="D1413" s="23">
        <v>48.45</v>
      </c>
      <c r="E1413" s="27">
        <v>44580.489583333336</v>
      </c>
      <c r="F1413" s="23">
        <v>48.05</v>
      </c>
      <c r="G1413" s="31">
        <v>-8.3000000000000001E-3</v>
      </c>
      <c r="H1413" s="23">
        <v>417.97</v>
      </c>
      <c r="I1413" s="31">
        <v>8.3000000000000001E-3</v>
      </c>
      <c r="J1413" s="23">
        <v>1044.9369999999999</v>
      </c>
      <c r="K1413" s="23">
        <v>50627.19</v>
      </c>
      <c r="L1413" s="23">
        <v>125390.96</v>
      </c>
      <c r="M1413" s="23">
        <v>18</v>
      </c>
      <c r="N1413" s="23">
        <v>23.22</v>
      </c>
      <c r="O1413" s="31">
        <v>-9.2999999999999992E-3</v>
      </c>
      <c r="P1413" s="31">
        <v>2.7900000000000001E-2</v>
      </c>
      <c r="Q1413" s="23" t="s">
        <v>24</v>
      </c>
      <c r="R1413" s="23">
        <v>0</v>
      </c>
      <c r="S1413" s="23">
        <v>49.27</v>
      </c>
      <c r="U1413" s="47">
        <f>VLOOKUP(AU1413,[1]expiry_dates!$B$2:$C$2894,2,FALSE)</f>
        <v>44588</v>
      </c>
      <c r="V1413" s="23" t="s">
        <v>106</v>
      </c>
      <c r="W1413" s="23" t="s">
        <v>23</v>
      </c>
      <c r="X1413" s="49">
        <v>44579.604166666664</v>
      </c>
      <c r="Y1413" s="23">
        <v>1.55</v>
      </c>
      <c r="Z1413" s="23">
        <v>44580.489583333336</v>
      </c>
      <c r="AA1413" s="23">
        <v>1.3</v>
      </c>
      <c r="AB1413" s="23">
        <v>-0.1613</v>
      </c>
      <c r="AC1413" s="23">
        <v>11636.32</v>
      </c>
      <c r="AD1413" s="23">
        <v>0.1613</v>
      </c>
      <c r="AE1413" s="23">
        <v>46545.26</v>
      </c>
      <c r="AF1413" s="23">
        <v>72145.16</v>
      </c>
      <c r="AG1413" s="23">
        <v>4424967.71</v>
      </c>
      <c r="AH1413" s="23">
        <v>18</v>
      </c>
      <c r="AI1413" s="23">
        <v>646.46</v>
      </c>
      <c r="AJ1413" s="23">
        <v>-0.19350000000000001</v>
      </c>
      <c r="AK1413" s="23">
        <v>0.3871</v>
      </c>
      <c r="AL1413" s="23" t="s">
        <v>24</v>
      </c>
      <c r="AM1413" s="23">
        <v>48.45</v>
      </c>
      <c r="AN1413" s="23">
        <v>38616.5</v>
      </c>
      <c r="AO1413" s="23">
        <v>49.27</v>
      </c>
      <c r="AP1413" s="23">
        <v>0</v>
      </c>
      <c r="AR1413" s="46"/>
      <c r="AS1413" s="44"/>
      <c r="AT1413" s="45"/>
      <c r="AU1413" s="2">
        <v>44579</v>
      </c>
      <c r="AV1413" s="52">
        <v>0.10416666666666667</v>
      </c>
      <c r="AW1413" s="2" t="s">
        <v>213</v>
      </c>
      <c r="AY1413" s="3"/>
      <c r="BA1413" s="3"/>
      <c r="BG1413" s="3"/>
      <c r="BH1413" s="3"/>
    </row>
    <row r="1414" spans="1:60">
      <c r="A1414" s="23" t="s">
        <v>22</v>
      </c>
      <c r="B1414" s="23" t="s">
        <v>25</v>
      </c>
      <c r="C1414" s="27">
        <v>44580.489583333336</v>
      </c>
      <c r="D1414" s="23">
        <v>48.05</v>
      </c>
      <c r="E1414" s="27">
        <v>44581.4375</v>
      </c>
      <c r="F1414" s="23">
        <v>48.35</v>
      </c>
      <c r="G1414" s="31">
        <v>6.1999999999999998E-3</v>
      </c>
      <c r="H1414" s="23">
        <v>316.08999999999997</v>
      </c>
      <c r="I1414" s="31">
        <v>6.1999999999999998E-3</v>
      </c>
      <c r="J1414" s="23">
        <v>1053.6420000000001</v>
      </c>
      <c r="K1414" s="23">
        <v>50627.48</v>
      </c>
      <c r="L1414" s="23">
        <v>125707.05</v>
      </c>
      <c r="M1414" s="23">
        <v>24</v>
      </c>
      <c r="N1414" s="23">
        <v>13.17</v>
      </c>
      <c r="O1414" s="31">
        <v>-4.1999999999999997E-3</v>
      </c>
      <c r="P1414" s="31">
        <v>2.29E-2</v>
      </c>
      <c r="Q1414" s="23" t="s">
        <v>24</v>
      </c>
      <c r="R1414" s="23">
        <v>0</v>
      </c>
      <c r="S1414" s="23">
        <v>47.14</v>
      </c>
      <c r="U1414" s="47">
        <f>VLOOKUP(AU1414,[1]expiry_dates!$B$2:$C$2894,2,FALSE)</f>
        <v>44588</v>
      </c>
      <c r="V1414" s="23" t="s">
        <v>108</v>
      </c>
      <c r="W1414" s="23" t="s">
        <v>23</v>
      </c>
      <c r="X1414" s="49">
        <v>44580.489583333336</v>
      </c>
      <c r="Y1414" s="23">
        <v>1.1499999999999999</v>
      </c>
      <c r="Z1414" s="23">
        <v>44581.4375</v>
      </c>
      <c r="AA1414" s="23">
        <v>0.75</v>
      </c>
      <c r="AB1414" s="23">
        <v>-0.3478</v>
      </c>
      <c r="AC1414" s="23">
        <v>25090.95</v>
      </c>
      <c r="AD1414" s="23">
        <v>0.3478</v>
      </c>
      <c r="AE1414" s="23">
        <v>62727.37</v>
      </c>
      <c r="AF1414" s="23">
        <v>72136.479999999996</v>
      </c>
      <c r="AG1414" s="23">
        <v>4450058.66</v>
      </c>
      <c r="AH1414" s="23">
        <v>24</v>
      </c>
      <c r="AI1414" s="23">
        <v>1045.46</v>
      </c>
      <c r="AJ1414" s="23">
        <v>0</v>
      </c>
      <c r="AK1414" s="23">
        <v>0.52170000000000005</v>
      </c>
      <c r="AL1414" s="23" t="s">
        <v>24</v>
      </c>
      <c r="AM1414" s="23">
        <v>48.05</v>
      </c>
      <c r="AN1414" s="23">
        <v>38081.75</v>
      </c>
      <c r="AO1414" s="23">
        <v>47.14</v>
      </c>
      <c r="AP1414" s="23">
        <v>0</v>
      </c>
      <c r="AR1414" s="46"/>
      <c r="AS1414" s="44"/>
      <c r="AT1414" s="45"/>
      <c r="AU1414" s="2">
        <v>44580</v>
      </c>
      <c r="AV1414" s="52">
        <v>0.48958333333333331</v>
      </c>
      <c r="AW1414" s="2" t="s">
        <v>212</v>
      </c>
      <c r="AY1414" s="3"/>
      <c r="BA1414" s="3"/>
      <c r="BG1414" s="3"/>
      <c r="BH1414" s="3"/>
    </row>
    <row r="1415" spans="1:60">
      <c r="A1415" s="23" t="s">
        <v>22</v>
      </c>
      <c r="B1415" s="23" t="s">
        <v>23</v>
      </c>
      <c r="C1415" s="27">
        <v>44581.4375</v>
      </c>
      <c r="D1415" s="23">
        <v>48.35</v>
      </c>
      <c r="E1415" s="27">
        <v>44585.385416666664</v>
      </c>
      <c r="F1415" s="23">
        <v>46.4</v>
      </c>
      <c r="G1415" s="31">
        <v>-4.0300000000000002E-2</v>
      </c>
      <c r="H1415" s="23">
        <v>2041.92</v>
      </c>
      <c r="I1415" s="31">
        <v>4.0300000000000002E-2</v>
      </c>
      <c r="J1415" s="23">
        <v>1047.1369999999999</v>
      </c>
      <c r="K1415" s="23">
        <v>50629.07</v>
      </c>
      <c r="L1415" s="23">
        <v>127748.97</v>
      </c>
      <c r="M1415" s="23">
        <v>52</v>
      </c>
      <c r="N1415" s="23">
        <v>39.270000000000003</v>
      </c>
      <c r="O1415" s="31">
        <v>-3.0999999999999999E-3</v>
      </c>
      <c r="P1415" s="31">
        <v>4.4499999999999998E-2</v>
      </c>
      <c r="Q1415" s="23" t="s">
        <v>24</v>
      </c>
      <c r="R1415" s="23">
        <v>0</v>
      </c>
      <c r="S1415" s="23">
        <v>49.12</v>
      </c>
      <c r="U1415" s="47">
        <f>VLOOKUP(AU1415,[1]expiry_dates!$B$2:$C$2894,2,FALSE)</f>
        <v>44588</v>
      </c>
      <c r="V1415" s="23" t="s">
        <v>106</v>
      </c>
      <c r="W1415" s="23" t="s">
        <v>23</v>
      </c>
      <c r="X1415" s="49">
        <v>44581.4375</v>
      </c>
      <c r="Y1415" s="23">
        <v>1.35</v>
      </c>
      <c r="Z1415" s="23">
        <v>44585.385416666664</v>
      </c>
      <c r="AA1415" s="23">
        <v>0.4</v>
      </c>
      <c r="AB1415" s="23">
        <v>-0.70369999999999999</v>
      </c>
      <c r="AC1415" s="23">
        <v>50853.83</v>
      </c>
      <c r="AD1415" s="23">
        <v>0.70369999999999999</v>
      </c>
      <c r="AE1415" s="23">
        <v>53530.35</v>
      </c>
      <c r="AF1415" s="23">
        <v>72265.98</v>
      </c>
      <c r="AG1415" s="23">
        <v>4500912.49</v>
      </c>
      <c r="AH1415" s="23">
        <v>52</v>
      </c>
      <c r="AI1415" s="23">
        <v>977.96</v>
      </c>
      <c r="AJ1415" s="23">
        <v>-3.6999999999999998E-2</v>
      </c>
      <c r="AK1415" s="23">
        <v>0.70369999999999999</v>
      </c>
      <c r="AL1415" s="23" t="s">
        <v>24</v>
      </c>
      <c r="AM1415" s="23">
        <v>48.35</v>
      </c>
      <c r="AN1415" s="23">
        <v>37919.300000000003</v>
      </c>
      <c r="AO1415" s="23">
        <v>49.12</v>
      </c>
      <c r="AP1415" s="23">
        <v>0</v>
      </c>
      <c r="AR1415" s="46"/>
      <c r="AS1415" s="44"/>
      <c r="AT1415" s="45"/>
      <c r="AU1415" s="2">
        <v>44581</v>
      </c>
      <c r="AV1415" s="52">
        <v>0.4375</v>
      </c>
      <c r="AW1415" s="2" t="s">
        <v>212</v>
      </c>
      <c r="AY1415" s="3"/>
      <c r="BA1415" s="3"/>
      <c r="BG1415" s="3"/>
      <c r="BH1415" s="3"/>
    </row>
    <row r="1416" spans="1:60">
      <c r="A1416" s="23" t="s">
        <v>22</v>
      </c>
      <c r="B1416" s="23" t="s">
        <v>25</v>
      </c>
      <c r="C1416" s="27">
        <v>44585.385416666664</v>
      </c>
      <c r="D1416" s="23">
        <v>46.4</v>
      </c>
      <c r="E1416" s="27">
        <v>44585.395833333336</v>
      </c>
      <c r="F1416" s="23">
        <v>46.35</v>
      </c>
      <c r="G1416" s="31">
        <v>-1.1000000000000001E-3</v>
      </c>
      <c r="H1416" s="23">
        <v>-54.57</v>
      </c>
      <c r="I1416" s="31">
        <v>-1.1000000000000001E-3</v>
      </c>
      <c r="J1416" s="23">
        <v>1091.33</v>
      </c>
      <c r="K1416" s="23">
        <v>50637.7</v>
      </c>
      <c r="L1416" s="23">
        <v>127694.39999999999</v>
      </c>
      <c r="M1416" s="23">
        <v>2</v>
      </c>
      <c r="N1416" s="23">
        <v>-27.28</v>
      </c>
      <c r="O1416" s="31">
        <v>-1.1000000000000001E-3</v>
      </c>
      <c r="P1416" s="31">
        <v>1.29E-2</v>
      </c>
      <c r="Q1416" s="23" t="s">
        <v>24</v>
      </c>
      <c r="R1416" s="23">
        <v>0</v>
      </c>
      <c r="S1416" s="23">
        <v>46.23</v>
      </c>
      <c r="U1416" s="47">
        <f>VLOOKUP(AU1416,[1]expiry_dates!$B$2:$C$2894,2,FALSE)</f>
        <v>44588</v>
      </c>
      <c r="V1416" s="23" t="s">
        <v>107</v>
      </c>
      <c r="W1416" s="23" t="s">
        <v>23</v>
      </c>
      <c r="X1416" s="49">
        <v>44585.385416666664</v>
      </c>
      <c r="Y1416" s="23">
        <v>0.45</v>
      </c>
      <c r="Z1416" s="23">
        <v>44585.395833333336</v>
      </c>
      <c r="AA1416" s="23">
        <v>0.6</v>
      </c>
      <c r="AB1416" s="23">
        <v>0.33329999999999999</v>
      </c>
      <c r="AC1416" s="23">
        <v>-24168.19</v>
      </c>
      <c r="AD1416" s="23">
        <v>-0.33329999999999999</v>
      </c>
      <c r="AE1416" s="23">
        <v>161121.29999999999</v>
      </c>
      <c r="AF1416" s="23">
        <v>72504.56</v>
      </c>
      <c r="AG1416" s="23">
        <v>4476744.3099999996</v>
      </c>
      <c r="AH1416" s="23">
        <v>2</v>
      </c>
      <c r="AI1416" s="23">
        <v>-12084.09</v>
      </c>
      <c r="AJ1416" s="23">
        <v>-0.33329999999999999</v>
      </c>
      <c r="AK1416" s="23">
        <v>0.22220000000000001</v>
      </c>
      <c r="AL1416" s="23" t="s">
        <v>24</v>
      </c>
      <c r="AM1416" s="23">
        <v>46.4</v>
      </c>
      <c r="AN1416" s="23">
        <v>37467.9</v>
      </c>
      <c r="AO1416" s="23">
        <v>46.23</v>
      </c>
      <c r="AP1416" s="23">
        <v>0</v>
      </c>
      <c r="AR1416" s="46"/>
      <c r="AS1416" s="44"/>
      <c r="AT1416" s="45"/>
      <c r="AU1416" s="2">
        <v>44585</v>
      </c>
      <c r="AV1416" s="52">
        <v>0.38541666666666669</v>
      </c>
      <c r="AW1416" s="2" t="s">
        <v>212</v>
      </c>
      <c r="AY1416" s="3"/>
      <c r="BA1416" s="3"/>
      <c r="BG1416" s="3"/>
      <c r="BH1416" s="3"/>
    </row>
    <row r="1417" spans="1:60">
      <c r="A1417" s="23" t="s">
        <v>22</v>
      </c>
      <c r="B1417" s="23" t="s">
        <v>23</v>
      </c>
      <c r="C1417" s="27">
        <v>44585.395833333336</v>
      </c>
      <c r="D1417" s="23">
        <v>46.35</v>
      </c>
      <c r="E1417" s="27">
        <v>44586.385416666664</v>
      </c>
      <c r="F1417" s="23">
        <v>45.1</v>
      </c>
      <c r="G1417" s="31">
        <v>-2.7E-2</v>
      </c>
      <c r="H1417" s="23">
        <v>1365.66</v>
      </c>
      <c r="I1417" s="31">
        <v>2.7E-2</v>
      </c>
      <c r="J1417" s="23">
        <v>1092.53</v>
      </c>
      <c r="K1417" s="23">
        <v>50638.74</v>
      </c>
      <c r="L1417" s="23">
        <v>129060.06</v>
      </c>
      <c r="M1417" s="23">
        <v>28</v>
      </c>
      <c r="N1417" s="23">
        <v>48.77</v>
      </c>
      <c r="O1417" s="31">
        <v>-4.3E-3</v>
      </c>
      <c r="P1417" s="31">
        <v>5.1799999999999999E-2</v>
      </c>
      <c r="Q1417" s="23" t="s">
        <v>24</v>
      </c>
      <c r="R1417" s="23">
        <v>0</v>
      </c>
      <c r="S1417" s="23">
        <v>46.97</v>
      </c>
      <c r="U1417" s="47">
        <f>VLOOKUP(AU1417,[1]expiry_dates!$B$2:$C$2894,2,FALSE)</f>
        <v>44588</v>
      </c>
      <c r="V1417" s="23" t="s">
        <v>110</v>
      </c>
      <c r="W1417" s="23" t="s">
        <v>23</v>
      </c>
      <c r="X1417" s="49">
        <v>44585.395833333336</v>
      </c>
      <c r="Y1417" s="23">
        <v>1</v>
      </c>
      <c r="Z1417" s="23">
        <v>44586.385416666664</v>
      </c>
      <c r="AA1417" s="23">
        <v>0.35</v>
      </c>
      <c r="AB1417" s="23">
        <v>-0.65</v>
      </c>
      <c r="AC1417" s="23">
        <v>47127.97</v>
      </c>
      <c r="AD1417" s="23">
        <v>0.65</v>
      </c>
      <c r="AE1417" s="23">
        <v>72504.56</v>
      </c>
      <c r="AF1417" s="23">
        <v>72504.56</v>
      </c>
      <c r="AG1417" s="23">
        <v>4523872.2699999996</v>
      </c>
      <c r="AH1417" s="23">
        <v>28</v>
      </c>
      <c r="AI1417" s="23">
        <v>1683.14</v>
      </c>
      <c r="AJ1417" s="23">
        <v>-0.15</v>
      </c>
      <c r="AK1417" s="23">
        <v>0.75</v>
      </c>
      <c r="AL1417" s="23" t="s">
        <v>24</v>
      </c>
      <c r="AM1417" s="23">
        <v>46.35</v>
      </c>
      <c r="AN1417" s="23">
        <v>37497.25</v>
      </c>
      <c r="AO1417" s="23">
        <v>46.97</v>
      </c>
      <c r="AP1417" s="23">
        <v>0</v>
      </c>
      <c r="AR1417" s="46"/>
      <c r="AS1417" s="44"/>
      <c r="AT1417" s="45"/>
      <c r="AU1417" s="2">
        <v>44585</v>
      </c>
      <c r="AV1417" s="52">
        <v>0.39583333333333331</v>
      </c>
      <c r="AW1417" s="2" t="s">
        <v>212</v>
      </c>
      <c r="AY1417" s="3"/>
      <c r="BA1417" s="3"/>
      <c r="BG1417" s="3"/>
      <c r="BH1417" s="3"/>
    </row>
    <row r="1418" spans="1:60">
      <c r="A1418" s="23" t="s">
        <v>22</v>
      </c>
      <c r="B1418" s="23" t="s">
        <v>25</v>
      </c>
      <c r="C1418" s="27">
        <v>44586.385416666664</v>
      </c>
      <c r="D1418" s="23">
        <v>45.1</v>
      </c>
      <c r="E1418" s="27">
        <v>44586.520833333336</v>
      </c>
      <c r="F1418" s="23">
        <v>44.9</v>
      </c>
      <c r="G1418" s="31">
        <v>-4.4000000000000003E-3</v>
      </c>
      <c r="H1418" s="23">
        <v>-224.62</v>
      </c>
      <c r="I1418" s="31">
        <v>-4.4000000000000003E-3</v>
      </c>
      <c r="J1418" s="23">
        <v>1123.0889999999999</v>
      </c>
      <c r="K1418" s="23">
        <v>50651.31</v>
      </c>
      <c r="L1418" s="23">
        <v>128835.44</v>
      </c>
      <c r="M1418" s="23">
        <v>14</v>
      </c>
      <c r="N1418" s="23">
        <v>-16.04</v>
      </c>
      <c r="O1418" s="31">
        <v>-2.5499999999999998E-2</v>
      </c>
      <c r="P1418" s="31">
        <v>1.3299999999999999E-2</v>
      </c>
      <c r="Q1418" s="23" t="s">
        <v>24</v>
      </c>
      <c r="R1418" s="23">
        <v>0</v>
      </c>
      <c r="S1418" s="23">
        <v>43.95</v>
      </c>
      <c r="U1418" s="47">
        <f>VLOOKUP(AU1418,[1]expiry_dates!$B$2:$C$2894,2,FALSE)</f>
        <v>44588</v>
      </c>
      <c r="V1418" s="23" t="s">
        <v>109</v>
      </c>
      <c r="W1418" s="23" t="s">
        <v>23</v>
      </c>
      <c r="X1418" s="49">
        <v>44586.385416666664</v>
      </c>
      <c r="Y1418" s="23">
        <v>0.55000000000000004</v>
      </c>
      <c r="Z1418" s="23">
        <v>44586.520833333336</v>
      </c>
      <c r="AA1418" s="23">
        <v>0.5</v>
      </c>
      <c r="AB1418" s="23">
        <v>-9.0899999999999995E-2</v>
      </c>
      <c r="AC1418" s="23">
        <v>6601.76</v>
      </c>
      <c r="AD1418" s="23">
        <v>9.0899999999999995E-2</v>
      </c>
      <c r="AE1418" s="23">
        <v>132035.20000000001</v>
      </c>
      <c r="AF1418" s="23">
        <v>72619.37</v>
      </c>
      <c r="AG1418" s="23">
        <v>4530474.03</v>
      </c>
      <c r="AH1418" s="23">
        <v>14</v>
      </c>
      <c r="AI1418" s="23">
        <v>471.55</v>
      </c>
      <c r="AJ1418" s="23">
        <v>-1.0909</v>
      </c>
      <c r="AK1418" s="23">
        <v>0.54549999999999998</v>
      </c>
      <c r="AL1418" s="23" t="s">
        <v>24</v>
      </c>
      <c r="AM1418" s="23">
        <v>45.1</v>
      </c>
      <c r="AN1418" s="23">
        <v>36873.050000000003</v>
      </c>
      <c r="AO1418" s="23">
        <v>43.95</v>
      </c>
      <c r="AP1418" s="23">
        <v>0</v>
      </c>
      <c r="AR1418" s="46"/>
      <c r="AS1418" s="44"/>
      <c r="AT1418" s="45"/>
      <c r="AU1418" s="2">
        <v>44586</v>
      </c>
      <c r="AV1418" s="52">
        <v>0.38541666666666669</v>
      </c>
      <c r="AW1418" s="2" t="s">
        <v>212</v>
      </c>
      <c r="AY1418" s="3"/>
      <c r="BA1418" s="3"/>
      <c r="BG1418" s="3"/>
      <c r="BH1418" s="3"/>
    </row>
    <row r="1419" spans="1:60">
      <c r="A1419" s="23" t="s">
        <v>22</v>
      </c>
      <c r="B1419" s="23" t="s">
        <v>23</v>
      </c>
      <c r="C1419" s="27">
        <v>44586.520833333336</v>
      </c>
      <c r="D1419" s="23">
        <v>44.9</v>
      </c>
      <c r="E1419" s="27">
        <v>44586.604166666664</v>
      </c>
      <c r="F1419" s="23">
        <v>45.25</v>
      </c>
      <c r="G1419" s="31">
        <v>7.7999999999999996E-3</v>
      </c>
      <c r="H1419" s="23">
        <v>-394.79</v>
      </c>
      <c r="I1419" s="31">
        <v>-7.7999999999999996E-3</v>
      </c>
      <c r="J1419" s="23">
        <v>1127.97</v>
      </c>
      <c r="K1419" s="23">
        <v>50645.86</v>
      </c>
      <c r="L1419" s="23">
        <v>128440.65</v>
      </c>
      <c r="M1419" s="23">
        <v>9</v>
      </c>
      <c r="N1419" s="23">
        <v>-43.87</v>
      </c>
      <c r="O1419" s="31">
        <v>-8.8999999999999999E-3</v>
      </c>
      <c r="P1419" s="31">
        <v>2.2000000000000001E-3</v>
      </c>
      <c r="Q1419" s="23" t="s">
        <v>24</v>
      </c>
      <c r="R1419" s="23">
        <v>0</v>
      </c>
      <c r="S1419" s="23">
        <v>45.7</v>
      </c>
      <c r="U1419" s="47">
        <f>VLOOKUP(AU1419,[1]expiry_dates!$B$2:$C$2894,2,FALSE)</f>
        <v>44588</v>
      </c>
      <c r="V1419" s="23" t="s">
        <v>112</v>
      </c>
      <c r="W1419" s="23" t="s">
        <v>23</v>
      </c>
      <c r="X1419" s="49">
        <v>44586.520833333336</v>
      </c>
      <c r="Y1419" s="23">
        <v>0.5</v>
      </c>
      <c r="Z1419" s="23">
        <v>44586.604166666664</v>
      </c>
      <c r="AA1419" s="23">
        <v>0.6</v>
      </c>
      <c r="AB1419" s="23">
        <v>0.2</v>
      </c>
      <c r="AC1419" s="23">
        <v>-14550.28</v>
      </c>
      <c r="AD1419" s="23">
        <v>-0.2</v>
      </c>
      <c r="AE1419" s="23">
        <v>145502.79999999999</v>
      </c>
      <c r="AF1419" s="23">
        <v>72751.399999999994</v>
      </c>
      <c r="AG1419" s="23">
        <v>4515923.75</v>
      </c>
      <c r="AH1419" s="23">
        <v>9</v>
      </c>
      <c r="AI1419" s="23">
        <v>-1616.7</v>
      </c>
      <c r="AJ1419" s="23">
        <v>-0.5</v>
      </c>
      <c r="AK1419" s="23">
        <v>0.1</v>
      </c>
      <c r="AL1419" s="23" t="s">
        <v>24</v>
      </c>
      <c r="AM1419" s="23">
        <v>44.9</v>
      </c>
      <c r="AN1419" s="23">
        <v>37279.050000000003</v>
      </c>
      <c r="AO1419" s="23">
        <v>45.7</v>
      </c>
      <c r="AP1419" s="23">
        <v>0</v>
      </c>
      <c r="AR1419" s="46"/>
      <c r="AS1419" s="44"/>
      <c r="AT1419" s="45"/>
      <c r="AU1419" s="2">
        <v>44586</v>
      </c>
      <c r="AV1419" s="52">
        <v>0.52083333333333337</v>
      </c>
      <c r="AW1419" s="2" t="s">
        <v>213</v>
      </c>
      <c r="AY1419" s="3"/>
      <c r="BA1419" s="3"/>
      <c r="BG1419" s="3"/>
      <c r="BH1419" s="3"/>
    </row>
    <row r="1420" spans="1:60">
      <c r="A1420" s="23" t="s">
        <v>22</v>
      </c>
      <c r="B1420" s="23" t="s">
        <v>25</v>
      </c>
      <c r="C1420" s="27">
        <v>44586.604166666664</v>
      </c>
      <c r="D1420" s="23">
        <v>45.25</v>
      </c>
      <c r="E1420" s="27">
        <v>44588.385416666664</v>
      </c>
      <c r="F1420" s="23">
        <v>45.1</v>
      </c>
      <c r="G1420" s="31">
        <v>-3.3E-3</v>
      </c>
      <c r="H1420" s="23">
        <v>-167.88</v>
      </c>
      <c r="I1420" s="31">
        <v>-3.3E-3</v>
      </c>
      <c r="J1420" s="23">
        <v>1119.171</v>
      </c>
      <c r="K1420" s="23">
        <v>50642.48</v>
      </c>
      <c r="L1420" s="23">
        <v>128272.78</v>
      </c>
      <c r="M1420" s="23">
        <v>8</v>
      </c>
      <c r="N1420" s="23">
        <v>-20.98</v>
      </c>
      <c r="O1420" s="31">
        <v>-6.6E-3</v>
      </c>
      <c r="P1420" s="31">
        <v>3.3E-3</v>
      </c>
      <c r="Q1420" s="23" t="s">
        <v>24</v>
      </c>
      <c r="R1420" s="23">
        <v>0</v>
      </c>
      <c r="S1420" s="23">
        <v>44.8</v>
      </c>
      <c r="U1420" s="47">
        <f>VLOOKUP(AU1420,[1]expiry_dates!$B$2:$C$2894,2,FALSE)</f>
        <v>44588</v>
      </c>
      <c r="V1420" s="23" t="s">
        <v>109</v>
      </c>
      <c r="W1420" s="23" t="s">
        <v>23</v>
      </c>
      <c r="X1420" s="49">
        <v>44586.604166666664</v>
      </c>
      <c r="Y1420" s="23">
        <v>0.3</v>
      </c>
      <c r="Z1420" s="23">
        <v>44588.385416666664</v>
      </c>
      <c r="AA1420" s="23">
        <v>0.3</v>
      </c>
      <c r="AB1420" s="23">
        <v>0</v>
      </c>
      <c r="AC1420" s="23">
        <v>0</v>
      </c>
      <c r="AD1420" s="23">
        <v>0</v>
      </c>
      <c r="AE1420" s="23">
        <v>241932</v>
      </c>
      <c r="AF1420" s="23">
        <v>72579.62</v>
      </c>
      <c r="AG1420" s="23">
        <v>4515923.75</v>
      </c>
      <c r="AH1420" s="23">
        <v>8</v>
      </c>
      <c r="AI1420" s="23">
        <v>0</v>
      </c>
      <c r="AJ1420" s="23">
        <v>-0.66669999999999996</v>
      </c>
      <c r="AK1420" s="23">
        <v>0.16669999999999999</v>
      </c>
      <c r="AL1420" s="23" t="s">
        <v>24</v>
      </c>
      <c r="AM1420" s="23">
        <v>45.25</v>
      </c>
      <c r="AN1420" s="23">
        <v>37620.25</v>
      </c>
      <c r="AO1420" s="23">
        <v>44.8</v>
      </c>
      <c r="AP1420" s="23">
        <v>0</v>
      </c>
      <c r="AR1420" s="46"/>
      <c r="AS1420" s="44"/>
      <c r="AT1420" s="45"/>
      <c r="AU1420" s="2">
        <v>44586</v>
      </c>
      <c r="AV1420" s="52">
        <v>0.10416666666666667</v>
      </c>
      <c r="AW1420" s="2" t="s">
        <v>213</v>
      </c>
      <c r="AY1420" s="3"/>
      <c r="BA1420" s="3"/>
      <c r="BG1420" s="3"/>
      <c r="BH1420" s="3"/>
    </row>
    <row r="1421" spans="1:60">
      <c r="A1421" s="23" t="s">
        <v>22</v>
      </c>
      <c r="B1421" s="23" t="s">
        <v>23</v>
      </c>
      <c r="C1421" s="27">
        <v>44588.385416666664</v>
      </c>
      <c r="D1421" s="23">
        <v>45.1</v>
      </c>
      <c r="E1421" s="27">
        <v>44588.447916666664</v>
      </c>
      <c r="F1421" s="23">
        <v>44.85</v>
      </c>
      <c r="G1421" s="31">
        <v>-5.4999999999999997E-3</v>
      </c>
      <c r="H1421" s="23">
        <v>280.72000000000003</v>
      </c>
      <c r="I1421" s="31">
        <v>5.4999999999999997E-3</v>
      </c>
      <c r="J1421" s="23">
        <v>1122.8679999999999</v>
      </c>
      <c r="K1421" s="23">
        <v>50641.36</v>
      </c>
      <c r="L1421" s="23">
        <v>128553.5</v>
      </c>
      <c r="M1421" s="23">
        <v>7</v>
      </c>
      <c r="N1421" s="23">
        <v>40.1</v>
      </c>
      <c r="O1421" s="31">
        <v>-4.4000000000000003E-3</v>
      </c>
      <c r="P1421" s="31">
        <v>1.3299999999999999E-2</v>
      </c>
      <c r="Q1421" s="23" t="s">
        <v>24</v>
      </c>
      <c r="R1421" s="23">
        <v>0</v>
      </c>
      <c r="S1421" s="23">
        <v>45.37</v>
      </c>
      <c r="U1421" s="47">
        <f>VLOOKUP(AU1421,[1]expiry_dates!$B$2:$C$2894,2,FALSE)</f>
        <v>44588</v>
      </c>
      <c r="V1421" s="23" t="s">
        <v>112</v>
      </c>
      <c r="W1421" s="23" t="s">
        <v>23</v>
      </c>
      <c r="X1421" s="49">
        <v>44588.385416666664</v>
      </c>
      <c r="Y1421" s="23">
        <v>0.4</v>
      </c>
      <c r="Z1421" s="23">
        <v>44588.447916666664</v>
      </c>
      <c r="AA1421" s="23">
        <v>0.25</v>
      </c>
      <c r="AB1421" s="23">
        <v>-0.375</v>
      </c>
      <c r="AC1421" s="23">
        <v>27194.68</v>
      </c>
      <c r="AD1421" s="23">
        <v>0.375</v>
      </c>
      <c r="AE1421" s="23">
        <v>181297.8</v>
      </c>
      <c r="AF1421" s="23">
        <v>72519.14</v>
      </c>
      <c r="AG1421" s="23">
        <v>4543118.43</v>
      </c>
      <c r="AH1421" s="23">
        <v>7</v>
      </c>
      <c r="AI1421" s="23">
        <v>3884.95</v>
      </c>
      <c r="AJ1421" s="23">
        <v>-0.75</v>
      </c>
      <c r="AK1421" s="23">
        <v>0.5</v>
      </c>
      <c r="AL1421" s="23" t="s">
        <v>24</v>
      </c>
      <c r="AM1421" s="23">
        <v>45.1</v>
      </c>
      <c r="AN1421" s="23">
        <v>37351.949999999997</v>
      </c>
      <c r="AO1421" s="23">
        <v>45.37</v>
      </c>
      <c r="AP1421" s="23">
        <v>0</v>
      </c>
      <c r="AR1421" s="46"/>
      <c r="AS1421" s="44"/>
      <c r="AT1421" s="45"/>
      <c r="AU1421" s="2">
        <v>44588</v>
      </c>
      <c r="AV1421" s="52">
        <v>0.38541666666666669</v>
      </c>
      <c r="AW1421" s="2" t="s">
        <v>212</v>
      </c>
      <c r="AY1421" s="3"/>
      <c r="BA1421" s="3"/>
      <c r="BG1421" s="3"/>
      <c r="BH1421" s="3"/>
    </row>
    <row r="1422" spans="1:60">
      <c r="A1422" s="23" t="s">
        <v>22</v>
      </c>
      <c r="B1422" s="23" t="s">
        <v>25</v>
      </c>
      <c r="C1422" s="27">
        <v>44588.447916666664</v>
      </c>
      <c r="D1422" s="23">
        <v>44.85</v>
      </c>
      <c r="E1422" s="27">
        <v>44588.479166666664</v>
      </c>
      <c r="F1422" s="23">
        <v>44.7</v>
      </c>
      <c r="G1422" s="31">
        <v>-3.3E-3</v>
      </c>
      <c r="H1422" s="23">
        <v>-169.37</v>
      </c>
      <c r="I1422" s="31">
        <v>-3.3E-3</v>
      </c>
      <c r="J1422" s="23">
        <v>1129.127</v>
      </c>
      <c r="K1422" s="23">
        <v>50641.36</v>
      </c>
      <c r="L1422" s="23">
        <v>128384.13</v>
      </c>
      <c r="M1422" s="23">
        <v>4</v>
      </c>
      <c r="N1422" s="23">
        <v>-42.34</v>
      </c>
      <c r="O1422" s="31">
        <v>-5.5999999999999999E-3</v>
      </c>
      <c r="P1422" s="31">
        <v>6.7000000000000002E-3</v>
      </c>
      <c r="Q1422" s="23" t="s">
        <v>24</v>
      </c>
      <c r="R1422" s="23">
        <v>0</v>
      </c>
      <c r="S1422" s="23">
        <v>44.53</v>
      </c>
      <c r="U1422" s="47">
        <f>VLOOKUP(AU1422,[1]expiry_dates!$B$2:$C$2894,2,FALSE)</f>
        <v>44588</v>
      </c>
      <c r="V1422" s="23" t="s">
        <v>111</v>
      </c>
      <c r="W1422" s="23" t="s">
        <v>23</v>
      </c>
      <c r="X1422" s="49">
        <v>44588.447916666664</v>
      </c>
      <c r="Y1422" s="23">
        <v>0.15</v>
      </c>
      <c r="Z1422" s="23">
        <v>44588.479166666664</v>
      </c>
      <c r="AA1422" s="23">
        <v>0.25</v>
      </c>
      <c r="AB1422" s="23">
        <v>0.66669999999999996</v>
      </c>
      <c r="AC1422" s="23">
        <v>-48416.63</v>
      </c>
      <c r="AD1422" s="23">
        <v>-0.66669999999999996</v>
      </c>
      <c r="AE1422" s="23">
        <v>484166.3</v>
      </c>
      <c r="AF1422" s="23">
        <v>72624.95</v>
      </c>
      <c r="AG1422" s="23">
        <v>4494701.8</v>
      </c>
      <c r="AH1422" s="23">
        <v>4</v>
      </c>
      <c r="AI1422" s="23">
        <v>-12104.16</v>
      </c>
      <c r="AJ1422" s="23">
        <v>-0.66669999999999996</v>
      </c>
      <c r="AK1422" s="23">
        <v>0.33329999999999999</v>
      </c>
      <c r="AL1422" s="23" t="s">
        <v>24</v>
      </c>
      <c r="AM1422" s="23">
        <v>44.85</v>
      </c>
      <c r="AN1422" s="23">
        <v>37190.65</v>
      </c>
      <c r="AO1422" s="23">
        <v>44.53</v>
      </c>
      <c r="AP1422" s="23">
        <v>0</v>
      </c>
      <c r="AR1422" s="46"/>
      <c r="AS1422" s="44"/>
      <c r="AT1422" s="45"/>
      <c r="AU1422" s="2">
        <v>44588</v>
      </c>
      <c r="AV1422" s="52">
        <v>0.44791666666666669</v>
      </c>
      <c r="AW1422" s="2" t="s">
        <v>212</v>
      </c>
      <c r="AY1422" s="3"/>
      <c r="BA1422" s="3"/>
      <c r="BG1422" s="3"/>
      <c r="BH1422" s="3"/>
    </row>
    <row r="1423" spans="1:60">
      <c r="A1423" s="23" t="s">
        <v>22</v>
      </c>
      <c r="B1423" s="23" t="s">
        <v>23</v>
      </c>
      <c r="C1423" s="27">
        <v>44588.479166666664</v>
      </c>
      <c r="D1423" s="23">
        <v>44.7</v>
      </c>
      <c r="E1423" s="27">
        <v>44588.541666666664</v>
      </c>
      <c r="F1423" s="23">
        <v>45.05</v>
      </c>
      <c r="G1423" s="31">
        <v>7.7999999999999996E-3</v>
      </c>
      <c r="H1423" s="23">
        <v>-396.52</v>
      </c>
      <c r="I1423" s="31">
        <v>-7.7999999999999996E-3</v>
      </c>
      <c r="J1423" s="23">
        <v>1132.9159999999999</v>
      </c>
      <c r="K1423" s="23">
        <v>50641.36</v>
      </c>
      <c r="L1423" s="23">
        <v>127987.61</v>
      </c>
      <c r="M1423" s="23">
        <v>7</v>
      </c>
      <c r="N1423" s="23">
        <v>-56.65</v>
      </c>
      <c r="O1423" s="31">
        <v>-7.7999999999999996E-3</v>
      </c>
      <c r="P1423" s="31">
        <v>6.7000000000000002E-3</v>
      </c>
      <c r="Q1423" s="23" t="s">
        <v>24</v>
      </c>
      <c r="R1423" s="23">
        <v>0</v>
      </c>
      <c r="S1423" s="23">
        <v>45.13</v>
      </c>
      <c r="U1423" s="47">
        <f>VLOOKUP(AU1423,[1]expiry_dates!$B$2:$C$2894,2,FALSE)</f>
        <v>44588</v>
      </c>
      <c r="V1423" s="23" t="s">
        <v>112</v>
      </c>
      <c r="W1423" s="23" t="s">
        <v>23</v>
      </c>
      <c r="X1423" s="49">
        <v>44588.479166666664</v>
      </c>
      <c r="Y1423" s="23">
        <v>0.25</v>
      </c>
      <c r="Z1423" s="23">
        <v>44588.541666666664</v>
      </c>
      <c r="AA1423" s="23">
        <v>0.3</v>
      </c>
      <c r="AB1423" s="23">
        <v>0.2</v>
      </c>
      <c r="AC1423" s="23">
        <v>-14494.7</v>
      </c>
      <c r="AD1423" s="23">
        <v>-0.2</v>
      </c>
      <c r="AE1423" s="23">
        <v>289894</v>
      </c>
      <c r="AF1423" s="23">
        <v>72473.509999999995</v>
      </c>
      <c r="AG1423" s="23">
        <v>4480207.0999999996</v>
      </c>
      <c r="AH1423" s="23">
        <v>7</v>
      </c>
      <c r="AI1423" s="23">
        <v>-2070.67</v>
      </c>
      <c r="AJ1423" s="23">
        <v>-0.2</v>
      </c>
      <c r="AK1423" s="23">
        <v>0.4</v>
      </c>
      <c r="AL1423" s="23" t="s">
        <v>24</v>
      </c>
      <c r="AM1423" s="23">
        <v>44.7</v>
      </c>
      <c r="AN1423" s="23">
        <v>37169.199999999997</v>
      </c>
      <c r="AO1423" s="23">
        <v>45.13</v>
      </c>
      <c r="AP1423" s="23">
        <v>0</v>
      </c>
      <c r="AR1423" s="46"/>
      <c r="AS1423" s="44"/>
      <c r="AT1423" s="45"/>
      <c r="AU1423" s="2">
        <v>44588</v>
      </c>
      <c r="AV1423" s="52">
        <v>0.47916666666666669</v>
      </c>
      <c r="AW1423" s="2" t="s">
        <v>212</v>
      </c>
      <c r="AY1423" s="3"/>
      <c r="BA1423" s="3"/>
      <c r="BG1423" s="3"/>
      <c r="BH1423" s="3"/>
    </row>
    <row r="1424" spans="1:60">
      <c r="A1424" s="23" t="s">
        <v>22</v>
      </c>
      <c r="B1424" s="23" t="s">
        <v>25</v>
      </c>
      <c r="C1424" s="27">
        <v>44588.541666666664</v>
      </c>
      <c r="D1424" s="23">
        <v>45.05</v>
      </c>
      <c r="E1424" s="27">
        <v>44588.6875</v>
      </c>
      <c r="F1424" s="23">
        <v>45.95</v>
      </c>
      <c r="G1424" s="31">
        <v>0.02</v>
      </c>
      <c r="H1424" s="23">
        <v>1011.7</v>
      </c>
      <c r="I1424" s="31">
        <v>0.02</v>
      </c>
      <c r="J1424" s="23">
        <v>1124.114</v>
      </c>
      <c r="K1424" s="23">
        <v>50641.35</v>
      </c>
      <c r="L1424" s="23">
        <v>128999.31</v>
      </c>
      <c r="M1424" s="23">
        <v>12</v>
      </c>
      <c r="N1424" s="23">
        <v>84.31</v>
      </c>
      <c r="O1424" s="31">
        <v>-6.7000000000000002E-3</v>
      </c>
      <c r="P1424" s="31">
        <v>0.03</v>
      </c>
      <c r="Q1424" s="23" t="s">
        <v>24</v>
      </c>
      <c r="R1424" s="23">
        <v>0</v>
      </c>
      <c r="S1424" s="23">
        <v>44.41</v>
      </c>
      <c r="U1424" s="47">
        <f>VLOOKUP(AU1424,[1]expiry_dates!$B$2:$C$2894,2,FALSE)</f>
        <v>44588</v>
      </c>
      <c r="V1424" s="23" t="s">
        <v>109</v>
      </c>
      <c r="W1424" s="23" t="s">
        <v>23</v>
      </c>
      <c r="X1424" s="49">
        <v>44588.541666666664</v>
      </c>
      <c r="Y1424" s="23">
        <v>0.25</v>
      </c>
      <c r="Z1424" s="23">
        <v>44588.6875</v>
      </c>
      <c r="AA1424" s="23">
        <v>0.05</v>
      </c>
      <c r="AB1424" s="23">
        <v>-0.8</v>
      </c>
      <c r="AC1424" s="23">
        <v>58036.79</v>
      </c>
      <c r="AD1424" s="23">
        <v>0.8</v>
      </c>
      <c r="AE1424" s="23">
        <v>290183.90000000002</v>
      </c>
      <c r="AF1424" s="23">
        <v>72545.98</v>
      </c>
      <c r="AG1424" s="23">
        <v>4538243.8899999997</v>
      </c>
      <c r="AH1424" s="23">
        <v>12</v>
      </c>
      <c r="AI1424" s="23">
        <v>4836.3999999999996</v>
      </c>
      <c r="AJ1424" s="23">
        <v>-0.6</v>
      </c>
      <c r="AK1424" s="23">
        <v>0.8</v>
      </c>
      <c r="AL1424" s="23" t="s">
        <v>24</v>
      </c>
      <c r="AM1424" s="23">
        <v>45.05</v>
      </c>
      <c r="AN1424" s="23">
        <v>37613.449999999997</v>
      </c>
      <c r="AO1424" s="23">
        <v>44.41</v>
      </c>
      <c r="AP1424" s="23">
        <v>0</v>
      </c>
      <c r="AR1424" s="46"/>
      <c r="AS1424" s="44"/>
      <c r="AT1424" s="45"/>
      <c r="AU1424" s="2">
        <v>44588</v>
      </c>
      <c r="AV1424" s="52">
        <v>4.1666666666666664E-2</v>
      </c>
      <c r="AW1424" s="2" t="s">
        <v>213</v>
      </c>
      <c r="AY1424" s="3"/>
      <c r="BA1424" s="3"/>
      <c r="BG1424" s="3"/>
      <c r="BH1424" s="3"/>
    </row>
    <row r="1425" spans="1:60">
      <c r="A1425" s="23" t="s">
        <v>22</v>
      </c>
      <c r="B1425" s="23" t="s">
        <v>25</v>
      </c>
      <c r="C1425" s="27">
        <v>44589.385416666664</v>
      </c>
      <c r="D1425" s="23">
        <v>46.9</v>
      </c>
      <c r="E1425" s="27">
        <v>44589.583333333336</v>
      </c>
      <c r="F1425" s="23">
        <v>46.6</v>
      </c>
      <c r="G1425" s="31">
        <v>-6.4000000000000003E-3</v>
      </c>
      <c r="H1425" s="23">
        <v>-323.95999999999998</v>
      </c>
      <c r="I1425" s="31">
        <v>-6.4000000000000003E-3</v>
      </c>
      <c r="J1425" s="23">
        <v>1079.8510000000001</v>
      </c>
      <c r="K1425" s="23">
        <v>50644.99</v>
      </c>
      <c r="L1425" s="23">
        <v>128675.35</v>
      </c>
      <c r="M1425" s="23">
        <v>20</v>
      </c>
      <c r="N1425" s="23">
        <v>-16.2</v>
      </c>
      <c r="O1425" s="31">
        <v>-1.17E-2</v>
      </c>
      <c r="P1425" s="31">
        <v>1.2800000000000001E-2</v>
      </c>
      <c r="Q1425" s="23" t="s">
        <v>24</v>
      </c>
      <c r="R1425" s="23">
        <v>0</v>
      </c>
      <c r="S1425" s="23">
        <v>45.17</v>
      </c>
      <c r="U1425" s="47">
        <f>VLOOKUP(AU1425,[1]expiry_dates!$B$2:$C$2894,2,FALSE)</f>
        <v>44616</v>
      </c>
      <c r="V1425" s="23" t="s">
        <v>105</v>
      </c>
      <c r="W1425" s="23" t="s">
        <v>23</v>
      </c>
      <c r="X1425" s="49">
        <v>44589.385416666664</v>
      </c>
      <c r="Y1425" s="23">
        <v>2.2000000000000002</v>
      </c>
      <c r="Z1425" s="23">
        <v>44589.583333333336</v>
      </c>
      <c r="AA1425" s="23">
        <v>2.2000000000000002</v>
      </c>
      <c r="AB1425" s="23">
        <v>0</v>
      </c>
      <c r="AC1425" s="23">
        <v>0</v>
      </c>
      <c r="AD1425" s="23">
        <v>0</v>
      </c>
      <c r="AE1425" s="23">
        <v>33041.46</v>
      </c>
      <c r="AF1425" s="23">
        <v>72691.22</v>
      </c>
      <c r="AG1425" s="23">
        <v>4538243.8899999997</v>
      </c>
      <c r="AH1425" s="23">
        <v>20</v>
      </c>
      <c r="AI1425" s="23">
        <v>0</v>
      </c>
      <c r="AJ1425" s="23">
        <v>-2.2700000000000001E-2</v>
      </c>
      <c r="AK1425" s="23">
        <v>0.18179999999999999</v>
      </c>
      <c r="AL1425" s="23" t="s">
        <v>24</v>
      </c>
      <c r="AM1425" s="23">
        <v>46.9</v>
      </c>
      <c r="AN1425" s="23">
        <v>38221.699999999997</v>
      </c>
      <c r="AO1425" s="23">
        <v>45.17</v>
      </c>
      <c r="AP1425" s="23">
        <v>0</v>
      </c>
      <c r="AR1425" s="46"/>
      <c r="AS1425" s="44"/>
      <c r="AT1425" s="45"/>
      <c r="AU1425" s="2">
        <v>44589</v>
      </c>
      <c r="AV1425" s="52">
        <v>0.38541666666666669</v>
      </c>
      <c r="AW1425" s="2" t="s">
        <v>212</v>
      </c>
      <c r="AY1425" s="3"/>
      <c r="BA1425" s="3"/>
      <c r="BG1425" s="3"/>
      <c r="BH1425" s="3"/>
    </row>
    <row r="1426" spans="1:60">
      <c r="A1426" s="23" t="s">
        <v>22</v>
      </c>
      <c r="B1426" s="23" t="s">
        <v>23</v>
      </c>
      <c r="C1426" s="27">
        <v>44589.583333333336</v>
      </c>
      <c r="D1426" s="23">
        <v>46.6</v>
      </c>
      <c r="E1426" s="27">
        <v>44592.385416666664</v>
      </c>
      <c r="F1426" s="23">
        <v>47.05</v>
      </c>
      <c r="G1426" s="31">
        <v>9.7000000000000003E-3</v>
      </c>
      <c r="H1426" s="23">
        <v>-489.06</v>
      </c>
      <c r="I1426" s="31">
        <v>-9.7000000000000003E-3</v>
      </c>
      <c r="J1426" s="23">
        <v>1086.8019999999999</v>
      </c>
      <c r="K1426" s="23">
        <v>50645</v>
      </c>
      <c r="L1426" s="23">
        <v>128186.29</v>
      </c>
      <c r="M1426" s="23">
        <v>10</v>
      </c>
      <c r="N1426" s="23">
        <v>-48.91</v>
      </c>
      <c r="O1426" s="31">
        <v>-3.3300000000000003E-2</v>
      </c>
      <c r="P1426" s="31">
        <v>4.3E-3</v>
      </c>
      <c r="Q1426" s="23" t="s">
        <v>24</v>
      </c>
      <c r="R1426" s="23">
        <v>0</v>
      </c>
      <c r="S1426" s="23">
        <v>47.48</v>
      </c>
      <c r="U1426" s="47">
        <f>VLOOKUP(AU1426,[1]expiry_dates!$B$2:$C$2894,2,FALSE)</f>
        <v>44616</v>
      </c>
      <c r="V1426" s="23" t="s">
        <v>104</v>
      </c>
      <c r="W1426" s="23" t="s">
        <v>23</v>
      </c>
      <c r="X1426" s="49">
        <v>44589.583333333336</v>
      </c>
      <c r="Y1426" s="23">
        <v>2.1</v>
      </c>
      <c r="Z1426" s="23">
        <v>44592.385416666664</v>
      </c>
      <c r="AA1426" s="23">
        <v>2.2000000000000002</v>
      </c>
      <c r="AB1426" s="23">
        <v>4.7600000000000003E-2</v>
      </c>
      <c r="AC1426" s="23">
        <v>-3462.67</v>
      </c>
      <c r="AD1426" s="23">
        <v>-4.7600000000000003E-2</v>
      </c>
      <c r="AE1426" s="23">
        <v>34626.67</v>
      </c>
      <c r="AF1426" s="23">
        <v>72716</v>
      </c>
      <c r="AG1426" s="23">
        <v>4534781.22</v>
      </c>
      <c r="AH1426" s="23">
        <v>10</v>
      </c>
      <c r="AI1426" s="23">
        <v>-346.27</v>
      </c>
      <c r="AJ1426" s="23">
        <v>-0.21429999999999999</v>
      </c>
      <c r="AK1426" s="23">
        <v>4.7600000000000003E-2</v>
      </c>
      <c r="AL1426" s="23" t="s">
        <v>24</v>
      </c>
      <c r="AM1426" s="23">
        <v>46.6</v>
      </c>
      <c r="AN1426" s="23">
        <v>37854.1</v>
      </c>
      <c r="AO1426" s="23">
        <v>47.48</v>
      </c>
      <c r="AP1426" s="23">
        <v>0</v>
      </c>
      <c r="AR1426" s="46"/>
      <c r="AS1426" s="44"/>
      <c r="AT1426" s="45"/>
      <c r="AU1426" s="2">
        <v>44589</v>
      </c>
      <c r="AV1426" s="52">
        <v>8.3333333333333329E-2</v>
      </c>
      <c r="AW1426" s="2" t="s">
        <v>213</v>
      </c>
      <c r="AY1426" s="3"/>
      <c r="BA1426" s="3"/>
      <c r="BG1426" s="3"/>
      <c r="BH1426" s="3"/>
    </row>
    <row r="1427" spans="1:60">
      <c r="A1427" s="23" t="s">
        <v>22</v>
      </c>
      <c r="B1427" s="23" t="s">
        <v>25</v>
      </c>
      <c r="C1427" s="27">
        <v>44592.385416666664</v>
      </c>
      <c r="D1427" s="23">
        <v>47.05</v>
      </c>
      <c r="E1427" s="27">
        <v>44592.520833333336</v>
      </c>
      <c r="F1427" s="23">
        <v>47.25</v>
      </c>
      <c r="G1427" s="31">
        <v>4.3E-3</v>
      </c>
      <c r="H1427" s="23">
        <v>215.24</v>
      </c>
      <c r="I1427" s="31">
        <v>4.3E-3</v>
      </c>
      <c r="J1427" s="23">
        <v>1076.212</v>
      </c>
      <c r="K1427" s="23">
        <v>50635.77</v>
      </c>
      <c r="L1427" s="23">
        <v>128401.53</v>
      </c>
      <c r="M1427" s="23">
        <v>14</v>
      </c>
      <c r="N1427" s="23">
        <v>15.37</v>
      </c>
      <c r="O1427" s="31">
        <v>-6.4000000000000003E-3</v>
      </c>
      <c r="P1427" s="31">
        <v>2.4400000000000002E-2</v>
      </c>
      <c r="Q1427" s="23" t="s">
        <v>24</v>
      </c>
      <c r="R1427" s="23">
        <v>0</v>
      </c>
      <c r="S1427" s="23">
        <v>46.5</v>
      </c>
      <c r="U1427" s="47">
        <f>VLOOKUP(AU1427,[1]expiry_dates!$B$2:$C$2894,2,FALSE)</f>
        <v>44616</v>
      </c>
      <c r="V1427" s="23" t="s">
        <v>105</v>
      </c>
      <c r="W1427" s="23" t="s">
        <v>23</v>
      </c>
      <c r="X1427" s="49">
        <v>44592.385416666664</v>
      </c>
      <c r="Y1427" s="23">
        <v>2.0499999999999998</v>
      </c>
      <c r="Z1427" s="23">
        <v>44592.520833333336</v>
      </c>
      <c r="AA1427" s="23">
        <v>1.8</v>
      </c>
      <c r="AB1427" s="23">
        <v>-0.122</v>
      </c>
      <c r="AC1427" s="23">
        <v>8863.73</v>
      </c>
      <c r="AD1427" s="23">
        <v>0.122</v>
      </c>
      <c r="AE1427" s="23">
        <v>35454.910000000003</v>
      </c>
      <c r="AF1427" s="23">
        <v>72682.559999999998</v>
      </c>
      <c r="AG1427" s="23">
        <v>4543644.95</v>
      </c>
      <c r="AH1427" s="23">
        <v>14</v>
      </c>
      <c r="AI1427" s="23">
        <v>633.12</v>
      </c>
      <c r="AJ1427" s="23">
        <v>-7.3200000000000001E-2</v>
      </c>
      <c r="AK1427" s="23">
        <v>0.24390000000000001</v>
      </c>
      <c r="AL1427" s="23" t="s">
        <v>24</v>
      </c>
      <c r="AM1427" s="23">
        <v>47.05</v>
      </c>
      <c r="AN1427" s="23">
        <v>37991.300000000003</v>
      </c>
      <c r="AO1427" s="23">
        <v>46.5</v>
      </c>
      <c r="AP1427" s="23">
        <v>0</v>
      </c>
      <c r="AR1427" s="46"/>
      <c r="AS1427" s="44"/>
      <c r="AT1427" s="45"/>
      <c r="AU1427" s="2">
        <v>44592</v>
      </c>
      <c r="AV1427" s="52">
        <v>0.38541666666666669</v>
      </c>
      <c r="AW1427" s="2" t="s">
        <v>212</v>
      </c>
      <c r="AY1427" s="3"/>
      <c r="BA1427" s="3"/>
      <c r="BG1427" s="3"/>
      <c r="BH1427" s="3"/>
    </row>
    <row r="1428" spans="1:60">
      <c r="A1428" s="23" t="s">
        <v>22</v>
      </c>
      <c r="B1428" s="23" t="s">
        <v>23</v>
      </c>
      <c r="C1428" s="27">
        <v>44592.520833333336</v>
      </c>
      <c r="D1428" s="23">
        <v>47.25</v>
      </c>
      <c r="E1428" s="27">
        <v>44593.395833333336</v>
      </c>
      <c r="F1428" s="23">
        <v>47.4</v>
      </c>
      <c r="G1428" s="31">
        <v>3.2000000000000002E-3</v>
      </c>
      <c r="H1428" s="23">
        <v>-160.77000000000001</v>
      </c>
      <c r="I1428" s="31">
        <v>-3.2000000000000002E-3</v>
      </c>
      <c r="J1428" s="23">
        <v>1071.8230000000001</v>
      </c>
      <c r="K1428" s="23">
        <v>50643.62</v>
      </c>
      <c r="L1428" s="23">
        <v>128240.76</v>
      </c>
      <c r="M1428" s="23">
        <v>17</v>
      </c>
      <c r="N1428" s="23">
        <v>-9.4600000000000009</v>
      </c>
      <c r="O1428" s="31">
        <v>-7.4000000000000003E-3</v>
      </c>
      <c r="P1428" s="31">
        <v>1.38E-2</v>
      </c>
      <c r="Q1428" s="23" t="s">
        <v>24</v>
      </c>
      <c r="R1428" s="23">
        <v>0</v>
      </c>
      <c r="S1428" s="23">
        <v>48.18</v>
      </c>
      <c r="U1428" s="47">
        <f>VLOOKUP(AU1428,[1]expiry_dates!$B$2:$C$2894,2,FALSE)</f>
        <v>44616</v>
      </c>
      <c r="V1428" s="23" t="s">
        <v>104</v>
      </c>
      <c r="W1428" s="23" t="s">
        <v>23</v>
      </c>
      <c r="X1428" s="49">
        <v>44592.520833333336</v>
      </c>
      <c r="Y1428" s="23">
        <v>2.25</v>
      </c>
      <c r="Z1428" s="23">
        <v>44593.395833333336</v>
      </c>
      <c r="AA1428" s="23">
        <v>2.2999999999999998</v>
      </c>
      <c r="AB1428" s="23">
        <v>2.2200000000000001E-2</v>
      </c>
      <c r="AC1428" s="23">
        <v>-1616.55</v>
      </c>
      <c r="AD1428" s="23">
        <v>-2.2200000000000001E-2</v>
      </c>
      <c r="AE1428" s="23">
        <v>32331.03</v>
      </c>
      <c r="AF1428" s="23">
        <v>72744.81</v>
      </c>
      <c r="AG1428" s="23">
        <v>4542028.4000000004</v>
      </c>
      <c r="AH1428" s="23">
        <v>17</v>
      </c>
      <c r="AI1428" s="23">
        <v>-95.09</v>
      </c>
      <c r="AJ1428" s="23">
        <v>-6.6699999999999995E-2</v>
      </c>
      <c r="AK1428" s="23">
        <v>0.1111</v>
      </c>
      <c r="AL1428" s="23" t="s">
        <v>24</v>
      </c>
      <c r="AM1428" s="23">
        <v>47.25</v>
      </c>
      <c r="AN1428" s="23">
        <v>37958.6</v>
      </c>
      <c r="AO1428" s="23">
        <v>48.18</v>
      </c>
      <c r="AP1428" s="23">
        <v>0</v>
      </c>
      <c r="AR1428" s="46"/>
      <c r="AS1428" s="44"/>
      <c r="AT1428" s="45"/>
      <c r="AU1428" s="2">
        <v>44592</v>
      </c>
      <c r="AV1428" s="52">
        <v>0.52083333333333337</v>
      </c>
      <c r="AW1428" s="2" t="s">
        <v>213</v>
      </c>
      <c r="AY1428" s="3"/>
      <c r="BA1428" s="3"/>
      <c r="BG1428" s="3"/>
      <c r="BH1428" s="3"/>
    </row>
    <row r="1429" spans="1:60">
      <c r="A1429" s="23" t="s">
        <v>22</v>
      </c>
      <c r="B1429" s="23" t="s">
        <v>25</v>
      </c>
      <c r="C1429" s="27">
        <v>44593.395833333336</v>
      </c>
      <c r="D1429" s="23">
        <v>47.4</v>
      </c>
      <c r="E1429" s="27">
        <v>44593.479166666664</v>
      </c>
      <c r="F1429" s="23">
        <v>47.1</v>
      </c>
      <c r="G1429" s="31">
        <v>-6.3E-3</v>
      </c>
      <c r="H1429" s="23">
        <v>-320.52</v>
      </c>
      <c r="I1429" s="31">
        <v>-6.3E-3</v>
      </c>
      <c r="J1429" s="23">
        <v>1068.3969999999999</v>
      </c>
      <c r="K1429" s="23">
        <v>50642.01</v>
      </c>
      <c r="L1429" s="23">
        <v>127920.24</v>
      </c>
      <c r="M1429" s="23">
        <v>9</v>
      </c>
      <c r="N1429" s="23">
        <v>-35.61</v>
      </c>
      <c r="O1429" s="31">
        <v>-6.3E-3</v>
      </c>
      <c r="P1429" s="31">
        <v>5.3E-3</v>
      </c>
      <c r="Q1429" s="23" t="s">
        <v>24</v>
      </c>
      <c r="R1429" s="23">
        <v>0</v>
      </c>
      <c r="S1429" s="23">
        <v>46.64</v>
      </c>
      <c r="U1429" s="47">
        <f>VLOOKUP(AU1429,[1]expiry_dates!$B$2:$C$2894,2,FALSE)</f>
        <v>44616</v>
      </c>
      <c r="V1429" s="23" t="s">
        <v>105</v>
      </c>
      <c r="W1429" s="23" t="s">
        <v>23</v>
      </c>
      <c r="X1429" s="49">
        <v>44593.395833333336</v>
      </c>
      <c r="Y1429" s="23">
        <v>1.7</v>
      </c>
      <c r="Z1429" s="23">
        <v>44593.479166666664</v>
      </c>
      <c r="AA1429" s="23">
        <v>1.9</v>
      </c>
      <c r="AB1429" s="23">
        <v>0.1176</v>
      </c>
      <c r="AC1429" s="23">
        <v>-8555.09</v>
      </c>
      <c r="AD1429" s="23">
        <v>-0.1176</v>
      </c>
      <c r="AE1429" s="23">
        <v>42775.43</v>
      </c>
      <c r="AF1429" s="23">
        <v>72718.23</v>
      </c>
      <c r="AG1429" s="23">
        <v>4533473.3099999996</v>
      </c>
      <c r="AH1429" s="23">
        <v>9</v>
      </c>
      <c r="AI1429" s="23">
        <v>-950.57</v>
      </c>
      <c r="AJ1429" s="23">
        <v>-0.1176</v>
      </c>
      <c r="AK1429" s="23">
        <v>5.8799999999999998E-2</v>
      </c>
      <c r="AL1429" s="23" t="s">
        <v>24</v>
      </c>
      <c r="AM1429" s="23">
        <v>47.4</v>
      </c>
      <c r="AN1429" s="23">
        <v>38669.35</v>
      </c>
      <c r="AO1429" s="23">
        <v>46.64</v>
      </c>
      <c r="AP1429" s="23">
        <v>0</v>
      </c>
      <c r="AR1429" s="46"/>
      <c r="AS1429" s="44"/>
      <c r="AT1429" s="45"/>
      <c r="AU1429" s="2">
        <v>44593</v>
      </c>
      <c r="AV1429" s="52">
        <v>0.39583333333333331</v>
      </c>
      <c r="AW1429" s="2" t="s">
        <v>212</v>
      </c>
      <c r="AY1429" s="3"/>
      <c r="BA1429" s="3"/>
      <c r="BG1429" s="3"/>
      <c r="BH1429" s="3"/>
    </row>
    <row r="1430" spans="1:60">
      <c r="A1430" s="23" t="s">
        <v>22</v>
      </c>
      <c r="B1430" s="23" t="s">
        <v>23</v>
      </c>
      <c r="C1430" s="27">
        <v>44593.479166666664</v>
      </c>
      <c r="D1430" s="23">
        <v>47.1</v>
      </c>
      <c r="E1430" s="27">
        <v>44593.5</v>
      </c>
      <c r="F1430" s="23">
        <v>47.4</v>
      </c>
      <c r="G1430" s="31">
        <v>6.4000000000000003E-3</v>
      </c>
      <c r="H1430" s="23">
        <v>-322.55</v>
      </c>
      <c r="I1430" s="31">
        <v>-6.4000000000000003E-3</v>
      </c>
      <c r="J1430" s="23">
        <v>1075.1679999999999</v>
      </c>
      <c r="K1430" s="23">
        <v>50640.4</v>
      </c>
      <c r="L1430" s="23">
        <v>127597.69</v>
      </c>
      <c r="M1430" s="23">
        <v>3</v>
      </c>
      <c r="N1430" s="23">
        <v>-107.52</v>
      </c>
      <c r="O1430" s="31">
        <v>-9.5999999999999992E-3</v>
      </c>
      <c r="P1430" s="31">
        <v>4.1999999999999997E-3</v>
      </c>
      <c r="Q1430" s="23" t="s">
        <v>24</v>
      </c>
      <c r="R1430" s="23">
        <v>0</v>
      </c>
      <c r="S1430" s="23">
        <v>47.64</v>
      </c>
      <c r="U1430" s="47">
        <f>VLOOKUP(AU1430,[1]expiry_dates!$B$2:$C$2894,2,FALSE)</f>
        <v>44616</v>
      </c>
      <c r="V1430" s="23" t="s">
        <v>104</v>
      </c>
      <c r="W1430" s="23" t="s">
        <v>23</v>
      </c>
      <c r="X1430" s="49">
        <v>44593.479166666664</v>
      </c>
      <c r="Y1430" s="23">
        <v>2.1</v>
      </c>
      <c r="Z1430" s="23">
        <v>44593.5</v>
      </c>
      <c r="AA1430" s="23">
        <v>2.25</v>
      </c>
      <c r="AB1430" s="23">
        <v>7.1400000000000005E-2</v>
      </c>
      <c r="AC1430" s="23">
        <v>-5192.05</v>
      </c>
      <c r="AD1430" s="23">
        <v>-7.1400000000000005E-2</v>
      </c>
      <c r="AE1430" s="23">
        <v>34613.699999999997</v>
      </c>
      <c r="AF1430" s="23">
        <v>72688.759999999995</v>
      </c>
      <c r="AG1430" s="23">
        <v>4528281.26</v>
      </c>
      <c r="AH1430" s="23">
        <v>3</v>
      </c>
      <c r="AI1430" s="23">
        <v>-1730.68</v>
      </c>
      <c r="AJ1430" s="23">
        <v>-9.5200000000000007E-2</v>
      </c>
      <c r="AK1430" s="23">
        <v>7.1400000000000005E-2</v>
      </c>
      <c r="AL1430" s="23" t="s">
        <v>24</v>
      </c>
      <c r="AM1430" s="23">
        <v>47.1</v>
      </c>
      <c r="AN1430" s="23">
        <v>38410.800000000003</v>
      </c>
      <c r="AO1430" s="23">
        <v>47.64</v>
      </c>
      <c r="AP1430" s="23">
        <v>0</v>
      </c>
      <c r="AR1430" s="46"/>
      <c r="AS1430" s="44"/>
      <c r="AT1430" s="45"/>
      <c r="AU1430" s="2">
        <v>44593</v>
      </c>
      <c r="AV1430" s="52">
        <v>0.47916666666666669</v>
      </c>
      <c r="AW1430" s="2" t="s">
        <v>212</v>
      </c>
      <c r="AY1430" s="3"/>
      <c r="BA1430" s="3"/>
      <c r="BG1430" s="3"/>
      <c r="BH1430" s="3"/>
    </row>
    <row r="1431" spans="1:60">
      <c r="A1431" s="23" t="s">
        <v>22</v>
      </c>
      <c r="B1431" s="23" t="s">
        <v>25</v>
      </c>
      <c r="C1431" s="27">
        <v>44593.5</v>
      </c>
      <c r="D1431" s="23">
        <v>47.4</v>
      </c>
      <c r="E1431" s="27">
        <v>44593.520833333336</v>
      </c>
      <c r="F1431" s="23">
        <v>47.4</v>
      </c>
      <c r="G1431" s="31">
        <v>0</v>
      </c>
      <c r="H1431" s="23">
        <v>0</v>
      </c>
      <c r="I1431" s="31">
        <v>0</v>
      </c>
      <c r="J1431" s="23">
        <v>1068.3009999999999</v>
      </c>
      <c r="K1431" s="23">
        <v>50637.45</v>
      </c>
      <c r="L1431" s="23">
        <v>127597.69</v>
      </c>
      <c r="M1431" s="23">
        <v>3</v>
      </c>
      <c r="N1431" s="23">
        <v>0</v>
      </c>
      <c r="O1431" s="31">
        <v>-1.1000000000000001E-3</v>
      </c>
      <c r="P1431" s="31">
        <v>4.1999999999999997E-3</v>
      </c>
      <c r="Q1431" s="23" t="s">
        <v>24</v>
      </c>
      <c r="R1431" s="23">
        <v>0</v>
      </c>
      <c r="S1431" s="23">
        <v>46.93</v>
      </c>
      <c r="U1431" s="47">
        <f>VLOOKUP(AU1431,[1]expiry_dates!$B$2:$C$2894,2,FALSE)</f>
        <v>44616</v>
      </c>
      <c r="V1431" s="23" t="s">
        <v>107</v>
      </c>
      <c r="W1431" s="23" t="s">
        <v>23</v>
      </c>
      <c r="X1431" s="49">
        <v>44593.5</v>
      </c>
      <c r="Y1431" s="23">
        <v>1.1499999999999999</v>
      </c>
      <c r="Z1431" s="23">
        <v>44593.520833333336</v>
      </c>
      <c r="AA1431" s="23">
        <v>1.2</v>
      </c>
      <c r="AB1431" s="23">
        <v>4.3499999999999997E-2</v>
      </c>
      <c r="AC1431" s="23">
        <v>-3157.95</v>
      </c>
      <c r="AD1431" s="23">
        <v>-4.3499999999999997E-2</v>
      </c>
      <c r="AE1431" s="23">
        <v>63158.92</v>
      </c>
      <c r="AF1431" s="23">
        <v>72632.759999999995</v>
      </c>
      <c r="AG1431" s="23">
        <v>4525123.3099999996</v>
      </c>
      <c r="AH1431" s="23">
        <v>3</v>
      </c>
      <c r="AI1431" s="23">
        <v>-1052.6500000000001</v>
      </c>
      <c r="AJ1431" s="23">
        <v>-4.3499999999999997E-2</v>
      </c>
      <c r="AK1431" s="23">
        <v>4.3499999999999997E-2</v>
      </c>
      <c r="AL1431" s="23" t="s">
        <v>24</v>
      </c>
      <c r="AM1431" s="23">
        <v>47.4</v>
      </c>
      <c r="AN1431" s="23">
        <v>38605</v>
      </c>
      <c r="AO1431" s="23">
        <v>46.93</v>
      </c>
      <c r="AP1431" s="23">
        <v>0</v>
      </c>
      <c r="AR1431" s="46"/>
      <c r="AS1431" s="44"/>
      <c r="AT1431" s="45"/>
      <c r="AU1431" s="2">
        <v>44593</v>
      </c>
      <c r="AV1431" s="52">
        <v>0.5</v>
      </c>
      <c r="AW1431" s="2" t="s">
        <v>213</v>
      </c>
      <c r="AY1431" s="3"/>
      <c r="BA1431" s="3"/>
      <c r="BG1431" s="3"/>
      <c r="BH1431" s="3"/>
    </row>
    <row r="1432" spans="1:60">
      <c r="A1432" s="23" t="s">
        <v>22</v>
      </c>
      <c r="B1432" s="23" t="s">
        <v>23</v>
      </c>
      <c r="C1432" s="27">
        <v>44593.520833333336</v>
      </c>
      <c r="D1432" s="23">
        <v>47.4</v>
      </c>
      <c r="E1432" s="27">
        <v>44593.572916666664</v>
      </c>
      <c r="F1432" s="23">
        <v>47.4</v>
      </c>
      <c r="G1432" s="31">
        <v>0</v>
      </c>
      <c r="H1432" s="23">
        <v>0</v>
      </c>
      <c r="I1432" s="31">
        <v>0</v>
      </c>
      <c r="J1432" s="23">
        <v>1068.3230000000001</v>
      </c>
      <c r="K1432" s="23">
        <v>50638.52</v>
      </c>
      <c r="L1432" s="23">
        <v>127597.69</v>
      </c>
      <c r="M1432" s="23">
        <v>6</v>
      </c>
      <c r="N1432" s="23">
        <v>0</v>
      </c>
      <c r="O1432" s="31">
        <v>-4.1999999999999997E-3</v>
      </c>
      <c r="P1432" s="31">
        <v>1.6899999999999998E-2</v>
      </c>
      <c r="Q1432" s="23" t="s">
        <v>24</v>
      </c>
      <c r="R1432" s="23">
        <v>0</v>
      </c>
      <c r="S1432" s="23">
        <v>47.6</v>
      </c>
      <c r="U1432" s="47">
        <f>VLOOKUP(AU1432,[1]expiry_dates!$B$2:$C$2894,2,FALSE)</f>
        <v>44616</v>
      </c>
      <c r="V1432" s="23" t="s">
        <v>104</v>
      </c>
      <c r="W1432" s="23" t="s">
        <v>23</v>
      </c>
      <c r="X1432" s="49">
        <v>44593.520833333336</v>
      </c>
      <c r="Y1432" s="23">
        <v>2.2000000000000002</v>
      </c>
      <c r="Z1432" s="23">
        <v>44593.572916666664</v>
      </c>
      <c r="AA1432" s="23">
        <v>2.15</v>
      </c>
      <c r="AB1432" s="23">
        <v>-2.2700000000000001E-2</v>
      </c>
      <c r="AC1432" s="23">
        <v>1650.94</v>
      </c>
      <c r="AD1432" s="23">
        <v>2.2700000000000001E-2</v>
      </c>
      <c r="AE1432" s="23">
        <v>33018.82</v>
      </c>
      <c r="AF1432" s="23">
        <v>72641.41</v>
      </c>
      <c r="AG1432" s="23">
        <v>4526774.25</v>
      </c>
      <c r="AH1432" s="23">
        <v>6</v>
      </c>
      <c r="AI1432" s="23">
        <v>275.16000000000003</v>
      </c>
      <c r="AJ1432" s="23">
        <v>-4.5499999999999999E-2</v>
      </c>
      <c r="AK1432" s="23">
        <v>0.2273</v>
      </c>
      <c r="AL1432" s="23" t="s">
        <v>24</v>
      </c>
      <c r="AM1432" s="23">
        <v>47.4</v>
      </c>
      <c r="AN1432" s="23">
        <v>38511.35</v>
      </c>
      <c r="AO1432" s="23">
        <v>47.6</v>
      </c>
      <c r="AP1432" s="23">
        <v>0</v>
      </c>
      <c r="AR1432" s="46"/>
      <c r="AS1432" s="44"/>
      <c r="AT1432" s="45"/>
      <c r="AU1432" s="2">
        <v>44593</v>
      </c>
      <c r="AV1432" s="52">
        <v>0.52083333333333337</v>
      </c>
      <c r="AW1432" s="2" t="s">
        <v>213</v>
      </c>
      <c r="AY1432" s="3"/>
      <c r="BA1432" s="3"/>
      <c r="BG1432" s="3"/>
      <c r="BH1432" s="3"/>
    </row>
    <row r="1433" spans="1:60">
      <c r="A1433" s="23" t="s">
        <v>22</v>
      </c>
      <c r="B1433" s="23" t="s">
        <v>25</v>
      </c>
      <c r="C1433" s="27">
        <v>44593.572916666664</v>
      </c>
      <c r="D1433" s="23">
        <v>47.4</v>
      </c>
      <c r="E1433" s="27">
        <v>44595.395833333336</v>
      </c>
      <c r="F1433" s="23">
        <v>48.85</v>
      </c>
      <c r="G1433" s="31">
        <v>3.0599999999999999E-2</v>
      </c>
      <c r="H1433" s="23">
        <v>1549.09</v>
      </c>
      <c r="I1433" s="31">
        <v>3.0599999999999999E-2</v>
      </c>
      <c r="J1433" s="23">
        <v>1068.3399999999999</v>
      </c>
      <c r="K1433" s="23">
        <v>50639.32</v>
      </c>
      <c r="L1433" s="23">
        <v>129146.79</v>
      </c>
      <c r="M1433" s="23">
        <v>40</v>
      </c>
      <c r="N1433" s="23">
        <v>38.729999999999997</v>
      </c>
      <c r="O1433" s="31">
        <v>-5.3E-3</v>
      </c>
      <c r="P1433" s="31">
        <v>4.3200000000000002E-2</v>
      </c>
      <c r="Q1433" s="23" t="s">
        <v>24</v>
      </c>
      <c r="R1433" s="23">
        <v>0</v>
      </c>
      <c r="S1433" s="23">
        <v>46.62</v>
      </c>
      <c r="U1433" s="47">
        <f>VLOOKUP(AU1433,[1]expiry_dates!$B$2:$C$2894,2,FALSE)</f>
        <v>44616</v>
      </c>
      <c r="V1433" s="23" t="s">
        <v>105</v>
      </c>
      <c r="W1433" s="23" t="s">
        <v>23</v>
      </c>
      <c r="X1433" s="49">
        <v>44593.572916666664</v>
      </c>
      <c r="Y1433" s="23">
        <v>1.65</v>
      </c>
      <c r="Z1433" s="23">
        <v>44595.395833333336</v>
      </c>
      <c r="AA1433" s="23">
        <v>0.80000009999999999</v>
      </c>
      <c r="AB1433" s="23">
        <v>-0.51519999999999999</v>
      </c>
      <c r="AC1433" s="23">
        <v>37430.21</v>
      </c>
      <c r="AD1433" s="23">
        <v>0.51519999999999999</v>
      </c>
      <c r="AE1433" s="23">
        <v>44035.54</v>
      </c>
      <c r="AF1433" s="23">
        <v>72658.64</v>
      </c>
      <c r="AG1433" s="23">
        <v>4564204.46</v>
      </c>
      <c r="AH1433" s="23">
        <v>40</v>
      </c>
      <c r="AI1433" s="23">
        <v>935.76</v>
      </c>
      <c r="AJ1433" s="23">
        <v>-3.0300000000000001E-2</v>
      </c>
      <c r="AK1433" s="23">
        <v>0.57579999999999998</v>
      </c>
      <c r="AL1433" s="23" t="s">
        <v>24</v>
      </c>
      <c r="AM1433" s="23">
        <v>47.4</v>
      </c>
      <c r="AN1433" s="23">
        <v>38223.050000000003</v>
      </c>
      <c r="AO1433" s="23">
        <v>46.62</v>
      </c>
      <c r="AP1433" s="23">
        <v>0</v>
      </c>
      <c r="AR1433" s="46"/>
      <c r="AS1433" s="44"/>
      <c r="AT1433" s="45"/>
      <c r="AU1433" s="2">
        <v>44593</v>
      </c>
      <c r="AV1433" s="52">
        <v>7.2916666666666671E-2</v>
      </c>
      <c r="AW1433" s="2" t="s">
        <v>213</v>
      </c>
      <c r="AY1433" s="3"/>
      <c r="BA1433" s="3"/>
      <c r="BG1433" s="3"/>
      <c r="BH1433" s="3"/>
    </row>
    <row r="1434" spans="1:60">
      <c r="A1434" s="23" t="s">
        <v>22</v>
      </c>
      <c r="B1434" s="23" t="s">
        <v>23</v>
      </c>
      <c r="C1434" s="27">
        <v>44595.395833333336</v>
      </c>
      <c r="D1434" s="23">
        <v>48.85</v>
      </c>
      <c r="E1434" s="27">
        <v>44595.53125</v>
      </c>
      <c r="F1434" s="23">
        <v>48.9</v>
      </c>
      <c r="G1434" s="31">
        <v>1E-3</v>
      </c>
      <c r="H1434" s="23">
        <v>-51.84</v>
      </c>
      <c r="I1434" s="31">
        <v>-1E-3</v>
      </c>
      <c r="J1434" s="23">
        <v>1036.787</v>
      </c>
      <c r="K1434" s="23">
        <v>50647.07</v>
      </c>
      <c r="L1434" s="23">
        <v>129094.95</v>
      </c>
      <c r="M1434" s="23">
        <v>14</v>
      </c>
      <c r="N1434" s="23">
        <v>-3.7</v>
      </c>
      <c r="O1434" s="31">
        <v>-6.1000000000000004E-3</v>
      </c>
      <c r="P1434" s="31">
        <v>6.1000000000000004E-3</v>
      </c>
      <c r="Q1434" s="23" t="s">
        <v>24</v>
      </c>
      <c r="R1434" s="23">
        <v>0</v>
      </c>
      <c r="S1434" s="23">
        <v>49.43</v>
      </c>
      <c r="U1434" s="47">
        <f>VLOOKUP(AU1434,[1]expiry_dates!$B$2:$C$2894,2,FALSE)</f>
        <v>44616</v>
      </c>
      <c r="V1434" s="23" t="s">
        <v>123</v>
      </c>
      <c r="W1434" s="23" t="s">
        <v>23</v>
      </c>
      <c r="X1434" s="49">
        <v>44595.395833333336</v>
      </c>
      <c r="Y1434" s="23">
        <v>1.8</v>
      </c>
      <c r="Z1434" s="23">
        <v>44595.53125</v>
      </c>
      <c r="AA1434" s="23">
        <v>1.75</v>
      </c>
      <c r="AB1434" s="23">
        <v>-2.7799999999999998E-2</v>
      </c>
      <c r="AC1434" s="23">
        <v>2023.11</v>
      </c>
      <c r="AD1434" s="23">
        <v>2.7799999999999998E-2</v>
      </c>
      <c r="AE1434" s="23">
        <v>40462.239999999998</v>
      </c>
      <c r="AF1434" s="23">
        <v>72832.03</v>
      </c>
      <c r="AG1434" s="23">
        <v>4566227.57</v>
      </c>
      <c r="AH1434" s="23">
        <v>14</v>
      </c>
      <c r="AI1434" s="23">
        <v>144.51</v>
      </c>
      <c r="AJ1434" s="23">
        <v>-5.5599999999999997E-2</v>
      </c>
      <c r="AK1434" s="23">
        <v>0.1111</v>
      </c>
      <c r="AL1434" s="23" t="s">
        <v>24</v>
      </c>
      <c r="AM1434" s="23">
        <v>48.85</v>
      </c>
      <c r="AN1434" s="23">
        <v>39252</v>
      </c>
      <c r="AO1434" s="23">
        <v>49.43</v>
      </c>
      <c r="AP1434" s="23">
        <v>0</v>
      </c>
      <c r="AR1434" s="46"/>
      <c r="AS1434" s="44"/>
      <c r="AT1434" s="45"/>
      <c r="AU1434" s="2">
        <v>44595</v>
      </c>
      <c r="AV1434" s="52">
        <v>0.39583333333333331</v>
      </c>
      <c r="AW1434" s="2" t="s">
        <v>212</v>
      </c>
      <c r="AY1434" s="3"/>
      <c r="BA1434" s="3"/>
      <c r="BG1434" s="3"/>
      <c r="BH1434" s="3"/>
    </row>
    <row r="1435" spans="1:60">
      <c r="A1435" s="23" t="s">
        <v>22</v>
      </c>
      <c r="B1435" s="23" t="s">
        <v>25</v>
      </c>
      <c r="C1435" s="27">
        <v>44595.53125</v>
      </c>
      <c r="D1435" s="23">
        <v>48.9</v>
      </c>
      <c r="E1435" s="27">
        <v>44595.572916666664</v>
      </c>
      <c r="F1435" s="23">
        <v>48.7</v>
      </c>
      <c r="G1435" s="31">
        <v>-4.1000000000000003E-3</v>
      </c>
      <c r="H1435" s="23">
        <v>-207.14</v>
      </c>
      <c r="I1435" s="31">
        <v>-4.1000000000000003E-3</v>
      </c>
      <c r="J1435" s="23">
        <v>1035.6949999999999</v>
      </c>
      <c r="K1435" s="23">
        <v>50645.47</v>
      </c>
      <c r="L1435" s="23">
        <v>128887.81</v>
      </c>
      <c r="M1435" s="23">
        <v>5</v>
      </c>
      <c r="N1435" s="23">
        <v>-41.43</v>
      </c>
      <c r="O1435" s="31">
        <v>-5.1000000000000004E-3</v>
      </c>
      <c r="P1435" s="31">
        <v>3.0999999999999999E-3</v>
      </c>
      <c r="Q1435" s="23" t="s">
        <v>24</v>
      </c>
      <c r="R1435" s="23">
        <v>0</v>
      </c>
      <c r="S1435" s="23">
        <v>48.56</v>
      </c>
      <c r="U1435" s="47">
        <f>VLOOKUP(AU1435,[1]expiry_dates!$B$2:$C$2894,2,FALSE)</f>
        <v>44616</v>
      </c>
      <c r="V1435" s="23" t="s">
        <v>108</v>
      </c>
      <c r="W1435" s="23" t="s">
        <v>23</v>
      </c>
      <c r="X1435" s="49">
        <v>44595.53125</v>
      </c>
      <c r="Y1435" s="23">
        <v>1.1499999999999999</v>
      </c>
      <c r="Z1435" s="23">
        <v>44595.572916666664</v>
      </c>
      <c r="AA1435" s="23">
        <v>1.25</v>
      </c>
      <c r="AB1435" s="23">
        <v>8.6999999999999994E-2</v>
      </c>
      <c r="AC1435" s="23">
        <v>-6333.14</v>
      </c>
      <c r="AD1435" s="23">
        <v>-8.6999999999999994E-2</v>
      </c>
      <c r="AE1435" s="23">
        <v>63331.43</v>
      </c>
      <c r="AF1435" s="23">
        <v>72831.14</v>
      </c>
      <c r="AG1435" s="23">
        <v>4559894.43</v>
      </c>
      <c r="AH1435" s="23">
        <v>5</v>
      </c>
      <c r="AI1435" s="23">
        <v>-1266.6300000000001</v>
      </c>
      <c r="AJ1435" s="23">
        <v>-8.6999999999999994E-2</v>
      </c>
      <c r="AK1435" s="23">
        <v>4.3499999999999997E-2</v>
      </c>
      <c r="AL1435" s="23" t="s">
        <v>24</v>
      </c>
      <c r="AM1435" s="23">
        <v>48.9</v>
      </c>
      <c r="AN1435" s="23">
        <v>39334.9</v>
      </c>
      <c r="AO1435" s="23">
        <v>48.56</v>
      </c>
      <c r="AP1435" s="23">
        <v>0</v>
      </c>
      <c r="AR1435" s="46"/>
      <c r="AS1435" s="44"/>
      <c r="AT1435" s="45"/>
      <c r="AU1435" s="2">
        <v>44595</v>
      </c>
      <c r="AV1435" s="52">
        <v>0.53125</v>
      </c>
      <c r="AW1435" s="2" t="s">
        <v>213</v>
      </c>
      <c r="AY1435" s="3"/>
      <c r="BA1435" s="3"/>
      <c r="BG1435" s="3"/>
      <c r="BH1435" s="3"/>
    </row>
    <row r="1436" spans="1:60">
      <c r="A1436" s="23" t="s">
        <v>22</v>
      </c>
      <c r="B1436" s="23" t="s">
        <v>23</v>
      </c>
      <c r="C1436" s="27">
        <v>44595.572916666664</v>
      </c>
      <c r="D1436" s="23">
        <v>48.7</v>
      </c>
      <c r="E1436" s="27">
        <v>44596.59375</v>
      </c>
      <c r="F1436" s="23">
        <v>48.1</v>
      </c>
      <c r="G1436" s="31">
        <v>-1.23E-2</v>
      </c>
      <c r="H1436" s="23">
        <v>623.96</v>
      </c>
      <c r="I1436" s="31">
        <v>1.23E-2</v>
      </c>
      <c r="J1436" s="23">
        <v>1039.9269999999999</v>
      </c>
      <c r="K1436" s="23">
        <v>50644.44</v>
      </c>
      <c r="L1436" s="23">
        <v>129511.76</v>
      </c>
      <c r="M1436" s="23">
        <v>31</v>
      </c>
      <c r="N1436" s="23">
        <v>20.13</v>
      </c>
      <c r="O1436" s="31">
        <v>-2.0999999999999999E-3</v>
      </c>
      <c r="P1436" s="31">
        <v>2.2599999999999999E-2</v>
      </c>
      <c r="Q1436" s="23" t="s">
        <v>24</v>
      </c>
      <c r="R1436" s="23">
        <v>0</v>
      </c>
      <c r="S1436" s="23">
        <v>49.04</v>
      </c>
      <c r="U1436" s="47">
        <f>VLOOKUP(AU1436,[1]expiry_dates!$B$2:$C$2894,2,FALSE)</f>
        <v>44616</v>
      </c>
      <c r="V1436" s="23" t="s">
        <v>106</v>
      </c>
      <c r="W1436" s="23" t="s">
        <v>23</v>
      </c>
      <c r="X1436" s="49">
        <v>44595.572916666664</v>
      </c>
      <c r="Y1436" s="23">
        <v>2.15</v>
      </c>
      <c r="Z1436" s="23">
        <v>44596.59375</v>
      </c>
      <c r="AA1436" s="23">
        <v>1.75</v>
      </c>
      <c r="AB1436" s="23">
        <v>-0.186</v>
      </c>
      <c r="AC1436" s="23">
        <v>13544.09</v>
      </c>
      <c r="AD1436" s="23">
        <v>0.186</v>
      </c>
      <c r="AE1436" s="23">
        <v>33860.22</v>
      </c>
      <c r="AF1436" s="23">
        <v>72799.48</v>
      </c>
      <c r="AG1436" s="23">
        <v>4573438.5199999996</v>
      </c>
      <c r="AH1436" s="23">
        <v>31</v>
      </c>
      <c r="AI1436" s="23">
        <v>436.91</v>
      </c>
      <c r="AJ1436" s="23">
        <v>-4.65E-2</v>
      </c>
      <c r="AK1436" s="23">
        <v>0.30230000000000001</v>
      </c>
      <c r="AL1436" s="23" t="s">
        <v>24</v>
      </c>
      <c r="AM1436" s="23">
        <v>48.7</v>
      </c>
      <c r="AN1436" s="23">
        <v>39158.400000000001</v>
      </c>
      <c r="AO1436" s="23">
        <v>49.04</v>
      </c>
      <c r="AP1436" s="23">
        <v>0</v>
      </c>
      <c r="AR1436" s="46"/>
      <c r="AS1436" s="44"/>
      <c r="AT1436" s="45"/>
      <c r="AU1436" s="2">
        <v>44595</v>
      </c>
      <c r="AV1436" s="52">
        <v>7.2916666666666671E-2</v>
      </c>
      <c r="AW1436" s="2" t="s">
        <v>213</v>
      </c>
      <c r="AY1436" s="3"/>
      <c r="BA1436" s="3"/>
      <c r="BG1436" s="3"/>
      <c r="BH1436" s="3"/>
    </row>
    <row r="1437" spans="1:60">
      <c r="A1437" s="23" t="s">
        <v>22</v>
      </c>
      <c r="B1437" s="23" t="s">
        <v>25</v>
      </c>
      <c r="C1437" s="27">
        <v>44596.59375</v>
      </c>
      <c r="D1437" s="23">
        <v>48.1</v>
      </c>
      <c r="E1437" s="27">
        <v>44599.385416666664</v>
      </c>
      <c r="F1437" s="23">
        <v>47.95</v>
      </c>
      <c r="G1437" s="31">
        <v>-3.0999999999999999E-3</v>
      </c>
      <c r="H1437" s="23">
        <v>-157.94999999999999</v>
      </c>
      <c r="I1437" s="31">
        <v>-3.0999999999999999E-3</v>
      </c>
      <c r="J1437" s="23">
        <v>1052.9749999999999</v>
      </c>
      <c r="K1437" s="23">
        <v>50648.08</v>
      </c>
      <c r="L1437" s="23">
        <v>129353.82</v>
      </c>
      <c r="M1437" s="23">
        <v>9</v>
      </c>
      <c r="N1437" s="23">
        <v>-17.55</v>
      </c>
      <c r="O1437" s="31">
        <v>-6.1999999999999998E-3</v>
      </c>
      <c r="P1437" s="31">
        <v>2.0999999999999999E-3</v>
      </c>
      <c r="Q1437" s="23" t="s">
        <v>24</v>
      </c>
      <c r="R1437" s="23">
        <v>0</v>
      </c>
      <c r="S1437" s="23">
        <v>47.6</v>
      </c>
      <c r="U1437" s="47">
        <f>VLOOKUP(AU1437,[1]expiry_dates!$B$2:$C$2894,2,FALSE)</f>
        <v>44616</v>
      </c>
      <c r="V1437" s="23" t="s">
        <v>108</v>
      </c>
      <c r="W1437" s="23" t="s">
        <v>23</v>
      </c>
      <c r="X1437" s="49">
        <v>44596.59375</v>
      </c>
      <c r="Y1437" s="23">
        <v>1.55</v>
      </c>
      <c r="Z1437" s="23">
        <v>44599.385416666664</v>
      </c>
      <c r="AA1437" s="23">
        <v>1.65</v>
      </c>
      <c r="AB1437" s="23">
        <v>6.4500000000000002E-2</v>
      </c>
      <c r="AC1437" s="23">
        <v>-4701.1099999999997</v>
      </c>
      <c r="AD1437" s="23">
        <v>-6.4500000000000002E-2</v>
      </c>
      <c r="AE1437" s="23">
        <v>47011.09</v>
      </c>
      <c r="AF1437" s="23">
        <v>72867.199999999997</v>
      </c>
      <c r="AG1437" s="23">
        <v>4568737.41</v>
      </c>
      <c r="AH1437" s="23">
        <v>9</v>
      </c>
      <c r="AI1437" s="23">
        <v>-522.35</v>
      </c>
      <c r="AJ1437" s="23">
        <v>-9.6799999999999997E-2</v>
      </c>
      <c r="AK1437" s="23">
        <v>3.2300000000000002E-2</v>
      </c>
      <c r="AL1437" s="23" t="s">
        <v>24</v>
      </c>
      <c r="AM1437" s="23">
        <v>48.1</v>
      </c>
      <c r="AN1437" s="23">
        <v>38812.5</v>
      </c>
      <c r="AO1437" s="23">
        <v>47.6</v>
      </c>
      <c r="AP1437" s="23">
        <v>0</v>
      </c>
      <c r="AR1437" s="46"/>
      <c r="AS1437" s="44"/>
      <c r="AT1437" s="45"/>
      <c r="AU1437" s="2">
        <v>44596</v>
      </c>
      <c r="AV1437" s="52">
        <v>9.375E-2</v>
      </c>
      <c r="AW1437" s="2" t="s">
        <v>213</v>
      </c>
      <c r="AY1437" s="3"/>
      <c r="BA1437" s="3"/>
      <c r="BG1437" s="3"/>
      <c r="BH1437" s="3"/>
    </row>
    <row r="1438" spans="1:60">
      <c r="A1438" s="23" t="s">
        <v>22</v>
      </c>
      <c r="B1438" s="23" t="s">
        <v>23</v>
      </c>
      <c r="C1438" s="27">
        <v>44599.385416666664</v>
      </c>
      <c r="D1438" s="23">
        <v>47.95</v>
      </c>
      <c r="E1438" s="27">
        <v>44600.385416666664</v>
      </c>
      <c r="F1438" s="23">
        <v>47</v>
      </c>
      <c r="G1438" s="31">
        <v>-1.9800000000000002E-2</v>
      </c>
      <c r="H1438" s="23">
        <v>1003.42</v>
      </c>
      <c r="I1438" s="31">
        <v>1.9800000000000002E-2</v>
      </c>
      <c r="J1438" s="23">
        <v>1056.2360000000001</v>
      </c>
      <c r="K1438" s="23">
        <v>50646.5</v>
      </c>
      <c r="L1438" s="23">
        <v>130357.24</v>
      </c>
      <c r="M1438" s="23">
        <v>29</v>
      </c>
      <c r="N1438" s="23">
        <v>34.6</v>
      </c>
      <c r="O1438" s="31">
        <v>-4.1999999999999997E-3</v>
      </c>
      <c r="P1438" s="31">
        <v>2.8199999999999999E-2</v>
      </c>
      <c r="Q1438" s="23" t="s">
        <v>24</v>
      </c>
      <c r="R1438" s="23">
        <v>0</v>
      </c>
      <c r="S1438" s="23">
        <v>48.19</v>
      </c>
      <c r="U1438" s="47">
        <f>VLOOKUP(AU1438,[1]expiry_dates!$B$2:$C$2894,2,FALSE)</f>
        <v>44616</v>
      </c>
      <c r="V1438" s="23" t="s">
        <v>106</v>
      </c>
      <c r="W1438" s="23" t="s">
        <v>23</v>
      </c>
      <c r="X1438" s="49">
        <v>44599.385416666664</v>
      </c>
      <c r="Y1438" s="23">
        <v>1.6</v>
      </c>
      <c r="Z1438" s="23">
        <v>44600.385416666664</v>
      </c>
      <c r="AA1438" s="23">
        <v>1.1499999999999999</v>
      </c>
      <c r="AB1438" s="23">
        <v>-0.28129999999999999</v>
      </c>
      <c r="AC1438" s="23">
        <v>20487.29</v>
      </c>
      <c r="AD1438" s="23">
        <v>0.28129999999999999</v>
      </c>
      <c r="AE1438" s="23">
        <v>45527.3</v>
      </c>
      <c r="AF1438" s="23">
        <v>72843.69</v>
      </c>
      <c r="AG1438" s="23">
        <v>4589224.7</v>
      </c>
      <c r="AH1438" s="23">
        <v>29</v>
      </c>
      <c r="AI1438" s="23">
        <v>706.46</v>
      </c>
      <c r="AJ1438" s="23">
        <v>-9.3700000000000006E-2</v>
      </c>
      <c r="AK1438" s="23">
        <v>0.3125</v>
      </c>
      <c r="AL1438" s="23" t="s">
        <v>24</v>
      </c>
      <c r="AM1438" s="23">
        <v>47.95</v>
      </c>
      <c r="AN1438" s="23">
        <v>38726.1</v>
      </c>
      <c r="AO1438" s="23">
        <v>48.19</v>
      </c>
      <c r="AP1438" s="23">
        <v>0</v>
      </c>
      <c r="AR1438" s="46"/>
      <c r="AS1438" s="44"/>
      <c r="AT1438" s="45"/>
      <c r="AU1438" s="2">
        <v>44599</v>
      </c>
      <c r="AV1438" s="52">
        <v>0.38541666666666669</v>
      </c>
      <c r="AW1438" s="2" t="s">
        <v>212</v>
      </c>
      <c r="AY1438" s="3"/>
      <c r="BA1438" s="3"/>
      <c r="BG1438" s="3"/>
      <c r="BH1438" s="3"/>
    </row>
    <row r="1439" spans="1:60">
      <c r="A1439" s="23" t="s">
        <v>22</v>
      </c>
      <c r="B1439" s="23" t="s">
        <v>25</v>
      </c>
      <c r="C1439" s="27">
        <v>44600.385416666664</v>
      </c>
      <c r="D1439" s="23">
        <v>47</v>
      </c>
      <c r="E1439" s="27">
        <v>44600.40625</v>
      </c>
      <c r="F1439" s="23">
        <v>46.75</v>
      </c>
      <c r="G1439" s="31">
        <v>-5.3E-3</v>
      </c>
      <c r="H1439" s="23">
        <v>-269.42</v>
      </c>
      <c r="I1439" s="31">
        <v>-5.3E-3</v>
      </c>
      <c r="J1439" s="23">
        <v>1077.675</v>
      </c>
      <c r="K1439" s="23">
        <v>50650.73</v>
      </c>
      <c r="L1439" s="23">
        <v>130087.82</v>
      </c>
      <c r="M1439" s="23">
        <v>3</v>
      </c>
      <c r="N1439" s="23">
        <v>-89.81</v>
      </c>
      <c r="O1439" s="31">
        <v>-7.4000000000000003E-3</v>
      </c>
      <c r="P1439" s="31">
        <v>9.5999999999999992E-3</v>
      </c>
      <c r="Q1439" s="23" t="s">
        <v>24</v>
      </c>
      <c r="R1439" s="23">
        <v>0</v>
      </c>
      <c r="S1439" s="23">
        <v>46.63</v>
      </c>
      <c r="U1439" s="47">
        <f>VLOOKUP(AU1439,[1]expiry_dates!$B$2:$C$2894,2,FALSE)</f>
        <v>44616</v>
      </c>
      <c r="V1439" s="23" t="s">
        <v>105</v>
      </c>
      <c r="W1439" s="23" t="s">
        <v>23</v>
      </c>
      <c r="X1439" s="49">
        <v>44600.385416666664</v>
      </c>
      <c r="Y1439" s="23">
        <v>1.6</v>
      </c>
      <c r="Z1439" s="23">
        <v>44600.40625</v>
      </c>
      <c r="AA1439" s="23">
        <v>1.65</v>
      </c>
      <c r="AB1439" s="23">
        <v>3.1199999999999999E-2</v>
      </c>
      <c r="AC1439" s="23">
        <v>-2278.85</v>
      </c>
      <c r="AD1439" s="23">
        <v>-3.1199999999999999E-2</v>
      </c>
      <c r="AE1439" s="23">
        <v>45577.1</v>
      </c>
      <c r="AF1439" s="23">
        <v>72923.360000000001</v>
      </c>
      <c r="AG1439" s="23">
        <v>4586945.84</v>
      </c>
      <c r="AH1439" s="23">
        <v>3</v>
      </c>
      <c r="AI1439" s="23">
        <v>-759.62</v>
      </c>
      <c r="AJ1439" s="23">
        <v>-3.1199999999999999E-2</v>
      </c>
      <c r="AK1439" s="23">
        <v>0.21879999999999999</v>
      </c>
      <c r="AL1439" s="23" t="s">
        <v>24</v>
      </c>
      <c r="AM1439" s="23">
        <v>47</v>
      </c>
      <c r="AN1439" s="23">
        <v>37944.5</v>
      </c>
      <c r="AO1439" s="23">
        <v>46.63</v>
      </c>
      <c r="AP1439" s="23">
        <v>0</v>
      </c>
      <c r="AR1439" s="46"/>
      <c r="AS1439" s="44"/>
      <c r="AT1439" s="45"/>
      <c r="AU1439" s="2">
        <v>44600</v>
      </c>
      <c r="AV1439" s="52">
        <v>0.38541666666666669</v>
      </c>
      <c r="AW1439" s="2" t="s">
        <v>212</v>
      </c>
      <c r="AY1439" s="3"/>
      <c r="BA1439" s="3"/>
      <c r="BG1439" s="3"/>
      <c r="BH1439" s="3"/>
    </row>
    <row r="1440" spans="1:60">
      <c r="A1440" s="23" t="s">
        <v>22</v>
      </c>
      <c r="B1440" s="23" t="s">
        <v>23</v>
      </c>
      <c r="C1440" s="27">
        <v>44600.40625</v>
      </c>
      <c r="D1440" s="23">
        <v>46.75</v>
      </c>
      <c r="E1440" s="27">
        <v>44600.520833333336</v>
      </c>
      <c r="F1440" s="23">
        <v>46.7</v>
      </c>
      <c r="G1440" s="31">
        <v>-1.1000000000000001E-3</v>
      </c>
      <c r="H1440" s="23">
        <v>54.17</v>
      </c>
      <c r="I1440" s="31">
        <v>1.1000000000000001E-3</v>
      </c>
      <c r="J1440" s="23">
        <v>1083.4490000000001</v>
      </c>
      <c r="K1440" s="23">
        <v>50651.25</v>
      </c>
      <c r="L1440" s="23">
        <v>130141.99</v>
      </c>
      <c r="M1440" s="23">
        <v>12</v>
      </c>
      <c r="N1440" s="23">
        <v>4.51</v>
      </c>
      <c r="O1440" s="31">
        <v>-5.3E-3</v>
      </c>
      <c r="P1440" s="31">
        <v>1.8200000000000001E-2</v>
      </c>
      <c r="Q1440" s="23" t="s">
        <v>24</v>
      </c>
      <c r="R1440" s="23">
        <v>0</v>
      </c>
      <c r="S1440" s="23">
        <v>47.45</v>
      </c>
      <c r="U1440" s="47">
        <f>VLOOKUP(AU1440,[1]expiry_dates!$B$2:$C$2894,2,FALSE)</f>
        <v>44616</v>
      </c>
      <c r="V1440" s="23" t="s">
        <v>104</v>
      </c>
      <c r="W1440" s="23" t="s">
        <v>23</v>
      </c>
      <c r="X1440" s="49">
        <v>44600.40625</v>
      </c>
      <c r="Y1440" s="23">
        <v>1.45</v>
      </c>
      <c r="Z1440" s="23">
        <v>44600.520833333336</v>
      </c>
      <c r="AA1440" s="23">
        <v>1.35</v>
      </c>
      <c r="AB1440" s="23">
        <v>-6.9000000000000006E-2</v>
      </c>
      <c r="AC1440" s="23">
        <v>5031.55</v>
      </c>
      <c r="AD1440" s="23">
        <v>6.9000000000000006E-2</v>
      </c>
      <c r="AE1440" s="23">
        <v>50315.53</v>
      </c>
      <c r="AF1440" s="23">
        <v>72957.52</v>
      </c>
      <c r="AG1440" s="23">
        <v>4591977.3899999997</v>
      </c>
      <c r="AH1440" s="23">
        <v>12</v>
      </c>
      <c r="AI1440" s="23">
        <v>419.3</v>
      </c>
      <c r="AJ1440" s="23">
        <v>-6.9000000000000006E-2</v>
      </c>
      <c r="AK1440" s="23">
        <v>0.2414</v>
      </c>
      <c r="AL1440" s="23" t="s">
        <v>24</v>
      </c>
      <c r="AM1440" s="23">
        <v>46.75</v>
      </c>
      <c r="AN1440" s="23">
        <v>37803.1</v>
      </c>
      <c r="AO1440" s="23">
        <v>47.45</v>
      </c>
      <c r="AP1440" s="23">
        <v>0</v>
      </c>
      <c r="AR1440" s="46"/>
      <c r="AS1440" s="44"/>
      <c r="AT1440" s="45"/>
      <c r="AU1440" s="2">
        <v>44600</v>
      </c>
      <c r="AV1440" s="52">
        <v>0.40625</v>
      </c>
      <c r="AW1440" s="2" t="s">
        <v>212</v>
      </c>
      <c r="AY1440" s="3"/>
      <c r="BA1440" s="3"/>
      <c r="BG1440" s="3"/>
      <c r="BH1440" s="3"/>
    </row>
    <row r="1441" spans="1:60">
      <c r="A1441" s="23" t="s">
        <v>22</v>
      </c>
      <c r="B1441" s="23" t="s">
        <v>25</v>
      </c>
      <c r="C1441" s="27">
        <v>44600.520833333336</v>
      </c>
      <c r="D1441" s="23">
        <v>46.7</v>
      </c>
      <c r="E1441" s="27">
        <v>44601.4375</v>
      </c>
      <c r="F1441" s="23">
        <v>46.9</v>
      </c>
      <c r="G1441" s="31">
        <v>4.3E-3</v>
      </c>
      <c r="H1441" s="23">
        <v>216.92</v>
      </c>
      <c r="I1441" s="31">
        <v>4.3E-3</v>
      </c>
      <c r="J1441" s="23">
        <v>1084.6089999999999</v>
      </c>
      <c r="K1441" s="23">
        <v>50651.25</v>
      </c>
      <c r="L1441" s="23">
        <v>130358.92</v>
      </c>
      <c r="M1441" s="23">
        <v>21</v>
      </c>
      <c r="N1441" s="23">
        <v>10.33</v>
      </c>
      <c r="O1441" s="31">
        <v>-1.0699999999999999E-2</v>
      </c>
      <c r="P1441" s="31">
        <v>1.4999999999999999E-2</v>
      </c>
      <c r="Q1441" s="23" t="s">
        <v>24</v>
      </c>
      <c r="R1441" s="23">
        <v>0</v>
      </c>
      <c r="S1441" s="23">
        <v>45.92</v>
      </c>
      <c r="U1441" s="47">
        <f>VLOOKUP(AU1441,[1]expiry_dates!$B$2:$C$2894,2,FALSE)</f>
        <v>44616</v>
      </c>
      <c r="V1441" s="23" t="s">
        <v>105</v>
      </c>
      <c r="W1441" s="23" t="s">
        <v>23</v>
      </c>
      <c r="X1441" s="49">
        <v>44600.520833333336</v>
      </c>
      <c r="Y1441" s="23">
        <v>1.55</v>
      </c>
      <c r="Z1441" s="23">
        <v>44601.4375</v>
      </c>
      <c r="AA1441" s="23">
        <v>1.6</v>
      </c>
      <c r="AB1441" s="23">
        <v>3.2300000000000002E-2</v>
      </c>
      <c r="AC1441" s="23">
        <v>-2353.9499999999998</v>
      </c>
      <c r="AD1441" s="23">
        <v>-3.2300000000000002E-2</v>
      </c>
      <c r="AE1441" s="23">
        <v>47079.01</v>
      </c>
      <c r="AF1441" s="23">
        <v>72972.47</v>
      </c>
      <c r="AG1441" s="23">
        <v>4589623.4400000004</v>
      </c>
      <c r="AH1441" s="23">
        <v>21</v>
      </c>
      <c r="AI1441" s="23">
        <v>-112.09</v>
      </c>
      <c r="AJ1441" s="23">
        <v>-0.19350000000000001</v>
      </c>
      <c r="AK1441" s="23">
        <v>0.19350000000000001</v>
      </c>
      <c r="AL1441" s="23" t="s">
        <v>24</v>
      </c>
      <c r="AM1441" s="23">
        <v>46.7</v>
      </c>
      <c r="AN1441" s="23">
        <v>37984.6</v>
      </c>
      <c r="AO1441" s="23">
        <v>45.92</v>
      </c>
      <c r="AP1441" s="23">
        <v>0</v>
      </c>
      <c r="AR1441" s="46"/>
      <c r="AS1441" s="44"/>
      <c r="AT1441" s="45"/>
      <c r="AU1441" s="2">
        <v>44600</v>
      </c>
      <c r="AV1441" s="52">
        <v>0.52083333333333337</v>
      </c>
      <c r="AW1441" s="2" t="s">
        <v>213</v>
      </c>
      <c r="AY1441" s="3"/>
      <c r="BA1441" s="3"/>
      <c r="BG1441" s="3"/>
      <c r="BH1441" s="3"/>
    </row>
    <row r="1442" spans="1:60">
      <c r="A1442" s="23" t="s">
        <v>22</v>
      </c>
      <c r="B1442" s="23" t="s">
        <v>23</v>
      </c>
      <c r="C1442" s="27">
        <v>44601.4375</v>
      </c>
      <c r="D1442" s="23">
        <v>46.9</v>
      </c>
      <c r="E1442" s="27">
        <v>44601.53125</v>
      </c>
      <c r="F1442" s="23">
        <v>47</v>
      </c>
      <c r="G1442" s="31">
        <v>2.0999999999999999E-3</v>
      </c>
      <c r="H1442" s="23">
        <v>-108</v>
      </c>
      <c r="I1442" s="31">
        <v>-2.0999999999999999E-3</v>
      </c>
      <c r="J1442" s="23">
        <v>1079.9839999999999</v>
      </c>
      <c r="K1442" s="23">
        <v>50651.25</v>
      </c>
      <c r="L1442" s="23">
        <v>130250.92</v>
      </c>
      <c r="M1442" s="23">
        <v>10</v>
      </c>
      <c r="N1442" s="23">
        <v>-10.8</v>
      </c>
      <c r="O1442" s="31">
        <v>-3.2000000000000002E-3</v>
      </c>
      <c r="P1442" s="31">
        <v>5.3E-3</v>
      </c>
      <c r="Q1442" s="23" t="s">
        <v>24</v>
      </c>
      <c r="R1442" s="23">
        <v>0</v>
      </c>
      <c r="S1442" s="23">
        <v>47.37</v>
      </c>
      <c r="U1442" s="47">
        <f>VLOOKUP(AU1442,[1]expiry_dates!$B$2:$C$2894,2,FALSE)</f>
        <v>44616</v>
      </c>
      <c r="V1442" s="23" t="s">
        <v>104</v>
      </c>
      <c r="W1442" s="23" t="s">
        <v>23</v>
      </c>
      <c r="X1442" s="49">
        <v>44601.4375</v>
      </c>
      <c r="Y1442" s="23">
        <v>1.4</v>
      </c>
      <c r="Z1442" s="23">
        <v>44601.53125</v>
      </c>
      <c r="AA1442" s="23">
        <v>1.45</v>
      </c>
      <c r="AB1442" s="23">
        <v>3.5700000000000003E-2</v>
      </c>
      <c r="AC1442" s="23">
        <v>-2605.71</v>
      </c>
      <c r="AD1442" s="23">
        <v>-3.5700000000000003E-2</v>
      </c>
      <c r="AE1442" s="23">
        <v>52114.21</v>
      </c>
      <c r="AF1442" s="23">
        <v>72959.89</v>
      </c>
      <c r="AG1442" s="23">
        <v>4587017.7300000004</v>
      </c>
      <c r="AH1442" s="23">
        <v>10</v>
      </c>
      <c r="AI1442" s="23">
        <v>-260.57</v>
      </c>
      <c r="AJ1442" s="23">
        <v>-7.1400000000000005E-2</v>
      </c>
      <c r="AK1442" s="23">
        <v>7.1400000000000005E-2</v>
      </c>
      <c r="AL1442" s="23" t="s">
        <v>24</v>
      </c>
      <c r="AM1442" s="23">
        <v>46.9</v>
      </c>
      <c r="AN1442" s="23">
        <v>38405.949999999997</v>
      </c>
      <c r="AO1442" s="23">
        <v>47.37</v>
      </c>
      <c r="AP1442" s="23">
        <v>0</v>
      </c>
      <c r="AR1442" s="46"/>
      <c r="AS1442" s="44"/>
      <c r="AT1442" s="45"/>
      <c r="AU1442" s="2">
        <v>44601</v>
      </c>
      <c r="AV1442" s="52">
        <v>0.4375</v>
      </c>
      <c r="AW1442" s="2" t="s">
        <v>212</v>
      </c>
      <c r="AY1442" s="3"/>
      <c r="BA1442" s="3"/>
      <c r="BG1442" s="3"/>
      <c r="BH1442" s="3"/>
    </row>
    <row r="1443" spans="1:60">
      <c r="A1443" s="23" t="s">
        <v>22</v>
      </c>
      <c r="B1443" s="23" t="s">
        <v>25</v>
      </c>
      <c r="C1443" s="27">
        <v>44601.53125</v>
      </c>
      <c r="D1443" s="23">
        <v>47</v>
      </c>
      <c r="E1443" s="27">
        <v>44602.40625</v>
      </c>
      <c r="F1443" s="23">
        <v>46.85</v>
      </c>
      <c r="G1443" s="31">
        <v>-3.2000000000000002E-3</v>
      </c>
      <c r="H1443" s="23">
        <v>-161.65</v>
      </c>
      <c r="I1443" s="31">
        <v>-3.2000000000000002E-3</v>
      </c>
      <c r="J1443" s="23">
        <v>1077.6859999999999</v>
      </c>
      <c r="K1443" s="23">
        <v>50651.25</v>
      </c>
      <c r="L1443" s="23">
        <v>130089.26</v>
      </c>
      <c r="M1443" s="23">
        <v>17</v>
      </c>
      <c r="N1443" s="23">
        <v>-9.51</v>
      </c>
      <c r="O1443" s="31">
        <v>-4.3E-3</v>
      </c>
      <c r="P1443" s="31">
        <v>7.4000000000000003E-3</v>
      </c>
      <c r="Q1443" s="23" t="s">
        <v>24</v>
      </c>
      <c r="R1443" s="23">
        <v>0</v>
      </c>
      <c r="S1443" s="23">
        <v>46.67</v>
      </c>
      <c r="U1443" s="47">
        <f>VLOOKUP(AU1443,[1]expiry_dates!$B$2:$C$2894,2,FALSE)</f>
        <v>44616</v>
      </c>
      <c r="V1443" s="23" t="s">
        <v>111</v>
      </c>
      <c r="W1443" s="23" t="s">
        <v>23</v>
      </c>
      <c r="X1443" s="49">
        <v>44601.53125</v>
      </c>
      <c r="Y1443" s="23">
        <v>0.3</v>
      </c>
      <c r="Z1443" s="23">
        <v>44602.40625</v>
      </c>
      <c r="AA1443" s="23">
        <v>0.35</v>
      </c>
      <c r="AB1443" s="23">
        <v>0.16669999999999999</v>
      </c>
      <c r="AC1443" s="23">
        <v>-12155.85</v>
      </c>
      <c r="AD1443" s="23">
        <v>-0.16669999999999999</v>
      </c>
      <c r="AE1443" s="23">
        <v>243117</v>
      </c>
      <c r="AF1443" s="23">
        <v>72935.09</v>
      </c>
      <c r="AG1443" s="23">
        <v>4574861.8899999997</v>
      </c>
      <c r="AH1443" s="23">
        <v>17</v>
      </c>
      <c r="AI1443" s="23">
        <v>-715.05</v>
      </c>
      <c r="AJ1443" s="23">
        <v>-0.16669999999999999</v>
      </c>
      <c r="AK1443" s="23">
        <v>0</v>
      </c>
      <c r="AL1443" s="23" t="s">
        <v>24</v>
      </c>
      <c r="AM1443" s="23">
        <v>47</v>
      </c>
      <c r="AN1443" s="23">
        <v>38488.800000000003</v>
      </c>
      <c r="AO1443" s="23">
        <v>46.67</v>
      </c>
      <c r="AP1443" s="23">
        <v>0</v>
      </c>
      <c r="AR1443" s="46"/>
      <c r="AS1443" s="44"/>
      <c r="AT1443" s="45"/>
      <c r="AU1443" s="2">
        <v>44601</v>
      </c>
      <c r="AV1443" s="52">
        <v>0.53125</v>
      </c>
      <c r="AW1443" s="2" t="s">
        <v>213</v>
      </c>
      <c r="AY1443" s="3"/>
      <c r="BA1443" s="3"/>
      <c r="BG1443" s="3"/>
      <c r="BH1443" s="3"/>
    </row>
    <row r="1444" spans="1:60">
      <c r="A1444" s="23" t="s">
        <v>22</v>
      </c>
      <c r="B1444" s="23" t="s">
        <v>23</v>
      </c>
      <c r="C1444" s="27">
        <v>44602.40625</v>
      </c>
      <c r="D1444" s="23">
        <v>46.85</v>
      </c>
      <c r="E1444" s="27">
        <v>44602.4375</v>
      </c>
      <c r="F1444" s="23">
        <v>47.25</v>
      </c>
      <c r="G1444" s="31">
        <v>8.5000000000000006E-3</v>
      </c>
      <c r="H1444" s="23">
        <v>-432.45</v>
      </c>
      <c r="I1444" s="31">
        <v>-8.5000000000000006E-3</v>
      </c>
      <c r="J1444" s="23">
        <v>1081.1369999999999</v>
      </c>
      <c r="K1444" s="23">
        <v>50651.25</v>
      </c>
      <c r="L1444" s="23">
        <v>129656.81</v>
      </c>
      <c r="M1444" s="23">
        <v>4</v>
      </c>
      <c r="N1444" s="23">
        <v>-108.11</v>
      </c>
      <c r="O1444" s="31">
        <v>-8.5000000000000006E-3</v>
      </c>
      <c r="P1444" s="31">
        <v>2.0999999999999999E-3</v>
      </c>
      <c r="Q1444" s="23" t="s">
        <v>24</v>
      </c>
      <c r="R1444" s="23">
        <v>0</v>
      </c>
      <c r="S1444" s="23">
        <v>47.33</v>
      </c>
      <c r="U1444" s="47">
        <f>VLOOKUP(AU1444,[1]expiry_dates!$B$2:$C$2894,2,FALSE)</f>
        <v>44616</v>
      </c>
      <c r="V1444" s="23" t="s">
        <v>104</v>
      </c>
      <c r="W1444" s="23" t="s">
        <v>23</v>
      </c>
      <c r="X1444" s="49">
        <v>44602.40625</v>
      </c>
      <c r="Y1444" s="23">
        <v>1.4</v>
      </c>
      <c r="Z1444" s="23">
        <v>44602.4375</v>
      </c>
      <c r="AA1444" s="23">
        <v>1.45</v>
      </c>
      <c r="AB1444" s="23">
        <v>3.5700000000000003E-2</v>
      </c>
      <c r="AC1444" s="23">
        <v>-2602.65</v>
      </c>
      <c r="AD1444" s="23">
        <v>-3.5700000000000003E-2</v>
      </c>
      <c r="AE1444" s="23">
        <v>52053.08</v>
      </c>
      <c r="AF1444" s="23">
        <v>72874.3</v>
      </c>
      <c r="AG1444" s="23">
        <v>4572259.2300000004</v>
      </c>
      <c r="AH1444" s="23">
        <v>4</v>
      </c>
      <c r="AI1444" s="23">
        <v>-650.66</v>
      </c>
      <c r="AJ1444" s="23">
        <v>-7.1400000000000005E-2</v>
      </c>
      <c r="AK1444" s="23">
        <v>7.1400000000000005E-2</v>
      </c>
      <c r="AL1444" s="23" t="s">
        <v>24</v>
      </c>
      <c r="AM1444" s="23">
        <v>46.85</v>
      </c>
      <c r="AN1444" s="23">
        <v>38533.699999999997</v>
      </c>
      <c r="AO1444" s="23">
        <v>47.33</v>
      </c>
      <c r="AP1444" s="23">
        <v>0</v>
      </c>
      <c r="AR1444" s="46"/>
      <c r="AS1444" s="44"/>
      <c r="AT1444" s="45"/>
      <c r="AU1444" s="2">
        <v>44602</v>
      </c>
      <c r="AV1444" s="52">
        <v>0.40625</v>
      </c>
      <c r="AW1444" s="2" t="s">
        <v>212</v>
      </c>
      <c r="AY1444" s="3"/>
      <c r="BA1444" s="3"/>
      <c r="BG1444" s="3"/>
      <c r="BH1444" s="3"/>
    </row>
    <row r="1445" spans="1:60">
      <c r="A1445" s="23" t="s">
        <v>22</v>
      </c>
      <c r="B1445" s="23" t="s">
        <v>25</v>
      </c>
      <c r="C1445" s="27">
        <v>44602.4375</v>
      </c>
      <c r="D1445" s="23">
        <v>47.25</v>
      </c>
      <c r="E1445" s="27">
        <v>44602.614583333336</v>
      </c>
      <c r="F1445" s="23">
        <v>47.4</v>
      </c>
      <c r="G1445" s="31">
        <v>3.2000000000000002E-3</v>
      </c>
      <c r="H1445" s="23">
        <v>160.79</v>
      </c>
      <c r="I1445" s="31">
        <v>3.2000000000000002E-3</v>
      </c>
      <c r="J1445" s="23">
        <v>1071.933</v>
      </c>
      <c r="K1445" s="23">
        <v>50648.82</v>
      </c>
      <c r="L1445" s="23">
        <v>129817.60000000001</v>
      </c>
      <c r="M1445" s="23">
        <v>18</v>
      </c>
      <c r="N1445" s="23">
        <v>8.93</v>
      </c>
      <c r="O1445" s="31">
        <v>-4.1999999999999997E-3</v>
      </c>
      <c r="P1445" s="31">
        <v>1.1599999999999999E-2</v>
      </c>
      <c r="Q1445" s="23" t="s">
        <v>24</v>
      </c>
      <c r="R1445" s="23">
        <v>0</v>
      </c>
      <c r="S1445" s="23">
        <v>46.76</v>
      </c>
      <c r="U1445" s="47">
        <f>VLOOKUP(AU1445,[1]expiry_dates!$B$2:$C$2894,2,FALSE)</f>
        <v>44616</v>
      </c>
      <c r="V1445" s="23" t="s">
        <v>105</v>
      </c>
      <c r="W1445" s="23" t="s">
        <v>23</v>
      </c>
      <c r="X1445" s="49">
        <v>44602.4375</v>
      </c>
      <c r="Y1445" s="23">
        <v>1.1499999999999999</v>
      </c>
      <c r="Z1445" s="23">
        <v>44602.614583333336</v>
      </c>
      <c r="AA1445" s="23">
        <v>1</v>
      </c>
      <c r="AB1445" s="23">
        <v>-0.13039999999999999</v>
      </c>
      <c r="AC1445" s="23">
        <v>9505.34</v>
      </c>
      <c r="AD1445" s="23">
        <v>0.13039999999999999</v>
      </c>
      <c r="AE1445" s="23">
        <v>63368.959999999999</v>
      </c>
      <c r="AF1445" s="23">
        <v>72874.3</v>
      </c>
      <c r="AG1445" s="23">
        <v>4581764.58</v>
      </c>
      <c r="AH1445" s="23">
        <v>18</v>
      </c>
      <c r="AI1445" s="23">
        <v>528.07000000000005</v>
      </c>
      <c r="AJ1445" s="23">
        <v>-8.6999999999999994E-2</v>
      </c>
      <c r="AK1445" s="23">
        <v>0.26090000000000002</v>
      </c>
      <c r="AL1445" s="23" t="s">
        <v>24</v>
      </c>
      <c r="AM1445" s="23">
        <v>47.25</v>
      </c>
      <c r="AN1445" s="23">
        <v>39052.35</v>
      </c>
      <c r="AO1445" s="23">
        <v>46.76</v>
      </c>
      <c r="AP1445" s="23">
        <v>0</v>
      </c>
      <c r="AR1445" s="46"/>
      <c r="AS1445" s="44"/>
      <c r="AT1445" s="45"/>
      <c r="AU1445" s="2">
        <v>44602</v>
      </c>
      <c r="AV1445" s="52">
        <v>0.4375</v>
      </c>
      <c r="AW1445" s="2" t="s">
        <v>212</v>
      </c>
      <c r="AY1445" s="3"/>
      <c r="BA1445" s="3"/>
      <c r="BG1445" s="3"/>
      <c r="BH1445" s="3"/>
    </row>
    <row r="1446" spans="1:60">
      <c r="A1446" s="23" t="s">
        <v>22</v>
      </c>
      <c r="B1446" s="23" t="s">
        <v>23</v>
      </c>
      <c r="C1446" s="27">
        <v>44602.614583333336</v>
      </c>
      <c r="D1446" s="23">
        <v>47.4</v>
      </c>
      <c r="E1446" s="27">
        <v>44603.5625</v>
      </c>
      <c r="F1446" s="23">
        <v>46.95</v>
      </c>
      <c r="G1446" s="31">
        <v>-9.4999999999999998E-3</v>
      </c>
      <c r="H1446" s="23">
        <v>480.85</v>
      </c>
      <c r="I1446" s="31">
        <v>9.4999999999999998E-3</v>
      </c>
      <c r="J1446" s="23">
        <v>1068.5519999999999</v>
      </c>
      <c r="K1446" s="23">
        <v>50649.36</v>
      </c>
      <c r="L1446" s="23">
        <v>130298.45</v>
      </c>
      <c r="M1446" s="23">
        <v>24</v>
      </c>
      <c r="N1446" s="23">
        <v>20.04</v>
      </c>
      <c r="O1446" s="31">
        <v>-2.0999999999999999E-3</v>
      </c>
      <c r="P1446" s="31">
        <v>1.9E-2</v>
      </c>
      <c r="Q1446" s="23" t="s">
        <v>24</v>
      </c>
      <c r="R1446" s="23">
        <v>0</v>
      </c>
      <c r="S1446" s="23">
        <v>47.79</v>
      </c>
      <c r="U1446" s="47">
        <f>VLOOKUP(AU1446,[1]expiry_dates!$B$2:$C$2894,2,FALSE)</f>
        <v>44616</v>
      </c>
      <c r="V1446" s="23" t="s">
        <v>104</v>
      </c>
      <c r="W1446" s="23" t="s">
        <v>23</v>
      </c>
      <c r="X1446" s="49">
        <v>44602.614583333336</v>
      </c>
      <c r="Y1446" s="23">
        <v>1.6</v>
      </c>
      <c r="Z1446" s="23">
        <v>44603.5625</v>
      </c>
      <c r="AA1446" s="23">
        <v>1.25</v>
      </c>
      <c r="AB1446" s="23">
        <v>-0.21879999999999999</v>
      </c>
      <c r="AC1446" s="23">
        <v>15948.8</v>
      </c>
      <c r="AD1446" s="23">
        <v>0.21870000000000001</v>
      </c>
      <c r="AE1446" s="23">
        <v>45568.01</v>
      </c>
      <c r="AF1446" s="23">
        <v>72908.820000000007</v>
      </c>
      <c r="AG1446" s="23">
        <v>4597713.38</v>
      </c>
      <c r="AH1446" s="23">
        <v>24</v>
      </c>
      <c r="AI1446" s="23">
        <v>664.53</v>
      </c>
      <c r="AJ1446" s="23">
        <v>0</v>
      </c>
      <c r="AK1446" s="23">
        <v>0.3125</v>
      </c>
      <c r="AL1446" s="23" t="s">
        <v>24</v>
      </c>
      <c r="AM1446" s="23">
        <v>47.4</v>
      </c>
      <c r="AN1446" s="23">
        <v>39083.85</v>
      </c>
      <c r="AO1446" s="23">
        <v>47.79</v>
      </c>
      <c r="AP1446" s="23">
        <v>0</v>
      </c>
      <c r="AR1446" s="46"/>
      <c r="AS1446" s="44"/>
      <c r="AT1446" s="45"/>
      <c r="AU1446" s="2">
        <v>44602</v>
      </c>
      <c r="AV1446" s="52">
        <v>0.11458333333333333</v>
      </c>
      <c r="AW1446" s="2" t="s">
        <v>213</v>
      </c>
      <c r="AY1446" s="3"/>
      <c r="BA1446" s="3"/>
      <c r="BG1446" s="3"/>
      <c r="BH1446" s="3"/>
    </row>
    <row r="1447" spans="1:60">
      <c r="A1447" s="23" t="s">
        <v>22</v>
      </c>
      <c r="B1447" s="23" t="s">
        <v>25</v>
      </c>
      <c r="C1447" s="27">
        <v>44603.5625</v>
      </c>
      <c r="D1447" s="23">
        <v>46.95</v>
      </c>
      <c r="E1447" s="27">
        <v>44603.583333333336</v>
      </c>
      <c r="F1447" s="23">
        <v>46.6</v>
      </c>
      <c r="G1447" s="31">
        <v>-7.4999999999999997E-3</v>
      </c>
      <c r="H1447" s="23">
        <v>-377.6</v>
      </c>
      <c r="I1447" s="31">
        <v>-7.4999999999999997E-3</v>
      </c>
      <c r="J1447" s="23">
        <v>1078.856</v>
      </c>
      <c r="K1447" s="23">
        <v>50652.29</v>
      </c>
      <c r="L1447" s="23">
        <v>129920.85</v>
      </c>
      <c r="M1447" s="23">
        <v>3</v>
      </c>
      <c r="N1447" s="23">
        <v>-125.87</v>
      </c>
      <c r="O1447" s="31">
        <v>-7.4999999999999997E-3</v>
      </c>
      <c r="P1447" s="31">
        <v>1.1000000000000001E-3</v>
      </c>
      <c r="Q1447" s="23" t="s">
        <v>24</v>
      </c>
      <c r="R1447" s="23">
        <v>0</v>
      </c>
      <c r="S1447" s="23">
        <v>46.5</v>
      </c>
      <c r="U1447" s="47">
        <f>VLOOKUP(AU1447,[1]expiry_dates!$B$2:$C$2894,2,FALSE)</f>
        <v>44616</v>
      </c>
      <c r="V1447" s="23" t="s">
        <v>105</v>
      </c>
      <c r="W1447" s="23" t="s">
        <v>23</v>
      </c>
      <c r="X1447" s="49">
        <v>44603.5625</v>
      </c>
      <c r="Y1447" s="23">
        <v>1.3</v>
      </c>
      <c r="Z1447" s="23">
        <v>44603.583333333336</v>
      </c>
      <c r="AA1447" s="23">
        <v>1.5</v>
      </c>
      <c r="AB1447" s="23">
        <v>0.15379999999999999</v>
      </c>
      <c r="AC1447" s="23">
        <v>-11230.76</v>
      </c>
      <c r="AD1447" s="23">
        <v>-0.15379999999999999</v>
      </c>
      <c r="AE1447" s="23">
        <v>56153.82</v>
      </c>
      <c r="AF1447" s="23">
        <v>72999.960000000006</v>
      </c>
      <c r="AG1447" s="23">
        <v>4586482.62</v>
      </c>
      <c r="AH1447" s="23">
        <v>3</v>
      </c>
      <c r="AI1447" s="23">
        <v>-3743.59</v>
      </c>
      <c r="AJ1447" s="23">
        <v>-0.15379999999999999</v>
      </c>
      <c r="AK1447" s="23">
        <v>3.85E-2</v>
      </c>
      <c r="AL1447" s="23" t="s">
        <v>24</v>
      </c>
      <c r="AM1447" s="23">
        <v>46.95</v>
      </c>
      <c r="AN1447" s="23">
        <v>38778</v>
      </c>
      <c r="AO1447" s="23">
        <v>46.5</v>
      </c>
      <c r="AP1447" s="23">
        <v>0</v>
      </c>
      <c r="AR1447" s="46"/>
      <c r="AS1447" s="44"/>
      <c r="AT1447" s="45"/>
      <c r="AU1447" s="2">
        <v>44603</v>
      </c>
      <c r="AV1447" s="52">
        <v>6.25E-2</v>
      </c>
      <c r="AW1447" s="2" t="s">
        <v>213</v>
      </c>
      <c r="AY1447" s="3"/>
      <c r="BA1447" s="3"/>
      <c r="BG1447" s="3"/>
      <c r="BH1447" s="3"/>
    </row>
    <row r="1448" spans="1:60">
      <c r="A1448" s="23" t="s">
        <v>22</v>
      </c>
      <c r="B1448" s="23" t="s">
        <v>23</v>
      </c>
      <c r="C1448" s="27">
        <v>44603.583333333336</v>
      </c>
      <c r="D1448" s="23">
        <v>46.6</v>
      </c>
      <c r="E1448" s="27">
        <v>44607.5</v>
      </c>
      <c r="F1448" s="23">
        <v>43.75</v>
      </c>
      <c r="G1448" s="31">
        <v>-6.1199999999999997E-2</v>
      </c>
      <c r="H1448" s="23">
        <v>3097.77</v>
      </c>
      <c r="I1448" s="31">
        <v>6.1199999999999997E-2</v>
      </c>
      <c r="J1448" s="23">
        <v>1086.9359999999999</v>
      </c>
      <c r="K1448" s="23">
        <v>50651.22</v>
      </c>
      <c r="L1448" s="23">
        <v>133018.62</v>
      </c>
      <c r="M1448" s="23">
        <v>49</v>
      </c>
      <c r="N1448" s="23">
        <v>63.22</v>
      </c>
      <c r="O1448" s="31">
        <v>-6.4000000000000003E-3</v>
      </c>
      <c r="P1448" s="31">
        <v>7.9399999999999998E-2</v>
      </c>
      <c r="Q1448" s="23" t="s">
        <v>24</v>
      </c>
      <c r="R1448" s="23">
        <v>0</v>
      </c>
      <c r="S1448" s="23">
        <v>47</v>
      </c>
      <c r="U1448" s="47">
        <f>VLOOKUP(AU1448,[1]expiry_dates!$B$2:$C$2894,2,FALSE)</f>
        <v>44616</v>
      </c>
      <c r="V1448" s="23" t="s">
        <v>104</v>
      </c>
      <c r="W1448" s="23" t="s">
        <v>23</v>
      </c>
      <c r="X1448" s="49">
        <v>44603.583333333336</v>
      </c>
      <c r="Y1448" s="23">
        <v>1.1000000000000001</v>
      </c>
      <c r="Z1448" s="23">
        <v>44607.5</v>
      </c>
      <c r="AA1448" s="23">
        <v>0.35</v>
      </c>
      <c r="AB1448" s="23">
        <v>-0.68179999999999996</v>
      </c>
      <c r="AC1448" s="23">
        <v>49764.93</v>
      </c>
      <c r="AD1448" s="23">
        <v>0.68179999999999996</v>
      </c>
      <c r="AE1448" s="23">
        <v>66353.240000000005</v>
      </c>
      <c r="AF1448" s="23">
        <v>72988.570000000007</v>
      </c>
      <c r="AG1448" s="23">
        <v>4636247.55</v>
      </c>
      <c r="AH1448" s="23">
        <v>49</v>
      </c>
      <c r="AI1448" s="23">
        <v>1015.61</v>
      </c>
      <c r="AJ1448" s="23">
        <v>-0.13639999999999999</v>
      </c>
      <c r="AK1448" s="23">
        <v>0.77270000000000005</v>
      </c>
      <c r="AL1448" s="23" t="s">
        <v>24</v>
      </c>
      <c r="AM1448" s="23">
        <v>46.6</v>
      </c>
      <c r="AN1448" s="23">
        <v>38599.949999999997</v>
      </c>
      <c r="AO1448" s="23">
        <v>47</v>
      </c>
      <c r="AP1448" s="23">
        <v>0</v>
      </c>
      <c r="AR1448" s="46"/>
      <c r="AS1448" s="44"/>
      <c r="AT1448" s="45"/>
      <c r="AU1448" s="2">
        <v>44603</v>
      </c>
      <c r="AV1448" s="52">
        <v>8.3333333333333329E-2</v>
      </c>
      <c r="AW1448" s="2" t="s">
        <v>213</v>
      </c>
      <c r="AY1448" s="3"/>
      <c r="BA1448" s="3"/>
      <c r="BG1448" s="3"/>
      <c r="BH1448" s="3"/>
    </row>
    <row r="1449" spans="1:60">
      <c r="A1449" s="23" t="s">
        <v>22</v>
      </c>
      <c r="B1449" s="23" t="s">
        <v>25</v>
      </c>
      <c r="C1449" s="27">
        <v>44607.5</v>
      </c>
      <c r="D1449" s="23">
        <v>43.75</v>
      </c>
      <c r="E1449" s="27">
        <v>44608.604166666664</v>
      </c>
      <c r="F1449" s="23">
        <v>45.55</v>
      </c>
      <c r="G1449" s="31">
        <v>4.1099999999999998E-2</v>
      </c>
      <c r="H1449" s="23">
        <v>2084.5300000000002</v>
      </c>
      <c r="I1449" s="31">
        <v>4.1099999999999998E-2</v>
      </c>
      <c r="J1449" s="23">
        <v>1158.0719999999999</v>
      </c>
      <c r="K1449" s="23">
        <v>50665.64</v>
      </c>
      <c r="L1449" s="23">
        <v>135103.15</v>
      </c>
      <c r="M1449" s="23">
        <v>39</v>
      </c>
      <c r="N1449" s="23">
        <v>53.45</v>
      </c>
      <c r="O1449" s="31">
        <v>-5.7000000000000002E-3</v>
      </c>
      <c r="P1449" s="31">
        <v>5.4899999999999997E-2</v>
      </c>
      <c r="Q1449" s="23" t="s">
        <v>24</v>
      </c>
      <c r="R1449" s="23">
        <v>0</v>
      </c>
      <c r="S1449" s="23">
        <v>42.9</v>
      </c>
      <c r="U1449" s="47">
        <f>VLOOKUP(AU1449,[1]expiry_dates!$B$2:$C$2894,2,FALSE)</f>
        <v>44616</v>
      </c>
      <c r="V1449" s="23" t="s">
        <v>111</v>
      </c>
      <c r="W1449" s="23" t="s">
        <v>23</v>
      </c>
      <c r="X1449" s="49">
        <v>44607.5</v>
      </c>
      <c r="Y1449" s="23">
        <v>1.4</v>
      </c>
      <c r="Z1449" s="23">
        <v>44608.604166666664</v>
      </c>
      <c r="AA1449" s="23">
        <v>0.35</v>
      </c>
      <c r="AB1449" s="23">
        <v>-0.75</v>
      </c>
      <c r="AC1449" s="23">
        <v>54898.37</v>
      </c>
      <c r="AD1449" s="23">
        <v>0.75</v>
      </c>
      <c r="AE1449" s="23">
        <v>52284.160000000003</v>
      </c>
      <c r="AF1449" s="23">
        <v>73197.83</v>
      </c>
      <c r="AG1449" s="23">
        <v>4691145.92</v>
      </c>
      <c r="AH1449" s="23">
        <v>39</v>
      </c>
      <c r="AI1449" s="23">
        <v>1407.65</v>
      </c>
      <c r="AJ1449" s="23">
        <v>0</v>
      </c>
      <c r="AK1449" s="23">
        <v>0.78569999999999995</v>
      </c>
      <c r="AL1449" s="23" t="s">
        <v>24</v>
      </c>
      <c r="AM1449" s="23">
        <v>43.75</v>
      </c>
      <c r="AN1449" s="23">
        <v>37245.15</v>
      </c>
      <c r="AO1449" s="23">
        <v>42.9</v>
      </c>
      <c r="AP1449" s="23">
        <v>0</v>
      </c>
      <c r="AR1449" s="46"/>
      <c r="AS1449" s="44"/>
      <c r="AT1449" s="45"/>
      <c r="AU1449" s="2">
        <v>44607</v>
      </c>
      <c r="AV1449" s="52">
        <v>0.5</v>
      </c>
      <c r="AW1449" s="2" t="s">
        <v>213</v>
      </c>
      <c r="AY1449" s="3"/>
      <c r="BA1449" s="3"/>
      <c r="BG1449" s="3"/>
      <c r="BH1449" s="3"/>
    </row>
    <row r="1450" spans="1:60">
      <c r="A1450" s="23" t="s">
        <v>22</v>
      </c>
      <c r="B1450" s="23" t="s">
        <v>23</v>
      </c>
      <c r="C1450" s="27">
        <v>44608.604166666664</v>
      </c>
      <c r="D1450" s="23">
        <v>45.55</v>
      </c>
      <c r="E1450" s="27">
        <v>44609.5625</v>
      </c>
      <c r="F1450" s="23">
        <v>45.1</v>
      </c>
      <c r="G1450" s="31">
        <v>-9.9000000000000008E-3</v>
      </c>
      <c r="H1450" s="23">
        <v>500.65</v>
      </c>
      <c r="I1450" s="31">
        <v>9.9000000000000008E-3</v>
      </c>
      <c r="J1450" s="23">
        <v>1112.5630000000001</v>
      </c>
      <c r="K1450" s="23">
        <v>50677.25</v>
      </c>
      <c r="L1450" s="23">
        <v>135603.79999999999</v>
      </c>
      <c r="M1450" s="23">
        <v>25</v>
      </c>
      <c r="N1450" s="23">
        <v>20.03</v>
      </c>
      <c r="O1450" s="31">
        <v>-8.8000000000000005E-3</v>
      </c>
      <c r="P1450" s="31">
        <v>2.0899999999999998E-2</v>
      </c>
      <c r="Q1450" s="23" t="s">
        <v>24</v>
      </c>
      <c r="R1450" s="23">
        <v>0</v>
      </c>
      <c r="S1450" s="23">
        <v>46.15</v>
      </c>
      <c r="U1450" s="47">
        <f>VLOOKUP(AU1450,[1]expiry_dates!$B$2:$C$2894,2,FALSE)</f>
        <v>44616</v>
      </c>
      <c r="V1450" s="23" t="s">
        <v>110</v>
      </c>
      <c r="W1450" s="23" t="s">
        <v>23</v>
      </c>
      <c r="X1450" s="49">
        <v>44608.604166666664</v>
      </c>
      <c r="Y1450" s="23">
        <v>0.9</v>
      </c>
      <c r="Z1450" s="23">
        <v>44609.5625</v>
      </c>
      <c r="AA1450" s="23">
        <v>0.6</v>
      </c>
      <c r="AB1450" s="23">
        <v>-0.33329999999999999</v>
      </c>
      <c r="AC1450" s="23">
        <v>24489.599999999999</v>
      </c>
      <c r="AD1450" s="23">
        <v>0.33329999999999999</v>
      </c>
      <c r="AE1450" s="23">
        <v>81632</v>
      </c>
      <c r="AF1450" s="23">
        <v>73468.800000000003</v>
      </c>
      <c r="AG1450" s="23">
        <v>4715635.5199999996</v>
      </c>
      <c r="AH1450" s="23">
        <v>25</v>
      </c>
      <c r="AI1450" s="23">
        <v>979.58</v>
      </c>
      <c r="AJ1450" s="23">
        <v>-0.1111</v>
      </c>
      <c r="AK1450" s="23">
        <v>0.38890000000000002</v>
      </c>
      <c r="AL1450" s="23" t="s">
        <v>24</v>
      </c>
      <c r="AM1450" s="23">
        <v>45.55</v>
      </c>
      <c r="AN1450" s="23">
        <v>38096.5</v>
      </c>
      <c r="AO1450" s="23">
        <v>46.15</v>
      </c>
      <c r="AP1450" s="23">
        <v>0</v>
      </c>
      <c r="AR1450" s="46"/>
      <c r="AS1450" s="44"/>
      <c r="AT1450" s="45"/>
      <c r="AU1450" s="2">
        <v>44608</v>
      </c>
      <c r="AV1450" s="52">
        <v>0.10416666666666667</v>
      </c>
      <c r="AW1450" s="2" t="s">
        <v>213</v>
      </c>
      <c r="AY1450" s="3"/>
      <c r="BA1450" s="3"/>
      <c r="BG1450" s="3"/>
      <c r="BH1450" s="3"/>
    </row>
    <row r="1451" spans="1:60">
      <c r="A1451" s="23" t="s">
        <v>22</v>
      </c>
      <c r="B1451" s="23" t="s">
        <v>25</v>
      </c>
      <c r="C1451" s="27">
        <v>44609.5625</v>
      </c>
      <c r="D1451" s="23">
        <v>45.1</v>
      </c>
      <c r="E1451" s="27">
        <v>44609.59375</v>
      </c>
      <c r="F1451" s="23">
        <v>44.85</v>
      </c>
      <c r="G1451" s="31">
        <v>-5.4999999999999997E-3</v>
      </c>
      <c r="H1451" s="23">
        <v>-280.93</v>
      </c>
      <c r="I1451" s="31">
        <v>-5.4999999999999997E-3</v>
      </c>
      <c r="J1451" s="23">
        <v>1123.7059999999999</v>
      </c>
      <c r="K1451" s="23">
        <v>50679.13</v>
      </c>
      <c r="L1451" s="23">
        <v>135322.87</v>
      </c>
      <c r="M1451" s="23">
        <v>4</v>
      </c>
      <c r="N1451" s="23">
        <v>-70.23</v>
      </c>
      <c r="O1451" s="31">
        <v>-6.7000000000000002E-3</v>
      </c>
      <c r="P1451" s="31">
        <v>0</v>
      </c>
      <c r="Q1451" s="23" t="s">
        <v>24</v>
      </c>
      <c r="R1451" s="23">
        <v>0</v>
      </c>
      <c r="S1451" s="23">
        <v>44.6</v>
      </c>
      <c r="U1451" s="47">
        <f>VLOOKUP(AU1451,[1]expiry_dates!$B$2:$C$2894,2,FALSE)</f>
        <v>44616</v>
      </c>
      <c r="V1451" s="23" t="s">
        <v>109</v>
      </c>
      <c r="W1451" s="23" t="s">
        <v>23</v>
      </c>
      <c r="X1451" s="49">
        <v>44609.5625</v>
      </c>
      <c r="Y1451" s="23">
        <v>0.9</v>
      </c>
      <c r="Z1451" s="23">
        <v>44609.59375</v>
      </c>
      <c r="AA1451" s="23">
        <v>1.05</v>
      </c>
      <c r="AB1451" s="23">
        <v>0.16669999999999999</v>
      </c>
      <c r="AC1451" s="23">
        <v>-12266.43</v>
      </c>
      <c r="AD1451" s="23">
        <v>-0.16669999999999999</v>
      </c>
      <c r="AE1451" s="23">
        <v>81776.210000000006</v>
      </c>
      <c r="AF1451" s="23">
        <v>73598.59</v>
      </c>
      <c r="AG1451" s="23">
        <v>4703369.09</v>
      </c>
      <c r="AH1451" s="23">
        <v>4</v>
      </c>
      <c r="AI1451" s="23">
        <v>-3066.61</v>
      </c>
      <c r="AJ1451" s="23">
        <v>-0.22220000000000001</v>
      </c>
      <c r="AK1451" s="23">
        <v>0</v>
      </c>
      <c r="AL1451" s="23" t="s">
        <v>24</v>
      </c>
      <c r="AM1451" s="23">
        <v>45.1</v>
      </c>
      <c r="AN1451" s="23">
        <v>37855.4</v>
      </c>
      <c r="AO1451" s="23">
        <v>44.6</v>
      </c>
      <c r="AP1451" s="23">
        <v>0</v>
      </c>
      <c r="AR1451" s="46"/>
      <c r="AS1451" s="44"/>
      <c r="AT1451" s="45"/>
      <c r="AU1451" s="2">
        <v>44609</v>
      </c>
      <c r="AV1451" s="52">
        <v>6.25E-2</v>
      </c>
      <c r="AW1451" s="2" t="s">
        <v>213</v>
      </c>
      <c r="AY1451" s="3"/>
      <c r="BA1451" s="3"/>
      <c r="BG1451" s="3"/>
      <c r="BH1451" s="3"/>
    </row>
    <row r="1452" spans="1:60">
      <c r="A1452" s="23" t="s">
        <v>22</v>
      </c>
      <c r="B1452" s="23" t="s">
        <v>23</v>
      </c>
      <c r="C1452" s="27">
        <v>44609.59375</v>
      </c>
      <c r="D1452" s="23">
        <v>44.85</v>
      </c>
      <c r="E1452" s="27">
        <v>44610.458333333336</v>
      </c>
      <c r="F1452" s="23">
        <v>44.65</v>
      </c>
      <c r="G1452" s="31">
        <v>-4.4999999999999997E-3</v>
      </c>
      <c r="H1452" s="23">
        <v>225.98</v>
      </c>
      <c r="I1452" s="31">
        <v>4.4999999999999997E-3</v>
      </c>
      <c r="J1452" s="23">
        <v>1129.913</v>
      </c>
      <c r="K1452" s="23">
        <v>50676.62</v>
      </c>
      <c r="L1452" s="23">
        <v>135548.85999999999</v>
      </c>
      <c r="M1452" s="23">
        <v>16</v>
      </c>
      <c r="N1452" s="23">
        <v>14.12</v>
      </c>
      <c r="O1452" s="31">
        <v>-2.2000000000000001E-3</v>
      </c>
      <c r="P1452" s="31">
        <v>1.11E-2</v>
      </c>
      <c r="Q1452" s="23" t="s">
        <v>24</v>
      </c>
      <c r="R1452" s="23">
        <v>0</v>
      </c>
      <c r="S1452" s="23">
        <v>45.08</v>
      </c>
      <c r="U1452" s="47">
        <f>VLOOKUP(AU1452,[1]expiry_dates!$B$2:$C$2894,2,FALSE)</f>
        <v>44616</v>
      </c>
      <c r="V1452" s="23" t="s">
        <v>112</v>
      </c>
      <c r="W1452" s="23" t="s">
        <v>23</v>
      </c>
      <c r="X1452" s="49">
        <v>44609.59375</v>
      </c>
      <c r="Y1452" s="23">
        <v>0.9</v>
      </c>
      <c r="Z1452" s="23">
        <v>44610.458333333336</v>
      </c>
      <c r="AA1452" s="23">
        <v>0.75</v>
      </c>
      <c r="AB1452" s="23">
        <v>-0.16669999999999999</v>
      </c>
      <c r="AC1452" s="23">
        <v>12252.81</v>
      </c>
      <c r="AD1452" s="23">
        <v>0.16669999999999999</v>
      </c>
      <c r="AE1452" s="23">
        <v>81685.38</v>
      </c>
      <c r="AF1452" s="23">
        <v>73516.84</v>
      </c>
      <c r="AG1452" s="23">
        <v>4715621.9000000004</v>
      </c>
      <c r="AH1452" s="23">
        <v>16</v>
      </c>
      <c r="AI1452" s="23">
        <v>765.8</v>
      </c>
      <c r="AJ1452" s="23">
        <v>0</v>
      </c>
      <c r="AK1452" s="23">
        <v>0.27779999999999999</v>
      </c>
      <c r="AL1452" s="23" t="s">
        <v>24</v>
      </c>
      <c r="AM1452" s="23">
        <v>44.85</v>
      </c>
      <c r="AN1452" s="23">
        <v>37711.550000000003</v>
      </c>
      <c r="AO1452" s="23">
        <v>45.08</v>
      </c>
      <c r="AP1452" s="23">
        <v>0</v>
      </c>
      <c r="AR1452" s="46"/>
      <c r="AS1452" s="44"/>
      <c r="AT1452" s="45"/>
      <c r="AU1452" s="2">
        <v>44609</v>
      </c>
      <c r="AV1452" s="52">
        <v>9.375E-2</v>
      </c>
      <c r="AW1452" s="2" t="s">
        <v>213</v>
      </c>
      <c r="AY1452" s="3"/>
      <c r="BA1452" s="3"/>
      <c r="BG1452" s="3"/>
      <c r="BH1452" s="3"/>
    </row>
    <row r="1453" spans="1:60">
      <c r="A1453" s="23" t="s">
        <v>22</v>
      </c>
      <c r="B1453" s="23" t="s">
        <v>25</v>
      </c>
      <c r="C1453" s="27">
        <v>44610.458333333336</v>
      </c>
      <c r="D1453" s="23">
        <v>44.65</v>
      </c>
      <c r="E1453" s="27">
        <v>44610.59375</v>
      </c>
      <c r="F1453" s="23">
        <v>44.55</v>
      </c>
      <c r="G1453" s="31">
        <v>-2.2000000000000001E-3</v>
      </c>
      <c r="H1453" s="23">
        <v>-113.5</v>
      </c>
      <c r="I1453" s="31">
        <v>-2.2000000000000001E-3</v>
      </c>
      <c r="J1453" s="23">
        <v>1135</v>
      </c>
      <c r="K1453" s="23">
        <v>50677.75</v>
      </c>
      <c r="L1453" s="23">
        <v>135435.35999999999</v>
      </c>
      <c r="M1453" s="23">
        <v>14</v>
      </c>
      <c r="N1453" s="23">
        <v>-8.11</v>
      </c>
      <c r="O1453" s="31">
        <v>-2.2000000000000001E-3</v>
      </c>
      <c r="P1453" s="31">
        <v>1.23E-2</v>
      </c>
      <c r="Q1453" s="23" t="s">
        <v>24</v>
      </c>
      <c r="R1453" s="23">
        <v>0</v>
      </c>
      <c r="S1453" s="23">
        <v>44.35</v>
      </c>
      <c r="U1453" s="47">
        <f>VLOOKUP(AU1453,[1]expiry_dates!$B$2:$C$2894,2,FALSE)</f>
        <v>44616</v>
      </c>
      <c r="V1453" s="23" t="s">
        <v>109</v>
      </c>
      <c r="W1453" s="23" t="s">
        <v>23</v>
      </c>
      <c r="X1453" s="49">
        <v>44610.458333333336</v>
      </c>
      <c r="Y1453" s="23">
        <v>1.1000000000000001</v>
      </c>
      <c r="Z1453" s="23">
        <v>44610.59375</v>
      </c>
      <c r="AA1453" s="23">
        <v>1.05</v>
      </c>
      <c r="AB1453" s="23">
        <v>-4.5499999999999999E-2</v>
      </c>
      <c r="AC1453" s="23">
        <v>3345.39</v>
      </c>
      <c r="AD1453" s="23">
        <v>4.5499999999999999E-2</v>
      </c>
      <c r="AE1453" s="23">
        <v>66907.75</v>
      </c>
      <c r="AF1453" s="23">
        <v>73598.52</v>
      </c>
      <c r="AG1453" s="23">
        <v>4718967.28</v>
      </c>
      <c r="AH1453" s="23">
        <v>14</v>
      </c>
      <c r="AI1453" s="23">
        <v>238.96</v>
      </c>
      <c r="AJ1453" s="23">
        <v>-4.5499999999999999E-2</v>
      </c>
      <c r="AK1453" s="23">
        <v>0.36359999999999998</v>
      </c>
      <c r="AL1453" s="23" t="s">
        <v>24</v>
      </c>
      <c r="AM1453" s="23">
        <v>44.65</v>
      </c>
      <c r="AN1453" s="23">
        <v>37610.25</v>
      </c>
      <c r="AO1453" s="23">
        <v>44.35</v>
      </c>
      <c r="AP1453" s="23">
        <v>0</v>
      </c>
      <c r="AR1453" s="46"/>
      <c r="AS1453" s="44"/>
      <c r="AT1453" s="45"/>
      <c r="AU1453" s="2">
        <v>44610</v>
      </c>
      <c r="AV1453" s="52">
        <v>0.45833333333333331</v>
      </c>
      <c r="AW1453" s="2" t="s">
        <v>212</v>
      </c>
      <c r="AY1453" s="3"/>
      <c r="BA1453" s="3"/>
      <c r="BG1453" s="3"/>
      <c r="BH1453" s="3"/>
    </row>
    <row r="1454" spans="1:60">
      <c r="A1454" s="23" t="s">
        <v>22</v>
      </c>
      <c r="B1454" s="23" t="s">
        <v>23</v>
      </c>
      <c r="C1454" s="27">
        <v>44610.59375</v>
      </c>
      <c r="D1454" s="23">
        <v>44.55</v>
      </c>
      <c r="E1454" s="27">
        <v>44613.46875</v>
      </c>
      <c r="F1454" s="23">
        <v>44.6</v>
      </c>
      <c r="G1454" s="31">
        <v>1.1000000000000001E-3</v>
      </c>
      <c r="H1454" s="23">
        <v>-56.88</v>
      </c>
      <c r="I1454" s="31">
        <v>-1.1000000000000001E-3</v>
      </c>
      <c r="J1454" s="23">
        <v>1137.567</v>
      </c>
      <c r="K1454" s="23">
        <v>50678.59</v>
      </c>
      <c r="L1454" s="23">
        <v>135378.48000000001</v>
      </c>
      <c r="M1454" s="23">
        <v>17</v>
      </c>
      <c r="N1454" s="23">
        <v>-3.35</v>
      </c>
      <c r="O1454" s="31">
        <v>-5.5999999999999999E-3</v>
      </c>
      <c r="P1454" s="31">
        <v>1.9099999999999999E-2</v>
      </c>
      <c r="Q1454" s="23" t="s">
        <v>24</v>
      </c>
      <c r="R1454" s="23">
        <v>0</v>
      </c>
      <c r="S1454" s="23">
        <v>45.17</v>
      </c>
      <c r="U1454" s="47">
        <f>VLOOKUP(AU1454,[1]expiry_dates!$B$2:$C$2894,2,FALSE)</f>
        <v>44616</v>
      </c>
      <c r="V1454" s="23" t="s">
        <v>112</v>
      </c>
      <c r="W1454" s="23" t="s">
        <v>23</v>
      </c>
      <c r="X1454" s="49">
        <v>44610.59375</v>
      </c>
      <c r="Y1454" s="23">
        <v>0.6</v>
      </c>
      <c r="Z1454" s="23">
        <v>44613.46875</v>
      </c>
      <c r="AA1454" s="23">
        <v>0.45</v>
      </c>
      <c r="AB1454" s="23">
        <v>-0.25</v>
      </c>
      <c r="AC1454" s="23">
        <v>18411.25</v>
      </c>
      <c r="AD1454" s="23">
        <v>0.25</v>
      </c>
      <c r="AE1454" s="23">
        <v>122741.7</v>
      </c>
      <c r="AF1454" s="23">
        <v>73645.02</v>
      </c>
      <c r="AG1454" s="23">
        <v>4737378.54</v>
      </c>
      <c r="AH1454" s="23">
        <v>17</v>
      </c>
      <c r="AI1454" s="23">
        <v>1083.01</v>
      </c>
      <c r="AJ1454" s="23">
        <v>-0.16669999999999999</v>
      </c>
      <c r="AK1454" s="23">
        <v>0.5</v>
      </c>
      <c r="AL1454" s="23" t="s">
        <v>24</v>
      </c>
      <c r="AM1454" s="23">
        <v>44.55</v>
      </c>
      <c r="AN1454" s="23">
        <v>37568.6</v>
      </c>
      <c r="AO1454" s="23">
        <v>45.17</v>
      </c>
      <c r="AP1454" s="23">
        <v>0</v>
      </c>
      <c r="AR1454" s="46"/>
      <c r="AS1454" s="44"/>
      <c r="AT1454" s="45"/>
      <c r="AU1454" s="2">
        <v>44610</v>
      </c>
      <c r="AV1454" s="52">
        <v>9.375E-2</v>
      </c>
      <c r="AW1454" s="2" t="s">
        <v>213</v>
      </c>
      <c r="AY1454" s="3"/>
      <c r="BA1454" s="3"/>
      <c r="BG1454" s="3"/>
      <c r="BH1454" s="3"/>
    </row>
    <row r="1455" spans="1:60">
      <c r="A1455" s="23" t="s">
        <v>22</v>
      </c>
      <c r="B1455" s="23" t="s">
        <v>25</v>
      </c>
      <c r="C1455" s="27">
        <v>44613.46875</v>
      </c>
      <c r="D1455" s="23">
        <v>44.6</v>
      </c>
      <c r="E1455" s="27">
        <v>44613.572916666664</v>
      </c>
      <c r="F1455" s="23">
        <v>44.3</v>
      </c>
      <c r="G1455" s="31">
        <v>-6.7000000000000002E-3</v>
      </c>
      <c r="H1455" s="23">
        <v>-340.88</v>
      </c>
      <c r="I1455" s="31">
        <v>-6.7000000000000002E-3</v>
      </c>
      <c r="J1455" s="23">
        <v>1136.2719999999999</v>
      </c>
      <c r="K1455" s="23">
        <v>50677.75</v>
      </c>
      <c r="L1455" s="23">
        <v>135037.6</v>
      </c>
      <c r="M1455" s="23">
        <v>11</v>
      </c>
      <c r="N1455" s="23">
        <v>-30.99</v>
      </c>
      <c r="O1455" s="31">
        <v>-7.7999999999999996E-3</v>
      </c>
      <c r="P1455" s="31">
        <v>7.7999999999999996E-3</v>
      </c>
      <c r="Q1455" s="23" t="s">
        <v>24</v>
      </c>
      <c r="R1455" s="23">
        <v>0</v>
      </c>
      <c r="S1455" s="23">
        <v>43.73</v>
      </c>
      <c r="U1455" s="47">
        <f>VLOOKUP(AU1455,[1]expiry_dates!$B$2:$C$2894,2,FALSE)</f>
        <v>44616</v>
      </c>
      <c r="V1455" s="23" t="s">
        <v>109</v>
      </c>
      <c r="W1455" s="23" t="s">
        <v>23</v>
      </c>
      <c r="X1455" s="49">
        <v>44613.46875</v>
      </c>
      <c r="Y1455" s="23">
        <v>0.8</v>
      </c>
      <c r="Z1455" s="23">
        <v>44613.572916666664</v>
      </c>
      <c r="AA1455" s="23">
        <v>0.9</v>
      </c>
      <c r="AB1455" s="23">
        <v>0.125</v>
      </c>
      <c r="AC1455" s="23">
        <v>-9214.7000000000007</v>
      </c>
      <c r="AD1455" s="23">
        <v>-0.125</v>
      </c>
      <c r="AE1455" s="23">
        <v>92146.97</v>
      </c>
      <c r="AF1455" s="23">
        <v>73717.58</v>
      </c>
      <c r="AG1455" s="23">
        <v>4728163.84</v>
      </c>
      <c r="AH1455" s="23">
        <v>11</v>
      </c>
      <c r="AI1455" s="23">
        <v>-837.7</v>
      </c>
      <c r="AJ1455" s="23">
        <v>-0.1875</v>
      </c>
      <c r="AK1455" s="23">
        <v>0.25</v>
      </c>
      <c r="AL1455" s="23" t="s">
        <v>24</v>
      </c>
      <c r="AM1455" s="23">
        <v>44.6</v>
      </c>
      <c r="AN1455" s="23">
        <v>37779.15</v>
      </c>
      <c r="AO1455" s="23">
        <v>43.73</v>
      </c>
      <c r="AP1455" s="23">
        <v>0</v>
      </c>
      <c r="AR1455" s="46"/>
      <c r="AS1455" s="44"/>
      <c r="AT1455" s="45"/>
      <c r="AU1455" s="2">
        <v>44613</v>
      </c>
      <c r="AV1455" s="52">
        <v>0.46875</v>
      </c>
      <c r="AW1455" s="2" t="s">
        <v>212</v>
      </c>
      <c r="AY1455" s="3"/>
      <c r="BA1455" s="3"/>
      <c r="BG1455" s="3"/>
      <c r="BH1455" s="3"/>
    </row>
    <row r="1456" spans="1:60">
      <c r="A1456" s="23" t="s">
        <v>22</v>
      </c>
      <c r="B1456" s="23" t="s">
        <v>23</v>
      </c>
      <c r="C1456" s="27">
        <v>44613.572916666664</v>
      </c>
      <c r="D1456" s="23">
        <v>44.3</v>
      </c>
      <c r="E1456" s="27">
        <v>44614.59375</v>
      </c>
      <c r="F1456" s="23">
        <v>43.15</v>
      </c>
      <c r="G1456" s="31">
        <v>-2.5999999999999999E-2</v>
      </c>
      <c r="H1456" s="23">
        <v>1315.5</v>
      </c>
      <c r="I1456" s="31">
        <v>2.5999999999999999E-2</v>
      </c>
      <c r="J1456" s="23">
        <v>1143.9159999999999</v>
      </c>
      <c r="K1456" s="23">
        <v>50675.47</v>
      </c>
      <c r="L1456" s="23">
        <v>136353.1</v>
      </c>
      <c r="M1456" s="23">
        <v>31</v>
      </c>
      <c r="N1456" s="23">
        <v>42.44</v>
      </c>
      <c r="O1456" s="31">
        <v>-3.3999999999999998E-3</v>
      </c>
      <c r="P1456" s="31">
        <v>4.2900000000000001E-2</v>
      </c>
      <c r="Q1456" s="23" t="s">
        <v>24</v>
      </c>
      <c r="R1456" s="23">
        <v>0</v>
      </c>
      <c r="S1456" s="23">
        <v>44.95</v>
      </c>
      <c r="U1456" s="47">
        <f>VLOOKUP(AU1456,[1]expiry_dates!$B$2:$C$2894,2,FALSE)</f>
        <v>44616</v>
      </c>
      <c r="V1456" s="23" t="s">
        <v>117</v>
      </c>
      <c r="W1456" s="23" t="s">
        <v>23</v>
      </c>
      <c r="X1456" s="49">
        <v>44613.572916666664</v>
      </c>
      <c r="Y1456" s="23">
        <v>0.9</v>
      </c>
      <c r="Z1456" s="23">
        <v>44614.59375</v>
      </c>
      <c r="AA1456" s="23">
        <v>0.25</v>
      </c>
      <c r="AB1456" s="23">
        <v>-0.72219999999999995</v>
      </c>
      <c r="AC1456" s="23">
        <v>53168.4</v>
      </c>
      <c r="AD1456" s="23">
        <v>0.72219999999999995</v>
      </c>
      <c r="AE1456" s="23">
        <v>81797.539999999994</v>
      </c>
      <c r="AF1456" s="23">
        <v>73617.78</v>
      </c>
      <c r="AG1456" s="23">
        <v>4781332.24</v>
      </c>
      <c r="AH1456" s="23">
        <v>31</v>
      </c>
      <c r="AI1456" s="23">
        <v>1715.11</v>
      </c>
      <c r="AJ1456" s="23">
        <v>0</v>
      </c>
      <c r="AK1456" s="23">
        <v>0.88890000000000002</v>
      </c>
      <c r="AL1456" s="23" t="s">
        <v>24</v>
      </c>
      <c r="AM1456" s="23">
        <v>44.3</v>
      </c>
      <c r="AN1456" s="23">
        <v>37877.1</v>
      </c>
      <c r="AO1456" s="23">
        <v>44.95</v>
      </c>
      <c r="AP1456" s="23">
        <v>0</v>
      </c>
      <c r="AR1456" s="46"/>
      <c r="AS1456" s="44"/>
      <c r="AT1456" s="45"/>
      <c r="AU1456" s="2">
        <v>44613</v>
      </c>
      <c r="AV1456" s="52">
        <v>7.2916666666666671E-2</v>
      </c>
      <c r="AW1456" s="2" t="s">
        <v>213</v>
      </c>
      <c r="AY1456" s="3"/>
      <c r="BA1456" s="3"/>
      <c r="BG1456" s="3"/>
      <c r="BH1456" s="3"/>
    </row>
    <row r="1457" spans="1:60">
      <c r="A1457" s="23" t="s">
        <v>22</v>
      </c>
      <c r="B1457" s="23" t="s">
        <v>25</v>
      </c>
      <c r="C1457" s="27">
        <v>44614.59375</v>
      </c>
      <c r="D1457" s="23">
        <v>43.15</v>
      </c>
      <c r="E1457" s="27">
        <v>44615.5625</v>
      </c>
      <c r="F1457" s="23">
        <v>43.65</v>
      </c>
      <c r="G1457" s="31">
        <v>1.1599999999999999E-2</v>
      </c>
      <c r="H1457" s="23">
        <v>587.28</v>
      </c>
      <c r="I1457" s="31">
        <v>1.1599999999999999E-2</v>
      </c>
      <c r="J1457" s="23">
        <v>1174.568</v>
      </c>
      <c r="K1457" s="23">
        <v>50682.62</v>
      </c>
      <c r="L1457" s="23">
        <v>136940.38</v>
      </c>
      <c r="M1457" s="23">
        <v>26</v>
      </c>
      <c r="N1457" s="23">
        <v>22.59</v>
      </c>
      <c r="O1457" s="31">
        <v>-4.5999999999999999E-3</v>
      </c>
      <c r="P1457" s="31">
        <v>2.1999999999999999E-2</v>
      </c>
      <c r="Q1457" s="23" t="s">
        <v>24</v>
      </c>
      <c r="R1457" s="23">
        <v>0</v>
      </c>
      <c r="S1457" s="23">
        <v>42.43</v>
      </c>
      <c r="U1457" s="47">
        <f>VLOOKUP(AU1457,[1]expiry_dates!$B$2:$C$2894,2,FALSE)</f>
        <v>44616</v>
      </c>
      <c r="V1457" s="23" t="s">
        <v>118</v>
      </c>
      <c r="W1457" s="23" t="s">
        <v>23</v>
      </c>
      <c r="X1457" s="49">
        <v>44614.59375</v>
      </c>
      <c r="Y1457" s="23">
        <v>0.4</v>
      </c>
      <c r="Z1457" s="23">
        <v>44615.5625</v>
      </c>
      <c r="AA1457" s="23">
        <v>0.1</v>
      </c>
      <c r="AB1457" s="23">
        <v>-0.75</v>
      </c>
      <c r="AC1457" s="23">
        <v>55445.33</v>
      </c>
      <c r="AD1457" s="23">
        <v>0.75</v>
      </c>
      <c r="AE1457" s="23">
        <v>184817.8</v>
      </c>
      <c r="AF1457" s="23">
        <v>73927.12</v>
      </c>
      <c r="AG1457" s="23">
        <v>4836777.57</v>
      </c>
      <c r="AH1457" s="23">
        <v>26</v>
      </c>
      <c r="AI1457" s="23">
        <v>2132.5100000000002</v>
      </c>
      <c r="AJ1457" s="23">
        <v>-0.375</v>
      </c>
      <c r="AK1457" s="23">
        <v>0.875</v>
      </c>
      <c r="AL1457" s="23" t="s">
        <v>24</v>
      </c>
      <c r="AM1457" s="23">
        <v>43.15</v>
      </c>
      <c r="AN1457" s="23">
        <v>37564.550000000003</v>
      </c>
      <c r="AO1457" s="23">
        <v>42.43</v>
      </c>
      <c r="AP1457" s="23">
        <v>0</v>
      </c>
      <c r="AR1457" s="46"/>
      <c r="AS1457" s="44"/>
      <c r="AT1457" s="45"/>
      <c r="AU1457" s="2">
        <v>44614</v>
      </c>
      <c r="AV1457" s="52">
        <v>9.375E-2</v>
      </c>
      <c r="AW1457" s="2" t="s">
        <v>213</v>
      </c>
      <c r="AY1457" s="3"/>
      <c r="BA1457" s="3"/>
      <c r="BG1457" s="3"/>
      <c r="BH1457" s="3"/>
    </row>
    <row r="1458" spans="1:60">
      <c r="A1458" s="23" t="s">
        <v>22</v>
      </c>
      <c r="B1458" s="23" t="s">
        <v>23</v>
      </c>
      <c r="C1458" s="27">
        <v>44615.5625</v>
      </c>
      <c r="D1458" s="23">
        <v>43.65</v>
      </c>
      <c r="E1458" s="27">
        <v>44616.697916666664</v>
      </c>
      <c r="F1458" s="23">
        <v>38.9</v>
      </c>
      <c r="G1458" s="31">
        <v>-0.10879999999999999</v>
      </c>
      <c r="H1458" s="23">
        <v>5515.52</v>
      </c>
      <c r="I1458" s="31">
        <v>0.10879999999999999</v>
      </c>
      <c r="J1458" s="23">
        <v>1161.1610000000001</v>
      </c>
      <c r="K1458" s="23">
        <v>50684.7</v>
      </c>
      <c r="L1458" s="23">
        <v>142455.9</v>
      </c>
      <c r="M1458" s="23">
        <v>38</v>
      </c>
      <c r="N1458" s="23">
        <v>145.15</v>
      </c>
      <c r="O1458" s="31">
        <v>-2.3E-3</v>
      </c>
      <c r="P1458" s="31">
        <v>0.1386</v>
      </c>
      <c r="Q1458" s="23" t="s">
        <v>24</v>
      </c>
      <c r="R1458" s="23">
        <v>0</v>
      </c>
      <c r="S1458" s="23">
        <v>44.09</v>
      </c>
      <c r="U1458" s="47">
        <f>VLOOKUP(AU1458,[1]expiry_dates!$B$2:$C$2894,2,FALSE)</f>
        <v>44616</v>
      </c>
      <c r="V1458" s="23" t="s">
        <v>117</v>
      </c>
      <c r="W1458" s="23" t="s">
        <v>23</v>
      </c>
      <c r="X1458" s="49">
        <v>44615.5625</v>
      </c>
      <c r="Y1458" s="23">
        <v>0.2</v>
      </c>
      <c r="Z1458" s="23">
        <v>44616.697916666664</v>
      </c>
      <c r="AA1458" s="23">
        <v>0.05</v>
      </c>
      <c r="AB1458" s="23">
        <v>-0.75</v>
      </c>
      <c r="AC1458" s="23">
        <v>55637.919999999998</v>
      </c>
      <c r="AD1458" s="23">
        <v>0.75</v>
      </c>
      <c r="AE1458" s="23">
        <v>370919.4</v>
      </c>
      <c r="AF1458" s="23">
        <v>74183.89</v>
      </c>
      <c r="AG1458" s="23">
        <v>4892415.49</v>
      </c>
      <c r="AH1458" s="23">
        <v>38</v>
      </c>
      <c r="AI1458" s="23">
        <v>1464.16</v>
      </c>
      <c r="AJ1458" s="23">
        <v>0</v>
      </c>
      <c r="AK1458" s="23">
        <v>0.75</v>
      </c>
      <c r="AL1458" s="23" t="s">
        <v>24</v>
      </c>
      <c r="AM1458" s="23">
        <v>43.65</v>
      </c>
      <c r="AN1458" s="23">
        <v>37629.599999999999</v>
      </c>
      <c r="AO1458" s="23">
        <v>44.09</v>
      </c>
      <c r="AP1458" s="23">
        <v>0</v>
      </c>
      <c r="AR1458" s="46"/>
      <c r="AS1458" s="44"/>
      <c r="AT1458" s="45"/>
      <c r="AU1458" s="2">
        <v>44615</v>
      </c>
      <c r="AV1458" s="52">
        <v>6.25E-2</v>
      </c>
      <c r="AW1458" s="2" t="s">
        <v>213</v>
      </c>
      <c r="AY1458" s="3"/>
      <c r="BA1458" s="3"/>
      <c r="BG1458" s="3"/>
      <c r="BH1458" s="3"/>
    </row>
    <row r="1459" spans="1:60">
      <c r="A1459" s="23" t="s">
        <v>22</v>
      </c>
      <c r="B1459" s="23" t="s">
        <v>25</v>
      </c>
      <c r="C1459" s="27">
        <v>44617.385416666664</v>
      </c>
      <c r="D1459" s="23">
        <v>41.35</v>
      </c>
      <c r="E1459" s="27">
        <v>44620.385416666664</v>
      </c>
      <c r="F1459" s="23">
        <v>41.45</v>
      </c>
      <c r="G1459" s="31">
        <v>2.3999999999999998E-3</v>
      </c>
      <c r="H1459" s="23">
        <v>122.64</v>
      </c>
      <c r="I1459" s="31">
        <v>2.3999999999999998E-3</v>
      </c>
      <c r="J1459" s="23">
        <v>1226.4159999999999</v>
      </c>
      <c r="K1459" s="23">
        <v>50712.28</v>
      </c>
      <c r="L1459" s="23">
        <v>142578.54</v>
      </c>
      <c r="M1459" s="23">
        <v>29</v>
      </c>
      <c r="N1459" s="23">
        <v>4.2300000000000004</v>
      </c>
      <c r="O1459" s="31">
        <v>-3.0200000000000001E-2</v>
      </c>
      <c r="P1459" s="31">
        <v>4.1099999999999998E-2</v>
      </c>
      <c r="Q1459" s="23" t="s">
        <v>24</v>
      </c>
      <c r="R1459" s="23">
        <v>0</v>
      </c>
      <c r="S1459" s="23">
        <v>37.799999999999997</v>
      </c>
      <c r="U1459" s="47">
        <f>VLOOKUP(AU1459,[1]expiry_dates!$B$2:$C$2894,2,FALSE)</f>
        <v>44651</v>
      </c>
      <c r="V1459" s="23" t="s">
        <v>134</v>
      </c>
      <c r="W1459" s="23" t="s">
        <v>23</v>
      </c>
      <c r="X1459" s="49">
        <v>44617.385416666664</v>
      </c>
      <c r="Y1459" s="23">
        <v>2.15</v>
      </c>
      <c r="Z1459" s="23">
        <v>44620.385416666664</v>
      </c>
      <c r="AA1459" s="23">
        <v>2.15</v>
      </c>
      <c r="AB1459" s="23">
        <v>0</v>
      </c>
      <c r="AC1459" s="23">
        <v>0</v>
      </c>
      <c r="AD1459" s="23">
        <v>0</v>
      </c>
      <c r="AE1459" s="23">
        <v>34633.519999999997</v>
      </c>
      <c r="AF1459" s="23">
        <v>74462.080000000002</v>
      </c>
      <c r="AG1459" s="23">
        <v>4892415.49</v>
      </c>
      <c r="AH1459" s="23">
        <v>29</v>
      </c>
      <c r="AI1459" s="23">
        <v>0</v>
      </c>
      <c r="AJ1459" s="23">
        <v>-0.1163</v>
      </c>
      <c r="AK1459" s="23">
        <v>0.30230000000000001</v>
      </c>
      <c r="AL1459" s="23" t="s">
        <v>24</v>
      </c>
      <c r="AM1459" s="23">
        <v>41.35</v>
      </c>
      <c r="AN1459" s="23">
        <v>36134.699999999997</v>
      </c>
      <c r="AO1459" s="23">
        <v>37.799999999999997</v>
      </c>
      <c r="AP1459" s="23">
        <v>0</v>
      </c>
      <c r="AR1459" s="46"/>
      <c r="AS1459" s="44"/>
      <c r="AT1459" s="45"/>
      <c r="AU1459" s="2">
        <v>44617</v>
      </c>
      <c r="AV1459" s="52">
        <v>0.38541666666666669</v>
      </c>
      <c r="AW1459" s="2" t="s">
        <v>212</v>
      </c>
      <c r="AY1459" s="3"/>
      <c r="BA1459" s="3"/>
      <c r="BG1459" s="3"/>
      <c r="BH1459" s="3"/>
    </row>
    <row r="1460" spans="1:60">
      <c r="A1460" s="23" t="s">
        <v>22</v>
      </c>
      <c r="B1460" s="23" t="s">
        <v>23</v>
      </c>
      <c r="C1460" s="27">
        <v>44620.385416666664</v>
      </c>
      <c r="D1460" s="23">
        <v>41.45</v>
      </c>
      <c r="E1460" s="27">
        <v>44620.458333333336</v>
      </c>
      <c r="F1460" s="23">
        <v>42.35</v>
      </c>
      <c r="G1460" s="31">
        <v>2.1700000000000001E-2</v>
      </c>
      <c r="H1460" s="23">
        <v>-1101.1300000000001</v>
      </c>
      <c r="I1460" s="31">
        <v>-2.1700000000000001E-2</v>
      </c>
      <c r="J1460" s="23">
        <v>1223.479</v>
      </c>
      <c r="K1460" s="23">
        <v>50713.2</v>
      </c>
      <c r="L1460" s="23">
        <v>141477.41</v>
      </c>
      <c r="M1460" s="23">
        <v>8</v>
      </c>
      <c r="N1460" s="23">
        <v>-137.63999999999999</v>
      </c>
      <c r="O1460" s="31">
        <v>-2.1700000000000001E-2</v>
      </c>
      <c r="P1460" s="31">
        <v>8.3999999999999995E-3</v>
      </c>
      <c r="Q1460" s="23" t="s">
        <v>24</v>
      </c>
      <c r="R1460" s="23">
        <v>0</v>
      </c>
      <c r="S1460" s="23">
        <v>42.94</v>
      </c>
      <c r="U1460" s="47">
        <f>VLOOKUP(AU1460,[1]expiry_dates!$B$2:$C$2894,2,FALSE)</f>
        <v>44651</v>
      </c>
      <c r="V1460" s="23" t="s">
        <v>136</v>
      </c>
      <c r="W1460" s="23" t="s">
        <v>23</v>
      </c>
      <c r="X1460" s="49">
        <v>44620.385416666664</v>
      </c>
      <c r="Y1460" s="23">
        <v>2.75</v>
      </c>
      <c r="Z1460" s="23">
        <v>44620.458333333336</v>
      </c>
      <c r="AA1460" s="23">
        <v>3.1</v>
      </c>
      <c r="AB1460" s="23">
        <v>0.1273</v>
      </c>
      <c r="AC1460" s="23">
        <v>-9483.6</v>
      </c>
      <c r="AD1460" s="23">
        <v>-0.1273</v>
      </c>
      <c r="AE1460" s="23">
        <v>27096.01</v>
      </c>
      <c r="AF1460" s="23">
        <v>74514.02</v>
      </c>
      <c r="AG1460" s="23">
        <v>4882931.8899999997</v>
      </c>
      <c r="AH1460" s="23">
        <v>8</v>
      </c>
      <c r="AI1460" s="23">
        <v>-1185.45</v>
      </c>
      <c r="AJ1460" s="23">
        <v>-0.1273</v>
      </c>
      <c r="AK1460" s="23">
        <v>7.2700000000000001E-2</v>
      </c>
      <c r="AL1460" s="23" t="s">
        <v>24</v>
      </c>
      <c r="AM1460" s="23">
        <v>41.45</v>
      </c>
      <c r="AN1460" s="23">
        <v>35651.75</v>
      </c>
      <c r="AO1460" s="23">
        <v>42.94</v>
      </c>
      <c r="AP1460" s="23">
        <v>0</v>
      </c>
      <c r="AR1460" s="46"/>
      <c r="AS1460" s="44"/>
      <c r="AT1460" s="45"/>
      <c r="AU1460" s="2">
        <v>44620</v>
      </c>
      <c r="AV1460" s="52">
        <v>0.38541666666666669</v>
      </c>
      <c r="AW1460" s="2" t="s">
        <v>212</v>
      </c>
      <c r="AY1460" s="3"/>
      <c r="BA1460" s="3"/>
      <c r="BG1460" s="3"/>
      <c r="BH1460" s="3"/>
    </row>
    <row r="1461" spans="1:60">
      <c r="A1461" s="23" t="s">
        <v>22</v>
      </c>
      <c r="B1461" s="23" t="s">
        <v>25</v>
      </c>
      <c r="C1461" s="27">
        <v>44620.458333333336</v>
      </c>
      <c r="D1461" s="23">
        <v>42.35</v>
      </c>
      <c r="E1461" s="27">
        <v>44620.635416666664</v>
      </c>
      <c r="F1461" s="23">
        <v>42</v>
      </c>
      <c r="G1461" s="31">
        <v>-8.3000000000000001E-3</v>
      </c>
      <c r="H1461" s="23">
        <v>-419.07</v>
      </c>
      <c r="I1461" s="31">
        <v>-8.3000000000000001E-3</v>
      </c>
      <c r="J1461" s="23">
        <v>1197.3409999999999</v>
      </c>
      <c r="K1461" s="23">
        <v>50707.39</v>
      </c>
      <c r="L1461" s="23">
        <v>141058.34</v>
      </c>
      <c r="M1461" s="23">
        <v>18</v>
      </c>
      <c r="N1461" s="23">
        <v>-23.28</v>
      </c>
      <c r="O1461" s="31">
        <v>-1.2999999999999999E-2</v>
      </c>
      <c r="P1461" s="31">
        <v>5.8999999999999999E-3</v>
      </c>
      <c r="Q1461" s="23" t="s">
        <v>24</v>
      </c>
      <c r="R1461" s="23">
        <v>0</v>
      </c>
      <c r="S1461" s="23">
        <v>41.15</v>
      </c>
      <c r="U1461" s="47">
        <f>VLOOKUP(AU1461,[1]expiry_dates!$B$2:$C$2894,2,FALSE)</f>
        <v>44651</v>
      </c>
      <c r="V1461" s="23" t="s">
        <v>115</v>
      </c>
      <c r="W1461" s="23" t="s">
        <v>23</v>
      </c>
      <c r="X1461" s="49">
        <v>44620.458333333336</v>
      </c>
      <c r="Y1461" s="23">
        <v>2.15</v>
      </c>
      <c r="Z1461" s="23">
        <v>44620.635416666664</v>
      </c>
      <c r="AA1461" s="23">
        <v>2.2000000000000002</v>
      </c>
      <c r="AB1461" s="23">
        <v>2.3300000000000001E-2</v>
      </c>
      <c r="AC1461" s="23">
        <v>-1730.89</v>
      </c>
      <c r="AD1461" s="23">
        <v>-2.3300000000000001E-2</v>
      </c>
      <c r="AE1461" s="23">
        <v>34617.769999999997</v>
      </c>
      <c r="AF1461" s="23">
        <v>74428.210000000006</v>
      </c>
      <c r="AG1461" s="23">
        <v>4881201</v>
      </c>
      <c r="AH1461" s="23">
        <v>18</v>
      </c>
      <c r="AI1461" s="23">
        <v>-96.16</v>
      </c>
      <c r="AJ1461" s="23">
        <v>-6.9800000000000001E-2</v>
      </c>
      <c r="AK1461" s="23">
        <v>9.2999999999999999E-2</v>
      </c>
      <c r="AL1461" s="23" t="s">
        <v>24</v>
      </c>
      <c r="AM1461" s="23">
        <v>42.35</v>
      </c>
      <c r="AN1461" s="23">
        <v>35978.699999999997</v>
      </c>
      <c r="AO1461" s="23">
        <v>41.15</v>
      </c>
      <c r="AP1461" s="23">
        <v>0</v>
      </c>
      <c r="AR1461" s="46"/>
      <c r="AS1461" s="44"/>
      <c r="AT1461" s="45"/>
      <c r="AU1461" s="2">
        <v>44620</v>
      </c>
      <c r="AV1461" s="52">
        <v>0.45833333333333331</v>
      </c>
      <c r="AW1461" s="2" t="s">
        <v>212</v>
      </c>
      <c r="AY1461" s="3"/>
      <c r="BA1461" s="3"/>
      <c r="BG1461" s="3"/>
      <c r="BH1461" s="3"/>
    </row>
    <row r="1462" spans="1:60">
      <c r="A1462" s="23" t="s">
        <v>22</v>
      </c>
      <c r="B1462" s="23" t="s">
        <v>23</v>
      </c>
      <c r="C1462" s="27">
        <v>44620.635416666664</v>
      </c>
      <c r="D1462" s="23">
        <v>42</v>
      </c>
      <c r="E1462" s="27">
        <v>44622.625</v>
      </c>
      <c r="F1462" s="23">
        <v>41.85</v>
      </c>
      <c r="G1462" s="31">
        <v>-3.5999999999999999E-3</v>
      </c>
      <c r="H1462" s="23">
        <v>181.09</v>
      </c>
      <c r="I1462" s="31">
        <v>3.5999999999999999E-3</v>
      </c>
      <c r="J1462" s="23">
        <v>1207.297</v>
      </c>
      <c r="K1462" s="23">
        <v>50706.49</v>
      </c>
      <c r="L1462" s="23">
        <v>141239.44</v>
      </c>
      <c r="M1462" s="23">
        <v>28</v>
      </c>
      <c r="N1462" s="23">
        <v>6.47</v>
      </c>
      <c r="O1462" s="31">
        <v>-6.0000000000000001E-3</v>
      </c>
      <c r="P1462" s="31">
        <v>2.0199999999999999E-2</v>
      </c>
      <c r="Q1462" s="23" t="s">
        <v>24</v>
      </c>
      <c r="R1462" s="23">
        <v>0</v>
      </c>
      <c r="S1462" s="23">
        <v>42.58</v>
      </c>
      <c r="U1462" s="47">
        <f>VLOOKUP(AU1462,[1]expiry_dates!$B$2:$C$2894,2,FALSE)</f>
        <v>44651</v>
      </c>
      <c r="V1462" s="23" t="s">
        <v>116</v>
      </c>
      <c r="W1462" s="23" t="s">
        <v>23</v>
      </c>
      <c r="X1462" s="49">
        <v>44620.635416666664</v>
      </c>
      <c r="Y1462" s="23">
        <v>2.35</v>
      </c>
      <c r="Z1462" s="23">
        <v>44622.625</v>
      </c>
      <c r="AA1462" s="23">
        <v>2.2000000000000002</v>
      </c>
      <c r="AB1462" s="23">
        <v>-6.3799999999999996E-2</v>
      </c>
      <c r="AC1462" s="23">
        <v>4749.87</v>
      </c>
      <c r="AD1462" s="23">
        <v>6.3799999999999996E-2</v>
      </c>
      <c r="AE1462" s="23">
        <v>31665.81</v>
      </c>
      <c r="AF1462" s="23">
        <v>74414.66</v>
      </c>
      <c r="AG1462" s="23">
        <v>4885950.87</v>
      </c>
      <c r="AH1462" s="23">
        <v>28</v>
      </c>
      <c r="AI1462" s="23">
        <v>169.64</v>
      </c>
      <c r="AJ1462" s="23">
        <v>-2.1299999999999999E-2</v>
      </c>
      <c r="AK1462" s="23">
        <v>0.1915</v>
      </c>
      <c r="AL1462" s="23" t="s">
        <v>24</v>
      </c>
      <c r="AM1462" s="23">
        <v>42</v>
      </c>
      <c r="AN1462" s="23">
        <v>36211.599999999999</v>
      </c>
      <c r="AO1462" s="23">
        <v>42.58</v>
      </c>
      <c r="AP1462" s="23">
        <v>0</v>
      </c>
      <c r="AR1462" s="46"/>
      <c r="AS1462" s="44"/>
      <c r="AT1462" s="45"/>
      <c r="AU1462" s="2">
        <v>44620</v>
      </c>
      <c r="AV1462" s="52">
        <v>0.13541666666666666</v>
      </c>
      <c r="AW1462" s="2" t="s">
        <v>213</v>
      </c>
      <c r="AY1462" s="3"/>
      <c r="BA1462" s="3"/>
      <c r="BG1462" s="3"/>
      <c r="BH1462" s="3"/>
    </row>
    <row r="1463" spans="1:60">
      <c r="A1463" s="23" t="s">
        <v>22</v>
      </c>
      <c r="B1463" s="23" t="s">
        <v>25</v>
      </c>
      <c r="C1463" s="27">
        <v>44622.625</v>
      </c>
      <c r="D1463" s="23">
        <v>41.85</v>
      </c>
      <c r="E1463" s="27">
        <v>44623.489583333336</v>
      </c>
      <c r="F1463" s="23">
        <v>42</v>
      </c>
      <c r="G1463" s="31">
        <v>3.5999999999999999E-3</v>
      </c>
      <c r="H1463" s="23">
        <v>181.75</v>
      </c>
      <c r="I1463" s="31">
        <v>3.5999999999999999E-3</v>
      </c>
      <c r="J1463" s="23">
        <v>1211.6679999999999</v>
      </c>
      <c r="K1463" s="23">
        <v>50708.31</v>
      </c>
      <c r="L1463" s="23">
        <v>141421.19</v>
      </c>
      <c r="M1463" s="23">
        <v>16</v>
      </c>
      <c r="N1463" s="23">
        <v>11.36</v>
      </c>
      <c r="O1463" s="31">
        <v>-6.0000000000000001E-3</v>
      </c>
      <c r="P1463" s="31">
        <v>2.2700000000000001E-2</v>
      </c>
      <c r="Q1463" s="23" t="s">
        <v>24</v>
      </c>
      <c r="R1463" s="23">
        <v>0</v>
      </c>
      <c r="S1463" s="23">
        <v>41.18</v>
      </c>
      <c r="U1463" s="47">
        <f>VLOOKUP(AU1463,[1]expiry_dates!$B$2:$C$2894,2,FALSE)</f>
        <v>44651</v>
      </c>
      <c r="V1463" s="23" t="s">
        <v>115</v>
      </c>
      <c r="W1463" s="23" t="s">
        <v>23</v>
      </c>
      <c r="X1463" s="49">
        <v>44622.625</v>
      </c>
      <c r="Y1463" s="23">
        <v>2.2000000000000002</v>
      </c>
      <c r="Z1463" s="23">
        <v>44623.489583333336</v>
      </c>
      <c r="AA1463" s="23">
        <v>1.95</v>
      </c>
      <c r="AB1463" s="23">
        <v>-0.11360000000000001</v>
      </c>
      <c r="AC1463" s="23">
        <v>8462.42</v>
      </c>
      <c r="AD1463" s="23">
        <v>0.11360000000000001</v>
      </c>
      <c r="AE1463" s="23">
        <v>33849.699999999997</v>
      </c>
      <c r="AF1463" s="23">
        <v>74469.34</v>
      </c>
      <c r="AG1463" s="23">
        <v>4894413.3</v>
      </c>
      <c r="AH1463" s="23">
        <v>16</v>
      </c>
      <c r="AI1463" s="23">
        <v>528.9</v>
      </c>
      <c r="AJ1463" s="23">
        <v>-2.2700000000000001E-2</v>
      </c>
      <c r="AK1463" s="23">
        <v>0.25</v>
      </c>
      <c r="AL1463" s="23" t="s">
        <v>24</v>
      </c>
      <c r="AM1463" s="23">
        <v>41.85</v>
      </c>
      <c r="AN1463" s="23">
        <v>35394.75</v>
      </c>
      <c r="AO1463" s="23">
        <v>41.18</v>
      </c>
      <c r="AP1463" s="23">
        <v>0</v>
      </c>
      <c r="AR1463" s="46"/>
      <c r="AS1463" s="44"/>
      <c r="AT1463" s="45"/>
      <c r="AU1463" s="2">
        <v>44622</v>
      </c>
      <c r="AV1463" s="52">
        <v>0.125</v>
      </c>
      <c r="AW1463" s="2" t="s">
        <v>213</v>
      </c>
      <c r="AY1463" s="3"/>
      <c r="BA1463" s="3"/>
      <c r="BG1463" s="3"/>
      <c r="BH1463" s="3"/>
    </row>
    <row r="1464" spans="1:60">
      <c r="A1464" s="23" t="s">
        <v>22</v>
      </c>
      <c r="B1464" s="23" t="s">
        <v>23</v>
      </c>
      <c r="C1464" s="27">
        <v>44623.489583333336</v>
      </c>
      <c r="D1464" s="23">
        <v>42</v>
      </c>
      <c r="E1464" s="27">
        <v>44624.53125</v>
      </c>
      <c r="F1464" s="23">
        <v>41.3</v>
      </c>
      <c r="G1464" s="31">
        <v>-1.67E-2</v>
      </c>
      <c r="H1464" s="23">
        <v>845.13</v>
      </c>
      <c r="I1464" s="31">
        <v>1.67E-2</v>
      </c>
      <c r="J1464" s="23">
        <v>1207.3340000000001</v>
      </c>
      <c r="K1464" s="23">
        <v>50708.02</v>
      </c>
      <c r="L1464" s="23">
        <v>142266.32</v>
      </c>
      <c r="M1464" s="23">
        <v>33</v>
      </c>
      <c r="N1464" s="23">
        <v>25.61</v>
      </c>
      <c r="O1464" s="31">
        <v>-4.7999999999999996E-3</v>
      </c>
      <c r="P1464" s="31">
        <v>3.4500000000000003E-2</v>
      </c>
      <c r="Q1464" s="23" t="s">
        <v>24</v>
      </c>
      <c r="R1464" s="23">
        <v>0</v>
      </c>
      <c r="S1464" s="23">
        <v>42.8</v>
      </c>
      <c r="U1464" s="47">
        <f>VLOOKUP(AU1464,[1]expiry_dates!$B$2:$C$2894,2,FALSE)</f>
        <v>44651</v>
      </c>
      <c r="V1464" s="23" t="s">
        <v>116</v>
      </c>
      <c r="W1464" s="23" t="s">
        <v>23</v>
      </c>
      <c r="X1464" s="49">
        <v>44623.489583333336</v>
      </c>
      <c r="Y1464" s="23">
        <v>2.15</v>
      </c>
      <c r="Z1464" s="23">
        <v>44624.53125</v>
      </c>
      <c r="AA1464" s="23">
        <v>1.85</v>
      </c>
      <c r="AB1464" s="23">
        <v>-0.13950000000000001</v>
      </c>
      <c r="AC1464" s="23">
        <v>10392.629999999999</v>
      </c>
      <c r="AD1464" s="23">
        <v>0.13950000000000001</v>
      </c>
      <c r="AE1464" s="23">
        <v>34642.11</v>
      </c>
      <c r="AF1464" s="23">
        <v>74480.53</v>
      </c>
      <c r="AG1464" s="23">
        <v>4904805.93</v>
      </c>
      <c r="AH1464" s="23">
        <v>33</v>
      </c>
      <c r="AI1464" s="23">
        <v>314.93</v>
      </c>
      <c r="AJ1464" s="23">
        <v>-4.65E-2</v>
      </c>
      <c r="AK1464" s="23">
        <v>0.25580000000000003</v>
      </c>
      <c r="AL1464" s="23" t="s">
        <v>24</v>
      </c>
      <c r="AM1464" s="23">
        <v>42</v>
      </c>
      <c r="AN1464" s="23">
        <v>35257.550000000003</v>
      </c>
      <c r="AO1464" s="23">
        <v>42.8</v>
      </c>
      <c r="AP1464" s="23">
        <v>0</v>
      </c>
      <c r="AR1464" s="46"/>
      <c r="AS1464" s="44"/>
      <c r="AT1464" s="45"/>
      <c r="AU1464" s="2">
        <v>44623</v>
      </c>
      <c r="AV1464" s="52">
        <v>0.48958333333333331</v>
      </c>
      <c r="AW1464" s="2" t="s">
        <v>212</v>
      </c>
      <c r="AY1464" s="3"/>
      <c r="BA1464" s="3"/>
      <c r="BG1464" s="3"/>
      <c r="BH1464" s="3"/>
    </row>
    <row r="1465" spans="1:60">
      <c r="A1465" s="23" t="s">
        <v>22</v>
      </c>
      <c r="B1465" s="23" t="s">
        <v>25</v>
      </c>
      <c r="C1465" s="27">
        <v>44624.53125</v>
      </c>
      <c r="D1465" s="23">
        <v>41.3</v>
      </c>
      <c r="E1465" s="27">
        <v>44624.604166666664</v>
      </c>
      <c r="F1465" s="23">
        <v>40.799999999999997</v>
      </c>
      <c r="G1465" s="31">
        <v>-1.21E-2</v>
      </c>
      <c r="H1465" s="23">
        <v>-613.95000000000005</v>
      </c>
      <c r="I1465" s="31">
        <v>-1.21E-2</v>
      </c>
      <c r="J1465" s="23">
        <v>1227.8989999999999</v>
      </c>
      <c r="K1465" s="23">
        <v>50712.23</v>
      </c>
      <c r="L1465" s="23">
        <v>141652.37</v>
      </c>
      <c r="M1465" s="23">
        <v>8</v>
      </c>
      <c r="N1465" s="23">
        <v>-76.739999999999995</v>
      </c>
      <c r="O1465" s="31">
        <v>-1.21E-2</v>
      </c>
      <c r="P1465" s="31">
        <v>6.1000000000000004E-3</v>
      </c>
      <c r="Q1465" s="23" t="s">
        <v>24</v>
      </c>
      <c r="R1465" s="23">
        <v>0</v>
      </c>
      <c r="S1465" s="23">
        <v>40.56</v>
      </c>
      <c r="U1465" s="47">
        <f>VLOOKUP(AU1465,[1]expiry_dates!$B$2:$C$2894,2,FALSE)</f>
        <v>44651</v>
      </c>
      <c r="V1465" s="23" t="s">
        <v>134</v>
      </c>
      <c r="W1465" s="23" t="s">
        <v>23</v>
      </c>
      <c r="X1465" s="49">
        <v>44624.53125</v>
      </c>
      <c r="Y1465" s="23">
        <v>2</v>
      </c>
      <c r="Z1465" s="23">
        <v>44624.604166666664</v>
      </c>
      <c r="AA1465" s="23">
        <v>2.2000000000000002</v>
      </c>
      <c r="AB1465" s="23">
        <v>0.1</v>
      </c>
      <c r="AC1465" s="23">
        <v>-7453.27</v>
      </c>
      <c r="AD1465" s="23">
        <v>-0.1</v>
      </c>
      <c r="AE1465" s="23">
        <v>37266.339999999997</v>
      </c>
      <c r="AF1465" s="23">
        <v>74532.69</v>
      </c>
      <c r="AG1465" s="23">
        <v>4897352.66</v>
      </c>
      <c r="AH1465" s="23">
        <v>8</v>
      </c>
      <c r="AI1465" s="23">
        <v>-931.66</v>
      </c>
      <c r="AJ1465" s="23">
        <v>-0.1</v>
      </c>
      <c r="AK1465" s="23">
        <v>0.1</v>
      </c>
      <c r="AL1465" s="23" t="s">
        <v>24</v>
      </c>
      <c r="AM1465" s="23">
        <v>41.3</v>
      </c>
      <c r="AN1465" s="23">
        <v>34828.5</v>
      </c>
      <c r="AO1465" s="23">
        <v>40.56</v>
      </c>
      <c r="AP1465" s="23">
        <v>0</v>
      </c>
      <c r="AR1465" s="46"/>
      <c r="AS1465" s="44"/>
      <c r="AT1465" s="45"/>
      <c r="AU1465" s="2">
        <v>44624</v>
      </c>
      <c r="AV1465" s="52">
        <v>0.53125</v>
      </c>
      <c r="AW1465" s="2" t="s">
        <v>213</v>
      </c>
      <c r="AY1465" s="3"/>
      <c r="BA1465" s="3"/>
      <c r="BG1465" s="3"/>
      <c r="BH1465" s="3"/>
    </row>
    <row r="1466" spans="1:60">
      <c r="A1466" s="23" t="s">
        <v>22</v>
      </c>
      <c r="B1466" s="23" t="s">
        <v>23</v>
      </c>
      <c r="C1466" s="27">
        <v>44624.604166666664</v>
      </c>
      <c r="D1466" s="23">
        <v>40.799999999999997</v>
      </c>
      <c r="E1466" s="27">
        <v>44627.552083333336</v>
      </c>
      <c r="F1466" s="23">
        <v>39.799999999999997</v>
      </c>
      <c r="G1466" s="31">
        <v>-2.4500000000000001E-2</v>
      </c>
      <c r="H1466" s="23">
        <v>1242.8800000000001</v>
      </c>
      <c r="I1466" s="31">
        <v>2.4500000000000001E-2</v>
      </c>
      <c r="J1466" s="23">
        <v>1242.8800000000001</v>
      </c>
      <c r="K1466" s="23">
        <v>50709.49</v>
      </c>
      <c r="L1466" s="23">
        <v>142895.25</v>
      </c>
      <c r="M1466" s="23">
        <v>24</v>
      </c>
      <c r="N1466" s="23">
        <v>51.79</v>
      </c>
      <c r="O1466" s="31">
        <v>-9.7999999999999997E-3</v>
      </c>
      <c r="P1466" s="31">
        <v>4.41E-2</v>
      </c>
      <c r="Q1466" s="23" t="s">
        <v>24</v>
      </c>
      <c r="R1466" s="23">
        <v>0</v>
      </c>
      <c r="S1466" s="23">
        <v>41.53</v>
      </c>
      <c r="U1466" s="47">
        <f>VLOOKUP(AU1466,[1]expiry_dates!$B$2:$C$2894,2,FALSE)</f>
        <v>44651</v>
      </c>
      <c r="V1466" s="23" t="s">
        <v>136</v>
      </c>
      <c r="W1466" s="23" t="s">
        <v>23</v>
      </c>
      <c r="X1466" s="49">
        <v>44624.604166666664</v>
      </c>
      <c r="Y1466" s="23">
        <v>2.1</v>
      </c>
      <c r="Z1466" s="23">
        <v>44627.552083333336</v>
      </c>
      <c r="AA1466" s="23">
        <v>1.7</v>
      </c>
      <c r="AB1466" s="23">
        <v>-0.1905</v>
      </c>
      <c r="AC1466" s="23">
        <v>14191.5</v>
      </c>
      <c r="AD1466" s="23">
        <v>0.1905</v>
      </c>
      <c r="AE1466" s="23">
        <v>35478.76</v>
      </c>
      <c r="AF1466" s="23">
        <v>74505.399999999994</v>
      </c>
      <c r="AG1466" s="23">
        <v>4911544.16</v>
      </c>
      <c r="AH1466" s="23">
        <v>24</v>
      </c>
      <c r="AI1466" s="23">
        <v>591.30999999999995</v>
      </c>
      <c r="AJ1466" s="23">
        <v>-9.5200000000000007E-2</v>
      </c>
      <c r="AK1466" s="23">
        <v>0.35709999999999997</v>
      </c>
      <c r="AL1466" s="23" t="s">
        <v>24</v>
      </c>
      <c r="AM1466" s="23">
        <v>40.799999999999997</v>
      </c>
      <c r="AN1466" s="23">
        <v>34551.5</v>
      </c>
      <c r="AO1466" s="23">
        <v>41.53</v>
      </c>
      <c r="AP1466" s="23">
        <v>0</v>
      </c>
      <c r="AR1466" s="46"/>
      <c r="AS1466" s="44"/>
      <c r="AT1466" s="45"/>
      <c r="AU1466" s="2">
        <v>44624</v>
      </c>
      <c r="AV1466" s="52">
        <v>0.10416666666666667</v>
      </c>
      <c r="AW1466" s="2" t="s">
        <v>213</v>
      </c>
      <c r="AY1466" s="3"/>
      <c r="BA1466" s="3"/>
      <c r="BG1466" s="3"/>
      <c r="BH1466" s="3"/>
    </row>
    <row r="1467" spans="1:60">
      <c r="A1467" s="23" t="s">
        <v>22</v>
      </c>
      <c r="B1467" s="23" t="s">
        <v>25</v>
      </c>
      <c r="C1467" s="27">
        <v>44627.552083333336</v>
      </c>
      <c r="D1467" s="23">
        <v>39.799999999999997</v>
      </c>
      <c r="E1467" s="27">
        <v>44628.46875</v>
      </c>
      <c r="F1467" s="23">
        <v>40.049999999999997</v>
      </c>
      <c r="G1467" s="31">
        <v>6.3E-3</v>
      </c>
      <c r="H1467" s="23">
        <v>318.56</v>
      </c>
      <c r="I1467" s="31">
        <v>6.3E-3</v>
      </c>
      <c r="J1467" s="23">
        <v>1274.2329999999999</v>
      </c>
      <c r="K1467" s="23">
        <v>50714.48</v>
      </c>
      <c r="L1467" s="23">
        <v>143213.81</v>
      </c>
      <c r="M1467" s="23">
        <v>20</v>
      </c>
      <c r="N1467" s="23">
        <v>15.93</v>
      </c>
      <c r="O1467" s="31">
        <v>-1.01E-2</v>
      </c>
      <c r="P1467" s="31">
        <v>3.6400000000000002E-2</v>
      </c>
      <c r="Q1467" s="23" t="s">
        <v>24</v>
      </c>
      <c r="R1467" s="23">
        <v>0</v>
      </c>
      <c r="S1467" s="23">
        <v>39</v>
      </c>
      <c r="U1467" s="47">
        <f>VLOOKUP(AU1467,[1]expiry_dates!$B$2:$C$2894,2,FALSE)</f>
        <v>44651</v>
      </c>
      <c r="V1467" s="23" t="s">
        <v>142</v>
      </c>
      <c r="W1467" s="23" t="s">
        <v>23</v>
      </c>
      <c r="X1467" s="49">
        <v>44627.552083333336</v>
      </c>
      <c r="Y1467" s="23">
        <v>1.1499999999999999</v>
      </c>
      <c r="Z1467" s="23">
        <v>44628.46875</v>
      </c>
      <c r="AA1467" s="23">
        <v>1.05</v>
      </c>
      <c r="AB1467" s="23">
        <v>-8.6999999999999994E-2</v>
      </c>
      <c r="AC1467" s="23">
        <v>6483.28</v>
      </c>
      <c r="AD1467" s="23">
        <v>8.6999999999999994E-2</v>
      </c>
      <c r="AE1467" s="23">
        <v>64832.800000000003</v>
      </c>
      <c r="AF1467" s="23">
        <v>74557.72</v>
      </c>
      <c r="AG1467" s="23">
        <v>4918027.4400000004</v>
      </c>
      <c r="AH1467" s="23">
        <v>20</v>
      </c>
      <c r="AI1467" s="23">
        <v>324.16000000000003</v>
      </c>
      <c r="AJ1467" s="23">
        <v>-0.21740000000000001</v>
      </c>
      <c r="AK1467" s="23">
        <v>0.30430000000000001</v>
      </c>
      <c r="AL1467" s="23" t="s">
        <v>24</v>
      </c>
      <c r="AM1467" s="23">
        <v>39.799999999999997</v>
      </c>
      <c r="AN1467" s="23">
        <v>32707.5</v>
      </c>
      <c r="AO1467" s="23">
        <v>39</v>
      </c>
      <c r="AP1467" s="23">
        <v>0</v>
      </c>
      <c r="AR1467" s="46"/>
      <c r="AS1467" s="44"/>
      <c r="AT1467" s="45"/>
      <c r="AU1467" s="2">
        <v>44627</v>
      </c>
      <c r="AV1467" s="52">
        <v>5.2083333333333336E-2</v>
      </c>
      <c r="AW1467" s="2" t="s">
        <v>213</v>
      </c>
      <c r="AY1467" s="3"/>
      <c r="BA1467" s="3"/>
      <c r="BG1467" s="3"/>
      <c r="BH1467" s="3"/>
    </row>
    <row r="1468" spans="1:60">
      <c r="A1468" s="23" t="s">
        <v>22</v>
      </c>
      <c r="B1468" s="23" t="s">
        <v>23</v>
      </c>
      <c r="C1468" s="27">
        <v>44628.46875</v>
      </c>
      <c r="D1468" s="23">
        <v>40.049999999999997</v>
      </c>
      <c r="E1468" s="27">
        <v>44628.625</v>
      </c>
      <c r="F1468" s="23">
        <v>40.549999999999997</v>
      </c>
      <c r="G1468" s="31">
        <v>1.2500000000000001E-2</v>
      </c>
      <c r="H1468" s="23">
        <v>-633.17999999999995</v>
      </c>
      <c r="I1468" s="31">
        <v>-1.2500000000000001E-2</v>
      </c>
      <c r="J1468" s="23">
        <v>1266.367</v>
      </c>
      <c r="K1468" s="23">
        <v>50717.98</v>
      </c>
      <c r="L1468" s="23">
        <v>142580.62</v>
      </c>
      <c r="M1468" s="23">
        <v>16</v>
      </c>
      <c r="N1468" s="23">
        <v>-39.57</v>
      </c>
      <c r="O1468" s="31">
        <v>-1.2500000000000001E-2</v>
      </c>
      <c r="P1468" s="31">
        <v>1.2500000000000001E-2</v>
      </c>
      <c r="Q1468" s="23" t="s">
        <v>24</v>
      </c>
      <c r="R1468" s="23">
        <v>0</v>
      </c>
      <c r="S1468" s="23">
        <v>41.23</v>
      </c>
      <c r="U1468" s="47">
        <f>VLOOKUP(AU1468,[1]expiry_dates!$B$2:$C$2894,2,FALSE)</f>
        <v>44651</v>
      </c>
      <c r="V1468" s="23" t="s">
        <v>139</v>
      </c>
      <c r="W1468" s="23" t="s">
        <v>23</v>
      </c>
      <c r="X1468" s="49">
        <v>44628.46875</v>
      </c>
      <c r="Y1468" s="23">
        <v>2.2999999999999998</v>
      </c>
      <c r="Z1468" s="23">
        <v>44628.625</v>
      </c>
      <c r="AA1468" s="23">
        <v>2.5</v>
      </c>
      <c r="AB1468" s="23">
        <v>8.6999999999999994E-2</v>
      </c>
      <c r="AC1468" s="23">
        <v>-6486.1</v>
      </c>
      <c r="AD1468" s="23">
        <v>-8.6999999999999994E-2</v>
      </c>
      <c r="AE1468" s="23">
        <v>32430.49</v>
      </c>
      <c r="AF1468" s="23">
        <v>74590.13</v>
      </c>
      <c r="AG1468" s="23">
        <v>4911541.34</v>
      </c>
      <c r="AH1468" s="23">
        <v>16</v>
      </c>
      <c r="AI1468" s="23">
        <v>-405.38</v>
      </c>
      <c r="AJ1468" s="23">
        <v>-8.6999999999999994E-2</v>
      </c>
      <c r="AK1468" s="23">
        <v>0.13039999999999999</v>
      </c>
      <c r="AL1468" s="23" t="s">
        <v>24</v>
      </c>
      <c r="AM1468" s="23">
        <v>40.049999999999997</v>
      </c>
      <c r="AN1468" s="23">
        <v>32405.7</v>
      </c>
      <c r="AO1468" s="23">
        <v>41.23</v>
      </c>
      <c r="AP1468" s="23">
        <v>0</v>
      </c>
      <c r="AR1468" s="46"/>
      <c r="AS1468" s="44"/>
      <c r="AT1468" s="45"/>
      <c r="AU1468" s="2">
        <v>44628</v>
      </c>
      <c r="AV1468" s="52">
        <v>0.46875</v>
      </c>
      <c r="AW1468" s="2" t="s">
        <v>212</v>
      </c>
      <c r="AY1468" s="3"/>
      <c r="BA1468" s="3"/>
      <c r="BG1468" s="3"/>
      <c r="BH1468" s="3"/>
    </row>
    <row r="1469" spans="1:60">
      <c r="A1469" s="23" t="s">
        <v>22</v>
      </c>
      <c r="B1469" s="23" t="s">
        <v>25</v>
      </c>
      <c r="C1469" s="27">
        <v>44628.625</v>
      </c>
      <c r="D1469" s="23">
        <v>40.549999999999997</v>
      </c>
      <c r="E1469" s="27">
        <v>44630.53125</v>
      </c>
      <c r="F1469" s="23">
        <v>42.85</v>
      </c>
      <c r="G1469" s="31">
        <v>5.67E-2</v>
      </c>
      <c r="H1469" s="23">
        <v>2876.55</v>
      </c>
      <c r="I1469" s="31">
        <v>5.67E-2</v>
      </c>
      <c r="J1469" s="23">
        <v>1250.673</v>
      </c>
      <c r="K1469" s="23">
        <v>50714.8</v>
      </c>
      <c r="L1469" s="23">
        <v>145457.17000000001</v>
      </c>
      <c r="M1469" s="23">
        <v>48</v>
      </c>
      <c r="N1469" s="23">
        <v>59.93</v>
      </c>
      <c r="O1469" s="31">
        <v>-7.4000000000000003E-3</v>
      </c>
      <c r="P1469" s="31">
        <v>7.3999999999999996E-2</v>
      </c>
      <c r="Q1469" s="23" t="s">
        <v>24</v>
      </c>
      <c r="R1469" s="23">
        <v>0</v>
      </c>
      <c r="S1469" s="23">
        <v>39.590000000000003</v>
      </c>
      <c r="U1469" s="47">
        <f>VLOOKUP(AU1469,[1]expiry_dates!$B$2:$C$2894,2,FALSE)</f>
        <v>44651</v>
      </c>
      <c r="V1469" s="23" t="s">
        <v>134</v>
      </c>
      <c r="W1469" s="23" t="s">
        <v>23</v>
      </c>
      <c r="X1469" s="49">
        <v>44628.625</v>
      </c>
      <c r="Y1469" s="23">
        <v>2.2999999999999998</v>
      </c>
      <c r="Z1469" s="23">
        <v>44630.53125</v>
      </c>
      <c r="AA1469" s="23">
        <v>0.95</v>
      </c>
      <c r="AB1469" s="23">
        <v>-0.58699999999999997</v>
      </c>
      <c r="AC1469" s="23">
        <v>43776.41</v>
      </c>
      <c r="AD1469" s="23">
        <v>0.58699999999999997</v>
      </c>
      <c r="AE1469" s="23">
        <v>32426.97</v>
      </c>
      <c r="AF1469" s="23">
        <v>74582.03</v>
      </c>
      <c r="AG1469" s="23">
        <v>4955317.75</v>
      </c>
      <c r="AH1469" s="23">
        <v>48</v>
      </c>
      <c r="AI1469" s="23">
        <v>912.01</v>
      </c>
      <c r="AJ1469" s="23">
        <v>-6.5199999999999994E-2</v>
      </c>
      <c r="AK1469" s="23">
        <v>0.69569999999999999</v>
      </c>
      <c r="AL1469" s="23" t="s">
        <v>24</v>
      </c>
      <c r="AM1469" s="23">
        <v>40.549999999999997</v>
      </c>
      <c r="AN1469" s="23">
        <v>33176.449999999997</v>
      </c>
      <c r="AO1469" s="23">
        <v>39.590000000000003</v>
      </c>
      <c r="AP1469" s="23">
        <v>0</v>
      </c>
      <c r="AR1469" s="46"/>
      <c r="AS1469" s="44"/>
      <c r="AT1469" s="45"/>
      <c r="AU1469" s="2">
        <v>44628</v>
      </c>
      <c r="AV1469" s="52">
        <v>0.125</v>
      </c>
      <c r="AW1469" s="2" t="s">
        <v>213</v>
      </c>
      <c r="AY1469" s="3"/>
      <c r="BA1469" s="3"/>
      <c r="BG1469" s="3"/>
      <c r="BH1469" s="3"/>
    </row>
    <row r="1470" spans="1:60">
      <c r="A1470" s="23" t="s">
        <v>22</v>
      </c>
      <c r="B1470" s="23" t="s">
        <v>23</v>
      </c>
      <c r="C1470" s="27">
        <v>44630.53125</v>
      </c>
      <c r="D1470" s="23">
        <v>42.85</v>
      </c>
      <c r="E1470" s="27">
        <v>44631.489583333336</v>
      </c>
      <c r="F1470" s="23">
        <v>42.15</v>
      </c>
      <c r="G1470" s="31">
        <v>-1.6299999999999999E-2</v>
      </c>
      <c r="H1470" s="23">
        <v>828.67</v>
      </c>
      <c r="I1470" s="31">
        <v>1.6299999999999999E-2</v>
      </c>
      <c r="J1470" s="23">
        <v>1183.8119999999999</v>
      </c>
      <c r="K1470" s="23">
        <v>50726.35</v>
      </c>
      <c r="L1470" s="23">
        <v>146285.84</v>
      </c>
      <c r="M1470" s="23">
        <v>25</v>
      </c>
      <c r="N1470" s="23">
        <v>33.15</v>
      </c>
      <c r="O1470" s="31">
        <v>-2.3E-3</v>
      </c>
      <c r="P1470" s="31">
        <v>2.8000000000000001E-2</v>
      </c>
      <c r="Q1470" s="23" t="s">
        <v>24</v>
      </c>
      <c r="R1470" s="23">
        <v>0</v>
      </c>
      <c r="S1470" s="23">
        <v>43.55</v>
      </c>
      <c r="U1470" s="47">
        <f>VLOOKUP(AU1470,[1]expiry_dates!$B$2:$C$2894,2,FALSE)</f>
        <v>44651</v>
      </c>
      <c r="V1470" s="23" t="s">
        <v>114</v>
      </c>
      <c r="W1470" s="23" t="s">
        <v>23</v>
      </c>
      <c r="X1470" s="49">
        <v>44630.53125</v>
      </c>
      <c r="Y1470" s="23">
        <v>1.8</v>
      </c>
      <c r="Z1470" s="23">
        <v>44631.489583333336</v>
      </c>
      <c r="AA1470" s="23">
        <v>1.4</v>
      </c>
      <c r="AB1470" s="23">
        <v>-0.22220000000000001</v>
      </c>
      <c r="AC1470" s="23">
        <v>16615.22</v>
      </c>
      <c r="AD1470" s="23">
        <v>0.22220000000000001</v>
      </c>
      <c r="AE1470" s="23">
        <v>41538.050000000003</v>
      </c>
      <c r="AF1470" s="23">
        <v>74768.479999999996</v>
      </c>
      <c r="AG1470" s="23">
        <v>4971932.97</v>
      </c>
      <c r="AH1470" s="23">
        <v>25</v>
      </c>
      <c r="AI1470" s="23">
        <v>664.61</v>
      </c>
      <c r="AJ1470" s="23">
        <v>-2.7799999999999998E-2</v>
      </c>
      <c r="AK1470" s="23">
        <v>0.30559999999999998</v>
      </c>
      <c r="AL1470" s="23" t="s">
        <v>24</v>
      </c>
      <c r="AM1470" s="23">
        <v>42.85</v>
      </c>
      <c r="AN1470" s="23">
        <v>34964.800000000003</v>
      </c>
      <c r="AO1470" s="23">
        <v>43.55</v>
      </c>
      <c r="AP1470" s="23">
        <v>0</v>
      </c>
      <c r="AR1470" s="46"/>
      <c r="AS1470" s="44"/>
      <c r="AT1470" s="45"/>
      <c r="AU1470" s="2">
        <v>44630</v>
      </c>
      <c r="AV1470" s="52">
        <v>0.53125</v>
      </c>
      <c r="AW1470" s="2" t="s">
        <v>213</v>
      </c>
      <c r="AY1470" s="3"/>
      <c r="BA1470" s="3"/>
      <c r="BG1470" s="3"/>
      <c r="BH1470" s="3"/>
    </row>
    <row r="1471" spans="1:60">
      <c r="A1471" s="23" t="s">
        <v>22</v>
      </c>
      <c r="B1471" s="23" t="s">
        <v>25</v>
      </c>
      <c r="C1471" s="27">
        <v>44631.489583333336</v>
      </c>
      <c r="D1471" s="23">
        <v>42.15</v>
      </c>
      <c r="E1471" s="27">
        <v>44631.572916666664</v>
      </c>
      <c r="F1471" s="23">
        <v>42.15</v>
      </c>
      <c r="G1471" s="31">
        <v>0</v>
      </c>
      <c r="H1471" s="23">
        <v>0</v>
      </c>
      <c r="I1471" s="31">
        <v>0</v>
      </c>
      <c r="J1471" s="23">
        <v>1203.5930000000001</v>
      </c>
      <c r="K1471" s="23">
        <v>50731.43</v>
      </c>
      <c r="L1471" s="23">
        <v>146285.84</v>
      </c>
      <c r="M1471" s="23">
        <v>9</v>
      </c>
      <c r="N1471" s="23">
        <v>0</v>
      </c>
      <c r="O1471" s="31">
        <v>-4.7000000000000002E-3</v>
      </c>
      <c r="P1471" s="31">
        <v>9.4999999999999998E-3</v>
      </c>
      <c r="Q1471" s="23" t="s">
        <v>24</v>
      </c>
      <c r="R1471" s="23">
        <v>0</v>
      </c>
      <c r="S1471" s="23">
        <v>41.69</v>
      </c>
      <c r="U1471" s="47">
        <f>VLOOKUP(AU1471,[1]expiry_dates!$B$2:$C$2894,2,FALSE)</f>
        <v>44651</v>
      </c>
      <c r="V1471" s="23" t="s">
        <v>115</v>
      </c>
      <c r="W1471" s="23" t="s">
        <v>23</v>
      </c>
      <c r="X1471" s="49">
        <v>44631.489583333336</v>
      </c>
      <c r="Y1471" s="23">
        <v>1.65</v>
      </c>
      <c r="Z1471" s="23">
        <v>44631.572916666664</v>
      </c>
      <c r="AA1471" s="23">
        <v>1.65</v>
      </c>
      <c r="AB1471" s="23">
        <v>0</v>
      </c>
      <c r="AC1471" s="23">
        <v>0</v>
      </c>
      <c r="AD1471" s="23">
        <v>0</v>
      </c>
      <c r="AE1471" s="23">
        <v>45356.91</v>
      </c>
      <c r="AF1471" s="23">
        <v>74838.89</v>
      </c>
      <c r="AG1471" s="23">
        <v>4971932.97</v>
      </c>
      <c r="AH1471" s="23">
        <v>9</v>
      </c>
      <c r="AI1471" s="23">
        <v>0</v>
      </c>
      <c r="AJ1471" s="23">
        <v>-6.0600000000000001E-2</v>
      </c>
      <c r="AK1471" s="23">
        <v>0.1212</v>
      </c>
      <c r="AL1471" s="23" t="s">
        <v>24</v>
      </c>
      <c r="AM1471" s="23">
        <v>42.15</v>
      </c>
      <c r="AN1471" s="23">
        <v>34594.699999999997</v>
      </c>
      <c r="AO1471" s="23">
        <v>41.69</v>
      </c>
      <c r="AP1471" s="23">
        <v>0</v>
      </c>
      <c r="AR1471" s="46"/>
      <c r="AS1471" s="44"/>
      <c r="AT1471" s="45"/>
      <c r="AU1471" s="2">
        <v>44631</v>
      </c>
      <c r="AV1471" s="52">
        <v>0.48958333333333331</v>
      </c>
      <c r="AW1471" s="2" t="s">
        <v>212</v>
      </c>
      <c r="AY1471" s="3"/>
      <c r="BA1471" s="3"/>
      <c r="BG1471" s="3"/>
      <c r="BH1471" s="3"/>
    </row>
    <row r="1472" spans="1:60">
      <c r="A1472" s="23" t="s">
        <v>22</v>
      </c>
      <c r="B1472" s="23" t="s">
        <v>23</v>
      </c>
      <c r="C1472" s="27">
        <v>44631.572916666664</v>
      </c>
      <c r="D1472" s="23">
        <v>42.15</v>
      </c>
      <c r="E1472" s="27">
        <v>44631.625</v>
      </c>
      <c r="F1472" s="23">
        <v>42.45</v>
      </c>
      <c r="G1472" s="31">
        <v>7.1000000000000004E-3</v>
      </c>
      <c r="H1472" s="23">
        <v>-361.08</v>
      </c>
      <c r="I1472" s="31">
        <v>-7.1000000000000004E-3</v>
      </c>
      <c r="J1472" s="23">
        <v>1203.585</v>
      </c>
      <c r="K1472" s="23">
        <v>50731.13</v>
      </c>
      <c r="L1472" s="23">
        <v>145924.76999999999</v>
      </c>
      <c r="M1472" s="23">
        <v>6</v>
      </c>
      <c r="N1472" s="23">
        <v>-60.18</v>
      </c>
      <c r="O1472" s="31">
        <v>-7.1000000000000004E-3</v>
      </c>
      <c r="P1472" s="31">
        <v>3.5999999999999999E-3</v>
      </c>
      <c r="Q1472" s="23" t="s">
        <v>24</v>
      </c>
      <c r="R1472" s="23">
        <v>0</v>
      </c>
      <c r="S1472" s="23">
        <v>42.54</v>
      </c>
      <c r="U1472" s="47">
        <f>VLOOKUP(AU1472,[1]expiry_dates!$B$2:$C$2894,2,FALSE)</f>
        <v>44651</v>
      </c>
      <c r="V1472" s="23" t="s">
        <v>116</v>
      </c>
      <c r="W1472" s="23" t="s">
        <v>23</v>
      </c>
      <c r="X1472" s="49">
        <v>44631.572916666664</v>
      </c>
      <c r="Y1472" s="23">
        <v>1.85</v>
      </c>
      <c r="Z1472" s="23">
        <v>44631.625</v>
      </c>
      <c r="AA1472" s="23">
        <v>2</v>
      </c>
      <c r="AB1472" s="23">
        <v>8.1100000000000005E-2</v>
      </c>
      <c r="AC1472" s="23">
        <v>-6070.62</v>
      </c>
      <c r="AD1472" s="23">
        <v>-8.1100000000000005E-2</v>
      </c>
      <c r="AE1472" s="23">
        <v>40470.81</v>
      </c>
      <c r="AF1472" s="23">
        <v>74871.009999999995</v>
      </c>
      <c r="AG1472" s="23">
        <v>4965862.3499999996</v>
      </c>
      <c r="AH1472" s="23">
        <v>6</v>
      </c>
      <c r="AI1472" s="23">
        <v>-1011.77</v>
      </c>
      <c r="AJ1472" s="23">
        <v>-8.1100000000000005E-2</v>
      </c>
      <c r="AK1472" s="23">
        <v>0</v>
      </c>
      <c r="AL1472" s="23" t="s">
        <v>24</v>
      </c>
      <c r="AM1472" s="23">
        <v>42.15</v>
      </c>
      <c r="AN1472" s="23">
        <v>34420.25</v>
      </c>
      <c r="AO1472" s="23">
        <v>42.54</v>
      </c>
      <c r="AP1472" s="23">
        <v>0</v>
      </c>
      <c r="AR1472" s="46"/>
      <c r="AS1472" s="44"/>
      <c r="AT1472" s="45"/>
      <c r="AU1472" s="2">
        <v>44631</v>
      </c>
      <c r="AV1472" s="52">
        <v>7.2916666666666671E-2</v>
      </c>
      <c r="AW1472" s="2" t="s">
        <v>213</v>
      </c>
      <c r="AY1472" s="3"/>
      <c r="BA1472" s="3"/>
      <c r="BG1472" s="3"/>
      <c r="BH1472" s="3"/>
    </row>
    <row r="1473" spans="1:60">
      <c r="A1473" s="23" t="s">
        <v>22</v>
      </c>
      <c r="B1473" s="23" t="s">
        <v>25</v>
      </c>
      <c r="C1473" s="27">
        <v>44631.625</v>
      </c>
      <c r="D1473" s="23">
        <v>42.45</v>
      </c>
      <c r="E1473" s="27">
        <v>44634.385416666664</v>
      </c>
      <c r="F1473" s="23">
        <v>42.15</v>
      </c>
      <c r="G1473" s="31">
        <v>-7.1000000000000004E-3</v>
      </c>
      <c r="H1473" s="23">
        <v>-358.52</v>
      </c>
      <c r="I1473" s="31">
        <v>-7.1000000000000004E-3</v>
      </c>
      <c r="J1473" s="23">
        <v>1195.0650000000001</v>
      </c>
      <c r="K1473" s="23">
        <v>50730.53</v>
      </c>
      <c r="L1473" s="23">
        <v>145566.25</v>
      </c>
      <c r="M1473" s="23">
        <v>6</v>
      </c>
      <c r="N1473" s="23">
        <v>-59.75</v>
      </c>
      <c r="O1473" s="31">
        <v>-7.1000000000000004E-3</v>
      </c>
      <c r="P1473" s="31">
        <v>5.8999999999999999E-3</v>
      </c>
      <c r="Q1473" s="23" t="s">
        <v>24</v>
      </c>
      <c r="R1473" s="23">
        <v>0</v>
      </c>
      <c r="S1473" s="23">
        <v>42.02</v>
      </c>
      <c r="U1473" s="47">
        <f>VLOOKUP(AU1473,[1]expiry_dates!$B$2:$C$2894,2,FALSE)</f>
        <v>44651</v>
      </c>
      <c r="V1473" s="23" t="s">
        <v>115</v>
      </c>
      <c r="W1473" s="23" t="s">
        <v>23</v>
      </c>
      <c r="X1473" s="49">
        <v>44631.625</v>
      </c>
      <c r="Y1473" s="23">
        <v>1.35</v>
      </c>
      <c r="Z1473" s="23">
        <v>44634.385416666664</v>
      </c>
      <c r="AA1473" s="23">
        <v>1.6</v>
      </c>
      <c r="AB1473" s="23">
        <v>0.1852</v>
      </c>
      <c r="AC1473" s="23">
        <v>-13857.28</v>
      </c>
      <c r="AD1473" s="23">
        <v>-0.1852</v>
      </c>
      <c r="AE1473" s="23">
        <v>55429.120000000003</v>
      </c>
      <c r="AF1473" s="23">
        <v>74829.31</v>
      </c>
      <c r="AG1473" s="23">
        <v>4952005.07</v>
      </c>
      <c r="AH1473" s="23">
        <v>6</v>
      </c>
      <c r="AI1473" s="23">
        <v>-2309.5500000000002</v>
      </c>
      <c r="AJ1473" s="23">
        <v>-0.1852</v>
      </c>
      <c r="AK1473" s="23">
        <v>7.4099999999999999E-2</v>
      </c>
      <c r="AL1473" s="23" t="s">
        <v>24</v>
      </c>
      <c r="AM1473" s="23">
        <v>42.45</v>
      </c>
      <c r="AN1473" s="23">
        <v>34528</v>
      </c>
      <c r="AO1473" s="23">
        <v>42.02</v>
      </c>
      <c r="AP1473" s="23">
        <v>0</v>
      </c>
      <c r="AR1473" s="46"/>
      <c r="AS1473" s="44"/>
      <c r="AT1473" s="45"/>
      <c r="AU1473" s="2">
        <v>44631</v>
      </c>
      <c r="AV1473" s="52">
        <v>0.125</v>
      </c>
      <c r="AW1473" s="2" t="s">
        <v>213</v>
      </c>
      <c r="AY1473" s="3"/>
      <c r="BA1473" s="3"/>
      <c r="BG1473" s="3"/>
      <c r="BH1473" s="3"/>
    </row>
    <row r="1474" spans="1:60">
      <c r="A1474" s="23" t="s">
        <v>22</v>
      </c>
      <c r="B1474" s="23" t="s">
        <v>23</v>
      </c>
      <c r="C1474" s="27">
        <v>44634.385416666664</v>
      </c>
      <c r="D1474" s="23">
        <v>42.15</v>
      </c>
      <c r="E1474" s="27">
        <v>44634.583333333336</v>
      </c>
      <c r="F1474" s="23">
        <v>41.9</v>
      </c>
      <c r="G1474" s="31">
        <v>-5.8999999999999999E-3</v>
      </c>
      <c r="H1474" s="23">
        <v>300.89</v>
      </c>
      <c r="I1474" s="31">
        <v>5.8999999999999999E-3</v>
      </c>
      <c r="J1474" s="23">
        <v>1203.5429999999999</v>
      </c>
      <c r="K1474" s="23">
        <v>50729.32</v>
      </c>
      <c r="L1474" s="23">
        <v>145867.13</v>
      </c>
      <c r="M1474" s="23">
        <v>20</v>
      </c>
      <c r="N1474" s="23">
        <v>15.04</v>
      </c>
      <c r="O1474" s="31">
        <v>-9.4999999999999998E-3</v>
      </c>
      <c r="P1474" s="31">
        <v>1.9E-2</v>
      </c>
      <c r="Q1474" s="23" t="s">
        <v>24</v>
      </c>
      <c r="R1474" s="23">
        <v>0</v>
      </c>
      <c r="S1474" s="23">
        <v>42.7</v>
      </c>
      <c r="U1474" s="47">
        <f>VLOOKUP(AU1474,[1]expiry_dates!$B$2:$C$2894,2,FALSE)</f>
        <v>44651</v>
      </c>
      <c r="V1474" s="23" t="s">
        <v>116</v>
      </c>
      <c r="W1474" s="23" t="s">
        <v>23</v>
      </c>
      <c r="X1474" s="49">
        <v>44634.385416666664</v>
      </c>
      <c r="Y1474" s="23">
        <v>1.85</v>
      </c>
      <c r="Z1474" s="23">
        <v>44634.583333333336</v>
      </c>
      <c r="AA1474" s="23">
        <v>1.8</v>
      </c>
      <c r="AB1474" s="23">
        <v>-2.7E-2</v>
      </c>
      <c r="AC1474" s="23">
        <v>2022.04</v>
      </c>
      <c r="AD1474" s="23">
        <v>2.7E-2</v>
      </c>
      <c r="AE1474" s="23">
        <v>40440.79</v>
      </c>
      <c r="AF1474" s="23">
        <v>74815.45</v>
      </c>
      <c r="AG1474" s="23">
        <v>4954027.1100000003</v>
      </c>
      <c r="AH1474" s="23">
        <v>20</v>
      </c>
      <c r="AI1474" s="23">
        <v>101.1</v>
      </c>
      <c r="AJ1474" s="23">
        <v>-0.1081</v>
      </c>
      <c r="AK1474" s="23">
        <v>0.16220000000000001</v>
      </c>
      <c r="AL1474" s="23" t="s">
        <v>24</v>
      </c>
      <c r="AM1474" s="23">
        <v>42.15</v>
      </c>
      <c r="AN1474" s="23">
        <v>34788.400000000001</v>
      </c>
      <c r="AO1474" s="23">
        <v>42.7</v>
      </c>
      <c r="AP1474" s="23">
        <v>0</v>
      </c>
      <c r="AR1474" s="46"/>
      <c r="AS1474" s="44"/>
      <c r="AT1474" s="45"/>
      <c r="AU1474" s="2">
        <v>44634</v>
      </c>
      <c r="AV1474" s="52">
        <v>0.38541666666666669</v>
      </c>
      <c r="AW1474" s="2" t="s">
        <v>212</v>
      </c>
      <c r="AY1474" s="3"/>
      <c r="BA1474" s="3"/>
      <c r="BG1474" s="3"/>
      <c r="BH1474" s="3"/>
    </row>
    <row r="1475" spans="1:60">
      <c r="A1475" s="23" t="s">
        <v>22</v>
      </c>
      <c r="B1475" s="23" t="s">
        <v>25</v>
      </c>
      <c r="C1475" s="27">
        <v>44634.583333333336</v>
      </c>
      <c r="D1475" s="23">
        <v>41.9</v>
      </c>
      <c r="E1475" s="27">
        <v>44635.510416666664</v>
      </c>
      <c r="F1475" s="23">
        <v>42.05</v>
      </c>
      <c r="G1475" s="31">
        <v>3.5999999999999999E-3</v>
      </c>
      <c r="H1475" s="23">
        <v>181.61</v>
      </c>
      <c r="I1475" s="31">
        <v>3.5999999999999999E-3</v>
      </c>
      <c r="J1475" s="23">
        <v>1210.731</v>
      </c>
      <c r="K1475" s="23">
        <v>50729.63</v>
      </c>
      <c r="L1475" s="23">
        <v>146048.74</v>
      </c>
      <c r="M1475" s="23">
        <v>22</v>
      </c>
      <c r="N1475" s="23">
        <v>8.25</v>
      </c>
      <c r="O1475" s="31">
        <v>-3.5999999999999999E-3</v>
      </c>
      <c r="P1475" s="31">
        <v>1.3100000000000001E-2</v>
      </c>
      <c r="Q1475" s="23" t="s">
        <v>24</v>
      </c>
      <c r="R1475" s="23">
        <v>0</v>
      </c>
      <c r="S1475" s="23">
        <v>41.35</v>
      </c>
      <c r="U1475" s="47">
        <f>VLOOKUP(AU1475,[1]expiry_dates!$B$2:$C$2894,2,FALSE)</f>
        <v>44651</v>
      </c>
      <c r="V1475" s="23" t="s">
        <v>134</v>
      </c>
      <c r="W1475" s="23" t="s">
        <v>23</v>
      </c>
      <c r="X1475" s="49">
        <v>44634.583333333336</v>
      </c>
      <c r="Y1475" s="23">
        <v>1.35</v>
      </c>
      <c r="Z1475" s="23">
        <v>44635.510416666664</v>
      </c>
      <c r="AA1475" s="23">
        <v>1.2</v>
      </c>
      <c r="AB1475" s="23">
        <v>-0.1111</v>
      </c>
      <c r="AC1475" s="23">
        <v>8308.92</v>
      </c>
      <c r="AD1475" s="23">
        <v>0.1111</v>
      </c>
      <c r="AE1475" s="23">
        <v>55392.77</v>
      </c>
      <c r="AF1475" s="23">
        <v>74780.240000000005</v>
      </c>
      <c r="AG1475" s="23">
        <v>4962336.03</v>
      </c>
      <c r="AH1475" s="23">
        <v>22</v>
      </c>
      <c r="AI1475" s="23">
        <v>377.68</v>
      </c>
      <c r="AJ1475" s="23">
        <v>0</v>
      </c>
      <c r="AK1475" s="23">
        <v>0.1852</v>
      </c>
      <c r="AL1475" s="23" t="s">
        <v>24</v>
      </c>
      <c r="AM1475" s="23">
        <v>41.9</v>
      </c>
      <c r="AN1475" s="23">
        <v>35225.449999999997</v>
      </c>
      <c r="AO1475" s="23">
        <v>41.35</v>
      </c>
      <c r="AP1475" s="23">
        <v>0</v>
      </c>
      <c r="AR1475" s="46"/>
      <c r="AS1475" s="44"/>
      <c r="AT1475" s="45"/>
      <c r="AU1475" s="2">
        <v>44634</v>
      </c>
      <c r="AV1475" s="52">
        <v>8.3333333333333329E-2</v>
      </c>
      <c r="AW1475" s="2" t="s">
        <v>213</v>
      </c>
      <c r="AY1475" s="3"/>
      <c r="BA1475" s="3"/>
      <c r="BG1475" s="3"/>
      <c r="BH1475" s="3"/>
    </row>
    <row r="1476" spans="1:60">
      <c r="A1476" s="23" t="s">
        <v>22</v>
      </c>
      <c r="B1476" s="23" t="s">
        <v>23</v>
      </c>
      <c r="C1476" s="27">
        <v>44635.510416666664</v>
      </c>
      <c r="D1476" s="23">
        <v>42.05</v>
      </c>
      <c r="E1476" s="27">
        <v>44636.385416666664</v>
      </c>
      <c r="F1476" s="23">
        <v>41.7</v>
      </c>
      <c r="G1476" s="31">
        <v>-8.3000000000000001E-3</v>
      </c>
      <c r="H1476" s="23">
        <v>422.26</v>
      </c>
      <c r="I1476" s="31">
        <v>8.3000000000000001E-3</v>
      </c>
      <c r="J1476" s="23">
        <v>1206.4559999999999</v>
      </c>
      <c r="K1476" s="23">
        <v>50731.46</v>
      </c>
      <c r="L1476" s="23">
        <v>146471</v>
      </c>
      <c r="M1476" s="23">
        <v>17</v>
      </c>
      <c r="N1476" s="23">
        <v>24.84</v>
      </c>
      <c r="O1476" s="31">
        <v>-4.7999999999999996E-3</v>
      </c>
      <c r="P1476" s="31">
        <v>3.9199999999999999E-2</v>
      </c>
      <c r="Q1476" s="23" t="s">
        <v>24</v>
      </c>
      <c r="R1476" s="23">
        <v>0</v>
      </c>
      <c r="S1476" s="23">
        <v>42.44</v>
      </c>
      <c r="U1476" s="47">
        <f>VLOOKUP(AU1476,[1]expiry_dates!$B$2:$C$2894,2,FALSE)</f>
        <v>44651</v>
      </c>
      <c r="V1476" s="23" t="s">
        <v>116</v>
      </c>
      <c r="W1476" s="23" t="s">
        <v>23</v>
      </c>
      <c r="X1476" s="49">
        <v>44635.510416666664</v>
      </c>
      <c r="Y1476" s="23">
        <v>1.75</v>
      </c>
      <c r="Z1476" s="23">
        <v>44636.385416666664</v>
      </c>
      <c r="AA1476" s="23">
        <v>1.65</v>
      </c>
      <c r="AB1476" s="23">
        <v>-5.7099999999999998E-2</v>
      </c>
      <c r="AC1476" s="23">
        <v>4275.74</v>
      </c>
      <c r="AD1476" s="23">
        <v>5.7099999999999998E-2</v>
      </c>
      <c r="AE1476" s="23">
        <v>42757.45</v>
      </c>
      <c r="AF1476" s="23">
        <v>74825.53</v>
      </c>
      <c r="AG1476" s="23">
        <v>4966611.7699999996</v>
      </c>
      <c r="AH1476" s="23">
        <v>17</v>
      </c>
      <c r="AI1476" s="23">
        <v>251.51</v>
      </c>
      <c r="AJ1476" s="23">
        <v>-5.7099999999999998E-2</v>
      </c>
      <c r="AK1476" s="23">
        <v>0.31430000000000002</v>
      </c>
      <c r="AL1476" s="23" t="s">
        <v>24</v>
      </c>
      <c r="AM1476" s="23">
        <v>42.05</v>
      </c>
      <c r="AN1476" s="23">
        <v>35517.599999999999</v>
      </c>
      <c r="AO1476" s="23">
        <v>42.44</v>
      </c>
      <c r="AP1476" s="23">
        <v>0</v>
      </c>
      <c r="AR1476" s="46"/>
      <c r="AS1476" s="44"/>
      <c r="AT1476" s="45"/>
      <c r="AU1476" s="2">
        <v>44635</v>
      </c>
      <c r="AV1476" s="52">
        <v>0.51041666666666663</v>
      </c>
      <c r="AW1476" s="2" t="s">
        <v>213</v>
      </c>
      <c r="AY1476" s="3"/>
      <c r="BA1476" s="3"/>
      <c r="BG1476" s="3"/>
      <c r="BH1476" s="3"/>
    </row>
    <row r="1477" spans="1:60">
      <c r="A1477" s="23" t="s">
        <v>22</v>
      </c>
      <c r="B1477" s="23" t="s">
        <v>25</v>
      </c>
      <c r="C1477" s="27">
        <v>44636.385416666664</v>
      </c>
      <c r="D1477" s="23">
        <v>41.7</v>
      </c>
      <c r="E1477" s="27">
        <v>44636.541666666664</v>
      </c>
      <c r="F1477" s="23">
        <v>41.2</v>
      </c>
      <c r="G1477" s="31">
        <v>-1.2E-2</v>
      </c>
      <c r="H1477" s="23">
        <v>-608.30999999999995</v>
      </c>
      <c r="I1477" s="31">
        <v>-1.2E-2</v>
      </c>
      <c r="J1477" s="23">
        <v>1216.6099999999999</v>
      </c>
      <c r="K1477" s="23">
        <v>50732.66</v>
      </c>
      <c r="L1477" s="23">
        <v>145862.70000000001</v>
      </c>
      <c r="M1477" s="23">
        <v>16</v>
      </c>
      <c r="N1477" s="23">
        <v>-38.020000000000003</v>
      </c>
      <c r="O1477" s="31">
        <v>-1.2E-2</v>
      </c>
      <c r="P1477" s="31">
        <v>3.5999999999999999E-3</v>
      </c>
      <c r="Q1477" s="23" t="s">
        <v>24</v>
      </c>
      <c r="R1477" s="23">
        <v>0</v>
      </c>
      <c r="S1477" s="23">
        <v>40.479999999999997</v>
      </c>
      <c r="U1477" s="47">
        <f>VLOOKUP(AU1477,[1]expiry_dates!$B$2:$C$2894,2,FALSE)</f>
        <v>44651</v>
      </c>
      <c r="V1477" s="23" t="s">
        <v>115</v>
      </c>
      <c r="W1477" s="23" t="s">
        <v>23</v>
      </c>
      <c r="X1477" s="49">
        <v>44636.385416666664</v>
      </c>
      <c r="Y1477" s="23">
        <v>1.85</v>
      </c>
      <c r="Z1477" s="23">
        <v>44636.541666666664</v>
      </c>
      <c r="AA1477" s="23">
        <v>2</v>
      </c>
      <c r="AB1477" s="23">
        <v>8.1100000000000005E-2</v>
      </c>
      <c r="AC1477" s="23">
        <v>-6073.61</v>
      </c>
      <c r="AD1477" s="23">
        <v>-8.1100000000000005E-2</v>
      </c>
      <c r="AE1477" s="23">
        <v>40490.75</v>
      </c>
      <c r="AF1477" s="23">
        <v>74907.88</v>
      </c>
      <c r="AG1477" s="23">
        <v>4960538.16</v>
      </c>
      <c r="AH1477" s="23">
        <v>16</v>
      </c>
      <c r="AI1477" s="23">
        <v>-379.6</v>
      </c>
      <c r="AJ1477" s="23">
        <v>-0.1081</v>
      </c>
      <c r="AK1477" s="23">
        <v>5.4100000000000002E-2</v>
      </c>
      <c r="AL1477" s="23" t="s">
        <v>24</v>
      </c>
      <c r="AM1477" s="23">
        <v>41.7</v>
      </c>
      <c r="AN1477" s="23">
        <v>35748.550000000003</v>
      </c>
      <c r="AO1477" s="23">
        <v>40.479999999999997</v>
      </c>
      <c r="AP1477" s="23">
        <v>0</v>
      </c>
      <c r="AR1477" s="46"/>
      <c r="AS1477" s="44"/>
      <c r="AT1477" s="45"/>
      <c r="AU1477" s="2">
        <v>44636</v>
      </c>
      <c r="AV1477" s="52">
        <v>0.38541666666666669</v>
      </c>
      <c r="AW1477" s="2" t="s">
        <v>212</v>
      </c>
      <c r="AY1477" s="3"/>
      <c r="BA1477" s="3"/>
      <c r="BG1477" s="3"/>
      <c r="BH1477" s="3"/>
    </row>
    <row r="1478" spans="1:60">
      <c r="A1478" s="23" t="s">
        <v>22</v>
      </c>
      <c r="B1478" s="23" t="s">
        <v>23</v>
      </c>
      <c r="C1478" s="27">
        <v>44636.541666666664</v>
      </c>
      <c r="D1478" s="23">
        <v>41.2</v>
      </c>
      <c r="E1478" s="27">
        <v>44636.614583333336</v>
      </c>
      <c r="F1478" s="23">
        <v>41.8</v>
      </c>
      <c r="G1478" s="31">
        <v>1.46E-2</v>
      </c>
      <c r="H1478" s="23">
        <v>-738.79</v>
      </c>
      <c r="I1478" s="31">
        <v>-1.46E-2</v>
      </c>
      <c r="J1478" s="23">
        <v>1231.316</v>
      </c>
      <c r="K1478" s="23">
        <v>50730.23</v>
      </c>
      <c r="L1478" s="23">
        <v>145123.91</v>
      </c>
      <c r="M1478" s="23">
        <v>8</v>
      </c>
      <c r="N1478" s="23">
        <v>-92.35</v>
      </c>
      <c r="O1478" s="31">
        <v>-1.46E-2</v>
      </c>
      <c r="P1478" s="31">
        <v>2.3999999999999998E-3</v>
      </c>
      <c r="Q1478" s="23" t="s">
        <v>24</v>
      </c>
      <c r="R1478" s="23">
        <v>0</v>
      </c>
      <c r="S1478" s="23">
        <v>41.84</v>
      </c>
      <c r="U1478" s="47">
        <f>VLOOKUP(AU1478,[1]expiry_dates!$B$2:$C$2894,2,FALSE)</f>
        <v>44651</v>
      </c>
      <c r="V1478" s="23" t="s">
        <v>136</v>
      </c>
      <c r="W1478" s="23" t="s">
        <v>23</v>
      </c>
      <c r="X1478" s="49">
        <v>44636.541666666664</v>
      </c>
      <c r="Y1478" s="23">
        <v>1.9</v>
      </c>
      <c r="Z1478" s="23">
        <v>44636.614583333336</v>
      </c>
      <c r="AA1478" s="23">
        <v>2.15</v>
      </c>
      <c r="AB1478" s="23">
        <v>0.13159999999999999</v>
      </c>
      <c r="AC1478" s="23">
        <v>-9845.1200000000008</v>
      </c>
      <c r="AD1478" s="23">
        <v>-0.13159999999999999</v>
      </c>
      <c r="AE1478" s="23">
        <v>39380.49</v>
      </c>
      <c r="AF1478" s="23">
        <v>74822.94</v>
      </c>
      <c r="AG1478" s="23">
        <v>4950693.04</v>
      </c>
      <c r="AH1478" s="23">
        <v>8</v>
      </c>
      <c r="AI1478" s="23">
        <v>-1230.6400000000001</v>
      </c>
      <c r="AJ1478" s="23">
        <v>-0.13159999999999999</v>
      </c>
      <c r="AK1478" s="23">
        <v>2.63E-2</v>
      </c>
      <c r="AL1478" s="23" t="s">
        <v>24</v>
      </c>
      <c r="AM1478" s="23">
        <v>41.2</v>
      </c>
      <c r="AN1478" s="23">
        <v>35560.75</v>
      </c>
      <c r="AO1478" s="23">
        <v>41.84</v>
      </c>
      <c r="AP1478" s="23">
        <v>0</v>
      </c>
      <c r="AR1478" s="46"/>
      <c r="AS1478" s="44"/>
      <c r="AT1478" s="45"/>
      <c r="AU1478" s="2">
        <v>44636</v>
      </c>
      <c r="AV1478" s="52">
        <v>4.1666666666666664E-2</v>
      </c>
      <c r="AW1478" s="2" t="s">
        <v>213</v>
      </c>
      <c r="AY1478" s="3"/>
      <c r="BA1478" s="3"/>
      <c r="BG1478" s="3"/>
      <c r="BH1478" s="3"/>
    </row>
    <row r="1479" spans="1:60">
      <c r="A1479" s="23" t="s">
        <v>22</v>
      </c>
      <c r="B1479" s="23" t="s">
        <v>25</v>
      </c>
      <c r="C1479" s="27">
        <v>44636.614583333336</v>
      </c>
      <c r="D1479" s="23">
        <v>41.8</v>
      </c>
      <c r="E1479" s="27">
        <v>44637.614583333336</v>
      </c>
      <c r="F1479" s="23">
        <v>42.8</v>
      </c>
      <c r="G1479" s="31">
        <v>2.3900000000000001E-2</v>
      </c>
      <c r="H1479" s="23">
        <v>1213.58</v>
      </c>
      <c r="I1479" s="31">
        <v>2.3900000000000001E-2</v>
      </c>
      <c r="J1479" s="23">
        <v>1213.5830000000001</v>
      </c>
      <c r="K1479" s="23">
        <v>50727.77</v>
      </c>
      <c r="L1479" s="23">
        <v>146337.49</v>
      </c>
      <c r="M1479" s="23">
        <v>29</v>
      </c>
      <c r="N1479" s="23">
        <v>41.85</v>
      </c>
      <c r="O1479" s="31">
        <v>-1.0800000000000001E-2</v>
      </c>
      <c r="P1479" s="31">
        <v>2.75E-2</v>
      </c>
      <c r="Q1479" s="23" t="s">
        <v>24</v>
      </c>
      <c r="R1479" s="23">
        <v>0</v>
      </c>
      <c r="S1479" s="23">
        <v>41.11</v>
      </c>
      <c r="U1479" s="47">
        <f>VLOOKUP(AU1479,[1]expiry_dates!$B$2:$C$2894,2,FALSE)</f>
        <v>44651</v>
      </c>
      <c r="V1479" s="23" t="s">
        <v>134</v>
      </c>
      <c r="W1479" s="23" t="s">
        <v>23</v>
      </c>
      <c r="X1479" s="49">
        <v>44636.614583333336</v>
      </c>
      <c r="Y1479" s="23">
        <v>1.25</v>
      </c>
      <c r="Z1479" s="23">
        <v>44637.614583333336</v>
      </c>
      <c r="AA1479" s="23">
        <v>0.85000010000000004</v>
      </c>
      <c r="AB1479" s="23">
        <v>-0.32</v>
      </c>
      <c r="AC1479" s="23">
        <v>23930.560000000001</v>
      </c>
      <c r="AD1479" s="23">
        <v>0.32</v>
      </c>
      <c r="AE1479" s="23">
        <v>59826.400000000001</v>
      </c>
      <c r="AF1479" s="23">
        <v>74783</v>
      </c>
      <c r="AG1479" s="23">
        <v>4974623.5999999996</v>
      </c>
      <c r="AH1479" s="23">
        <v>29</v>
      </c>
      <c r="AI1479" s="23">
        <v>825.19</v>
      </c>
      <c r="AJ1479" s="23">
        <v>-0.04</v>
      </c>
      <c r="AK1479" s="23">
        <v>0.4</v>
      </c>
      <c r="AL1479" s="23" t="s">
        <v>24</v>
      </c>
      <c r="AM1479" s="23">
        <v>41.8</v>
      </c>
      <c r="AN1479" s="23">
        <v>35719.65</v>
      </c>
      <c r="AO1479" s="23">
        <v>41.11</v>
      </c>
      <c r="AP1479" s="23">
        <v>0</v>
      </c>
      <c r="AR1479" s="46"/>
      <c r="AS1479" s="44"/>
      <c r="AT1479" s="45"/>
      <c r="AU1479" s="2">
        <v>44636</v>
      </c>
      <c r="AV1479" s="52">
        <v>0.11458333333333333</v>
      </c>
      <c r="AW1479" s="2" t="s">
        <v>213</v>
      </c>
      <c r="AY1479" s="3"/>
      <c r="BA1479" s="3"/>
      <c r="BG1479" s="3"/>
      <c r="BH1479" s="3"/>
    </row>
    <row r="1480" spans="1:60">
      <c r="A1480" s="23" t="s">
        <v>22</v>
      </c>
      <c r="B1480" s="23" t="s">
        <v>23</v>
      </c>
      <c r="C1480" s="27">
        <v>44637.614583333336</v>
      </c>
      <c r="D1480" s="23">
        <v>42.8</v>
      </c>
      <c r="E1480" s="27">
        <v>44642.635416666664</v>
      </c>
      <c r="F1480" s="23">
        <v>40.9</v>
      </c>
      <c r="G1480" s="31">
        <v>-4.4400000000000002E-2</v>
      </c>
      <c r="H1480" s="23">
        <v>2252.0700000000002</v>
      </c>
      <c r="I1480" s="31">
        <v>4.4400000000000002E-2</v>
      </c>
      <c r="J1480" s="23">
        <v>1185.299</v>
      </c>
      <c r="K1480" s="23">
        <v>50730.78</v>
      </c>
      <c r="L1480" s="23">
        <v>148589.56</v>
      </c>
      <c r="M1480" s="23">
        <v>59</v>
      </c>
      <c r="N1480" s="23">
        <v>38.17</v>
      </c>
      <c r="O1480" s="31">
        <v>-9.2999999999999992E-3</v>
      </c>
      <c r="P1480" s="31">
        <v>5.8400000000000001E-2</v>
      </c>
      <c r="Q1480" s="23" t="s">
        <v>24</v>
      </c>
      <c r="R1480" s="23">
        <v>0</v>
      </c>
      <c r="S1480" s="23">
        <v>42.94</v>
      </c>
      <c r="U1480" s="47">
        <f>VLOOKUP(AU1480,[1]expiry_dates!$B$2:$C$2894,2,FALSE)</f>
        <v>44651</v>
      </c>
      <c r="V1480" s="23" t="s">
        <v>114</v>
      </c>
      <c r="W1480" s="23" t="s">
        <v>23</v>
      </c>
      <c r="X1480" s="49">
        <v>44637.614583333336</v>
      </c>
      <c r="Y1480" s="23">
        <v>1.4</v>
      </c>
      <c r="Z1480" s="23">
        <v>44642.635416666664</v>
      </c>
      <c r="AA1480" s="23">
        <v>0.6</v>
      </c>
      <c r="AB1480" s="23">
        <v>-0.57140000000000002</v>
      </c>
      <c r="AC1480" s="23">
        <v>42784.639999999999</v>
      </c>
      <c r="AD1480" s="23">
        <v>0.57140000000000002</v>
      </c>
      <c r="AE1480" s="23">
        <v>53480.800000000003</v>
      </c>
      <c r="AF1480" s="23">
        <v>74873.119999999995</v>
      </c>
      <c r="AG1480" s="23">
        <v>5017408.24</v>
      </c>
      <c r="AH1480" s="23">
        <v>59</v>
      </c>
      <c r="AI1480" s="23">
        <v>725.16</v>
      </c>
      <c r="AJ1480" s="23">
        <v>-3.5700000000000003E-2</v>
      </c>
      <c r="AK1480" s="23">
        <v>0.71430000000000005</v>
      </c>
      <c r="AL1480" s="23" t="s">
        <v>24</v>
      </c>
      <c r="AM1480" s="23">
        <v>42.8</v>
      </c>
      <c r="AN1480" s="23">
        <v>36510.85</v>
      </c>
      <c r="AO1480" s="23">
        <v>42.94</v>
      </c>
      <c r="AP1480" s="23">
        <v>0</v>
      </c>
      <c r="AR1480" s="46"/>
      <c r="AS1480" s="44"/>
      <c r="AT1480" s="45"/>
      <c r="AU1480" s="2">
        <v>44637</v>
      </c>
      <c r="AV1480" s="52">
        <v>0.11458333333333333</v>
      </c>
      <c r="AW1480" s="2" t="s">
        <v>213</v>
      </c>
      <c r="AY1480" s="3"/>
      <c r="BA1480" s="3"/>
      <c r="BG1480" s="3"/>
      <c r="BH1480" s="3"/>
    </row>
    <row r="1481" spans="1:60">
      <c r="A1481" s="23" t="s">
        <v>22</v>
      </c>
      <c r="B1481" s="23" t="s">
        <v>25</v>
      </c>
      <c r="C1481" s="27">
        <v>44642.635416666664</v>
      </c>
      <c r="D1481" s="23">
        <v>40.9</v>
      </c>
      <c r="E1481" s="27">
        <v>44643.489583333336</v>
      </c>
      <c r="F1481" s="23">
        <v>40.799999999999997</v>
      </c>
      <c r="G1481" s="31">
        <v>-2.3999999999999998E-3</v>
      </c>
      <c r="H1481" s="23">
        <v>-124.07</v>
      </c>
      <c r="I1481" s="31">
        <v>-2.3999999999999998E-3</v>
      </c>
      <c r="J1481" s="23">
        <v>1240.6949999999999</v>
      </c>
      <c r="K1481" s="23">
        <v>50744.43</v>
      </c>
      <c r="L1481" s="23">
        <v>148465.49</v>
      </c>
      <c r="M1481" s="23">
        <v>15</v>
      </c>
      <c r="N1481" s="23">
        <v>-8.27</v>
      </c>
      <c r="O1481" s="31">
        <v>-9.7999999999999997E-3</v>
      </c>
      <c r="P1481" s="31">
        <v>9.7999999999999997E-3</v>
      </c>
      <c r="Q1481" s="23" t="s">
        <v>24</v>
      </c>
      <c r="R1481" s="23">
        <v>0</v>
      </c>
      <c r="S1481" s="23">
        <v>40.299999999999997</v>
      </c>
      <c r="U1481" s="47">
        <f>VLOOKUP(AU1481,[1]expiry_dates!$B$2:$C$2894,2,FALSE)</f>
        <v>44651</v>
      </c>
      <c r="V1481" s="23" t="s">
        <v>134</v>
      </c>
      <c r="W1481" s="23" t="s">
        <v>23</v>
      </c>
      <c r="X1481" s="49">
        <v>44642.635416666664</v>
      </c>
      <c r="Y1481" s="23">
        <v>1.3</v>
      </c>
      <c r="Z1481" s="23">
        <v>44643.489583333336</v>
      </c>
      <c r="AA1481" s="23">
        <v>1.3</v>
      </c>
      <c r="AB1481" s="23">
        <v>0</v>
      </c>
      <c r="AC1481" s="23">
        <v>0</v>
      </c>
      <c r="AD1481" s="23">
        <v>0</v>
      </c>
      <c r="AE1481" s="23">
        <v>57769.55</v>
      </c>
      <c r="AF1481" s="23">
        <v>75100.41</v>
      </c>
      <c r="AG1481" s="23">
        <v>5017408.24</v>
      </c>
      <c r="AH1481" s="23">
        <v>15</v>
      </c>
      <c r="AI1481" s="23">
        <v>0</v>
      </c>
      <c r="AJ1481" s="23">
        <v>-0.15379999999999999</v>
      </c>
      <c r="AK1481" s="23">
        <v>0.1154</v>
      </c>
      <c r="AL1481" s="23" t="s">
        <v>24</v>
      </c>
      <c r="AM1481" s="23">
        <v>40.9</v>
      </c>
      <c r="AN1481" s="23">
        <v>36439.949999999997</v>
      </c>
      <c r="AO1481" s="23">
        <v>40.299999999999997</v>
      </c>
      <c r="AP1481" s="23">
        <v>0</v>
      </c>
      <c r="AR1481" s="46"/>
      <c r="AS1481" s="44"/>
      <c r="AT1481" s="45"/>
      <c r="AU1481" s="2">
        <v>44642</v>
      </c>
      <c r="AV1481" s="52">
        <v>0.13541666666666666</v>
      </c>
      <c r="AW1481" s="2" t="s">
        <v>213</v>
      </c>
      <c r="AY1481" s="3"/>
      <c r="BA1481" s="3"/>
      <c r="BG1481" s="3"/>
      <c r="BH1481" s="3"/>
    </row>
    <row r="1482" spans="1:60">
      <c r="A1482" s="23" t="s">
        <v>22</v>
      </c>
      <c r="B1482" s="23" t="s">
        <v>23</v>
      </c>
      <c r="C1482" s="27">
        <v>44643.489583333336</v>
      </c>
      <c r="D1482" s="23">
        <v>40.799999999999997</v>
      </c>
      <c r="E1482" s="27">
        <v>44643.614583333336</v>
      </c>
      <c r="F1482" s="23">
        <v>40.950000000000003</v>
      </c>
      <c r="G1482" s="31">
        <v>3.7000000000000002E-3</v>
      </c>
      <c r="H1482" s="23">
        <v>-186.56</v>
      </c>
      <c r="I1482" s="31">
        <v>-3.7000000000000002E-3</v>
      </c>
      <c r="J1482" s="23">
        <v>1243.7070000000001</v>
      </c>
      <c r="K1482" s="23">
        <v>50743.26</v>
      </c>
      <c r="L1482" s="23">
        <v>148278.93</v>
      </c>
      <c r="M1482" s="23">
        <v>13</v>
      </c>
      <c r="N1482" s="23">
        <v>-14.35</v>
      </c>
      <c r="O1482" s="31">
        <v>-3.7000000000000002E-3</v>
      </c>
      <c r="P1482" s="31">
        <v>8.6E-3</v>
      </c>
      <c r="Q1482" s="23" t="s">
        <v>24</v>
      </c>
      <c r="R1482" s="23">
        <v>0</v>
      </c>
      <c r="S1482" s="23">
        <v>41.3</v>
      </c>
      <c r="U1482" s="47">
        <f>VLOOKUP(AU1482,[1]expiry_dates!$B$2:$C$2894,2,FALSE)</f>
        <v>44651</v>
      </c>
      <c r="V1482" s="23" t="s">
        <v>136</v>
      </c>
      <c r="W1482" s="23" t="s">
        <v>23</v>
      </c>
      <c r="X1482" s="49">
        <v>44643.489583333336</v>
      </c>
      <c r="Y1482" s="23">
        <v>1.25</v>
      </c>
      <c r="Z1482" s="23">
        <v>44643.614583333336</v>
      </c>
      <c r="AA1482" s="23">
        <v>1.4</v>
      </c>
      <c r="AB1482" s="23">
        <v>0.12</v>
      </c>
      <c r="AC1482" s="23">
        <v>-9012.18</v>
      </c>
      <c r="AD1482" s="23">
        <v>-0.12</v>
      </c>
      <c r="AE1482" s="23">
        <v>60081.19</v>
      </c>
      <c r="AF1482" s="23">
        <v>75101.48</v>
      </c>
      <c r="AG1482" s="23">
        <v>5008396.0599999996</v>
      </c>
      <c r="AH1482" s="23">
        <v>13</v>
      </c>
      <c r="AI1482" s="23">
        <v>-693.24</v>
      </c>
      <c r="AJ1482" s="23">
        <v>-0.12</v>
      </c>
      <c r="AK1482" s="23">
        <v>0.12</v>
      </c>
      <c r="AL1482" s="23" t="s">
        <v>24</v>
      </c>
      <c r="AM1482" s="23">
        <v>40.799999999999997</v>
      </c>
      <c r="AN1482" s="23">
        <v>36292.949999999997</v>
      </c>
      <c r="AO1482" s="23">
        <v>41.3</v>
      </c>
      <c r="AP1482" s="23">
        <v>0</v>
      </c>
      <c r="AR1482" s="46"/>
      <c r="AS1482" s="44"/>
      <c r="AT1482" s="45"/>
      <c r="AU1482" s="2">
        <v>44643</v>
      </c>
      <c r="AV1482" s="52">
        <v>0.48958333333333331</v>
      </c>
      <c r="AW1482" s="2" t="s">
        <v>212</v>
      </c>
      <c r="AY1482" s="3"/>
      <c r="BA1482" s="3"/>
      <c r="BG1482" s="3"/>
      <c r="BH1482" s="3"/>
    </row>
    <row r="1483" spans="1:60">
      <c r="A1483" s="23" t="s">
        <v>22</v>
      </c>
      <c r="B1483" s="23" t="s">
        <v>25</v>
      </c>
      <c r="C1483" s="27">
        <v>44643.614583333336</v>
      </c>
      <c r="D1483" s="23">
        <v>40.950000000000003</v>
      </c>
      <c r="E1483" s="27">
        <v>44644.395833333336</v>
      </c>
      <c r="F1483" s="23">
        <v>40.549999999999997</v>
      </c>
      <c r="G1483" s="31">
        <v>-9.7999999999999997E-3</v>
      </c>
      <c r="H1483" s="23">
        <v>-495.66</v>
      </c>
      <c r="I1483" s="31">
        <v>-9.7999999999999997E-3</v>
      </c>
      <c r="J1483" s="23">
        <v>1239.1590000000001</v>
      </c>
      <c r="K1483" s="23">
        <v>50743.57</v>
      </c>
      <c r="L1483" s="23">
        <v>147783.26999999999</v>
      </c>
      <c r="M1483" s="23">
        <v>8</v>
      </c>
      <c r="N1483" s="23">
        <v>-61.96</v>
      </c>
      <c r="O1483" s="31">
        <v>-1.0999999999999999E-2</v>
      </c>
      <c r="P1483" s="31">
        <v>2.3999999999999998E-3</v>
      </c>
      <c r="Q1483" s="23" t="s">
        <v>24</v>
      </c>
      <c r="R1483" s="23">
        <v>0</v>
      </c>
      <c r="S1483" s="23">
        <v>40.450000000000003</v>
      </c>
      <c r="U1483" s="47">
        <f>VLOOKUP(AU1483,[1]expiry_dates!$B$2:$C$2894,2,FALSE)</f>
        <v>44651</v>
      </c>
      <c r="V1483" s="23" t="s">
        <v>134</v>
      </c>
      <c r="W1483" s="23" t="s">
        <v>23</v>
      </c>
      <c r="X1483" s="49">
        <v>44643.614583333336</v>
      </c>
      <c r="Y1483" s="23">
        <v>1.35</v>
      </c>
      <c r="Z1483" s="23">
        <v>44644.395833333336</v>
      </c>
      <c r="AA1483" s="23">
        <v>1.4</v>
      </c>
      <c r="AB1483" s="23">
        <v>3.6999999999999998E-2</v>
      </c>
      <c r="AC1483" s="23">
        <v>-2782.11</v>
      </c>
      <c r="AD1483" s="23">
        <v>-3.6999999999999998E-2</v>
      </c>
      <c r="AE1483" s="23">
        <v>55642.28</v>
      </c>
      <c r="AF1483" s="23">
        <v>75117.08</v>
      </c>
      <c r="AG1483" s="23">
        <v>5005613.95</v>
      </c>
      <c r="AH1483" s="23">
        <v>8</v>
      </c>
      <c r="AI1483" s="23">
        <v>-347.76</v>
      </c>
      <c r="AJ1483" s="23">
        <v>-0.1111</v>
      </c>
      <c r="AK1483" s="23">
        <v>7.4099999999999999E-2</v>
      </c>
      <c r="AL1483" s="23" t="s">
        <v>24</v>
      </c>
      <c r="AM1483" s="23">
        <v>40.950000000000003</v>
      </c>
      <c r="AN1483" s="23">
        <v>36219.4</v>
      </c>
      <c r="AO1483" s="23">
        <v>40.450000000000003</v>
      </c>
      <c r="AP1483" s="23">
        <v>0</v>
      </c>
      <c r="AR1483" s="46"/>
      <c r="AS1483" s="44"/>
      <c r="AT1483" s="45"/>
      <c r="AU1483" s="2">
        <v>44643</v>
      </c>
      <c r="AV1483" s="52">
        <v>0.11458333333333333</v>
      </c>
      <c r="AW1483" s="2" t="s">
        <v>213</v>
      </c>
      <c r="AY1483" s="3"/>
      <c r="BA1483" s="3"/>
      <c r="BG1483" s="3"/>
      <c r="BH1483" s="3"/>
    </row>
    <row r="1484" spans="1:60">
      <c r="A1484" s="23" t="s">
        <v>22</v>
      </c>
      <c r="B1484" s="23" t="s">
        <v>23</v>
      </c>
      <c r="C1484" s="27">
        <v>44644.395833333336</v>
      </c>
      <c r="D1484" s="23">
        <v>40.549999999999997</v>
      </c>
      <c r="E1484" s="27">
        <v>44644.614583333336</v>
      </c>
      <c r="F1484" s="23">
        <v>40.1</v>
      </c>
      <c r="G1484" s="31">
        <v>-1.11E-2</v>
      </c>
      <c r="H1484" s="23">
        <v>563.09</v>
      </c>
      <c r="I1484" s="31">
        <v>1.11E-2</v>
      </c>
      <c r="J1484" s="23">
        <v>1251.306</v>
      </c>
      <c r="K1484" s="23">
        <v>50740.46</v>
      </c>
      <c r="L1484" s="23">
        <v>148346.35999999999</v>
      </c>
      <c r="M1484" s="23">
        <v>22</v>
      </c>
      <c r="N1484" s="23">
        <v>25.59</v>
      </c>
      <c r="O1484" s="31">
        <v>-6.1999999999999998E-3</v>
      </c>
      <c r="P1484" s="31">
        <v>1.6E-2</v>
      </c>
      <c r="Q1484" s="23" t="s">
        <v>24</v>
      </c>
      <c r="R1484" s="23">
        <v>0</v>
      </c>
      <c r="S1484" s="23">
        <v>41.03</v>
      </c>
      <c r="U1484" s="47">
        <f>VLOOKUP(AU1484,[1]expiry_dates!$B$2:$C$2894,2,FALSE)</f>
        <v>44651</v>
      </c>
      <c r="V1484" s="23" t="s">
        <v>136</v>
      </c>
      <c r="W1484" s="23" t="s">
        <v>23</v>
      </c>
      <c r="X1484" s="49">
        <v>44644.395833333336</v>
      </c>
      <c r="Y1484" s="23">
        <v>1.1000000000000001</v>
      </c>
      <c r="Z1484" s="23">
        <v>44644.614583333336</v>
      </c>
      <c r="AA1484" s="23">
        <v>0.9</v>
      </c>
      <c r="AB1484" s="23">
        <v>-0.18179999999999999</v>
      </c>
      <c r="AC1484" s="23">
        <v>13641.47</v>
      </c>
      <c r="AD1484" s="23">
        <v>0.18179999999999999</v>
      </c>
      <c r="AE1484" s="23">
        <v>68207.34</v>
      </c>
      <c r="AF1484" s="23">
        <v>75028.070000000007</v>
      </c>
      <c r="AG1484" s="23">
        <v>5019255.41</v>
      </c>
      <c r="AH1484" s="23">
        <v>22</v>
      </c>
      <c r="AI1484" s="23">
        <v>620.07000000000005</v>
      </c>
      <c r="AJ1484" s="23">
        <v>-9.0899999999999995E-2</v>
      </c>
      <c r="AK1484" s="23">
        <v>0.2727</v>
      </c>
      <c r="AL1484" s="23" t="s">
        <v>24</v>
      </c>
      <c r="AM1484" s="23">
        <v>40.549999999999997</v>
      </c>
      <c r="AN1484" s="23">
        <v>35678.5</v>
      </c>
      <c r="AO1484" s="23">
        <v>41.03</v>
      </c>
      <c r="AP1484" s="23">
        <v>0</v>
      </c>
      <c r="AR1484" s="46"/>
      <c r="AS1484" s="44"/>
      <c r="AT1484" s="45"/>
      <c r="AU1484" s="2">
        <v>44644</v>
      </c>
      <c r="AV1484" s="52">
        <v>0.39583333333333331</v>
      </c>
      <c r="AW1484" s="2" t="s">
        <v>212</v>
      </c>
      <c r="AY1484" s="3"/>
      <c r="BA1484" s="3"/>
      <c r="BG1484" s="3"/>
      <c r="BH1484" s="3"/>
    </row>
    <row r="1485" spans="1:60">
      <c r="A1485" s="23" t="s">
        <v>22</v>
      </c>
      <c r="B1485" s="23" t="s">
        <v>25</v>
      </c>
      <c r="C1485" s="27">
        <v>44644.614583333336</v>
      </c>
      <c r="D1485" s="23">
        <v>40.1</v>
      </c>
      <c r="E1485" s="27">
        <v>44644.635416666664</v>
      </c>
      <c r="F1485" s="23">
        <v>40.049999999999997</v>
      </c>
      <c r="G1485" s="31">
        <v>-1.1999999999999999E-3</v>
      </c>
      <c r="H1485" s="23">
        <v>-63.27</v>
      </c>
      <c r="I1485" s="31">
        <v>-1.1999999999999999E-3</v>
      </c>
      <c r="J1485" s="23">
        <v>1265.3879999999999</v>
      </c>
      <c r="K1485" s="23">
        <v>50742.04</v>
      </c>
      <c r="L1485" s="23">
        <v>148283.09</v>
      </c>
      <c r="M1485" s="23">
        <v>3</v>
      </c>
      <c r="N1485" s="23">
        <v>-21.09</v>
      </c>
      <c r="O1485" s="31">
        <v>-2.5000000000000001E-3</v>
      </c>
      <c r="P1485" s="31">
        <v>6.1999999999999998E-3</v>
      </c>
      <c r="Q1485" s="23" t="s">
        <v>24</v>
      </c>
      <c r="R1485" s="23">
        <v>0</v>
      </c>
      <c r="S1485" s="23">
        <v>39.9</v>
      </c>
      <c r="U1485" s="47">
        <f>VLOOKUP(AU1485,[1]expiry_dates!$B$2:$C$2894,2,FALSE)</f>
        <v>44651</v>
      </c>
      <c r="V1485" s="23" t="s">
        <v>113</v>
      </c>
      <c r="W1485" s="23" t="s">
        <v>23</v>
      </c>
      <c r="X1485" s="49">
        <v>44644.614583333336</v>
      </c>
      <c r="Y1485" s="23">
        <v>1.2</v>
      </c>
      <c r="Z1485" s="23">
        <v>44644.635416666664</v>
      </c>
      <c r="AA1485" s="23">
        <v>1.25</v>
      </c>
      <c r="AB1485" s="23">
        <v>4.1700000000000001E-2</v>
      </c>
      <c r="AC1485" s="23">
        <v>-3129.72</v>
      </c>
      <c r="AD1485" s="23">
        <v>-4.1700000000000001E-2</v>
      </c>
      <c r="AE1485" s="23">
        <v>62594.44</v>
      </c>
      <c r="AF1485" s="23">
        <v>75113.33</v>
      </c>
      <c r="AG1485" s="23">
        <v>5016125.6900000004</v>
      </c>
      <c r="AH1485" s="23">
        <v>3</v>
      </c>
      <c r="AI1485" s="23">
        <v>-1043.24</v>
      </c>
      <c r="AJ1485" s="23">
        <v>-4.1700000000000001E-2</v>
      </c>
      <c r="AK1485" s="23">
        <v>0.125</v>
      </c>
      <c r="AL1485" s="23" t="s">
        <v>24</v>
      </c>
      <c r="AM1485" s="23">
        <v>40.1</v>
      </c>
      <c r="AN1485" s="23">
        <v>35577.949999999997</v>
      </c>
      <c r="AO1485" s="23">
        <v>39.9</v>
      </c>
      <c r="AP1485" s="23">
        <v>0</v>
      </c>
      <c r="AR1485" s="46"/>
      <c r="AS1485" s="44"/>
      <c r="AT1485" s="45"/>
      <c r="AU1485" s="2">
        <v>44644</v>
      </c>
      <c r="AV1485" s="52">
        <v>0.11458333333333333</v>
      </c>
      <c r="AW1485" s="2" t="s">
        <v>213</v>
      </c>
      <c r="AY1485" s="3"/>
      <c r="BA1485" s="3"/>
      <c r="BG1485" s="3"/>
      <c r="BH1485" s="3"/>
    </row>
    <row r="1486" spans="1:60">
      <c r="A1486" s="23" t="s">
        <v>22</v>
      </c>
      <c r="B1486" s="23" t="s">
        <v>23</v>
      </c>
      <c r="C1486" s="27">
        <v>44644.635416666664</v>
      </c>
      <c r="D1486" s="23">
        <v>40.049999999999997</v>
      </c>
      <c r="E1486" s="27">
        <v>44645.385416666664</v>
      </c>
      <c r="F1486" s="23">
        <v>40.1</v>
      </c>
      <c r="G1486" s="31">
        <v>1.1999999999999999E-3</v>
      </c>
      <c r="H1486" s="23">
        <v>-63.35</v>
      </c>
      <c r="I1486" s="31">
        <v>-1.1999999999999999E-3</v>
      </c>
      <c r="J1486" s="23">
        <v>1266.96</v>
      </c>
      <c r="K1486" s="23">
        <v>50741.73</v>
      </c>
      <c r="L1486" s="23">
        <v>148219.74</v>
      </c>
      <c r="M1486" s="23">
        <v>5</v>
      </c>
      <c r="N1486" s="23">
        <v>-12.67</v>
      </c>
      <c r="O1486" s="31">
        <v>-8.6999999999999994E-3</v>
      </c>
      <c r="P1486" s="31">
        <v>2.5000000000000001E-3</v>
      </c>
      <c r="Q1486" s="23" t="s">
        <v>24</v>
      </c>
      <c r="R1486" s="23">
        <v>0</v>
      </c>
      <c r="S1486" s="23">
        <v>40.35</v>
      </c>
      <c r="U1486" s="47">
        <f>VLOOKUP(AU1486,[1]expiry_dates!$B$2:$C$2894,2,FALSE)</f>
        <v>44651</v>
      </c>
      <c r="V1486" s="23" t="s">
        <v>139</v>
      </c>
      <c r="W1486" s="23" t="s">
        <v>23</v>
      </c>
      <c r="X1486" s="49">
        <v>44644.635416666664</v>
      </c>
      <c r="Y1486" s="23">
        <v>1.45</v>
      </c>
      <c r="Z1486" s="23">
        <v>44645.385416666664</v>
      </c>
      <c r="AA1486" s="23">
        <v>1.35</v>
      </c>
      <c r="AB1486" s="23">
        <v>-6.9000000000000006E-2</v>
      </c>
      <c r="AC1486" s="23">
        <v>5179.05</v>
      </c>
      <c r="AD1486" s="23">
        <v>6.9000000000000006E-2</v>
      </c>
      <c r="AE1486" s="23">
        <v>51790.54</v>
      </c>
      <c r="AF1486" s="23">
        <v>75096.28</v>
      </c>
      <c r="AG1486" s="23">
        <v>5021304.75</v>
      </c>
      <c r="AH1486" s="23">
        <v>5</v>
      </c>
      <c r="AI1486" s="23">
        <v>1035.81</v>
      </c>
      <c r="AJ1486" s="23">
        <v>0</v>
      </c>
      <c r="AK1486" s="23">
        <v>6.9000000000000006E-2</v>
      </c>
      <c r="AL1486" s="23" t="s">
        <v>24</v>
      </c>
      <c r="AM1486" s="23">
        <v>40.049999999999997</v>
      </c>
      <c r="AN1486" s="23">
        <v>35526.85</v>
      </c>
      <c r="AO1486" s="23">
        <v>40.35</v>
      </c>
      <c r="AP1486" s="23">
        <v>0</v>
      </c>
      <c r="AR1486" s="46"/>
      <c r="AS1486" s="44"/>
      <c r="AT1486" s="45"/>
      <c r="AU1486" s="2">
        <v>44644</v>
      </c>
      <c r="AV1486" s="52">
        <v>0.13541666666666666</v>
      </c>
      <c r="AW1486" s="2" t="s">
        <v>213</v>
      </c>
      <c r="AY1486" s="3"/>
      <c r="BA1486" s="3"/>
      <c r="BG1486" s="3"/>
      <c r="BH1486" s="3"/>
    </row>
    <row r="1487" spans="1:60">
      <c r="A1487" s="23" t="s">
        <v>22</v>
      </c>
      <c r="B1487" s="23" t="s">
        <v>25</v>
      </c>
      <c r="C1487" s="27">
        <v>44645.385416666664</v>
      </c>
      <c r="D1487" s="23">
        <v>40.1</v>
      </c>
      <c r="E1487" s="27">
        <v>44645.395833333336</v>
      </c>
      <c r="F1487" s="23">
        <v>40.049999999999997</v>
      </c>
      <c r="G1487" s="31">
        <v>-1.1999999999999999E-3</v>
      </c>
      <c r="H1487" s="23">
        <v>-63.27</v>
      </c>
      <c r="I1487" s="31">
        <v>-1.1999999999999999E-3</v>
      </c>
      <c r="J1487" s="23">
        <v>1265.317</v>
      </c>
      <c r="K1487" s="23">
        <v>50739.199999999997</v>
      </c>
      <c r="L1487" s="23">
        <v>148156.47</v>
      </c>
      <c r="M1487" s="23">
        <v>2</v>
      </c>
      <c r="N1487" s="23">
        <v>-31.63</v>
      </c>
      <c r="O1487" s="31">
        <v>-2.5000000000000001E-3</v>
      </c>
      <c r="P1487" s="31">
        <v>7.4999999999999997E-3</v>
      </c>
      <c r="Q1487" s="23" t="s">
        <v>24</v>
      </c>
      <c r="R1487" s="23">
        <v>0</v>
      </c>
      <c r="S1487" s="23">
        <v>39.979999999999997</v>
      </c>
      <c r="U1487" s="47">
        <f>VLOOKUP(AU1487,[1]expiry_dates!$B$2:$C$2894,2,FALSE)</f>
        <v>44651</v>
      </c>
      <c r="V1487" s="23" t="s">
        <v>113</v>
      </c>
      <c r="W1487" s="23" t="s">
        <v>23</v>
      </c>
      <c r="X1487" s="49">
        <v>44645.385416666664</v>
      </c>
      <c r="Y1487" s="23">
        <v>1.2</v>
      </c>
      <c r="Z1487" s="23">
        <v>44645.395833333336</v>
      </c>
      <c r="AA1487" s="23">
        <v>1.1499999999999999</v>
      </c>
      <c r="AB1487" s="23">
        <v>-4.1700000000000001E-2</v>
      </c>
      <c r="AC1487" s="23">
        <v>3128.36</v>
      </c>
      <c r="AD1487" s="23">
        <v>4.1700000000000001E-2</v>
      </c>
      <c r="AE1487" s="23">
        <v>62567.19</v>
      </c>
      <c r="AF1487" s="23">
        <v>75080.63</v>
      </c>
      <c r="AG1487" s="23">
        <v>5024433.0999999996</v>
      </c>
      <c r="AH1487" s="23">
        <v>2</v>
      </c>
      <c r="AI1487" s="23">
        <v>1564.18</v>
      </c>
      <c r="AJ1487" s="23">
        <v>0</v>
      </c>
      <c r="AK1487" s="23">
        <v>0.125</v>
      </c>
      <c r="AL1487" s="23" t="s">
        <v>24</v>
      </c>
      <c r="AM1487" s="23">
        <v>40.1</v>
      </c>
      <c r="AN1487" s="23">
        <v>35411.9</v>
      </c>
      <c r="AO1487" s="23">
        <v>39.979999999999997</v>
      </c>
      <c r="AP1487" s="23">
        <v>0</v>
      </c>
      <c r="AR1487" s="46"/>
      <c r="AS1487" s="44"/>
      <c r="AT1487" s="45"/>
      <c r="AU1487" s="2">
        <v>44645</v>
      </c>
      <c r="AV1487" s="52">
        <v>0.38541666666666669</v>
      </c>
      <c r="AW1487" s="2" t="s">
        <v>212</v>
      </c>
      <c r="AY1487" s="3"/>
      <c r="BA1487" s="3"/>
      <c r="BG1487" s="3"/>
      <c r="BH1487" s="3"/>
    </row>
    <row r="1488" spans="1:60">
      <c r="A1488" s="23" t="s">
        <v>22</v>
      </c>
      <c r="B1488" s="23" t="s">
        <v>23</v>
      </c>
      <c r="C1488" s="27">
        <v>44645.395833333336</v>
      </c>
      <c r="D1488" s="23">
        <v>40.049999999999997</v>
      </c>
      <c r="E1488" s="27">
        <v>44645.552083333336</v>
      </c>
      <c r="F1488" s="23">
        <v>40.049999999999997</v>
      </c>
      <c r="G1488" s="31">
        <v>0</v>
      </c>
      <c r="H1488" s="23">
        <v>0</v>
      </c>
      <c r="I1488" s="31">
        <v>0</v>
      </c>
      <c r="J1488" s="23">
        <v>1266.944</v>
      </c>
      <c r="K1488" s="23">
        <v>50741.1</v>
      </c>
      <c r="L1488" s="23">
        <v>148156.47</v>
      </c>
      <c r="M1488" s="23">
        <v>16</v>
      </c>
      <c r="N1488" s="23">
        <v>0</v>
      </c>
      <c r="O1488" s="31">
        <v>-2.5000000000000001E-3</v>
      </c>
      <c r="P1488" s="31">
        <v>6.1999999999999998E-3</v>
      </c>
      <c r="Q1488" s="23" t="s">
        <v>24</v>
      </c>
      <c r="R1488" s="23">
        <v>0</v>
      </c>
      <c r="S1488" s="23">
        <v>40.380000000000003</v>
      </c>
      <c r="U1488" s="47">
        <f>VLOOKUP(AU1488,[1]expiry_dates!$B$2:$C$2894,2,FALSE)</f>
        <v>44651</v>
      </c>
      <c r="V1488" s="23" t="s">
        <v>139</v>
      </c>
      <c r="W1488" s="23" t="s">
        <v>23</v>
      </c>
      <c r="X1488" s="49">
        <v>44645.395833333336</v>
      </c>
      <c r="Y1488" s="23">
        <v>1.35</v>
      </c>
      <c r="Z1488" s="23">
        <v>44645.552083333336</v>
      </c>
      <c r="AA1488" s="23">
        <v>1.2</v>
      </c>
      <c r="AB1488" s="23">
        <v>-0.1111</v>
      </c>
      <c r="AC1488" s="23">
        <v>8345.17</v>
      </c>
      <c r="AD1488" s="23">
        <v>0.1111</v>
      </c>
      <c r="AE1488" s="23">
        <v>55634.46</v>
      </c>
      <c r="AF1488" s="23">
        <v>75106.52</v>
      </c>
      <c r="AG1488" s="23">
        <v>5032778.2699999996</v>
      </c>
      <c r="AH1488" s="23">
        <v>16</v>
      </c>
      <c r="AI1488" s="23">
        <v>521.57000000000005</v>
      </c>
      <c r="AJ1488" s="23">
        <v>0</v>
      </c>
      <c r="AK1488" s="23">
        <v>0.1852</v>
      </c>
      <c r="AL1488" s="23" t="s">
        <v>24</v>
      </c>
      <c r="AM1488" s="23">
        <v>40.049999999999997</v>
      </c>
      <c r="AN1488" s="23">
        <v>35480.25</v>
      </c>
      <c r="AO1488" s="23">
        <v>40.380000000000003</v>
      </c>
      <c r="AP1488" s="23">
        <v>0</v>
      </c>
      <c r="AR1488" s="46"/>
      <c r="AS1488" s="44"/>
      <c r="AT1488" s="45"/>
      <c r="AU1488" s="2">
        <v>44645</v>
      </c>
      <c r="AV1488" s="52">
        <v>0.39583333333333331</v>
      </c>
      <c r="AW1488" s="2" t="s">
        <v>212</v>
      </c>
      <c r="AY1488" s="3"/>
      <c r="BA1488" s="3"/>
      <c r="BG1488" s="3"/>
      <c r="BH1488" s="3"/>
    </row>
    <row r="1489" spans="1:60">
      <c r="A1489" s="23" t="s">
        <v>22</v>
      </c>
      <c r="B1489" s="23" t="s">
        <v>25</v>
      </c>
      <c r="C1489" s="27">
        <v>44645.552083333336</v>
      </c>
      <c r="D1489" s="23">
        <v>40.049999999999997</v>
      </c>
      <c r="E1489" s="27">
        <v>44645.583333333336</v>
      </c>
      <c r="F1489" s="23">
        <v>39.85</v>
      </c>
      <c r="G1489" s="31">
        <v>-5.0000000000000001E-3</v>
      </c>
      <c r="H1489" s="23">
        <v>-253.39</v>
      </c>
      <c r="I1489" s="31">
        <v>-5.0000000000000001E-3</v>
      </c>
      <c r="J1489" s="23">
        <v>1266.9359999999999</v>
      </c>
      <c r="K1489" s="23">
        <v>50740.78</v>
      </c>
      <c r="L1489" s="23">
        <v>147903.09</v>
      </c>
      <c r="M1489" s="23">
        <v>4</v>
      </c>
      <c r="N1489" s="23">
        <v>-63.35</v>
      </c>
      <c r="O1489" s="31">
        <v>-5.0000000000000001E-3</v>
      </c>
      <c r="P1489" s="31">
        <v>1.1999999999999999E-3</v>
      </c>
      <c r="Q1489" s="23" t="s">
        <v>24</v>
      </c>
      <c r="R1489" s="23">
        <v>0</v>
      </c>
      <c r="S1489" s="23">
        <v>39.799999999999997</v>
      </c>
      <c r="U1489" s="47">
        <f>VLOOKUP(AU1489,[1]expiry_dates!$B$2:$C$2894,2,FALSE)</f>
        <v>44651</v>
      </c>
      <c r="V1489" s="23" t="s">
        <v>113</v>
      </c>
      <c r="W1489" s="23" t="s">
        <v>23</v>
      </c>
      <c r="X1489" s="49">
        <v>44645.552083333336</v>
      </c>
      <c r="Y1489" s="23">
        <v>1.1000000000000001</v>
      </c>
      <c r="Z1489" s="23">
        <v>44645.583333333336</v>
      </c>
      <c r="AA1489" s="23">
        <v>1.2</v>
      </c>
      <c r="AB1489" s="23">
        <v>9.0899999999999995E-2</v>
      </c>
      <c r="AC1489" s="23">
        <v>-6831.82</v>
      </c>
      <c r="AD1489" s="23">
        <v>-9.0899999999999995E-2</v>
      </c>
      <c r="AE1489" s="23">
        <v>68318.16</v>
      </c>
      <c r="AF1489" s="23">
        <v>75149.98</v>
      </c>
      <c r="AG1489" s="23">
        <v>5025946.46</v>
      </c>
      <c r="AH1489" s="23">
        <v>4</v>
      </c>
      <c r="AI1489" s="23">
        <v>-1707.95</v>
      </c>
      <c r="AJ1489" s="23">
        <v>-9.0899999999999995E-2</v>
      </c>
      <c r="AK1489" s="23">
        <v>4.5499999999999999E-2</v>
      </c>
      <c r="AL1489" s="23" t="s">
        <v>24</v>
      </c>
      <c r="AM1489" s="23">
        <v>40.049999999999997</v>
      </c>
      <c r="AN1489" s="23">
        <v>35411.65</v>
      </c>
      <c r="AO1489" s="23">
        <v>39.799999999999997</v>
      </c>
      <c r="AP1489" s="23">
        <v>0</v>
      </c>
      <c r="AR1489" s="46"/>
      <c r="AS1489" s="44"/>
      <c r="AT1489" s="45"/>
      <c r="AU1489" s="2">
        <v>44645</v>
      </c>
      <c r="AV1489" s="52">
        <v>5.2083333333333336E-2</v>
      </c>
      <c r="AW1489" s="2" t="s">
        <v>213</v>
      </c>
      <c r="AY1489" s="3"/>
      <c r="BA1489" s="3"/>
      <c r="BG1489" s="3"/>
      <c r="BH1489" s="3"/>
    </row>
    <row r="1490" spans="1:60">
      <c r="A1490" s="23" t="s">
        <v>22</v>
      </c>
      <c r="B1490" s="23" t="s">
        <v>23</v>
      </c>
      <c r="C1490" s="27">
        <v>44645.583333333336</v>
      </c>
      <c r="D1490" s="23">
        <v>39.85</v>
      </c>
      <c r="E1490" s="27">
        <v>44649.385416666664</v>
      </c>
      <c r="F1490" s="23">
        <v>38.9</v>
      </c>
      <c r="G1490" s="31">
        <v>-2.3800000000000002E-2</v>
      </c>
      <c r="H1490" s="23">
        <v>1209.6099999999999</v>
      </c>
      <c r="I1490" s="31">
        <v>2.3800000000000002E-2</v>
      </c>
      <c r="J1490" s="23">
        <v>1273.271</v>
      </c>
      <c r="K1490" s="23">
        <v>50739.83</v>
      </c>
      <c r="L1490" s="23">
        <v>149112.69</v>
      </c>
      <c r="M1490" s="23">
        <v>39</v>
      </c>
      <c r="N1490" s="23">
        <v>31.02</v>
      </c>
      <c r="O1490" s="31">
        <v>-3.8E-3</v>
      </c>
      <c r="P1490" s="31">
        <v>4.1399999999999999E-2</v>
      </c>
      <c r="Q1490" s="23" t="s">
        <v>24</v>
      </c>
      <c r="R1490" s="23">
        <v>0</v>
      </c>
      <c r="S1490" s="23">
        <v>40.090000000000003</v>
      </c>
      <c r="U1490" s="47">
        <f>VLOOKUP(AU1490,[1]expiry_dates!$B$2:$C$2894,2,FALSE)</f>
        <v>44651</v>
      </c>
      <c r="V1490" s="23" t="s">
        <v>139</v>
      </c>
      <c r="W1490" s="23" t="s">
        <v>23</v>
      </c>
      <c r="X1490" s="49">
        <v>44645.583333333336</v>
      </c>
      <c r="Y1490" s="23">
        <v>1.05</v>
      </c>
      <c r="Z1490" s="23">
        <v>44649.385416666664</v>
      </c>
      <c r="AA1490" s="23">
        <v>0.45</v>
      </c>
      <c r="AB1490" s="23">
        <v>-0.57140000000000002</v>
      </c>
      <c r="AC1490" s="23">
        <v>42941.04</v>
      </c>
      <c r="AD1490" s="23">
        <v>0.57140000000000002</v>
      </c>
      <c r="AE1490" s="23">
        <v>71568.399999999994</v>
      </c>
      <c r="AF1490" s="23">
        <v>75146.81</v>
      </c>
      <c r="AG1490" s="23">
        <v>5068887.5</v>
      </c>
      <c r="AH1490" s="23">
        <v>39</v>
      </c>
      <c r="AI1490" s="23">
        <v>1101.05</v>
      </c>
      <c r="AJ1490" s="23">
        <v>-9.5200000000000007E-2</v>
      </c>
      <c r="AK1490" s="23">
        <v>0.61899999999999999</v>
      </c>
      <c r="AL1490" s="23" t="s">
        <v>24</v>
      </c>
      <c r="AM1490" s="23">
        <v>39.85</v>
      </c>
      <c r="AN1490" s="23">
        <v>35272.449999999997</v>
      </c>
      <c r="AO1490" s="23">
        <v>40.090000000000003</v>
      </c>
      <c r="AP1490" s="23">
        <v>0</v>
      </c>
      <c r="AR1490" s="46"/>
      <c r="AS1490" s="44"/>
      <c r="AT1490" s="45"/>
      <c r="AU1490" s="2">
        <v>44645</v>
      </c>
      <c r="AV1490" s="52">
        <v>8.3333333333333329E-2</v>
      </c>
      <c r="AW1490" s="2" t="s">
        <v>213</v>
      </c>
      <c r="AY1490" s="3"/>
      <c r="BA1490" s="3"/>
      <c r="BG1490" s="3"/>
      <c r="BH1490" s="3"/>
    </row>
    <row r="1491" spans="1:60">
      <c r="A1491" s="23" t="s">
        <v>22</v>
      </c>
      <c r="B1491" s="23" t="s">
        <v>25</v>
      </c>
      <c r="C1491" s="27">
        <v>44649.385416666664</v>
      </c>
      <c r="D1491" s="23">
        <v>38.9</v>
      </c>
      <c r="E1491" s="27">
        <v>44649.4375</v>
      </c>
      <c r="F1491" s="23">
        <v>38.299999999999997</v>
      </c>
      <c r="G1491" s="31">
        <v>-1.54E-2</v>
      </c>
      <c r="H1491" s="23">
        <v>-782.72</v>
      </c>
      <c r="I1491" s="31">
        <v>-1.54E-2</v>
      </c>
      <c r="J1491" s="23">
        <v>1304.538</v>
      </c>
      <c r="K1491" s="23">
        <v>50746.52</v>
      </c>
      <c r="L1491" s="23">
        <v>148329.97</v>
      </c>
      <c r="M1491" s="23">
        <v>6</v>
      </c>
      <c r="N1491" s="23">
        <v>-130.44999999999999</v>
      </c>
      <c r="O1491" s="31">
        <v>-1.54E-2</v>
      </c>
      <c r="P1491" s="31">
        <v>2.5999999999999999E-3</v>
      </c>
      <c r="Q1491" s="23" t="s">
        <v>24</v>
      </c>
      <c r="R1491" s="23">
        <v>0</v>
      </c>
      <c r="S1491" s="23">
        <v>38.24</v>
      </c>
      <c r="U1491" s="47">
        <f>VLOOKUP(AU1491,[1]expiry_dates!$B$2:$C$2894,2,FALSE)</f>
        <v>44651</v>
      </c>
      <c r="V1491" s="23" t="s">
        <v>137</v>
      </c>
      <c r="W1491" s="23" t="s">
        <v>23</v>
      </c>
      <c r="X1491" s="49">
        <v>44649.385416666664</v>
      </c>
      <c r="Y1491" s="23">
        <v>0.75</v>
      </c>
      <c r="Z1491" s="23">
        <v>44649.4375</v>
      </c>
      <c r="AA1491" s="23">
        <v>1.1000000000000001</v>
      </c>
      <c r="AB1491" s="23">
        <v>0.4667</v>
      </c>
      <c r="AC1491" s="23">
        <v>-35160.74</v>
      </c>
      <c r="AD1491" s="23">
        <v>-0.4667</v>
      </c>
      <c r="AE1491" s="23">
        <v>100459.3</v>
      </c>
      <c r="AF1491" s="23">
        <v>75344.44</v>
      </c>
      <c r="AG1491" s="23">
        <v>5033726.76</v>
      </c>
      <c r="AH1491" s="23">
        <v>6</v>
      </c>
      <c r="AI1491" s="23">
        <v>-5860.12</v>
      </c>
      <c r="AJ1491" s="23">
        <v>-0.4667</v>
      </c>
      <c r="AK1491" s="23">
        <v>0</v>
      </c>
      <c r="AL1491" s="23" t="s">
        <v>24</v>
      </c>
      <c r="AM1491" s="23">
        <v>38.9</v>
      </c>
      <c r="AN1491" s="23">
        <v>35859.800000000003</v>
      </c>
      <c r="AO1491" s="23">
        <v>38.24</v>
      </c>
      <c r="AP1491" s="23">
        <v>0</v>
      </c>
      <c r="AR1491" s="46"/>
      <c r="AS1491" s="44"/>
      <c r="AT1491" s="45"/>
      <c r="AU1491" s="2">
        <v>44649</v>
      </c>
      <c r="AV1491" s="52">
        <v>0.38541666666666669</v>
      </c>
      <c r="AW1491" s="2" t="s">
        <v>212</v>
      </c>
      <c r="AY1491" s="3"/>
      <c r="BA1491" s="3"/>
      <c r="BG1491" s="3"/>
      <c r="BH1491" s="3"/>
    </row>
    <row r="1492" spans="1:60">
      <c r="A1492" s="23" t="s">
        <v>22</v>
      </c>
      <c r="B1492" s="23" t="s">
        <v>23</v>
      </c>
      <c r="C1492" s="27">
        <v>44649.4375</v>
      </c>
      <c r="D1492" s="23">
        <v>38.299999999999997</v>
      </c>
      <c r="E1492" s="27">
        <v>44650.385416666664</v>
      </c>
      <c r="F1492" s="23">
        <v>39.1</v>
      </c>
      <c r="G1492" s="31">
        <v>2.0899999999999998E-2</v>
      </c>
      <c r="H1492" s="23">
        <v>-1059.9100000000001</v>
      </c>
      <c r="I1492" s="31">
        <v>-2.0899999999999998E-2</v>
      </c>
      <c r="J1492" s="23">
        <v>1324.89</v>
      </c>
      <c r="K1492" s="23">
        <v>50743.28</v>
      </c>
      <c r="L1492" s="23">
        <v>147270.06</v>
      </c>
      <c r="M1492" s="23">
        <v>24</v>
      </c>
      <c r="N1492" s="23">
        <v>-44.16</v>
      </c>
      <c r="O1492" s="31">
        <v>-2.0899999999999998E-2</v>
      </c>
      <c r="P1492" s="31">
        <v>1.5699999999999999E-2</v>
      </c>
      <c r="Q1492" s="23" t="s">
        <v>24</v>
      </c>
      <c r="R1492" s="23">
        <v>0</v>
      </c>
      <c r="S1492" s="23">
        <v>38.99</v>
      </c>
      <c r="U1492" s="47">
        <f>VLOOKUP(AU1492,[1]expiry_dates!$B$2:$C$2894,2,FALSE)</f>
        <v>44651</v>
      </c>
      <c r="V1492" s="23" t="s">
        <v>140</v>
      </c>
      <c r="W1492" s="23" t="s">
        <v>23</v>
      </c>
      <c r="X1492" s="49">
        <v>44649.4375</v>
      </c>
      <c r="Y1492" s="23">
        <v>0.9</v>
      </c>
      <c r="Z1492" s="23">
        <v>44650.385416666664</v>
      </c>
      <c r="AA1492" s="23">
        <v>1.25</v>
      </c>
      <c r="AB1492" s="23">
        <v>0.38890000000000002</v>
      </c>
      <c r="AC1492" s="23">
        <v>-29251.78</v>
      </c>
      <c r="AD1492" s="23">
        <v>-0.38890000000000002</v>
      </c>
      <c r="AE1492" s="23">
        <v>83576.52</v>
      </c>
      <c r="AF1492" s="23">
        <v>75218.86</v>
      </c>
      <c r="AG1492" s="23">
        <v>5004474.9800000004</v>
      </c>
      <c r="AH1492" s="23">
        <v>24</v>
      </c>
      <c r="AI1492" s="23">
        <v>-1218.82</v>
      </c>
      <c r="AJ1492" s="23">
        <v>-0.38890000000000002</v>
      </c>
      <c r="AK1492" s="23">
        <v>0.33329999999999999</v>
      </c>
      <c r="AL1492" s="23" t="s">
        <v>24</v>
      </c>
      <c r="AM1492" s="23">
        <v>38.299999999999997</v>
      </c>
      <c r="AN1492" s="23">
        <v>35733.35</v>
      </c>
      <c r="AO1492" s="23">
        <v>38.99</v>
      </c>
      <c r="AP1492" s="23">
        <v>0</v>
      </c>
      <c r="AR1492" s="46"/>
      <c r="AS1492" s="44"/>
      <c r="AT1492" s="45"/>
      <c r="AU1492" s="2">
        <v>44649</v>
      </c>
      <c r="AV1492" s="52">
        <v>0.4375</v>
      </c>
      <c r="AW1492" s="2" t="s">
        <v>212</v>
      </c>
      <c r="AY1492" s="3"/>
      <c r="BA1492" s="3"/>
      <c r="BG1492" s="3"/>
      <c r="BH1492" s="3"/>
    </row>
    <row r="1493" spans="1:60">
      <c r="A1493" s="23" t="s">
        <v>22</v>
      </c>
      <c r="B1493" s="23" t="s">
        <v>25</v>
      </c>
      <c r="C1493" s="27">
        <v>44650.385416666664</v>
      </c>
      <c r="D1493" s="23">
        <v>39.1</v>
      </c>
      <c r="E1493" s="27">
        <v>44650.479166666664</v>
      </c>
      <c r="F1493" s="23">
        <v>38.6</v>
      </c>
      <c r="G1493" s="31">
        <v>-1.2800000000000001E-2</v>
      </c>
      <c r="H1493" s="23">
        <v>-648.87</v>
      </c>
      <c r="I1493" s="31">
        <v>-1.2800000000000001E-2</v>
      </c>
      <c r="J1493" s="23">
        <v>1297.732</v>
      </c>
      <c r="K1493" s="23">
        <v>50741.32</v>
      </c>
      <c r="L1493" s="23">
        <v>146621.19</v>
      </c>
      <c r="M1493" s="23">
        <v>10</v>
      </c>
      <c r="N1493" s="23">
        <v>-64.89</v>
      </c>
      <c r="O1493" s="31">
        <v>-2.4299999999999999E-2</v>
      </c>
      <c r="P1493" s="31">
        <v>1.9199999999999998E-2</v>
      </c>
      <c r="Q1493" s="23" t="s">
        <v>24</v>
      </c>
      <c r="R1493" s="23">
        <v>0</v>
      </c>
      <c r="S1493" s="23">
        <v>37.75</v>
      </c>
      <c r="U1493" s="47">
        <f>VLOOKUP(AU1493,[1]expiry_dates!$B$2:$C$2894,2,FALSE)</f>
        <v>44651</v>
      </c>
      <c r="V1493" s="23" t="s">
        <v>137</v>
      </c>
      <c r="W1493" s="23" t="s">
        <v>23</v>
      </c>
      <c r="X1493" s="49">
        <v>44650.385416666664</v>
      </c>
      <c r="Y1493" s="23">
        <v>0.4</v>
      </c>
      <c r="Z1493" s="23">
        <v>44650.479166666664</v>
      </c>
      <c r="AA1493" s="23">
        <v>0.7</v>
      </c>
      <c r="AB1493" s="23">
        <v>0.75</v>
      </c>
      <c r="AC1493" s="23">
        <v>-56454.83</v>
      </c>
      <c r="AD1493" s="23">
        <v>-0.75</v>
      </c>
      <c r="AE1493" s="23">
        <v>188182.8</v>
      </c>
      <c r="AF1493" s="23">
        <v>75273.11</v>
      </c>
      <c r="AG1493" s="23">
        <v>4948020.1500000004</v>
      </c>
      <c r="AH1493" s="23">
        <v>10</v>
      </c>
      <c r="AI1493" s="23">
        <v>-5645.48</v>
      </c>
      <c r="AJ1493" s="23">
        <v>-1.5</v>
      </c>
      <c r="AK1493" s="23">
        <v>0.5</v>
      </c>
      <c r="AL1493" s="23" t="s">
        <v>24</v>
      </c>
      <c r="AM1493" s="23">
        <v>39.1</v>
      </c>
      <c r="AN1493" s="23">
        <v>36136.85</v>
      </c>
      <c r="AO1493" s="23">
        <v>37.75</v>
      </c>
      <c r="AP1493" s="23">
        <v>0</v>
      </c>
      <c r="AR1493" s="46"/>
      <c r="AS1493" s="44"/>
      <c r="AT1493" s="45"/>
      <c r="AU1493" s="2">
        <v>44650</v>
      </c>
      <c r="AV1493" s="52">
        <v>0.38541666666666669</v>
      </c>
      <c r="AW1493" s="2" t="s">
        <v>212</v>
      </c>
      <c r="AY1493" s="3"/>
      <c r="BA1493" s="3"/>
      <c r="BG1493" s="3"/>
      <c r="BH1493" s="3"/>
    </row>
    <row r="1494" spans="1:60">
      <c r="A1494" s="23" t="s">
        <v>22</v>
      </c>
      <c r="B1494" s="23" t="s">
        <v>23</v>
      </c>
      <c r="C1494" s="27">
        <v>44650.479166666664</v>
      </c>
      <c r="D1494" s="23">
        <v>38.6</v>
      </c>
      <c r="E1494" s="27">
        <v>44650.5</v>
      </c>
      <c r="F1494" s="23">
        <v>39.85</v>
      </c>
      <c r="G1494" s="31">
        <v>3.2399999999999998E-2</v>
      </c>
      <c r="H1494" s="23">
        <v>-1642.92</v>
      </c>
      <c r="I1494" s="31">
        <v>-3.2399999999999998E-2</v>
      </c>
      <c r="J1494" s="23">
        <v>1314.338</v>
      </c>
      <c r="K1494" s="23">
        <v>50733.43</v>
      </c>
      <c r="L1494" s="23">
        <v>144978.26999999999</v>
      </c>
      <c r="M1494" s="23">
        <v>3</v>
      </c>
      <c r="N1494" s="23">
        <v>-547.64</v>
      </c>
      <c r="O1494" s="31">
        <v>-3.2399999999999998E-2</v>
      </c>
      <c r="P1494" s="31">
        <v>3.8999999999999998E-3</v>
      </c>
      <c r="Q1494" s="23" t="s">
        <v>24</v>
      </c>
      <c r="R1494" s="23">
        <v>0</v>
      </c>
      <c r="S1494" s="23">
        <v>39.85</v>
      </c>
      <c r="U1494" s="47">
        <f>VLOOKUP(AU1494,[1]expiry_dates!$B$2:$C$2894,2,FALSE)</f>
        <v>44651</v>
      </c>
      <c r="V1494" s="23" t="s">
        <v>141</v>
      </c>
      <c r="W1494" s="23" t="s">
        <v>23</v>
      </c>
      <c r="X1494" s="49">
        <v>44650.479166666664</v>
      </c>
      <c r="Y1494" s="23">
        <v>0.4</v>
      </c>
      <c r="Z1494" s="23">
        <v>44650.5</v>
      </c>
      <c r="AA1494" s="23">
        <v>1.25</v>
      </c>
      <c r="AB1494" s="23">
        <v>2.125</v>
      </c>
      <c r="AC1494" s="23">
        <v>-158722.74</v>
      </c>
      <c r="AD1494" s="23">
        <v>-2.125</v>
      </c>
      <c r="AE1494" s="23">
        <v>186732.6</v>
      </c>
      <c r="AF1494" s="23">
        <v>74693.05</v>
      </c>
      <c r="AG1494" s="23">
        <v>4789297.4000000004</v>
      </c>
      <c r="AH1494" s="23">
        <v>3</v>
      </c>
      <c r="AI1494" s="23">
        <v>-52907.58</v>
      </c>
      <c r="AJ1494" s="23">
        <v>-2.125</v>
      </c>
      <c r="AK1494" s="23">
        <v>0.25</v>
      </c>
      <c r="AL1494" s="23" t="s">
        <v>24</v>
      </c>
      <c r="AM1494" s="23">
        <v>38.6</v>
      </c>
      <c r="AN1494" s="23">
        <v>36300.1</v>
      </c>
      <c r="AO1494" s="23">
        <v>39.85</v>
      </c>
      <c r="AP1494" s="23">
        <v>0</v>
      </c>
      <c r="AR1494" s="46"/>
      <c r="AS1494" s="44"/>
      <c r="AT1494" s="45"/>
      <c r="AU1494" s="2">
        <v>44650</v>
      </c>
      <c r="AV1494" s="52">
        <v>0.47916666666666669</v>
      </c>
      <c r="AW1494" s="2" t="s">
        <v>212</v>
      </c>
      <c r="AY1494" s="3"/>
      <c r="BA1494" s="3"/>
      <c r="BG1494" s="3"/>
      <c r="BH1494" s="3"/>
    </row>
    <row r="1495" spans="1:60">
      <c r="A1495" s="23" t="s">
        <v>22</v>
      </c>
      <c r="B1495" s="23" t="s">
        <v>25</v>
      </c>
      <c r="C1495" s="27">
        <v>44650.5</v>
      </c>
      <c r="D1495" s="23">
        <v>39.85</v>
      </c>
      <c r="E1495" s="27">
        <v>44650.5625</v>
      </c>
      <c r="F1495" s="23">
        <v>38.950000000000003</v>
      </c>
      <c r="G1495" s="31">
        <v>-2.2599999999999999E-2</v>
      </c>
      <c r="H1495" s="23">
        <v>-1145.81</v>
      </c>
      <c r="I1495" s="31">
        <v>-2.2599999999999999E-2</v>
      </c>
      <c r="J1495" s="23">
        <v>1273.1179999999999</v>
      </c>
      <c r="K1495" s="23">
        <v>50733.760000000002</v>
      </c>
      <c r="L1495" s="23">
        <v>143832.46</v>
      </c>
      <c r="M1495" s="23">
        <v>7</v>
      </c>
      <c r="N1495" s="23">
        <v>-163.69</v>
      </c>
      <c r="O1495" s="31">
        <v>-3.5099999999999999E-2</v>
      </c>
      <c r="P1495" s="31">
        <v>7.4999999999999997E-3</v>
      </c>
      <c r="Q1495" s="23" t="s">
        <v>24</v>
      </c>
      <c r="R1495" s="23">
        <v>0</v>
      </c>
      <c r="S1495" s="23">
        <v>38.450000000000003</v>
      </c>
      <c r="U1495" s="47">
        <f>VLOOKUP(AU1495,[1]expiry_dates!$B$2:$C$2894,2,FALSE)</f>
        <v>44651</v>
      </c>
      <c r="V1495" s="23" t="s">
        <v>113</v>
      </c>
      <c r="W1495" s="23" t="s">
        <v>23</v>
      </c>
      <c r="X1495" s="49">
        <v>44650.5</v>
      </c>
      <c r="Y1495" s="23">
        <v>0.55000000000000004</v>
      </c>
      <c r="Z1495" s="23">
        <v>44650.5625</v>
      </c>
      <c r="AA1495" s="23">
        <v>1.1499999999999999</v>
      </c>
      <c r="AB1495" s="23">
        <v>1.0909</v>
      </c>
      <c r="AC1495" s="23">
        <v>-81636.509999999995</v>
      </c>
      <c r="AD1495" s="23">
        <v>-1.0909</v>
      </c>
      <c r="AE1495" s="23">
        <v>136060.79999999999</v>
      </c>
      <c r="AF1495" s="23">
        <v>74833.47</v>
      </c>
      <c r="AG1495" s="23">
        <v>4707660.9000000004</v>
      </c>
      <c r="AH1495" s="23">
        <v>7</v>
      </c>
      <c r="AI1495" s="23">
        <v>-11662.36</v>
      </c>
      <c r="AJ1495" s="23">
        <v>-1.8182</v>
      </c>
      <c r="AK1495" s="23">
        <v>0</v>
      </c>
      <c r="AL1495" s="23" t="s">
        <v>24</v>
      </c>
      <c r="AM1495" s="23">
        <v>39.85</v>
      </c>
      <c r="AN1495" s="23">
        <v>36270.5</v>
      </c>
      <c r="AO1495" s="23">
        <v>38.450000000000003</v>
      </c>
      <c r="AP1495" s="23">
        <v>0</v>
      </c>
      <c r="AR1495" s="46"/>
      <c r="AS1495" s="44"/>
      <c r="AT1495" s="45"/>
      <c r="AU1495" s="2">
        <v>44650</v>
      </c>
      <c r="AV1495" s="52">
        <v>0.5</v>
      </c>
      <c r="AW1495" s="2" t="s">
        <v>213</v>
      </c>
      <c r="AY1495" s="3"/>
      <c r="BA1495" s="3"/>
      <c r="BG1495" s="3"/>
      <c r="BH1495" s="3"/>
    </row>
    <row r="1496" spans="1:60">
      <c r="A1496" s="23" t="s">
        <v>22</v>
      </c>
      <c r="B1496" s="23" t="s">
        <v>23</v>
      </c>
      <c r="C1496" s="27">
        <v>44650.5625</v>
      </c>
      <c r="D1496" s="23">
        <v>38.950000000000003</v>
      </c>
      <c r="E1496" s="27">
        <v>44651.40625</v>
      </c>
      <c r="F1496" s="23">
        <v>39.299999999999997</v>
      </c>
      <c r="G1496" s="31">
        <v>8.9999999999999993E-3</v>
      </c>
      <c r="H1496" s="23">
        <v>-455.76</v>
      </c>
      <c r="I1496" s="31">
        <v>-8.9999999999999993E-3</v>
      </c>
      <c r="J1496" s="23">
        <v>1302.1849999999999</v>
      </c>
      <c r="K1496" s="23">
        <v>50720.12</v>
      </c>
      <c r="L1496" s="23">
        <v>143376.70000000001</v>
      </c>
      <c r="M1496" s="23">
        <v>14</v>
      </c>
      <c r="N1496" s="23">
        <v>-32.549999999999997</v>
      </c>
      <c r="O1496" s="31">
        <v>-8.9999999999999993E-3</v>
      </c>
      <c r="P1496" s="31">
        <v>6.4000000000000003E-3</v>
      </c>
      <c r="Q1496" s="23" t="s">
        <v>24</v>
      </c>
      <c r="R1496" s="23">
        <v>0</v>
      </c>
      <c r="S1496" s="23">
        <v>40.1</v>
      </c>
      <c r="U1496" s="47">
        <f>VLOOKUP(AU1496,[1]expiry_dates!$B$2:$C$2894,2,FALSE)</f>
        <v>44651</v>
      </c>
      <c r="V1496" s="23" t="s">
        <v>141</v>
      </c>
      <c r="W1496" s="23" t="s">
        <v>23</v>
      </c>
      <c r="X1496" s="49">
        <v>44650.5625</v>
      </c>
      <c r="Y1496" s="23">
        <v>0.5</v>
      </c>
      <c r="Z1496" s="23">
        <v>44651.40625</v>
      </c>
      <c r="AA1496" s="23">
        <v>0.55000000000000004</v>
      </c>
      <c r="AB1496" s="23">
        <v>0.1</v>
      </c>
      <c r="AC1496" s="23">
        <v>-7367.44</v>
      </c>
      <c r="AD1496" s="23">
        <v>-0.1</v>
      </c>
      <c r="AE1496" s="23">
        <v>147348.70000000001</v>
      </c>
      <c r="AF1496" s="23">
        <v>73674.37</v>
      </c>
      <c r="AG1496" s="23">
        <v>4700293.46</v>
      </c>
      <c r="AH1496" s="23">
        <v>14</v>
      </c>
      <c r="AI1496" s="23">
        <v>-526.25</v>
      </c>
      <c r="AJ1496" s="23">
        <v>-0.3</v>
      </c>
      <c r="AK1496" s="23">
        <v>0.3</v>
      </c>
      <c r="AL1496" s="23" t="s">
        <v>24</v>
      </c>
      <c r="AM1496" s="23">
        <v>38.950000000000003</v>
      </c>
      <c r="AN1496" s="23">
        <v>36234.949999999997</v>
      </c>
      <c r="AO1496" s="23">
        <v>40.1</v>
      </c>
      <c r="AP1496" s="23">
        <v>0</v>
      </c>
      <c r="AR1496" s="46"/>
      <c r="AS1496" s="44"/>
      <c r="AT1496" s="45"/>
      <c r="AU1496" s="2">
        <v>44650</v>
      </c>
      <c r="AV1496" s="52">
        <v>6.25E-2</v>
      </c>
      <c r="AW1496" s="2" t="s">
        <v>213</v>
      </c>
      <c r="AY1496" s="3"/>
      <c r="BA1496" s="3"/>
      <c r="BG1496" s="3"/>
      <c r="BH1496" s="3"/>
    </row>
    <row r="1497" spans="1:60">
      <c r="A1497" s="23" t="s">
        <v>22</v>
      </c>
      <c r="B1497" s="23" t="s">
        <v>25</v>
      </c>
      <c r="C1497" s="27">
        <v>44651.40625</v>
      </c>
      <c r="D1497" s="23">
        <v>39.299999999999997</v>
      </c>
      <c r="E1497" s="27">
        <v>44651.479166666664</v>
      </c>
      <c r="F1497" s="23">
        <v>39</v>
      </c>
      <c r="G1497" s="31">
        <v>-7.6E-3</v>
      </c>
      <c r="H1497" s="23">
        <v>-387.16</v>
      </c>
      <c r="I1497" s="31">
        <v>-7.6E-3</v>
      </c>
      <c r="J1497" s="23">
        <v>1290.5229999999999</v>
      </c>
      <c r="K1497" s="23">
        <v>50717.54</v>
      </c>
      <c r="L1497" s="23">
        <v>142989.54</v>
      </c>
      <c r="M1497" s="23">
        <v>8</v>
      </c>
      <c r="N1497" s="23">
        <v>-48.39</v>
      </c>
      <c r="O1497" s="31">
        <v>-8.8999999999999999E-3</v>
      </c>
      <c r="P1497" s="31">
        <v>3.8E-3</v>
      </c>
      <c r="Q1497" s="23" t="s">
        <v>24</v>
      </c>
      <c r="R1497" s="23">
        <v>0</v>
      </c>
      <c r="S1497" s="23">
        <v>38.72</v>
      </c>
      <c r="U1497" s="47">
        <f>VLOOKUP(AU1497,[1]expiry_dates!$B$2:$C$2894,2,FALSE)</f>
        <v>44651</v>
      </c>
      <c r="V1497" s="23" t="s">
        <v>113</v>
      </c>
      <c r="W1497" s="23" t="s">
        <v>23</v>
      </c>
      <c r="X1497" s="49">
        <v>44651.40625</v>
      </c>
      <c r="Y1497" s="23">
        <v>0.8</v>
      </c>
      <c r="Z1497" s="23">
        <v>44651.479166666664</v>
      </c>
      <c r="AA1497" s="23">
        <v>1.1000000000000001</v>
      </c>
      <c r="AB1497" s="23">
        <v>0.375</v>
      </c>
      <c r="AC1497" s="23">
        <v>-27549.24</v>
      </c>
      <c r="AD1497" s="23">
        <v>-0.375</v>
      </c>
      <c r="AE1497" s="23">
        <v>91830.79</v>
      </c>
      <c r="AF1497" s="23">
        <v>73464.63</v>
      </c>
      <c r="AG1497" s="23">
        <v>4672744.22</v>
      </c>
      <c r="AH1497" s="23">
        <v>8</v>
      </c>
      <c r="AI1497" s="23">
        <v>-3443.65</v>
      </c>
      <c r="AJ1497" s="23">
        <v>-0.375</v>
      </c>
      <c r="AK1497" s="23">
        <v>0</v>
      </c>
      <c r="AL1497" s="23" t="s">
        <v>24</v>
      </c>
      <c r="AM1497" s="23">
        <v>39.299999999999997</v>
      </c>
      <c r="AN1497" s="23">
        <v>36526.35</v>
      </c>
      <c r="AO1497" s="23">
        <v>38.72</v>
      </c>
      <c r="AP1497" s="23">
        <v>0</v>
      </c>
      <c r="AR1497" s="46"/>
      <c r="AS1497" s="44"/>
      <c r="AT1497" s="45"/>
      <c r="AU1497" s="2">
        <v>44651</v>
      </c>
      <c r="AV1497" s="52">
        <v>0.40625</v>
      </c>
      <c r="AW1497" s="2" t="s">
        <v>212</v>
      </c>
      <c r="AY1497" s="3"/>
      <c r="BA1497" s="3"/>
      <c r="BG1497" s="3"/>
      <c r="BH1497" s="3"/>
    </row>
    <row r="1498" spans="1:60">
      <c r="A1498" s="23" t="s">
        <v>22</v>
      </c>
      <c r="B1498" s="23" t="s">
        <v>23</v>
      </c>
      <c r="C1498" s="27">
        <v>44651.479166666664</v>
      </c>
      <c r="D1498" s="23">
        <v>39</v>
      </c>
      <c r="E1498" s="27">
        <v>44651.5625</v>
      </c>
      <c r="F1498" s="23">
        <v>39.25</v>
      </c>
      <c r="G1498" s="31">
        <v>6.4000000000000003E-3</v>
      </c>
      <c r="H1498" s="23">
        <v>-325.10000000000002</v>
      </c>
      <c r="I1498" s="31">
        <v>-6.4000000000000003E-3</v>
      </c>
      <c r="J1498" s="23">
        <v>1300.383</v>
      </c>
      <c r="K1498" s="23">
        <v>50714.95</v>
      </c>
      <c r="L1498" s="23">
        <v>142664.45000000001</v>
      </c>
      <c r="M1498" s="23">
        <v>9</v>
      </c>
      <c r="N1498" s="23">
        <v>-36.119999999999997</v>
      </c>
      <c r="O1498" s="31">
        <v>-6.4000000000000003E-3</v>
      </c>
      <c r="P1498" s="31">
        <v>2.5999999999999999E-3</v>
      </c>
      <c r="Q1498" s="23" t="s">
        <v>24</v>
      </c>
      <c r="R1498" s="23">
        <v>0</v>
      </c>
      <c r="S1498" s="23">
        <v>39.44</v>
      </c>
      <c r="U1498" s="47">
        <f>VLOOKUP(AU1498,[1]expiry_dates!$B$2:$C$2894,2,FALSE)</f>
        <v>44651</v>
      </c>
      <c r="V1498" s="23" t="s">
        <v>141</v>
      </c>
      <c r="W1498" s="23" t="s">
        <v>23</v>
      </c>
      <c r="X1498" s="49">
        <v>44651.479166666664</v>
      </c>
      <c r="Y1498" s="23">
        <v>0.25</v>
      </c>
      <c r="Z1498" s="23">
        <v>44651.5625</v>
      </c>
      <c r="AA1498" s="23">
        <v>0.25</v>
      </c>
      <c r="AB1498" s="23">
        <v>0</v>
      </c>
      <c r="AC1498" s="23">
        <v>0</v>
      </c>
      <c r="AD1498" s="23">
        <v>0</v>
      </c>
      <c r="AE1498" s="23">
        <v>293454.90000000002</v>
      </c>
      <c r="AF1498" s="23">
        <v>73363.72</v>
      </c>
      <c r="AG1498" s="23">
        <v>4672744.22</v>
      </c>
      <c r="AH1498" s="23">
        <v>9</v>
      </c>
      <c r="AI1498" s="23">
        <v>0</v>
      </c>
      <c r="AJ1498" s="23">
        <v>-0.8</v>
      </c>
      <c r="AK1498" s="23">
        <v>0.2</v>
      </c>
      <c r="AL1498" s="23" t="s">
        <v>24</v>
      </c>
      <c r="AM1498" s="23">
        <v>39</v>
      </c>
      <c r="AN1498" s="23">
        <v>36441.35</v>
      </c>
      <c r="AO1498" s="23">
        <v>39.44</v>
      </c>
      <c r="AP1498" s="23">
        <v>0</v>
      </c>
      <c r="AR1498" s="46"/>
      <c r="AS1498" s="44"/>
      <c r="AT1498" s="45"/>
      <c r="AU1498" s="2">
        <v>44651</v>
      </c>
      <c r="AV1498" s="52">
        <v>0.47916666666666669</v>
      </c>
      <c r="AW1498" s="2" t="s">
        <v>212</v>
      </c>
      <c r="AY1498" s="3"/>
      <c r="BA1498" s="3"/>
      <c r="BG1498" s="3"/>
      <c r="BH1498" s="3"/>
    </row>
    <row r="1499" spans="1:60">
      <c r="A1499" s="23" t="s">
        <v>22</v>
      </c>
      <c r="B1499" s="23" t="s">
        <v>25</v>
      </c>
      <c r="C1499" s="27">
        <v>44651.5625</v>
      </c>
      <c r="D1499" s="23">
        <v>39.25</v>
      </c>
      <c r="E1499" s="27">
        <v>44651.6875</v>
      </c>
      <c r="F1499" s="23">
        <v>39.700000000000003</v>
      </c>
      <c r="G1499" s="31">
        <v>1.15E-2</v>
      </c>
      <c r="H1499" s="23">
        <v>581.42999999999995</v>
      </c>
      <c r="I1499" s="31">
        <v>1.15E-2</v>
      </c>
      <c r="J1499" s="23">
        <v>1292.068</v>
      </c>
      <c r="K1499" s="23">
        <v>50713.65</v>
      </c>
      <c r="L1499" s="23">
        <v>143245.88</v>
      </c>
      <c r="M1499" s="23">
        <v>10</v>
      </c>
      <c r="N1499" s="23">
        <v>58.14</v>
      </c>
      <c r="O1499" s="31">
        <v>-2.5000000000000001E-3</v>
      </c>
      <c r="P1499" s="31">
        <v>1.5299999999999999E-2</v>
      </c>
      <c r="Q1499" s="23" t="s">
        <v>24</v>
      </c>
      <c r="R1499" s="23">
        <v>0</v>
      </c>
      <c r="S1499" s="23">
        <v>38.909999999999997</v>
      </c>
      <c r="U1499" s="47">
        <f>VLOOKUP(AU1499,[1]expiry_dates!$B$2:$C$2894,2,FALSE)</f>
        <v>44651</v>
      </c>
      <c r="V1499" s="23" t="s">
        <v>137</v>
      </c>
      <c r="W1499" s="23" t="s">
        <v>23</v>
      </c>
      <c r="X1499" s="49">
        <v>44651.5625</v>
      </c>
      <c r="Y1499" s="23">
        <v>0.2</v>
      </c>
      <c r="Z1499" s="23">
        <v>44651.6875</v>
      </c>
      <c r="AA1499" s="23">
        <v>0.05</v>
      </c>
      <c r="AB1499" s="23">
        <v>-0.75</v>
      </c>
      <c r="AC1499" s="23">
        <v>54912.75</v>
      </c>
      <c r="AD1499" s="23">
        <v>0.75</v>
      </c>
      <c r="AE1499" s="23">
        <v>366085</v>
      </c>
      <c r="AF1499" s="23">
        <v>73216.990000000005</v>
      </c>
      <c r="AG1499" s="23">
        <v>4727656.97</v>
      </c>
      <c r="AH1499" s="23">
        <v>10</v>
      </c>
      <c r="AI1499" s="23">
        <v>5491.27</v>
      </c>
      <c r="AJ1499" s="23">
        <v>-0.25</v>
      </c>
      <c r="AK1499" s="23">
        <v>0.75</v>
      </c>
      <c r="AL1499" s="23" t="s">
        <v>24</v>
      </c>
      <c r="AM1499" s="23">
        <v>39.25</v>
      </c>
      <c r="AN1499" s="23">
        <v>36388.15</v>
      </c>
      <c r="AO1499" s="23">
        <v>38.909999999999997</v>
      </c>
      <c r="AP1499" s="23">
        <v>0</v>
      </c>
      <c r="AR1499" s="46"/>
      <c r="AS1499" s="44"/>
      <c r="AT1499" s="45"/>
      <c r="AU1499" s="2">
        <v>44651</v>
      </c>
      <c r="AV1499" s="52">
        <v>6.25E-2</v>
      </c>
      <c r="AW1499" s="2" t="s">
        <v>213</v>
      </c>
      <c r="AY1499" s="3"/>
      <c r="BA1499" s="3"/>
      <c r="BG1499" s="3"/>
      <c r="BH1499" s="3"/>
    </row>
    <row r="1500" spans="1:60">
      <c r="A1500" s="23" t="s">
        <v>22</v>
      </c>
      <c r="B1500" s="23" t="s">
        <v>25</v>
      </c>
      <c r="C1500" s="27">
        <v>44652.385416666664</v>
      </c>
      <c r="D1500" s="23">
        <v>40.75</v>
      </c>
      <c r="E1500" s="27">
        <v>44656.385416666664</v>
      </c>
      <c r="F1500" s="23">
        <v>43.65</v>
      </c>
      <c r="G1500" s="31">
        <v>7.1199999999999999E-2</v>
      </c>
      <c r="H1500" s="23">
        <v>3609.25</v>
      </c>
      <c r="I1500" s="31">
        <v>7.1199999999999999E-2</v>
      </c>
      <c r="J1500" s="23">
        <v>1244.57</v>
      </c>
      <c r="K1500" s="23">
        <v>50716.23</v>
      </c>
      <c r="L1500" s="23">
        <v>146855.13</v>
      </c>
      <c r="M1500" s="23">
        <v>57</v>
      </c>
      <c r="N1500" s="23">
        <v>63.32</v>
      </c>
      <c r="O1500" s="31">
        <v>-3.1899999999999998E-2</v>
      </c>
      <c r="P1500" s="31">
        <v>7.9799999999999996E-2</v>
      </c>
      <c r="Q1500" s="23" t="s">
        <v>24</v>
      </c>
      <c r="R1500" s="23">
        <v>0</v>
      </c>
      <c r="S1500" s="23">
        <v>39.299999999999997</v>
      </c>
      <c r="U1500" s="47">
        <f>VLOOKUP(AU1500,[1]expiry_dates!$B$2:$C$2894,2,FALSE)</f>
        <v>44679</v>
      </c>
      <c r="V1500" s="23" t="s">
        <v>134</v>
      </c>
      <c r="W1500" s="23" t="s">
        <v>23</v>
      </c>
      <c r="X1500" s="49">
        <v>44652.385416666664</v>
      </c>
      <c r="Y1500" s="23">
        <v>2.1</v>
      </c>
      <c r="Z1500" s="23">
        <v>44656.385416666664</v>
      </c>
      <c r="AA1500" s="23">
        <v>0.75</v>
      </c>
      <c r="AB1500" s="23">
        <v>-0.64290000000000003</v>
      </c>
      <c r="AC1500" s="23">
        <v>47338.9</v>
      </c>
      <c r="AD1500" s="23">
        <v>0.64290000000000003</v>
      </c>
      <c r="AE1500" s="23">
        <v>35065.85</v>
      </c>
      <c r="AF1500" s="23">
        <v>73638.28</v>
      </c>
      <c r="AG1500" s="23">
        <v>4774995.87</v>
      </c>
      <c r="AH1500" s="23">
        <v>57</v>
      </c>
      <c r="AI1500" s="23">
        <v>830.51</v>
      </c>
      <c r="AJ1500" s="23">
        <v>-0.26190000000000002</v>
      </c>
      <c r="AK1500" s="23">
        <v>0.66669999999999996</v>
      </c>
      <c r="AL1500" s="23" t="s">
        <v>24</v>
      </c>
      <c r="AM1500" s="23">
        <v>40.75</v>
      </c>
      <c r="AN1500" s="23">
        <v>36435.35</v>
      </c>
      <c r="AO1500" s="23">
        <v>39.299999999999997</v>
      </c>
      <c r="AP1500" s="23">
        <v>0</v>
      </c>
      <c r="AR1500" s="46"/>
      <c r="AS1500" s="44"/>
      <c r="AT1500" s="45"/>
      <c r="AU1500" s="2">
        <v>44652</v>
      </c>
      <c r="AV1500" s="52">
        <v>0.38541666666666669</v>
      </c>
      <c r="AW1500" s="2" t="s">
        <v>212</v>
      </c>
      <c r="AY1500" s="3"/>
      <c r="BA1500" s="3"/>
      <c r="BG1500" s="3"/>
      <c r="BH1500" s="3"/>
    </row>
    <row r="1501" spans="1:60">
      <c r="A1501" s="23" t="s">
        <v>22</v>
      </c>
      <c r="B1501" s="23" t="s">
        <v>23</v>
      </c>
      <c r="C1501" s="27">
        <v>44656.385416666664</v>
      </c>
      <c r="D1501" s="23">
        <v>43.65</v>
      </c>
      <c r="E1501" s="27">
        <v>44656.447916666664</v>
      </c>
      <c r="F1501" s="23">
        <v>43.85</v>
      </c>
      <c r="G1501" s="31">
        <v>4.5999999999999999E-3</v>
      </c>
      <c r="H1501" s="23">
        <v>-232.46</v>
      </c>
      <c r="I1501" s="31">
        <v>-4.5999999999999999E-3</v>
      </c>
      <c r="J1501" s="23">
        <v>1162.319</v>
      </c>
      <c r="K1501" s="23">
        <v>50735.21</v>
      </c>
      <c r="L1501" s="23">
        <v>146622.67000000001</v>
      </c>
      <c r="M1501" s="23">
        <v>7</v>
      </c>
      <c r="N1501" s="23">
        <v>-33.21</v>
      </c>
      <c r="O1501" s="31">
        <v>-1.15E-2</v>
      </c>
      <c r="P1501" s="31">
        <v>1.26E-2</v>
      </c>
      <c r="Q1501" s="23" t="s">
        <v>24</v>
      </c>
      <c r="R1501" s="23">
        <v>0</v>
      </c>
      <c r="S1501" s="23">
        <v>44.15</v>
      </c>
      <c r="U1501" s="47">
        <f>VLOOKUP(AU1501,[1]expiry_dates!$B$2:$C$2894,2,FALSE)</f>
        <v>44679</v>
      </c>
      <c r="V1501" s="23" t="s">
        <v>117</v>
      </c>
      <c r="W1501" s="23" t="s">
        <v>23</v>
      </c>
      <c r="X1501" s="49">
        <v>44656.385416666664</v>
      </c>
      <c r="Y1501" s="23">
        <v>1.75</v>
      </c>
      <c r="Z1501" s="23">
        <v>44656.447916666664</v>
      </c>
      <c r="AA1501" s="23">
        <v>1.85</v>
      </c>
      <c r="AB1501" s="23">
        <v>5.7099999999999998E-2</v>
      </c>
      <c r="AC1501" s="23">
        <v>-4221.43</v>
      </c>
      <c r="AD1501" s="23">
        <v>-5.7099999999999998E-2</v>
      </c>
      <c r="AE1501" s="23">
        <v>42214.27</v>
      </c>
      <c r="AF1501" s="23">
        <v>73874.98</v>
      </c>
      <c r="AG1501" s="23">
        <v>4770774.4400000004</v>
      </c>
      <c r="AH1501" s="23">
        <v>7</v>
      </c>
      <c r="AI1501" s="23">
        <v>-603.05999999999995</v>
      </c>
      <c r="AJ1501" s="23">
        <v>-5.7099999999999998E-2</v>
      </c>
      <c r="AK1501" s="23">
        <v>0.1429</v>
      </c>
      <c r="AL1501" s="23" t="s">
        <v>24</v>
      </c>
      <c r="AM1501" s="23">
        <v>43.65</v>
      </c>
      <c r="AN1501" s="23">
        <v>38493.550000000003</v>
      </c>
      <c r="AO1501" s="23">
        <v>44.15</v>
      </c>
      <c r="AP1501" s="23">
        <v>0</v>
      </c>
      <c r="AR1501" s="46"/>
      <c r="AS1501" s="44"/>
      <c r="AT1501" s="45"/>
      <c r="AU1501" s="2">
        <v>44656</v>
      </c>
      <c r="AV1501" s="52">
        <v>0.38541666666666669</v>
      </c>
      <c r="AW1501" s="2" t="s">
        <v>212</v>
      </c>
      <c r="AY1501" s="3"/>
      <c r="BA1501" s="3"/>
      <c r="BG1501" s="3"/>
      <c r="BH1501" s="3"/>
    </row>
    <row r="1502" spans="1:60">
      <c r="A1502" s="23" t="s">
        <v>22</v>
      </c>
      <c r="B1502" s="23" t="s">
        <v>25</v>
      </c>
      <c r="C1502" s="27">
        <v>44656.447916666664</v>
      </c>
      <c r="D1502" s="23">
        <v>43.85</v>
      </c>
      <c r="E1502" s="27">
        <v>44656.583333333336</v>
      </c>
      <c r="F1502" s="23">
        <v>43.65</v>
      </c>
      <c r="G1502" s="31">
        <v>-4.5999999999999999E-3</v>
      </c>
      <c r="H1502" s="23">
        <v>-231.4</v>
      </c>
      <c r="I1502" s="31">
        <v>-4.5999999999999999E-3</v>
      </c>
      <c r="J1502" s="23">
        <v>1157.0029999999999</v>
      </c>
      <c r="K1502" s="23">
        <v>50734.57</v>
      </c>
      <c r="L1502" s="23">
        <v>146391.26</v>
      </c>
      <c r="M1502" s="23">
        <v>14</v>
      </c>
      <c r="N1502" s="23">
        <v>-16.53</v>
      </c>
      <c r="O1502" s="31">
        <v>-5.7000000000000002E-3</v>
      </c>
      <c r="P1502" s="31">
        <v>8.0000000000000002E-3</v>
      </c>
      <c r="Q1502" s="23" t="s">
        <v>24</v>
      </c>
      <c r="R1502" s="23">
        <v>0</v>
      </c>
      <c r="S1502" s="23">
        <v>43.12</v>
      </c>
      <c r="U1502" s="47">
        <f>VLOOKUP(AU1502,[1]expiry_dates!$B$2:$C$2894,2,FALSE)</f>
        <v>44679</v>
      </c>
      <c r="V1502" s="23" t="s">
        <v>111</v>
      </c>
      <c r="W1502" s="23" t="s">
        <v>23</v>
      </c>
      <c r="X1502" s="49">
        <v>44656.447916666664</v>
      </c>
      <c r="Y1502" s="23">
        <v>1.8</v>
      </c>
      <c r="Z1502" s="23">
        <v>44656.583333333336</v>
      </c>
      <c r="AA1502" s="23">
        <v>2.0499999999999998</v>
      </c>
      <c r="AB1502" s="23">
        <v>0.1389</v>
      </c>
      <c r="AC1502" s="23">
        <v>-10260.41</v>
      </c>
      <c r="AD1502" s="23">
        <v>-0.1389</v>
      </c>
      <c r="AE1502" s="23">
        <v>41041.660000000003</v>
      </c>
      <c r="AF1502" s="23">
        <v>73874.98</v>
      </c>
      <c r="AG1502" s="23">
        <v>4760514.03</v>
      </c>
      <c r="AH1502" s="23">
        <v>14</v>
      </c>
      <c r="AI1502" s="23">
        <v>-732.89</v>
      </c>
      <c r="AJ1502" s="23">
        <v>-0.16669999999999999</v>
      </c>
      <c r="AK1502" s="23">
        <v>8.3299999999999999E-2</v>
      </c>
      <c r="AL1502" s="23" t="s">
        <v>24</v>
      </c>
      <c r="AM1502" s="23">
        <v>43.85</v>
      </c>
      <c r="AN1502" s="23">
        <v>38327.75</v>
      </c>
      <c r="AO1502" s="23">
        <v>43.12</v>
      </c>
      <c r="AP1502" s="23">
        <v>0</v>
      </c>
      <c r="AR1502" s="46"/>
      <c r="AS1502" s="44"/>
      <c r="AT1502" s="45"/>
      <c r="AU1502" s="2">
        <v>44656</v>
      </c>
      <c r="AV1502" s="52">
        <v>0.44791666666666669</v>
      </c>
      <c r="AW1502" s="2" t="s">
        <v>212</v>
      </c>
      <c r="AY1502" s="3"/>
      <c r="BA1502" s="3"/>
      <c r="BG1502" s="3"/>
      <c r="BH1502" s="3"/>
    </row>
    <row r="1503" spans="1:60">
      <c r="A1503" s="23" t="s">
        <v>22</v>
      </c>
      <c r="B1503" s="23" t="s">
        <v>23</v>
      </c>
      <c r="C1503" s="27">
        <v>44656.583333333336</v>
      </c>
      <c r="D1503" s="23">
        <v>43.65</v>
      </c>
      <c r="E1503" s="27">
        <v>44657.614583333336</v>
      </c>
      <c r="F1503" s="23">
        <v>43.1</v>
      </c>
      <c r="G1503" s="31">
        <v>-1.26E-2</v>
      </c>
      <c r="H1503" s="23">
        <v>639.24</v>
      </c>
      <c r="I1503" s="31">
        <v>1.26E-2</v>
      </c>
      <c r="J1503" s="23">
        <v>1162.2570000000001</v>
      </c>
      <c r="K1503" s="23">
        <v>50732.54</v>
      </c>
      <c r="L1503" s="23">
        <v>147030.51</v>
      </c>
      <c r="M1503" s="23">
        <v>32</v>
      </c>
      <c r="N1503" s="23">
        <v>19.98</v>
      </c>
      <c r="O1503" s="31">
        <v>-3.3999999999999998E-3</v>
      </c>
      <c r="P1503" s="31">
        <v>2.06E-2</v>
      </c>
      <c r="Q1503" s="23" t="s">
        <v>24</v>
      </c>
      <c r="R1503" s="23">
        <v>0</v>
      </c>
      <c r="S1503" s="23">
        <v>44.17</v>
      </c>
      <c r="U1503" s="47">
        <f>VLOOKUP(AU1503,[1]expiry_dates!$B$2:$C$2894,2,FALSE)</f>
        <v>44679</v>
      </c>
      <c r="V1503" s="23" t="s">
        <v>117</v>
      </c>
      <c r="W1503" s="23" t="s">
        <v>23</v>
      </c>
      <c r="X1503" s="49">
        <v>44656.583333333336</v>
      </c>
      <c r="Y1503" s="23">
        <v>1.85</v>
      </c>
      <c r="Z1503" s="23">
        <v>44657.614583333336</v>
      </c>
      <c r="AA1503" s="23">
        <v>1.65</v>
      </c>
      <c r="AB1503" s="23">
        <v>-0.1081</v>
      </c>
      <c r="AC1503" s="23">
        <v>7980.87</v>
      </c>
      <c r="AD1503" s="23">
        <v>0.1081</v>
      </c>
      <c r="AE1503" s="23">
        <v>39904.370000000003</v>
      </c>
      <c r="AF1503" s="23">
        <v>73823.09</v>
      </c>
      <c r="AG1503" s="23">
        <v>4768494.9000000004</v>
      </c>
      <c r="AH1503" s="23">
        <v>32</v>
      </c>
      <c r="AI1503" s="23">
        <v>249.4</v>
      </c>
      <c r="AJ1503" s="23">
        <v>-5.4100000000000002E-2</v>
      </c>
      <c r="AK1503" s="23">
        <v>0.2162</v>
      </c>
      <c r="AL1503" s="23" t="s">
        <v>24</v>
      </c>
      <c r="AM1503" s="23">
        <v>43.65</v>
      </c>
      <c r="AN1503" s="23">
        <v>38379.85</v>
      </c>
      <c r="AO1503" s="23">
        <v>44.17</v>
      </c>
      <c r="AP1503" s="23">
        <v>0</v>
      </c>
      <c r="AR1503" s="46"/>
      <c r="AS1503" s="44"/>
      <c r="AT1503" s="45"/>
      <c r="AU1503" s="2">
        <v>44656</v>
      </c>
      <c r="AV1503" s="52">
        <v>8.3333333333333329E-2</v>
      </c>
      <c r="AW1503" s="2" t="s">
        <v>213</v>
      </c>
      <c r="AY1503" s="3"/>
      <c r="BA1503" s="3"/>
      <c r="BG1503" s="3"/>
      <c r="BH1503" s="3"/>
    </row>
    <row r="1504" spans="1:60">
      <c r="A1504" s="23" t="s">
        <v>22</v>
      </c>
      <c r="B1504" s="23" t="s">
        <v>25</v>
      </c>
      <c r="C1504" s="27">
        <v>44657.614583333336</v>
      </c>
      <c r="D1504" s="23">
        <v>43.1</v>
      </c>
      <c r="E1504" s="27">
        <v>44658.385416666664</v>
      </c>
      <c r="F1504" s="23">
        <v>43</v>
      </c>
      <c r="G1504" s="31">
        <v>-2.3E-3</v>
      </c>
      <c r="H1504" s="23">
        <v>-117.71</v>
      </c>
      <c r="I1504" s="31">
        <v>-2.3E-3</v>
      </c>
      <c r="J1504" s="23">
        <v>1177.1500000000001</v>
      </c>
      <c r="K1504" s="23">
        <v>50735.15</v>
      </c>
      <c r="L1504" s="23">
        <v>146912.79</v>
      </c>
      <c r="M1504" s="23">
        <v>7</v>
      </c>
      <c r="N1504" s="23">
        <v>-16.82</v>
      </c>
      <c r="O1504" s="31">
        <v>-2.3E-3</v>
      </c>
      <c r="P1504" s="31">
        <v>1.7399999999999999E-2</v>
      </c>
      <c r="Q1504" s="23" t="s">
        <v>24</v>
      </c>
      <c r="R1504" s="23">
        <v>0</v>
      </c>
      <c r="S1504" s="23">
        <v>42.76</v>
      </c>
      <c r="U1504" s="47">
        <f>VLOOKUP(AU1504,[1]expiry_dates!$B$2:$C$2894,2,FALSE)</f>
        <v>44679</v>
      </c>
      <c r="V1504" s="23" t="s">
        <v>118</v>
      </c>
      <c r="W1504" s="23" t="s">
        <v>23</v>
      </c>
      <c r="X1504" s="49">
        <v>44657.614583333336</v>
      </c>
      <c r="Y1504" s="23">
        <v>1.8</v>
      </c>
      <c r="Z1504" s="23">
        <v>44658.385416666664</v>
      </c>
      <c r="AA1504" s="23">
        <v>1.9</v>
      </c>
      <c r="AB1504" s="23">
        <v>5.5599999999999997E-2</v>
      </c>
      <c r="AC1504" s="23">
        <v>-4102.91</v>
      </c>
      <c r="AD1504" s="23">
        <v>-5.5599999999999997E-2</v>
      </c>
      <c r="AE1504" s="23">
        <v>41029.14</v>
      </c>
      <c r="AF1504" s="23">
        <v>73852.45</v>
      </c>
      <c r="AG1504" s="23">
        <v>4764391.99</v>
      </c>
      <c r="AH1504" s="23">
        <v>7</v>
      </c>
      <c r="AI1504" s="23">
        <v>-586.13</v>
      </c>
      <c r="AJ1504" s="23">
        <v>-5.5599999999999997E-2</v>
      </c>
      <c r="AK1504" s="23">
        <v>0.1389</v>
      </c>
      <c r="AL1504" s="23" t="s">
        <v>24</v>
      </c>
      <c r="AM1504" s="23">
        <v>43.1</v>
      </c>
      <c r="AN1504" s="23">
        <v>37607.65</v>
      </c>
      <c r="AO1504" s="23">
        <v>42.76</v>
      </c>
      <c r="AP1504" s="23">
        <v>0</v>
      </c>
      <c r="AR1504" s="46"/>
      <c r="AS1504" s="44"/>
      <c r="AT1504" s="45"/>
      <c r="AU1504" s="2">
        <v>44657</v>
      </c>
      <c r="AV1504" s="52">
        <v>0.11458333333333333</v>
      </c>
      <c r="AW1504" s="2" t="s">
        <v>213</v>
      </c>
      <c r="AY1504" s="3"/>
      <c r="BA1504" s="3"/>
      <c r="BG1504" s="3"/>
      <c r="BH1504" s="3"/>
    </row>
    <row r="1505" spans="1:60">
      <c r="A1505" s="23" t="s">
        <v>22</v>
      </c>
      <c r="B1505" s="23" t="s">
        <v>23</v>
      </c>
      <c r="C1505" s="27">
        <v>44658.385416666664</v>
      </c>
      <c r="D1505" s="23">
        <v>43</v>
      </c>
      <c r="E1505" s="27">
        <v>44658.510416666664</v>
      </c>
      <c r="F1505" s="23">
        <v>43.25</v>
      </c>
      <c r="G1505" s="31">
        <v>5.7999999999999996E-3</v>
      </c>
      <c r="H1505" s="23">
        <v>-294.99</v>
      </c>
      <c r="I1505" s="31">
        <v>-5.7999999999999996E-3</v>
      </c>
      <c r="J1505" s="23">
        <v>1179.942</v>
      </c>
      <c r="K1505" s="23">
        <v>50737.51</v>
      </c>
      <c r="L1505" s="23">
        <v>146617.81</v>
      </c>
      <c r="M1505" s="23">
        <v>13</v>
      </c>
      <c r="N1505" s="23">
        <v>-22.69</v>
      </c>
      <c r="O1505" s="31">
        <v>-1.4E-2</v>
      </c>
      <c r="P1505" s="31">
        <v>5.7999999999999996E-3</v>
      </c>
      <c r="Q1505" s="23" t="s">
        <v>24</v>
      </c>
      <c r="R1505" s="23">
        <v>0</v>
      </c>
      <c r="S1505" s="23">
        <v>43.81</v>
      </c>
      <c r="U1505" s="47">
        <f>VLOOKUP(AU1505,[1]expiry_dates!$B$2:$C$2894,2,FALSE)</f>
        <v>44679</v>
      </c>
      <c r="V1505" s="23" t="s">
        <v>114</v>
      </c>
      <c r="W1505" s="23" t="s">
        <v>23</v>
      </c>
      <c r="X1505" s="49">
        <v>44658.385416666664</v>
      </c>
      <c r="Y1505" s="23">
        <v>2</v>
      </c>
      <c r="Z1505" s="23">
        <v>44658.510416666664</v>
      </c>
      <c r="AA1505" s="23">
        <v>2.15</v>
      </c>
      <c r="AB1505" s="23">
        <v>7.4999999999999997E-2</v>
      </c>
      <c r="AC1505" s="23">
        <v>-5537.42</v>
      </c>
      <c r="AD1505" s="23">
        <v>-7.4999999999999997E-2</v>
      </c>
      <c r="AE1505" s="23">
        <v>36916.11</v>
      </c>
      <c r="AF1505" s="23">
        <v>73832.22</v>
      </c>
      <c r="AG1505" s="23">
        <v>4758854.57</v>
      </c>
      <c r="AH1505" s="23">
        <v>13</v>
      </c>
      <c r="AI1505" s="23">
        <v>-425.96</v>
      </c>
      <c r="AJ1505" s="23">
        <v>-0.1</v>
      </c>
      <c r="AK1505" s="23">
        <v>0.05</v>
      </c>
      <c r="AL1505" s="23" t="s">
        <v>24</v>
      </c>
      <c r="AM1505" s="23">
        <v>43</v>
      </c>
      <c r="AN1505" s="23">
        <v>37426.199999999997</v>
      </c>
      <c r="AO1505" s="23">
        <v>43.81</v>
      </c>
      <c r="AP1505" s="23">
        <v>0</v>
      </c>
      <c r="AR1505" s="46"/>
      <c r="AS1505" s="44"/>
      <c r="AT1505" s="45"/>
      <c r="AU1505" s="2">
        <v>44658</v>
      </c>
      <c r="AV1505" s="52">
        <v>0.38541666666666669</v>
      </c>
      <c r="AW1505" s="2" t="s">
        <v>212</v>
      </c>
      <c r="AY1505" s="3"/>
      <c r="BA1505" s="3"/>
      <c r="BG1505" s="3"/>
      <c r="BH1505" s="3"/>
    </row>
    <row r="1506" spans="1:60">
      <c r="A1506" s="23" t="s">
        <v>22</v>
      </c>
      <c r="B1506" s="23" t="s">
        <v>25</v>
      </c>
      <c r="C1506" s="27">
        <v>44658.510416666664</v>
      </c>
      <c r="D1506" s="23">
        <v>43.25</v>
      </c>
      <c r="E1506" s="27">
        <v>44658.552083333336</v>
      </c>
      <c r="F1506" s="23">
        <v>42.85</v>
      </c>
      <c r="G1506" s="31">
        <v>-9.1999999999999998E-3</v>
      </c>
      <c r="H1506" s="23">
        <v>-469.21</v>
      </c>
      <c r="I1506" s="31">
        <v>-9.1999999999999998E-3</v>
      </c>
      <c r="J1506" s="23">
        <v>1173.019</v>
      </c>
      <c r="K1506" s="23">
        <v>50733.09</v>
      </c>
      <c r="L1506" s="23">
        <v>146148.6</v>
      </c>
      <c r="M1506" s="23">
        <v>5</v>
      </c>
      <c r="N1506" s="23">
        <v>-93.84</v>
      </c>
      <c r="O1506" s="31">
        <v>-9.1999999999999998E-3</v>
      </c>
      <c r="P1506" s="31">
        <v>1.1999999999999999E-3</v>
      </c>
      <c r="Q1506" s="23" t="s">
        <v>24</v>
      </c>
      <c r="R1506" s="23">
        <v>0</v>
      </c>
      <c r="S1506" s="23">
        <v>42.77</v>
      </c>
      <c r="U1506" s="47">
        <f>VLOOKUP(AU1506,[1]expiry_dates!$B$2:$C$2894,2,FALSE)</f>
        <v>44679</v>
      </c>
      <c r="V1506" s="23" t="s">
        <v>118</v>
      </c>
      <c r="W1506" s="23" t="s">
        <v>23</v>
      </c>
      <c r="X1506" s="49">
        <v>44658.510416666664</v>
      </c>
      <c r="Y1506" s="23">
        <v>1.7</v>
      </c>
      <c r="Z1506" s="23">
        <v>44658.552083333336</v>
      </c>
      <c r="AA1506" s="23">
        <v>1.9</v>
      </c>
      <c r="AB1506" s="23">
        <v>0.1176</v>
      </c>
      <c r="AC1506" s="23">
        <v>-8680.59</v>
      </c>
      <c r="AD1506" s="23">
        <v>-0.1176</v>
      </c>
      <c r="AE1506" s="23">
        <v>43402.96</v>
      </c>
      <c r="AF1506" s="23">
        <v>73785.039999999994</v>
      </c>
      <c r="AG1506" s="23">
        <v>4750173.9800000004</v>
      </c>
      <c r="AH1506" s="23">
        <v>5</v>
      </c>
      <c r="AI1506" s="23">
        <v>-1736.12</v>
      </c>
      <c r="AJ1506" s="23">
        <v>-0.1176</v>
      </c>
      <c r="AK1506" s="23">
        <v>0</v>
      </c>
      <c r="AL1506" s="23" t="s">
        <v>24</v>
      </c>
      <c r="AM1506" s="23">
        <v>43.25</v>
      </c>
      <c r="AN1506" s="23">
        <v>37924.050000000003</v>
      </c>
      <c r="AO1506" s="23">
        <v>42.77</v>
      </c>
      <c r="AP1506" s="23">
        <v>0</v>
      </c>
      <c r="AR1506" s="46"/>
      <c r="AS1506" s="44"/>
      <c r="AT1506" s="45"/>
      <c r="AU1506" s="2">
        <v>44658</v>
      </c>
      <c r="AV1506" s="52">
        <v>0.51041666666666663</v>
      </c>
      <c r="AW1506" s="2" t="s">
        <v>213</v>
      </c>
      <c r="AY1506" s="3"/>
      <c r="BA1506" s="3"/>
      <c r="BG1506" s="3"/>
      <c r="BH1506" s="3"/>
    </row>
    <row r="1507" spans="1:60">
      <c r="A1507" s="23" t="s">
        <v>22</v>
      </c>
      <c r="B1507" s="23" t="s">
        <v>23</v>
      </c>
      <c r="C1507" s="27">
        <v>44658.552083333336</v>
      </c>
      <c r="D1507" s="23">
        <v>42.85</v>
      </c>
      <c r="E1507" s="27">
        <v>44659.614583333336</v>
      </c>
      <c r="F1507" s="23">
        <v>41.95</v>
      </c>
      <c r="G1507" s="31">
        <v>-2.1000000000000001E-2</v>
      </c>
      <c r="H1507" s="23">
        <v>1065.55</v>
      </c>
      <c r="I1507" s="31">
        <v>2.1000000000000001E-2</v>
      </c>
      <c r="J1507" s="23">
        <v>1183.942</v>
      </c>
      <c r="K1507" s="23">
        <v>50731.91</v>
      </c>
      <c r="L1507" s="23">
        <v>147214.15</v>
      </c>
      <c r="M1507" s="23">
        <v>35</v>
      </c>
      <c r="N1507" s="23">
        <v>30.44</v>
      </c>
      <c r="O1507" s="31">
        <v>-4.7000000000000002E-3</v>
      </c>
      <c r="P1507" s="31">
        <v>3.3799999999999997E-2</v>
      </c>
      <c r="Q1507" s="23" t="s">
        <v>24</v>
      </c>
      <c r="R1507" s="23">
        <v>0</v>
      </c>
      <c r="S1507" s="23">
        <v>43.28</v>
      </c>
      <c r="U1507" s="47">
        <f>VLOOKUP(AU1507,[1]expiry_dates!$B$2:$C$2894,2,FALSE)</f>
        <v>44679</v>
      </c>
      <c r="V1507" s="23" t="s">
        <v>114</v>
      </c>
      <c r="W1507" s="23" t="s">
        <v>23</v>
      </c>
      <c r="X1507" s="49">
        <v>44658.552083333336</v>
      </c>
      <c r="Y1507" s="23">
        <v>2</v>
      </c>
      <c r="Z1507" s="23">
        <v>44659.614583333336</v>
      </c>
      <c r="AA1507" s="23">
        <v>1.5</v>
      </c>
      <c r="AB1507" s="23">
        <v>-0.25</v>
      </c>
      <c r="AC1507" s="23">
        <v>18440.43</v>
      </c>
      <c r="AD1507" s="23">
        <v>0.25</v>
      </c>
      <c r="AE1507" s="23">
        <v>36880.86</v>
      </c>
      <c r="AF1507" s="23">
        <v>73761.72</v>
      </c>
      <c r="AG1507" s="23">
        <v>4768614.41</v>
      </c>
      <c r="AH1507" s="23">
        <v>35</v>
      </c>
      <c r="AI1507" s="23">
        <v>526.87</v>
      </c>
      <c r="AJ1507" s="23">
        <v>-2.5000000000000001E-2</v>
      </c>
      <c r="AK1507" s="23">
        <v>0.32500000000000001</v>
      </c>
      <c r="AL1507" s="23" t="s">
        <v>24</v>
      </c>
      <c r="AM1507" s="23">
        <v>42.85</v>
      </c>
      <c r="AN1507" s="23">
        <v>37808.75</v>
      </c>
      <c r="AO1507" s="23">
        <v>43.28</v>
      </c>
      <c r="AP1507" s="23">
        <v>0</v>
      </c>
      <c r="AR1507" s="46"/>
      <c r="AS1507" s="44"/>
      <c r="AT1507" s="45"/>
      <c r="AU1507" s="2">
        <v>44658</v>
      </c>
      <c r="AV1507" s="52">
        <v>5.2083333333333336E-2</v>
      </c>
      <c r="AW1507" s="2" t="s">
        <v>213</v>
      </c>
      <c r="AY1507" s="3"/>
      <c r="BA1507" s="3"/>
      <c r="BG1507" s="3"/>
      <c r="BH1507" s="3"/>
    </row>
    <row r="1508" spans="1:60">
      <c r="A1508" s="23" t="s">
        <v>22</v>
      </c>
      <c r="B1508" s="23" t="s">
        <v>25</v>
      </c>
      <c r="C1508" s="27">
        <v>44659.614583333336</v>
      </c>
      <c r="D1508" s="23">
        <v>41.95</v>
      </c>
      <c r="E1508" s="27">
        <v>44662.583333333336</v>
      </c>
      <c r="F1508" s="23">
        <v>42.5</v>
      </c>
      <c r="G1508" s="31">
        <v>1.3100000000000001E-2</v>
      </c>
      <c r="H1508" s="23">
        <v>665.2</v>
      </c>
      <c r="I1508" s="31">
        <v>1.3100000000000001E-2</v>
      </c>
      <c r="J1508" s="23">
        <v>1209.4480000000001</v>
      </c>
      <c r="K1508" s="23">
        <v>50736.36</v>
      </c>
      <c r="L1508" s="23">
        <v>147879.34</v>
      </c>
      <c r="M1508" s="23">
        <v>26</v>
      </c>
      <c r="N1508" s="23">
        <v>25.58</v>
      </c>
      <c r="O1508" s="31">
        <v>-6.0000000000000001E-3</v>
      </c>
      <c r="P1508" s="31">
        <v>2.2599999999999999E-2</v>
      </c>
      <c r="Q1508" s="23" t="s">
        <v>24</v>
      </c>
      <c r="R1508" s="23">
        <v>0</v>
      </c>
      <c r="S1508" s="23">
        <v>41.42</v>
      </c>
      <c r="U1508" s="47">
        <f>VLOOKUP(AU1508,[1]expiry_dates!$B$2:$C$2894,2,FALSE)</f>
        <v>44679</v>
      </c>
      <c r="V1508" s="23" t="s">
        <v>134</v>
      </c>
      <c r="W1508" s="23" t="s">
        <v>23</v>
      </c>
      <c r="X1508" s="49">
        <v>44659.614583333336</v>
      </c>
      <c r="Y1508" s="23">
        <v>1.25</v>
      </c>
      <c r="Z1508" s="23">
        <v>44662.583333333336</v>
      </c>
      <c r="AA1508" s="23">
        <v>0.9</v>
      </c>
      <c r="AB1508" s="23">
        <v>-0.28000000000000003</v>
      </c>
      <c r="AC1508" s="23">
        <v>20676.060000000001</v>
      </c>
      <c r="AD1508" s="23">
        <v>0.28000000000000003</v>
      </c>
      <c r="AE1508" s="23">
        <v>59074.46</v>
      </c>
      <c r="AF1508" s="23">
        <v>73843.070000000007</v>
      </c>
      <c r="AG1508" s="23">
        <v>4789290.47</v>
      </c>
      <c r="AH1508" s="23">
        <v>26</v>
      </c>
      <c r="AI1508" s="23">
        <v>795.23</v>
      </c>
      <c r="AJ1508" s="23">
        <v>-0.08</v>
      </c>
      <c r="AK1508" s="23">
        <v>0.36</v>
      </c>
      <c r="AL1508" s="23" t="s">
        <v>24</v>
      </c>
      <c r="AM1508" s="23">
        <v>41.95</v>
      </c>
      <c r="AN1508" s="23">
        <v>37781.800000000003</v>
      </c>
      <c r="AO1508" s="23">
        <v>41.42</v>
      </c>
      <c r="AP1508" s="23">
        <v>0</v>
      </c>
      <c r="AR1508" s="46"/>
      <c r="AS1508" s="44"/>
      <c r="AT1508" s="45"/>
      <c r="AU1508" s="2">
        <v>44659</v>
      </c>
      <c r="AV1508" s="52">
        <v>0.11458333333333333</v>
      </c>
      <c r="AW1508" s="2" t="s">
        <v>213</v>
      </c>
      <c r="AY1508" s="3"/>
      <c r="BA1508" s="3"/>
      <c r="BG1508" s="3"/>
      <c r="BH1508" s="3"/>
    </row>
    <row r="1509" spans="1:60">
      <c r="A1509" s="23" t="s">
        <v>22</v>
      </c>
      <c r="B1509" s="23" t="s">
        <v>23</v>
      </c>
      <c r="C1509" s="27">
        <v>44662.583333333336</v>
      </c>
      <c r="D1509" s="23">
        <v>42.5</v>
      </c>
      <c r="E1509" s="27">
        <v>44663.59375</v>
      </c>
      <c r="F1509" s="23">
        <v>41.65</v>
      </c>
      <c r="G1509" s="31">
        <v>-0.02</v>
      </c>
      <c r="H1509" s="23">
        <v>1014.78</v>
      </c>
      <c r="I1509" s="31">
        <v>0.02</v>
      </c>
      <c r="J1509" s="23">
        <v>1193.8610000000001</v>
      </c>
      <c r="K1509" s="23">
        <v>50739.1</v>
      </c>
      <c r="L1509" s="23">
        <v>148894.12</v>
      </c>
      <c r="M1509" s="23">
        <v>30</v>
      </c>
      <c r="N1509" s="23">
        <v>33.83</v>
      </c>
      <c r="O1509" s="31">
        <v>-2.3999999999999998E-3</v>
      </c>
      <c r="P1509" s="31">
        <v>3.6499999999999998E-2</v>
      </c>
      <c r="Q1509" s="23" t="s">
        <v>24</v>
      </c>
      <c r="R1509" s="23">
        <v>0</v>
      </c>
      <c r="S1509" s="23">
        <v>42.88</v>
      </c>
      <c r="U1509" s="47">
        <f>VLOOKUP(AU1509,[1]expiry_dates!$B$2:$C$2894,2,FALSE)</f>
        <v>44679</v>
      </c>
      <c r="V1509" s="23" t="s">
        <v>116</v>
      </c>
      <c r="W1509" s="23" t="s">
        <v>23</v>
      </c>
      <c r="X1509" s="49">
        <v>44662.583333333336</v>
      </c>
      <c r="Y1509" s="23">
        <v>2</v>
      </c>
      <c r="Z1509" s="23">
        <v>44663.59375</v>
      </c>
      <c r="AA1509" s="23">
        <v>1.4</v>
      </c>
      <c r="AB1509" s="23">
        <v>-0.3</v>
      </c>
      <c r="AC1509" s="23">
        <v>22183.94</v>
      </c>
      <c r="AD1509" s="23">
        <v>0.3</v>
      </c>
      <c r="AE1509" s="23">
        <v>36973.230000000003</v>
      </c>
      <c r="AF1509" s="23">
        <v>73946.45</v>
      </c>
      <c r="AG1509" s="23">
        <v>4811474.4000000004</v>
      </c>
      <c r="AH1509" s="23">
        <v>30</v>
      </c>
      <c r="AI1509" s="23">
        <v>739.46</v>
      </c>
      <c r="AJ1509" s="23">
        <v>-0.05</v>
      </c>
      <c r="AK1509" s="23">
        <v>0.42499999999999999</v>
      </c>
      <c r="AL1509" s="23" t="s">
        <v>24</v>
      </c>
      <c r="AM1509" s="23">
        <v>42.5</v>
      </c>
      <c r="AN1509" s="23">
        <v>37822.1</v>
      </c>
      <c r="AO1509" s="23">
        <v>42.88</v>
      </c>
      <c r="AP1509" s="23">
        <v>0</v>
      </c>
      <c r="AR1509" s="46"/>
      <c r="AS1509" s="44"/>
      <c r="AT1509" s="45"/>
      <c r="AU1509" s="2">
        <v>44662</v>
      </c>
      <c r="AV1509" s="52">
        <v>8.3333333333333329E-2</v>
      </c>
      <c r="AW1509" s="2" t="s">
        <v>213</v>
      </c>
      <c r="AY1509" s="3"/>
      <c r="BA1509" s="3"/>
      <c r="BG1509" s="3"/>
      <c r="BH1509" s="3"/>
    </row>
    <row r="1510" spans="1:60">
      <c r="A1510" s="23" t="s">
        <v>22</v>
      </c>
      <c r="B1510" s="23" t="s">
        <v>25</v>
      </c>
      <c r="C1510" s="27">
        <v>44663.59375</v>
      </c>
      <c r="D1510" s="23">
        <v>41.65</v>
      </c>
      <c r="E1510" s="27">
        <v>44664.520833333336</v>
      </c>
      <c r="F1510" s="23">
        <v>41.85</v>
      </c>
      <c r="G1510" s="31">
        <v>4.7999999999999996E-3</v>
      </c>
      <c r="H1510" s="23">
        <v>243.68</v>
      </c>
      <c r="I1510" s="31">
        <v>4.7999999999999996E-3</v>
      </c>
      <c r="J1510" s="23">
        <v>1218.376</v>
      </c>
      <c r="K1510" s="23">
        <v>50745.37</v>
      </c>
      <c r="L1510" s="23">
        <v>149137.79999999999</v>
      </c>
      <c r="M1510" s="23">
        <v>22</v>
      </c>
      <c r="N1510" s="23">
        <v>11.08</v>
      </c>
      <c r="O1510" s="31">
        <v>-4.7999999999999996E-3</v>
      </c>
      <c r="P1510" s="31">
        <v>1.32E-2</v>
      </c>
      <c r="Q1510" s="23" t="s">
        <v>24</v>
      </c>
      <c r="R1510" s="23">
        <v>0</v>
      </c>
      <c r="S1510" s="23">
        <v>40.950000000000003</v>
      </c>
      <c r="U1510" s="47">
        <f>VLOOKUP(AU1510,[1]expiry_dates!$B$2:$C$2894,2,FALSE)</f>
        <v>44679</v>
      </c>
      <c r="V1510" s="23" t="s">
        <v>115</v>
      </c>
      <c r="W1510" s="23" t="s">
        <v>23</v>
      </c>
      <c r="X1510" s="49">
        <v>44663.59375</v>
      </c>
      <c r="Y1510" s="23">
        <v>1.65</v>
      </c>
      <c r="Z1510" s="23">
        <v>44664.520833333336</v>
      </c>
      <c r="AA1510" s="23">
        <v>1.4</v>
      </c>
      <c r="AB1510" s="23">
        <v>-0.1515</v>
      </c>
      <c r="AC1510" s="23">
        <v>11222.21</v>
      </c>
      <c r="AD1510" s="23">
        <v>0.1515</v>
      </c>
      <c r="AE1510" s="23">
        <v>44888.86</v>
      </c>
      <c r="AF1510" s="23">
        <v>74066.62</v>
      </c>
      <c r="AG1510" s="23">
        <v>4822696.62</v>
      </c>
      <c r="AH1510" s="23">
        <v>22</v>
      </c>
      <c r="AI1510" s="23">
        <v>510.1</v>
      </c>
      <c r="AJ1510" s="23">
        <v>-3.0300000000000001E-2</v>
      </c>
      <c r="AK1510" s="23">
        <v>0.2424</v>
      </c>
      <c r="AL1510" s="23" t="s">
        <v>24</v>
      </c>
      <c r="AM1510" s="23">
        <v>41.65</v>
      </c>
      <c r="AN1510" s="23">
        <v>37794.75</v>
      </c>
      <c r="AO1510" s="23">
        <v>40.950000000000003</v>
      </c>
      <c r="AP1510" s="23">
        <v>0</v>
      </c>
      <c r="AR1510" s="46"/>
      <c r="AS1510" s="44"/>
      <c r="AT1510" s="45"/>
      <c r="AU1510" s="2">
        <v>44663</v>
      </c>
      <c r="AV1510" s="52">
        <v>9.375E-2</v>
      </c>
      <c r="AW1510" s="2" t="s">
        <v>213</v>
      </c>
      <c r="AY1510" s="3"/>
      <c r="BA1510" s="3"/>
      <c r="BG1510" s="3"/>
      <c r="BH1510" s="3"/>
    </row>
    <row r="1511" spans="1:60">
      <c r="A1511" s="23" t="s">
        <v>22</v>
      </c>
      <c r="B1511" s="23" t="s">
        <v>23</v>
      </c>
      <c r="C1511" s="27">
        <v>44664.520833333336</v>
      </c>
      <c r="D1511" s="23">
        <v>41.85</v>
      </c>
      <c r="E1511" s="27">
        <v>44664.552083333336</v>
      </c>
      <c r="F1511" s="23">
        <v>41.85</v>
      </c>
      <c r="G1511" s="31">
        <v>0</v>
      </c>
      <c r="H1511" s="23">
        <v>0</v>
      </c>
      <c r="I1511" s="31">
        <v>0</v>
      </c>
      <c r="J1511" s="23">
        <v>1212.547</v>
      </c>
      <c r="K1511" s="23">
        <v>50745.08</v>
      </c>
      <c r="L1511" s="23">
        <v>149137.79999999999</v>
      </c>
      <c r="M1511" s="23">
        <v>4</v>
      </c>
      <c r="N1511" s="23">
        <v>0</v>
      </c>
      <c r="O1511" s="31">
        <v>-3.5999999999999999E-3</v>
      </c>
      <c r="P1511" s="31">
        <v>4.7999999999999996E-3</v>
      </c>
      <c r="Q1511" s="23" t="s">
        <v>24</v>
      </c>
      <c r="R1511" s="23">
        <v>0</v>
      </c>
      <c r="S1511" s="23">
        <v>42.18</v>
      </c>
      <c r="U1511" s="47">
        <f>VLOOKUP(AU1511,[1]expiry_dates!$B$2:$C$2894,2,FALSE)</f>
        <v>44679</v>
      </c>
      <c r="V1511" s="23" t="s">
        <v>116</v>
      </c>
      <c r="W1511" s="23" t="s">
        <v>23</v>
      </c>
      <c r="X1511" s="49">
        <v>44664.520833333336</v>
      </c>
      <c r="Y1511" s="23">
        <v>1.3</v>
      </c>
      <c r="Z1511" s="23">
        <v>44664.552083333336</v>
      </c>
      <c r="AA1511" s="23">
        <v>1.3</v>
      </c>
      <c r="AB1511" s="23">
        <v>0</v>
      </c>
      <c r="AC1511" s="23">
        <v>0</v>
      </c>
      <c r="AD1511" s="23">
        <v>0</v>
      </c>
      <c r="AE1511" s="23">
        <v>57001.74</v>
      </c>
      <c r="AF1511" s="23">
        <v>74102.27</v>
      </c>
      <c r="AG1511" s="23">
        <v>4822696.62</v>
      </c>
      <c r="AH1511" s="23">
        <v>4</v>
      </c>
      <c r="AI1511" s="23">
        <v>0</v>
      </c>
      <c r="AJ1511" s="23">
        <v>-7.6899999999999996E-2</v>
      </c>
      <c r="AK1511" s="23">
        <v>3.85E-2</v>
      </c>
      <c r="AL1511" s="23" t="s">
        <v>24</v>
      </c>
      <c r="AM1511" s="23">
        <v>41.85</v>
      </c>
      <c r="AN1511" s="23">
        <v>37666.050000000003</v>
      </c>
      <c r="AO1511" s="23">
        <v>42.18</v>
      </c>
      <c r="AP1511" s="23">
        <v>0</v>
      </c>
      <c r="AR1511" s="46"/>
      <c r="AS1511" s="44"/>
      <c r="AT1511" s="45"/>
      <c r="AU1511" s="2">
        <v>44664</v>
      </c>
      <c r="AV1511" s="52">
        <v>0.52083333333333337</v>
      </c>
      <c r="AW1511" s="2" t="s">
        <v>213</v>
      </c>
      <c r="AY1511" s="3"/>
      <c r="BA1511" s="3"/>
      <c r="BG1511" s="3"/>
      <c r="BH1511" s="3"/>
    </row>
    <row r="1512" spans="1:60">
      <c r="A1512" s="23" t="s">
        <v>22</v>
      </c>
      <c r="B1512" s="23" t="s">
        <v>25</v>
      </c>
      <c r="C1512" s="27">
        <v>44664.552083333336</v>
      </c>
      <c r="D1512" s="23">
        <v>41.85</v>
      </c>
      <c r="E1512" s="27">
        <v>44664.572916666664</v>
      </c>
      <c r="F1512" s="23">
        <v>41.6</v>
      </c>
      <c r="G1512" s="31">
        <v>-6.0000000000000001E-3</v>
      </c>
      <c r="H1512" s="23">
        <v>-303.13</v>
      </c>
      <c r="I1512" s="31">
        <v>-6.0000000000000001E-3</v>
      </c>
      <c r="J1512" s="23">
        <v>1212.54</v>
      </c>
      <c r="K1512" s="23">
        <v>50744.78</v>
      </c>
      <c r="L1512" s="23">
        <v>148834.67000000001</v>
      </c>
      <c r="M1512" s="23">
        <v>3</v>
      </c>
      <c r="N1512" s="23">
        <v>-101.04</v>
      </c>
      <c r="O1512" s="31">
        <v>-6.0000000000000001E-3</v>
      </c>
      <c r="P1512" s="31">
        <v>6.0000000000000001E-3</v>
      </c>
      <c r="Q1512" s="23" t="s">
        <v>24</v>
      </c>
      <c r="R1512" s="23">
        <v>0</v>
      </c>
      <c r="S1512" s="23">
        <v>41.66</v>
      </c>
      <c r="U1512" s="47">
        <f>VLOOKUP(AU1512,[1]expiry_dates!$B$2:$C$2894,2,FALSE)</f>
        <v>44679</v>
      </c>
      <c r="V1512" s="23" t="s">
        <v>134</v>
      </c>
      <c r="W1512" s="23" t="s">
        <v>23</v>
      </c>
      <c r="X1512" s="49">
        <v>44664.552083333336</v>
      </c>
      <c r="Y1512" s="23">
        <v>0.9</v>
      </c>
      <c r="Z1512" s="23">
        <v>44664.572916666664</v>
      </c>
      <c r="AA1512" s="23">
        <v>0.9</v>
      </c>
      <c r="AB1512" s="23">
        <v>0</v>
      </c>
      <c r="AC1512" s="23">
        <v>0</v>
      </c>
      <c r="AD1512" s="23">
        <v>0</v>
      </c>
      <c r="AE1512" s="23">
        <v>82332.479999999996</v>
      </c>
      <c r="AF1512" s="23">
        <v>74099.23</v>
      </c>
      <c r="AG1512" s="23">
        <v>4822696.62</v>
      </c>
      <c r="AH1512" s="23">
        <v>3</v>
      </c>
      <c r="AI1512" s="23">
        <v>0</v>
      </c>
      <c r="AJ1512" s="23">
        <v>0</v>
      </c>
      <c r="AK1512" s="23">
        <v>0.1111</v>
      </c>
      <c r="AL1512" s="23" t="s">
        <v>24</v>
      </c>
      <c r="AM1512" s="23">
        <v>41.85</v>
      </c>
      <c r="AN1512" s="23">
        <v>37636.6</v>
      </c>
      <c r="AO1512" s="23">
        <v>41.66</v>
      </c>
      <c r="AP1512" s="23">
        <v>0</v>
      </c>
      <c r="AR1512" s="46"/>
      <c r="AS1512" s="44"/>
      <c r="AT1512" s="45"/>
      <c r="AU1512" s="2">
        <v>44664</v>
      </c>
      <c r="AV1512" s="52">
        <v>5.2083333333333336E-2</v>
      </c>
      <c r="AW1512" s="2" t="s">
        <v>213</v>
      </c>
      <c r="AY1512" s="3"/>
      <c r="BA1512" s="3"/>
      <c r="BG1512" s="3"/>
      <c r="BH1512" s="3"/>
    </row>
    <row r="1513" spans="1:60">
      <c r="A1513" s="23" t="s">
        <v>22</v>
      </c>
      <c r="B1513" s="23" t="s">
        <v>23</v>
      </c>
      <c r="C1513" s="27">
        <v>44664.572916666664</v>
      </c>
      <c r="D1513" s="23">
        <v>41.6</v>
      </c>
      <c r="E1513" s="27">
        <v>44669.604166666664</v>
      </c>
      <c r="F1513" s="23">
        <v>40.799999999999997</v>
      </c>
      <c r="G1513" s="31">
        <v>-1.9199999999999998E-2</v>
      </c>
      <c r="H1513" s="23">
        <v>975.87</v>
      </c>
      <c r="I1513" s="31">
        <v>1.9199999999999998E-2</v>
      </c>
      <c r="J1513" s="23">
        <v>1219.8409999999999</v>
      </c>
      <c r="K1513" s="23">
        <v>50745.39</v>
      </c>
      <c r="L1513" s="23">
        <v>149810.54</v>
      </c>
      <c r="M1513" s="23">
        <v>32</v>
      </c>
      <c r="N1513" s="23">
        <v>30.5</v>
      </c>
      <c r="O1513" s="31">
        <v>-4.7999999999999996E-3</v>
      </c>
      <c r="P1513" s="31">
        <v>3.2500000000000001E-2</v>
      </c>
      <c r="Q1513" s="23" t="s">
        <v>24</v>
      </c>
      <c r="R1513" s="23">
        <v>0</v>
      </c>
      <c r="S1513" s="23">
        <v>42.1</v>
      </c>
      <c r="U1513" s="47">
        <f>VLOOKUP(AU1513,[1]expiry_dates!$B$2:$C$2894,2,FALSE)</f>
        <v>44679</v>
      </c>
      <c r="V1513" s="23" t="s">
        <v>116</v>
      </c>
      <c r="W1513" s="23" t="s">
        <v>23</v>
      </c>
      <c r="X1513" s="49">
        <v>44664.572916666664</v>
      </c>
      <c r="Y1513" s="23">
        <v>1.2</v>
      </c>
      <c r="Z1513" s="23">
        <v>44669.604166666664</v>
      </c>
      <c r="AA1513" s="23">
        <v>0.6</v>
      </c>
      <c r="AB1513" s="23">
        <v>-0.5</v>
      </c>
      <c r="AC1513" s="23">
        <v>37056.74</v>
      </c>
      <c r="AD1513" s="23">
        <v>0.5</v>
      </c>
      <c r="AE1513" s="23">
        <v>61761.23</v>
      </c>
      <c r="AF1513" s="23">
        <v>74113.48</v>
      </c>
      <c r="AG1513" s="23">
        <v>4859753.3600000003</v>
      </c>
      <c r="AH1513" s="23">
        <v>32</v>
      </c>
      <c r="AI1513" s="23">
        <v>1158.02</v>
      </c>
      <c r="AJ1513" s="23">
        <v>-4.1700000000000001E-2</v>
      </c>
      <c r="AK1513" s="23">
        <v>0.58330000000000004</v>
      </c>
      <c r="AL1513" s="23" t="s">
        <v>24</v>
      </c>
      <c r="AM1513" s="23">
        <v>41.6</v>
      </c>
      <c r="AN1513" s="23">
        <v>37575.85</v>
      </c>
      <c r="AO1513" s="23">
        <v>42.1</v>
      </c>
      <c r="AP1513" s="23">
        <v>0</v>
      </c>
      <c r="AR1513" s="46"/>
      <c r="AS1513" s="44"/>
      <c r="AT1513" s="45"/>
      <c r="AU1513" s="2">
        <v>44664</v>
      </c>
      <c r="AV1513" s="52">
        <v>7.2916666666666671E-2</v>
      </c>
      <c r="AW1513" s="2" t="s">
        <v>213</v>
      </c>
      <c r="AY1513" s="3"/>
      <c r="BA1513" s="3"/>
      <c r="BG1513" s="3"/>
      <c r="BH1513" s="3"/>
    </row>
    <row r="1514" spans="1:60">
      <c r="A1514" s="23" t="s">
        <v>22</v>
      </c>
      <c r="B1514" s="23" t="s">
        <v>25</v>
      </c>
      <c r="C1514" s="27">
        <v>44669.604166666664</v>
      </c>
      <c r="D1514" s="23">
        <v>40.799999999999997</v>
      </c>
      <c r="E1514" s="27">
        <v>44670.427083333336</v>
      </c>
      <c r="F1514" s="23">
        <v>40.799999999999997</v>
      </c>
      <c r="G1514" s="31">
        <v>0</v>
      </c>
      <c r="H1514" s="23">
        <v>0</v>
      </c>
      <c r="I1514" s="31">
        <v>0</v>
      </c>
      <c r="J1514" s="23">
        <v>1243.8789999999999</v>
      </c>
      <c r="K1514" s="23">
        <v>50750.27</v>
      </c>
      <c r="L1514" s="23">
        <v>149810.54</v>
      </c>
      <c r="M1514" s="23">
        <v>12</v>
      </c>
      <c r="N1514" s="23">
        <v>0</v>
      </c>
      <c r="O1514" s="31">
        <v>-6.1000000000000004E-3</v>
      </c>
      <c r="P1514" s="31">
        <v>9.7999999999999997E-3</v>
      </c>
      <c r="Q1514" s="23" t="s">
        <v>24</v>
      </c>
      <c r="R1514" s="23">
        <v>0</v>
      </c>
      <c r="S1514" s="23">
        <v>40.25</v>
      </c>
      <c r="U1514" s="47">
        <f>VLOOKUP(AU1514,[1]expiry_dates!$B$2:$C$2894,2,FALSE)</f>
        <v>44679</v>
      </c>
      <c r="V1514" s="23" t="s">
        <v>134</v>
      </c>
      <c r="W1514" s="23" t="s">
        <v>23</v>
      </c>
      <c r="X1514" s="49">
        <v>44669.604166666664</v>
      </c>
      <c r="Y1514" s="23">
        <v>1.1000000000000001</v>
      </c>
      <c r="Z1514" s="23">
        <v>44670.427083333336</v>
      </c>
      <c r="AA1514" s="23">
        <v>1.1499999999999999</v>
      </c>
      <c r="AB1514" s="23">
        <v>4.5499999999999999E-2</v>
      </c>
      <c r="AC1514" s="23">
        <v>-3377.22</v>
      </c>
      <c r="AD1514" s="23">
        <v>-4.5499999999999999E-2</v>
      </c>
      <c r="AE1514" s="23">
        <v>67544.33</v>
      </c>
      <c r="AF1514" s="23">
        <v>74298.77</v>
      </c>
      <c r="AG1514" s="23">
        <v>4856376.1399999997</v>
      </c>
      <c r="AH1514" s="23">
        <v>12</v>
      </c>
      <c r="AI1514" s="23">
        <v>-281.43</v>
      </c>
      <c r="AJ1514" s="23">
        <v>-9.0899999999999995E-2</v>
      </c>
      <c r="AK1514" s="23">
        <v>0.2727</v>
      </c>
      <c r="AL1514" s="23" t="s">
        <v>24</v>
      </c>
      <c r="AM1514" s="23">
        <v>40.799999999999997</v>
      </c>
      <c r="AN1514" s="23">
        <v>36729.599999999999</v>
      </c>
      <c r="AO1514" s="23">
        <v>40.25</v>
      </c>
      <c r="AP1514" s="23">
        <v>0</v>
      </c>
      <c r="AR1514" s="46"/>
      <c r="AS1514" s="44"/>
      <c r="AT1514" s="45"/>
      <c r="AU1514" s="2">
        <v>44669</v>
      </c>
      <c r="AV1514" s="52">
        <v>0.10416666666666667</v>
      </c>
      <c r="AW1514" s="2" t="s">
        <v>213</v>
      </c>
      <c r="AY1514" s="3"/>
      <c r="BA1514" s="3"/>
      <c r="BG1514" s="3"/>
      <c r="BH1514" s="3"/>
    </row>
    <row r="1515" spans="1:60">
      <c r="A1515" s="23" t="s">
        <v>22</v>
      </c>
      <c r="B1515" s="23" t="s">
        <v>23</v>
      </c>
      <c r="C1515" s="27">
        <v>44670.427083333336</v>
      </c>
      <c r="D1515" s="23">
        <v>40.799999999999997</v>
      </c>
      <c r="E1515" s="27">
        <v>44670.604166666664</v>
      </c>
      <c r="F1515" s="23">
        <v>40.65</v>
      </c>
      <c r="G1515" s="31">
        <v>-3.7000000000000002E-3</v>
      </c>
      <c r="H1515" s="23">
        <v>186.58</v>
      </c>
      <c r="I1515" s="31">
        <v>3.7000000000000002E-3</v>
      </c>
      <c r="J1515" s="23">
        <v>1243.8489999999999</v>
      </c>
      <c r="K1515" s="23">
        <v>50749.05</v>
      </c>
      <c r="L1515" s="23">
        <v>149997.12</v>
      </c>
      <c r="M1515" s="23">
        <v>18</v>
      </c>
      <c r="N1515" s="23">
        <v>10.37</v>
      </c>
      <c r="O1515" s="31">
        <v>-2.5000000000000001E-3</v>
      </c>
      <c r="P1515" s="31">
        <v>1.0999999999999999E-2</v>
      </c>
      <c r="Q1515" s="23" t="s">
        <v>24</v>
      </c>
      <c r="R1515" s="23">
        <v>0</v>
      </c>
      <c r="S1515" s="23">
        <v>41.2</v>
      </c>
      <c r="U1515" s="47">
        <f>VLOOKUP(AU1515,[1]expiry_dates!$B$2:$C$2894,2,FALSE)</f>
        <v>44679</v>
      </c>
      <c r="V1515" s="23" t="s">
        <v>136</v>
      </c>
      <c r="W1515" s="23" t="s">
        <v>23</v>
      </c>
      <c r="X1515" s="49">
        <v>44670.427083333336</v>
      </c>
      <c r="Y1515" s="23">
        <v>0.9</v>
      </c>
      <c r="Z1515" s="23">
        <v>44670.604166666664</v>
      </c>
      <c r="AA1515" s="23">
        <v>0.95</v>
      </c>
      <c r="AB1515" s="23">
        <v>5.5599999999999997E-2</v>
      </c>
      <c r="AC1515" s="23">
        <v>-4125.83</v>
      </c>
      <c r="AD1515" s="23">
        <v>-5.5599999999999997E-2</v>
      </c>
      <c r="AE1515" s="23">
        <v>82516.66</v>
      </c>
      <c r="AF1515" s="23">
        <v>74264.990000000005</v>
      </c>
      <c r="AG1515" s="23">
        <v>4852250.3099999996</v>
      </c>
      <c r="AH1515" s="23">
        <v>18</v>
      </c>
      <c r="AI1515" s="23">
        <v>-229.21</v>
      </c>
      <c r="AJ1515" s="23">
        <v>-0.16669999999999999</v>
      </c>
      <c r="AK1515" s="23">
        <v>0.1111</v>
      </c>
      <c r="AL1515" s="23" t="s">
        <v>24</v>
      </c>
      <c r="AM1515" s="23">
        <v>40.799999999999997</v>
      </c>
      <c r="AN1515" s="23">
        <v>36695.85</v>
      </c>
      <c r="AO1515" s="23">
        <v>41.2</v>
      </c>
      <c r="AP1515" s="23">
        <v>0</v>
      </c>
      <c r="AR1515" s="46"/>
      <c r="AS1515" s="44"/>
      <c r="AT1515" s="45"/>
      <c r="AU1515" s="2">
        <v>44670</v>
      </c>
      <c r="AV1515" s="52">
        <v>0.42708333333333331</v>
      </c>
      <c r="AW1515" s="2" t="s">
        <v>212</v>
      </c>
      <c r="AY1515" s="3"/>
      <c r="BA1515" s="3"/>
      <c r="BG1515" s="3"/>
      <c r="BH1515" s="3"/>
    </row>
    <row r="1516" spans="1:60">
      <c r="A1516" s="23" t="s">
        <v>22</v>
      </c>
      <c r="B1516" s="23" t="s">
        <v>25</v>
      </c>
      <c r="C1516" s="27">
        <v>44670.604166666664</v>
      </c>
      <c r="D1516" s="23">
        <v>40.65</v>
      </c>
      <c r="E1516" s="27">
        <v>44670.625</v>
      </c>
      <c r="F1516" s="23">
        <v>40.15</v>
      </c>
      <c r="G1516" s="31">
        <v>-1.23E-2</v>
      </c>
      <c r="H1516" s="23">
        <v>-624.22</v>
      </c>
      <c r="I1516" s="31">
        <v>-1.23E-2</v>
      </c>
      <c r="J1516" s="23">
        <v>1248.4469999999999</v>
      </c>
      <c r="K1516" s="23">
        <v>50749.36</v>
      </c>
      <c r="L1516" s="23">
        <v>149372.89000000001</v>
      </c>
      <c r="M1516" s="23">
        <v>3</v>
      </c>
      <c r="N1516" s="23">
        <v>-208.07</v>
      </c>
      <c r="O1516" s="31">
        <v>-1.23E-2</v>
      </c>
      <c r="P1516" s="31">
        <v>3.7000000000000002E-3</v>
      </c>
      <c r="Q1516" s="23" t="s">
        <v>24</v>
      </c>
      <c r="R1516" s="23">
        <v>0</v>
      </c>
      <c r="S1516" s="23">
        <v>40.369999999999997</v>
      </c>
      <c r="U1516" s="47">
        <f>VLOOKUP(AU1516,[1]expiry_dates!$B$2:$C$2894,2,FALSE)</f>
        <v>44679</v>
      </c>
      <c r="V1516" s="23" t="s">
        <v>113</v>
      </c>
      <c r="W1516" s="23" t="s">
        <v>23</v>
      </c>
      <c r="X1516" s="49">
        <v>44670.604166666664</v>
      </c>
      <c r="Y1516" s="23">
        <v>0.65</v>
      </c>
      <c r="Z1516" s="23">
        <v>44670.625</v>
      </c>
      <c r="AA1516" s="23">
        <v>0.89999989999999996</v>
      </c>
      <c r="AB1516" s="23">
        <v>0.3846</v>
      </c>
      <c r="AC1516" s="23">
        <v>-28554.09</v>
      </c>
      <c r="AD1516" s="23">
        <v>-0.3846</v>
      </c>
      <c r="AE1516" s="23">
        <v>114216.3</v>
      </c>
      <c r="AF1516" s="23">
        <v>74240.62</v>
      </c>
      <c r="AG1516" s="23">
        <v>4823696.22</v>
      </c>
      <c r="AH1516" s="23">
        <v>3</v>
      </c>
      <c r="AI1516" s="23">
        <v>-9518.0300000000007</v>
      </c>
      <c r="AJ1516" s="23">
        <v>-0.3846</v>
      </c>
      <c r="AK1516" s="23">
        <v>7.6899999999999996E-2</v>
      </c>
      <c r="AL1516" s="23" t="s">
        <v>24</v>
      </c>
      <c r="AM1516" s="23">
        <v>40.65</v>
      </c>
      <c r="AN1516" s="23">
        <v>36955.25</v>
      </c>
      <c r="AO1516" s="23">
        <v>40.369999999999997</v>
      </c>
      <c r="AP1516" s="23">
        <v>0</v>
      </c>
      <c r="AR1516" s="46"/>
      <c r="AS1516" s="44"/>
      <c r="AT1516" s="45"/>
      <c r="AU1516" s="2">
        <v>44670</v>
      </c>
      <c r="AV1516" s="52">
        <v>0.10416666666666667</v>
      </c>
      <c r="AW1516" s="2" t="s">
        <v>213</v>
      </c>
      <c r="AY1516" s="3"/>
      <c r="BA1516" s="3"/>
      <c r="BG1516" s="3"/>
      <c r="BH1516" s="3"/>
    </row>
    <row r="1517" spans="1:60">
      <c r="A1517" s="23" t="s">
        <v>22</v>
      </c>
      <c r="B1517" s="23" t="s">
        <v>23</v>
      </c>
      <c r="C1517" s="27">
        <v>44670.625</v>
      </c>
      <c r="D1517" s="23">
        <v>40.15</v>
      </c>
      <c r="E1517" s="27">
        <v>44671.416666666664</v>
      </c>
      <c r="F1517" s="23">
        <v>40.35</v>
      </c>
      <c r="G1517" s="31">
        <v>5.0000000000000001E-3</v>
      </c>
      <c r="H1517" s="23">
        <v>-252.8</v>
      </c>
      <c r="I1517" s="31">
        <v>-5.0000000000000001E-3</v>
      </c>
      <c r="J1517" s="23">
        <v>1263.9939999999999</v>
      </c>
      <c r="K1517" s="23">
        <v>50749.36</v>
      </c>
      <c r="L1517" s="23">
        <v>149120.09</v>
      </c>
      <c r="M1517" s="23">
        <v>9</v>
      </c>
      <c r="N1517" s="23">
        <v>-28.09</v>
      </c>
      <c r="O1517" s="31">
        <v>-1.12E-2</v>
      </c>
      <c r="P1517" s="31">
        <v>1.49E-2</v>
      </c>
      <c r="Q1517" s="23" t="s">
        <v>24</v>
      </c>
      <c r="R1517" s="23">
        <v>0</v>
      </c>
      <c r="S1517" s="23">
        <v>40.79</v>
      </c>
      <c r="U1517" s="47">
        <f>VLOOKUP(AU1517,[1]expiry_dates!$B$2:$C$2894,2,FALSE)</f>
        <v>44679</v>
      </c>
      <c r="V1517" s="23" t="s">
        <v>139</v>
      </c>
      <c r="W1517" s="23" t="s">
        <v>23</v>
      </c>
      <c r="X1517" s="49">
        <v>44670.625</v>
      </c>
      <c r="Y1517" s="23">
        <v>1.05</v>
      </c>
      <c r="Z1517" s="23">
        <v>44671.416666666664</v>
      </c>
      <c r="AA1517" s="23">
        <v>1.1499999999999999</v>
      </c>
      <c r="AB1517" s="23">
        <v>9.5200000000000007E-2</v>
      </c>
      <c r="AC1517" s="23">
        <v>-7067.06</v>
      </c>
      <c r="AD1517" s="23">
        <v>-9.5200000000000007E-2</v>
      </c>
      <c r="AE1517" s="23">
        <v>70670.62</v>
      </c>
      <c r="AF1517" s="23">
        <v>74204.149999999994</v>
      </c>
      <c r="AG1517" s="23">
        <v>4816629.16</v>
      </c>
      <c r="AH1517" s="23">
        <v>9</v>
      </c>
      <c r="AI1517" s="23">
        <v>-785.23</v>
      </c>
      <c r="AJ1517" s="23">
        <v>-0.23810000000000001</v>
      </c>
      <c r="AK1517" s="23">
        <v>0.1905</v>
      </c>
      <c r="AL1517" s="23" t="s">
        <v>24</v>
      </c>
      <c r="AM1517" s="23">
        <v>40.15</v>
      </c>
      <c r="AN1517" s="23">
        <v>36365.599999999999</v>
      </c>
      <c r="AO1517" s="23">
        <v>40.79</v>
      </c>
      <c r="AP1517" s="23">
        <v>0</v>
      </c>
      <c r="AR1517" s="46"/>
      <c r="AS1517" s="44"/>
      <c r="AT1517" s="45"/>
      <c r="AU1517" s="2">
        <v>44670</v>
      </c>
      <c r="AV1517" s="52">
        <v>0.125</v>
      </c>
      <c r="AW1517" s="2" t="s">
        <v>213</v>
      </c>
      <c r="AY1517" s="3"/>
      <c r="BA1517" s="3"/>
      <c r="BG1517" s="3"/>
      <c r="BH1517" s="3"/>
    </row>
    <row r="1518" spans="1:60">
      <c r="A1518" s="23" t="s">
        <v>22</v>
      </c>
      <c r="B1518" s="23" t="s">
        <v>25</v>
      </c>
      <c r="C1518" s="27">
        <v>44671.416666666664</v>
      </c>
      <c r="D1518" s="23">
        <v>40.35</v>
      </c>
      <c r="E1518" s="27">
        <v>44671.552083333336</v>
      </c>
      <c r="F1518" s="23">
        <v>40.1</v>
      </c>
      <c r="G1518" s="31">
        <v>-6.1999999999999998E-3</v>
      </c>
      <c r="H1518" s="23">
        <v>-314.41000000000003</v>
      </c>
      <c r="I1518" s="31">
        <v>-6.1999999999999998E-3</v>
      </c>
      <c r="J1518" s="23">
        <v>1257.636</v>
      </c>
      <c r="K1518" s="23">
        <v>50745.599999999999</v>
      </c>
      <c r="L1518" s="23">
        <v>148805.68</v>
      </c>
      <c r="M1518" s="23">
        <v>14</v>
      </c>
      <c r="N1518" s="23">
        <v>-22.46</v>
      </c>
      <c r="O1518" s="31">
        <v>-9.9000000000000008E-3</v>
      </c>
      <c r="P1518" s="31">
        <v>2.5000000000000001E-3</v>
      </c>
      <c r="Q1518" s="23" t="s">
        <v>24</v>
      </c>
      <c r="R1518" s="23">
        <v>0</v>
      </c>
      <c r="S1518" s="23">
        <v>39.590000000000003</v>
      </c>
      <c r="U1518" s="47">
        <f>VLOOKUP(AU1518,[1]expiry_dates!$B$2:$C$2894,2,FALSE)</f>
        <v>44679</v>
      </c>
      <c r="V1518" s="23" t="s">
        <v>113</v>
      </c>
      <c r="W1518" s="23" t="s">
        <v>23</v>
      </c>
      <c r="X1518" s="49">
        <v>44671.416666666664</v>
      </c>
      <c r="Y1518" s="23">
        <v>0.8</v>
      </c>
      <c r="Z1518" s="23">
        <v>44671.552083333336</v>
      </c>
      <c r="AA1518" s="23">
        <v>0.95</v>
      </c>
      <c r="AB1518" s="23">
        <v>0.1875</v>
      </c>
      <c r="AC1518" s="23">
        <v>-13890.59</v>
      </c>
      <c r="AD1518" s="23">
        <v>-0.1875</v>
      </c>
      <c r="AE1518" s="23">
        <v>92603.93</v>
      </c>
      <c r="AF1518" s="23">
        <v>74083.149999999994</v>
      </c>
      <c r="AG1518" s="23">
        <v>4802738.57</v>
      </c>
      <c r="AH1518" s="23">
        <v>14</v>
      </c>
      <c r="AI1518" s="23">
        <v>-992.18</v>
      </c>
      <c r="AJ1518" s="23">
        <v>-0.25</v>
      </c>
      <c r="AK1518" s="23">
        <v>6.25E-2</v>
      </c>
      <c r="AL1518" s="23" t="s">
        <v>24</v>
      </c>
      <c r="AM1518" s="23">
        <v>40.35</v>
      </c>
      <c r="AN1518" s="23">
        <v>36328.300000000003</v>
      </c>
      <c r="AO1518" s="23">
        <v>39.590000000000003</v>
      </c>
      <c r="AP1518" s="23">
        <v>0</v>
      </c>
      <c r="AR1518" s="46"/>
      <c r="AS1518" s="44"/>
      <c r="AT1518" s="45"/>
      <c r="AU1518" s="2">
        <v>44671</v>
      </c>
      <c r="AV1518" s="52">
        <v>0.41666666666666669</v>
      </c>
      <c r="AW1518" s="2" t="s">
        <v>212</v>
      </c>
      <c r="AY1518" s="3"/>
      <c r="BA1518" s="3"/>
      <c r="BG1518" s="3"/>
      <c r="BH1518" s="3"/>
    </row>
    <row r="1519" spans="1:60">
      <c r="A1519" s="23" t="s">
        <v>22</v>
      </c>
      <c r="B1519" s="23" t="s">
        <v>23</v>
      </c>
      <c r="C1519" s="27">
        <v>44671.552083333336</v>
      </c>
      <c r="D1519" s="23">
        <v>40.1</v>
      </c>
      <c r="E1519" s="27">
        <v>44671.635416666664</v>
      </c>
      <c r="F1519" s="23">
        <v>40.200000000000003</v>
      </c>
      <c r="G1519" s="31">
        <v>2.5000000000000001E-3</v>
      </c>
      <c r="H1519" s="23">
        <v>-126.54</v>
      </c>
      <c r="I1519" s="31">
        <v>-2.5000000000000001E-3</v>
      </c>
      <c r="J1519" s="23">
        <v>1265.4369999999999</v>
      </c>
      <c r="K1519" s="23">
        <v>50744.03</v>
      </c>
      <c r="L1519" s="23">
        <v>148679.14000000001</v>
      </c>
      <c r="M1519" s="23">
        <v>9</v>
      </c>
      <c r="N1519" s="23">
        <v>-14.06</v>
      </c>
      <c r="O1519" s="31">
        <v>-2.5000000000000001E-3</v>
      </c>
      <c r="P1519" s="31">
        <v>0.01</v>
      </c>
      <c r="Q1519" s="23" t="s">
        <v>24</v>
      </c>
      <c r="R1519" s="23">
        <v>0</v>
      </c>
      <c r="S1519" s="23">
        <v>40.43</v>
      </c>
      <c r="U1519" s="47">
        <f>VLOOKUP(AU1519,[1]expiry_dates!$B$2:$C$2894,2,FALSE)</f>
        <v>44679</v>
      </c>
      <c r="V1519" s="23" t="s">
        <v>139</v>
      </c>
      <c r="W1519" s="23" t="s">
        <v>23</v>
      </c>
      <c r="X1519" s="49">
        <v>44671.552083333336</v>
      </c>
      <c r="Y1519" s="23">
        <v>0.9</v>
      </c>
      <c r="Z1519" s="23">
        <v>44671.635416666664</v>
      </c>
      <c r="AA1519" s="23">
        <v>0.85000010000000004</v>
      </c>
      <c r="AB1519" s="23">
        <v>-5.5599999999999997E-2</v>
      </c>
      <c r="AC1519" s="23">
        <v>4113.16</v>
      </c>
      <c r="AD1519" s="23">
        <v>5.5599999999999997E-2</v>
      </c>
      <c r="AE1519" s="23">
        <v>82263.16</v>
      </c>
      <c r="AF1519" s="23">
        <v>74036.84</v>
      </c>
      <c r="AG1519" s="23">
        <v>4806851.7300000004</v>
      </c>
      <c r="AH1519" s="23">
        <v>9</v>
      </c>
      <c r="AI1519" s="23">
        <v>457.02</v>
      </c>
      <c r="AJ1519" s="23">
        <v>-5.5599999999999997E-2</v>
      </c>
      <c r="AK1519" s="23">
        <v>0.22220000000000001</v>
      </c>
      <c r="AL1519" s="23" t="s">
        <v>24</v>
      </c>
      <c r="AM1519" s="23">
        <v>40.1</v>
      </c>
      <c r="AN1519" s="23">
        <v>36386.15</v>
      </c>
      <c r="AO1519" s="23">
        <v>40.43</v>
      </c>
      <c r="AP1519" s="23">
        <v>0</v>
      </c>
      <c r="AR1519" s="46"/>
      <c r="AS1519" s="44"/>
      <c r="AT1519" s="45"/>
      <c r="AU1519" s="2">
        <v>44671</v>
      </c>
      <c r="AV1519" s="52">
        <v>5.2083333333333336E-2</v>
      </c>
      <c r="AW1519" s="2" t="s">
        <v>213</v>
      </c>
      <c r="AY1519" s="3"/>
      <c r="BA1519" s="3"/>
      <c r="BG1519" s="3"/>
      <c r="BH1519" s="3"/>
    </row>
    <row r="1520" spans="1:60">
      <c r="A1520" s="23" t="s">
        <v>22</v>
      </c>
      <c r="B1520" s="23" t="s">
        <v>25</v>
      </c>
      <c r="C1520" s="27">
        <v>44671.635416666664</v>
      </c>
      <c r="D1520" s="23">
        <v>40.200000000000003</v>
      </c>
      <c r="E1520" s="27">
        <v>44673.385416666664</v>
      </c>
      <c r="F1520" s="23">
        <v>40.700000000000003</v>
      </c>
      <c r="G1520" s="31">
        <v>1.24E-2</v>
      </c>
      <c r="H1520" s="23">
        <v>631.14</v>
      </c>
      <c r="I1520" s="31">
        <v>1.24E-2</v>
      </c>
      <c r="J1520" s="23">
        <v>1262.289</v>
      </c>
      <c r="K1520" s="23">
        <v>50744.03</v>
      </c>
      <c r="L1520" s="23">
        <v>149310.29</v>
      </c>
      <c r="M1520" s="23">
        <v>33</v>
      </c>
      <c r="N1520" s="23">
        <v>19.13</v>
      </c>
      <c r="O1520" s="31">
        <v>-3.7000000000000002E-3</v>
      </c>
      <c r="P1520" s="31">
        <v>1.8700000000000001E-2</v>
      </c>
      <c r="Q1520" s="23" t="s">
        <v>24</v>
      </c>
      <c r="R1520" s="23">
        <v>0</v>
      </c>
      <c r="S1520" s="23">
        <v>39.700000000000003</v>
      </c>
      <c r="U1520" s="47">
        <f>VLOOKUP(AU1520,[1]expiry_dates!$B$2:$C$2894,2,FALSE)</f>
        <v>44679</v>
      </c>
      <c r="V1520" s="23" t="s">
        <v>113</v>
      </c>
      <c r="W1520" s="23" t="s">
        <v>23</v>
      </c>
      <c r="X1520" s="49">
        <v>44671.635416666664</v>
      </c>
      <c r="Y1520" s="23">
        <v>0.8</v>
      </c>
      <c r="Z1520" s="23">
        <v>44673.385416666664</v>
      </c>
      <c r="AA1520" s="23">
        <v>0.35</v>
      </c>
      <c r="AB1520" s="23">
        <v>-0.5625</v>
      </c>
      <c r="AC1520" s="23">
        <v>41644.269999999997</v>
      </c>
      <c r="AD1520" s="23">
        <v>0.5625</v>
      </c>
      <c r="AE1520" s="23">
        <v>92542.82</v>
      </c>
      <c r="AF1520" s="23">
        <v>74034.259999999995</v>
      </c>
      <c r="AG1520" s="23">
        <v>4848496</v>
      </c>
      <c r="AH1520" s="23">
        <v>33</v>
      </c>
      <c r="AI1520" s="23">
        <v>1261.95</v>
      </c>
      <c r="AJ1520" s="23">
        <v>-6.25E-2</v>
      </c>
      <c r="AK1520" s="23">
        <v>0.625</v>
      </c>
      <c r="AL1520" s="23" t="s">
        <v>24</v>
      </c>
      <c r="AM1520" s="23">
        <v>40.200000000000003</v>
      </c>
      <c r="AN1520" s="23">
        <v>36351.550000000003</v>
      </c>
      <c r="AO1520" s="23">
        <v>39.700000000000003</v>
      </c>
      <c r="AP1520" s="23">
        <v>0</v>
      </c>
      <c r="AR1520" s="46"/>
      <c r="AS1520" s="44"/>
      <c r="AT1520" s="45"/>
      <c r="AU1520" s="47">
        <v>44671</v>
      </c>
      <c r="AV1520" s="52">
        <v>0.13541666666666666</v>
      </c>
      <c r="AW1520" t="s">
        <v>213</v>
      </c>
    </row>
    <row r="1521" spans="1:49">
      <c r="A1521" s="23" t="s">
        <v>22</v>
      </c>
      <c r="B1521" s="23" t="s">
        <v>23</v>
      </c>
      <c r="C1521" s="27">
        <v>44673.385416666664</v>
      </c>
      <c r="D1521" s="23">
        <v>40.700000000000003</v>
      </c>
      <c r="E1521" s="27">
        <v>44673.416666666664</v>
      </c>
      <c r="F1521" s="23">
        <v>40.799999999999997</v>
      </c>
      <c r="G1521" s="31">
        <v>2.5000000000000001E-3</v>
      </c>
      <c r="H1521" s="23">
        <v>-124.68</v>
      </c>
      <c r="I1521" s="31">
        <v>-2.5000000000000001E-3</v>
      </c>
      <c r="J1521" s="23">
        <v>1246.828</v>
      </c>
      <c r="K1521" s="23">
        <v>50745.919999999998</v>
      </c>
      <c r="L1521" s="23">
        <v>149185.60000000001</v>
      </c>
      <c r="M1521" s="23">
        <v>4</v>
      </c>
      <c r="N1521" s="23">
        <v>-31.17</v>
      </c>
      <c r="O1521" s="31">
        <v>-2.5000000000000001E-3</v>
      </c>
      <c r="P1521" s="31">
        <v>7.4000000000000003E-3</v>
      </c>
      <c r="Q1521" s="23" t="s">
        <v>24</v>
      </c>
      <c r="R1521" s="23">
        <v>0</v>
      </c>
      <c r="S1521" s="23">
        <v>40.93</v>
      </c>
      <c r="U1521" s="47">
        <f>VLOOKUP(AU1521,[1]expiry_dates!$B$2:$C$2894,2,FALSE)</f>
        <v>44679</v>
      </c>
      <c r="V1521" s="23" t="s">
        <v>136</v>
      </c>
      <c r="W1521" s="23" t="s">
        <v>23</v>
      </c>
      <c r="X1521" s="49">
        <v>44673.385416666664</v>
      </c>
      <c r="Y1521" s="23">
        <v>0.65</v>
      </c>
      <c r="Z1521" s="23">
        <v>44673.416666666664</v>
      </c>
      <c r="AA1521" s="23">
        <v>0.6</v>
      </c>
      <c r="AB1521" s="23">
        <v>-7.6899999999999996E-2</v>
      </c>
      <c r="AC1521" s="23">
        <v>5710.96</v>
      </c>
      <c r="AD1521" s="23">
        <v>7.6899999999999996E-2</v>
      </c>
      <c r="AE1521" s="23">
        <v>114219.2</v>
      </c>
      <c r="AF1521" s="23">
        <v>74242.48</v>
      </c>
      <c r="AG1521" s="23">
        <v>4854206.96</v>
      </c>
      <c r="AH1521" s="23">
        <v>4</v>
      </c>
      <c r="AI1521" s="23">
        <v>1427.74</v>
      </c>
      <c r="AJ1521" s="23">
        <v>0</v>
      </c>
      <c r="AK1521" s="23">
        <v>0.23080000000000001</v>
      </c>
      <c r="AL1521" s="23" t="s">
        <v>24</v>
      </c>
      <c r="AM1521" s="23">
        <v>40.700000000000003</v>
      </c>
      <c r="AN1521" s="23">
        <v>36406.85</v>
      </c>
      <c r="AO1521" s="23">
        <v>40.93</v>
      </c>
      <c r="AP1521" s="23">
        <v>0</v>
      </c>
      <c r="AR1521" s="46"/>
      <c r="AS1521" s="44"/>
      <c r="AT1521" s="45"/>
      <c r="AU1521" s="47">
        <v>44673</v>
      </c>
      <c r="AV1521" s="52">
        <v>0.38541666666666669</v>
      </c>
      <c r="AW1521" t="s">
        <v>212</v>
      </c>
    </row>
    <row r="1522" spans="1:49">
      <c r="A1522" s="23" t="s">
        <v>22</v>
      </c>
      <c r="B1522" s="23" t="s">
        <v>25</v>
      </c>
      <c r="C1522" s="27">
        <v>44673.416666666664</v>
      </c>
      <c r="D1522" s="23">
        <v>40.799999999999997</v>
      </c>
      <c r="E1522" s="27">
        <v>44673.541666666664</v>
      </c>
      <c r="F1522" s="23">
        <v>40.6</v>
      </c>
      <c r="G1522" s="31">
        <v>-4.8999999999999998E-3</v>
      </c>
      <c r="H1522" s="23">
        <v>-248.76</v>
      </c>
      <c r="I1522" s="31">
        <v>-4.8999999999999998E-3</v>
      </c>
      <c r="J1522" s="23">
        <v>1243.78</v>
      </c>
      <c r="K1522" s="23">
        <v>50746.239999999998</v>
      </c>
      <c r="L1522" s="23">
        <v>148936.85</v>
      </c>
      <c r="M1522" s="23">
        <v>13</v>
      </c>
      <c r="N1522" s="23">
        <v>-19.14</v>
      </c>
      <c r="O1522" s="31">
        <v>-6.1000000000000004E-3</v>
      </c>
      <c r="P1522" s="31">
        <v>2.5000000000000001E-3</v>
      </c>
      <c r="Q1522" s="23" t="s">
        <v>24</v>
      </c>
      <c r="R1522" s="23">
        <v>0</v>
      </c>
      <c r="S1522" s="23">
        <v>40.4</v>
      </c>
      <c r="U1522" s="47">
        <f>VLOOKUP(AU1522,[1]expiry_dates!$B$2:$C$2894,2,FALSE)</f>
        <v>44679</v>
      </c>
      <c r="V1522" s="23" t="s">
        <v>134</v>
      </c>
      <c r="W1522" s="23" t="s">
        <v>23</v>
      </c>
      <c r="X1522" s="49">
        <v>44673.416666666664</v>
      </c>
      <c r="Y1522" s="23">
        <v>0.75</v>
      </c>
      <c r="Z1522" s="23">
        <v>44673.541666666664</v>
      </c>
      <c r="AA1522" s="23">
        <v>1</v>
      </c>
      <c r="AB1522" s="23">
        <v>0.33329999999999999</v>
      </c>
      <c r="AC1522" s="23">
        <v>-24766.53</v>
      </c>
      <c r="AD1522" s="23">
        <v>-0.33329999999999999</v>
      </c>
      <c r="AE1522" s="23">
        <v>99066.12</v>
      </c>
      <c r="AF1522" s="23">
        <v>74299.59</v>
      </c>
      <c r="AG1522" s="23">
        <v>4829440.43</v>
      </c>
      <c r="AH1522" s="23">
        <v>13</v>
      </c>
      <c r="AI1522" s="23">
        <v>-1905.12</v>
      </c>
      <c r="AJ1522" s="23">
        <v>-0.33329999999999999</v>
      </c>
      <c r="AK1522" s="23">
        <v>0</v>
      </c>
      <c r="AL1522" s="23" t="s">
        <v>24</v>
      </c>
      <c r="AM1522" s="23">
        <v>40.799999999999997</v>
      </c>
      <c r="AN1522" s="23">
        <v>36287.050000000003</v>
      </c>
      <c r="AO1522" s="23">
        <v>40.4</v>
      </c>
      <c r="AP1522" s="23">
        <v>0</v>
      </c>
      <c r="AR1522" s="46"/>
      <c r="AS1522" s="44"/>
      <c r="AT1522" s="45"/>
      <c r="AU1522" s="47">
        <v>44673</v>
      </c>
      <c r="AV1522" s="52">
        <v>0.41666666666666669</v>
      </c>
      <c r="AW1522" t="s">
        <v>212</v>
      </c>
    </row>
    <row r="1523" spans="1:49">
      <c r="A1523" s="23" t="s">
        <v>22</v>
      </c>
      <c r="B1523" s="23" t="s">
        <v>23</v>
      </c>
      <c r="C1523" s="27">
        <v>44673.541666666664</v>
      </c>
      <c r="D1523" s="23">
        <v>40.6</v>
      </c>
      <c r="E1523" s="27">
        <v>44677.385416666664</v>
      </c>
      <c r="F1523" s="23">
        <v>39.75</v>
      </c>
      <c r="G1523" s="31">
        <v>-2.0899999999999998E-2</v>
      </c>
      <c r="H1523" s="23">
        <v>1062.4000000000001</v>
      </c>
      <c r="I1523" s="31">
        <v>2.0899999999999998E-2</v>
      </c>
      <c r="J1523" s="23">
        <v>1249.877</v>
      </c>
      <c r="K1523" s="23">
        <v>50745</v>
      </c>
      <c r="L1523" s="23">
        <v>149999.24</v>
      </c>
      <c r="M1523" s="23">
        <v>42</v>
      </c>
      <c r="N1523" s="23">
        <v>25.3</v>
      </c>
      <c r="O1523" s="31">
        <v>-2.5000000000000001E-3</v>
      </c>
      <c r="P1523" s="31">
        <v>3.5700000000000003E-2</v>
      </c>
      <c r="Q1523" s="23" t="s">
        <v>24</v>
      </c>
      <c r="R1523" s="23">
        <v>0</v>
      </c>
      <c r="S1523" s="23">
        <v>40.89</v>
      </c>
      <c r="U1523" s="47">
        <f>VLOOKUP(AU1523,[1]expiry_dates!$B$2:$C$2894,2,FALSE)</f>
        <v>44679</v>
      </c>
      <c r="V1523" s="23" t="s">
        <v>139</v>
      </c>
      <c r="W1523" s="23" t="s">
        <v>23</v>
      </c>
      <c r="X1523" s="49">
        <v>44673.541666666664</v>
      </c>
      <c r="Y1523" s="23">
        <v>1.25</v>
      </c>
      <c r="Z1523" s="23">
        <v>44677.385416666664</v>
      </c>
      <c r="AA1523" s="23">
        <v>0.45</v>
      </c>
      <c r="AB1523" s="23">
        <v>-0.64</v>
      </c>
      <c r="AC1523" s="23">
        <v>47470.06</v>
      </c>
      <c r="AD1523" s="23">
        <v>0.64</v>
      </c>
      <c r="AE1523" s="23">
        <v>59337.57</v>
      </c>
      <c r="AF1523" s="23">
        <v>74171.97</v>
      </c>
      <c r="AG1523" s="23">
        <v>4876910.49</v>
      </c>
      <c r="AH1523" s="23">
        <v>42</v>
      </c>
      <c r="AI1523" s="23">
        <v>1130.24</v>
      </c>
      <c r="AJ1523" s="23">
        <v>-0.08</v>
      </c>
      <c r="AK1523" s="23">
        <v>0.76</v>
      </c>
      <c r="AL1523" s="23" t="s">
        <v>24</v>
      </c>
      <c r="AM1523" s="23">
        <v>40.6</v>
      </c>
      <c r="AN1523" s="23">
        <v>36338.699999999997</v>
      </c>
      <c r="AO1523" s="23">
        <v>40.89</v>
      </c>
      <c r="AP1523" s="23">
        <v>0</v>
      </c>
      <c r="AR1523" s="46"/>
      <c r="AS1523" s="44"/>
      <c r="AT1523" s="45"/>
      <c r="AU1523" s="47">
        <v>44673</v>
      </c>
      <c r="AV1523" s="52">
        <v>4.1666666666666664E-2</v>
      </c>
      <c r="AW1523" t="s">
        <v>213</v>
      </c>
    </row>
    <row r="1524" spans="1:49">
      <c r="A1524" s="23" t="s">
        <v>22</v>
      </c>
      <c r="B1524" s="23" t="s">
        <v>25</v>
      </c>
      <c r="C1524" s="27">
        <v>44677.385416666664</v>
      </c>
      <c r="D1524" s="23">
        <v>39.75</v>
      </c>
      <c r="E1524" s="27">
        <v>44678.385416666664</v>
      </c>
      <c r="F1524" s="23">
        <v>40.1</v>
      </c>
      <c r="G1524" s="31">
        <v>8.8000000000000005E-3</v>
      </c>
      <c r="H1524" s="23">
        <v>446.85</v>
      </c>
      <c r="I1524" s="31">
        <v>8.8000000000000005E-3</v>
      </c>
      <c r="J1524" s="23">
        <v>1276.722</v>
      </c>
      <c r="K1524" s="23">
        <v>50749.68</v>
      </c>
      <c r="L1524" s="23">
        <v>150446.09</v>
      </c>
      <c r="M1524" s="23">
        <v>29</v>
      </c>
      <c r="N1524" s="23">
        <v>15.41</v>
      </c>
      <c r="O1524" s="31">
        <v>-2.5000000000000001E-3</v>
      </c>
      <c r="P1524" s="31">
        <v>1.38E-2</v>
      </c>
      <c r="Q1524" s="23" t="s">
        <v>24</v>
      </c>
      <c r="R1524" s="23">
        <v>0</v>
      </c>
      <c r="S1524" s="23">
        <v>39.200000000000003</v>
      </c>
      <c r="U1524" s="47">
        <f>VLOOKUP(AU1524,[1]expiry_dates!$B$2:$C$2894,2,FALSE)</f>
        <v>44679</v>
      </c>
      <c r="V1524" s="23" t="s">
        <v>113</v>
      </c>
      <c r="W1524" s="23" t="s">
        <v>23</v>
      </c>
      <c r="X1524" s="49">
        <v>44677.385416666664</v>
      </c>
      <c r="Y1524" s="23">
        <v>0.6</v>
      </c>
      <c r="Z1524" s="23">
        <v>44678.385416666664</v>
      </c>
      <c r="AA1524" s="23">
        <v>0.35</v>
      </c>
      <c r="AB1524" s="23">
        <v>-0.41670000000000001</v>
      </c>
      <c r="AC1524" s="23">
        <v>31012.11</v>
      </c>
      <c r="AD1524" s="23">
        <v>0.41670000000000001</v>
      </c>
      <c r="AE1524" s="23">
        <v>124048.4</v>
      </c>
      <c r="AF1524" s="23">
        <v>74429.05</v>
      </c>
      <c r="AG1524" s="23">
        <v>4907922.5999999996</v>
      </c>
      <c r="AH1524" s="23">
        <v>29</v>
      </c>
      <c r="AI1524" s="23">
        <v>1069.3800000000001</v>
      </c>
      <c r="AJ1524" s="23">
        <v>-0.25</v>
      </c>
      <c r="AK1524" s="23">
        <v>0.58330000000000004</v>
      </c>
      <c r="AL1524" s="23" t="s">
        <v>24</v>
      </c>
      <c r="AM1524" s="23">
        <v>39.75</v>
      </c>
      <c r="AN1524" s="23">
        <v>36502.35</v>
      </c>
      <c r="AO1524" s="23">
        <v>39.200000000000003</v>
      </c>
      <c r="AP1524" s="23">
        <v>0</v>
      </c>
      <c r="AR1524" s="46"/>
      <c r="AS1524" s="44"/>
      <c r="AT1524" s="45"/>
      <c r="AU1524" s="47">
        <v>44677</v>
      </c>
      <c r="AV1524" s="52">
        <v>0.38541666666666669</v>
      </c>
      <c r="AW1524" t="s">
        <v>212</v>
      </c>
    </row>
    <row r="1525" spans="1:49">
      <c r="A1525" s="23" t="s">
        <v>22</v>
      </c>
      <c r="B1525" s="23" t="s">
        <v>23</v>
      </c>
      <c r="C1525" s="27">
        <v>44678.385416666664</v>
      </c>
      <c r="D1525" s="23">
        <v>40.1</v>
      </c>
      <c r="E1525" s="27">
        <v>44678.604166666664</v>
      </c>
      <c r="F1525" s="23">
        <v>39.75</v>
      </c>
      <c r="G1525" s="31">
        <v>-8.6999999999999994E-3</v>
      </c>
      <c r="H1525" s="23">
        <v>442.96</v>
      </c>
      <c r="I1525" s="31">
        <v>8.6999999999999994E-3</v>
      </c>
      <c r="J1525" s="23">
        <v>1265.6099999999999</v>
      </c>
      <c r="K1525" s="23">
        <v>50750.95</v>
      </c>
      <c r="L1525" s="23">
        <v>150889.06</v>
      </c>
      <c r="M1525" s="23">
        <v>22</v>
      </c>
      <c r="N1525" s="23">
        <v>20.13</v>
      </c>
      <c r="O1525" s="31">
        <v>0</v>
      </c>
      <c r="P1525" s="31">
        <v>0.02</v>
      </c>
      <c r="Q1525" s="23" t="s">
        <v>24</v>
      </c>
      <c r="R1525" s="23">
        <v>0</v>
      </c>
      <c r="S1525" s="23">
        <v>40.28</v>
      </c>
      <c r="U1525" s="47">
        <f>VLOOKUP(AU1525,[1]expiry_dates!$B$2:$C$2894,2,FALSE)</f>
        <v>44679</v>
      </c>
      <c r="V1525" s="23" t="s">
        <v>139</v>
      </c>
      <c r="W1525" s="23" t="s">
        <v>23</v>
      </c>
      <c r="X1525" s="49">
        <v>44678.385416666664</v>
      </c>
      <c r="Y1525" s="23">
        <v>0.45</v>
      </c>
      <c r="Z1525" s="23">
        <v>44678.604166666664</v>
      </c>
      <c r="AA1525" s="23">
        <v>0.3</v>
      </c>
      <c r="AB1525" s="23">
        <v>-0.33329999999999999</v>
      </c>
      <c r="AC1525" s="23">
        <v>24867.21</v>
      </c>
      <c r="AD1525" s="23">
        <v>0.33329999999999999</v>
      </c>
      <c r="AE1525" s="23">
        <v>165781.4</v>
      </c>
      <c r="AF1525" s="23">
        <v>74601.64</v>
      </c>
      <c r="AG1525" s="23">
        <v>4932789.8099999996</v>
      </c>
      <c r="AH1525" s="23">
        <v>22</v>
      </c>
      <c r="AI1525" s="23">
        <v>1130.33</v>
      </c>
      <c r="AJ1525" s="23">
        <v>-0.1111</v>
      </c>
      <c r="AK1525" s="23">
        <v>0.66669999999999996</v>
      </c>
      <c r="AL1525" s="23" t="s">
        <v>24</v>
      </c>
      <c r="AM1525" s="23">
        <v>40.1</v>
      </c>
      <c r="AN1525" s="23">
        <v>36115.75</v>
      </c>
      <c r="AO1525" s="23">
        <v>40.28</v>
      </c>
      <c r="AP1525" s="23">
        <v>0</v>
      </c>
      <c r="AR1525" s="46"/>
      <c r="AS1525" s="44"/>
      <c r="AT1525" s="45"/>
      <c r="AU1525" s="47">
        <v>44678</v>
      </c>
      <c r="AV1525" s="52">
        <v>0.38541666666666669</v>
      </c>
      <c r="AW1525" t="s">
        <v>212</v>
      </c>
    </row>
    <row r="1526" spans="1:49">
      <c r="A1526" s="23" t="s">
        <v>22</v>
      </c>
      <c r="B1526" s="23" t="s">
        <v>25</v>
      </c>
      <c r="C1526" s="27">
        <v>44678.604166666664</v>
      </c>
      <c r="D1526" s="23">
        <v>39.75</v>
      </c>
      <c r="E1526" s="27">
        <v>44679.40625</v>
      </c>
      <c r="F1526" s="23">
        <v>39.5</v>
      </c>
      <c r="G1526" s="31">
        <v>-6.3E-3</v>
      </c>
      <c r="H1526" s="23">
        <v>-319.20999999999998</v>
      </c>
      <c r="I1526" s="31">
        <v>-6.3E-3</v>
      </c>
      <c r="J1526" s="23">
        <v>1276.857</v>
      </c>
      <c r="K1526" s="23">
        <v>50755.08</v>
      </c>
      <c r="L1526" s="23">
        <v>150569.84</v>
      </c>
      <c r="M1526" s="23">
        <v>10</v>
      </c>
      <c r="N1526" s="23">
        <v>-31.92</v>
      </c>
      <c r="O1526" s="31">
        <v>-6.3E-3</v>
      </c>
      <c r="P1526" s="31">
        <v>3.8E-3</v>
      </c>
      <c r="Q1526" s="23" t="s">
        <v>24</v>
      </c>
      <c r="R1526" s="23">
        <v>0</v>
      </c>
      <c r="S1526" s="23">
        <v>39.31</v>
      </c>
      <c r="U1526" s="47">
        <f>VLOOKUP(AU1526,[1]expiry_dates!$B$2:$C$2894,2,FALSE)</f>
        <v>44679</v>
      </c>
      <c r="V1526" s="23" t="s">
        <v>113</v>
      </c>
      <c r="W1526" s="23" t="s">
        <v>23</v>
      </c>
      <c r="X1526" s="49">
        <v>44678.604166666664</v>
      </c>
      <c r="Y1526" s="23">
        <v>0.65</v>
      </c>
      <c r="Z1526" s="23">
        <v>44679.40625</v>
      </c>
      <c r="AA1526" s="23">
        <v>0.7</v>
      </c>
      <c r="AB1526" s="23">
        <v>7.6899999999999996E-2</v>
      </c>
      <c r="AC1526" s="23">
        <v>-5746.57</v>
      </c>
      <c r="AD1526" s="23">
        <v>-7.6899999999999996E-2</v>
      </c>
      <c r="AE1526" s="23">
        <v>114931.4</v>
      </c>
      <c r="AF1526" s="23">
        <v>74705.399999999994</v>
      </c>
      <c r="AG1526" s="23">
        <v>4927043.24</v>
      </c>
      <c r="AH1526" s="23">
        <v>10</v>
      </c>
      <c r="AI1526" s="23">
        <v>-574.66</v>
      </c>
      <c r="AJ1526" s="23">
        <v>-0.15379999999999999</v>
      </c>
      <c r="AK1526" s="23">
        <v>0.53849999999999998</v>
      </c>
      <c r="AL1526" s="23" t="s">
        <v>24</v>
      </c>
      <c r="AM1526" s="23">
        <v>39.75</v>
      </c>
      <c r="AN1526" s="23">
        <v>36066.9</v>
      </c>
      <c r="AO1526" s="23">
        <v>39.31</v>
      </c>
      <c r="AP1526" s="23">
        <v>0</v>
      </c>
      <c r="AR1526" s="46"/>
      <c r="AS1526" s="44"/>
      <c r="AT1526" s="45"/>
      <c r="AU1526" s="47">
        <v>44678</v>
      </c>
      <c r="AV1526" s="52">
        <v>0.10416666666666667</v>
      </c>
      <c r="AW1526" t="s">
        <v>213</v>
      </c>
    </row>
    <row r="1527" spans="1:49">
      <c r="A1527" s="23" t="s">
        <v>22</v>
      </c>
      <c r="B1527" s="23" t="s">
        <v>23</v>
      </c>
      <c r="C1527" s="27">
        <v>44679.40625</v>
      </c>
      <c r="D1527" s="23">
        <v>39.5</v>
      </c>
      <c r="E1527" s="27">
        <v>44679.541666666664</v>
      </c>
      <c r="F1527" s="23">
        <v>39.6</v>
      </c>
      <c r="G1527" s="31">
        <v>2.5000000000000001E-3</v>
      </c>
      <c r="H1527" s="23">
        <v>-128.49</v>
      </c>
      <c r="I1527" s="31">
        <v>-2.5000000000000001E-3</v>
      </c>
      <c r="J1527" s="23">
        <v>1284.9059999999999</v>
      </c>
      <c r="K1527" s="23">
        <v>50753.8</v>
      </c>
      <c r="L1527" s="23">
        <v>150441.35</v>
      </c>
      <c r="M1527" s="23">
        <v>14</v>
      </c>
      <c r="N1527" s="23">
        <v>-9.18</v>
      </c>
      <c r="O1527" s="31">
        <v>-3.8E-3</v>
      </c>
      <c r="P1527" s="31">
        <v>7.6E-3</v>
      </c>
      <c r="Q1527" s="23" t="s">
        <v>24</v>
      </c>
      <c r="R1527" s="23">
        <v>0</v>
      </c>
      <c r="S1527" s="23">
        <v>39.89</v>
      </c>
      <c r="U1527" s="47">
        <f>VLOOKUP(AU1527,[1]expiry_dates!$B$2:$C$2894,2,FALSE)</f>
        <v>44679</v>
      </c>
      <c r="V1527" s="23" t="s">
        <v>139</v>
      </c>
      <c r="W1527" s="23" t="s">
        <v>23</v>
      </c>
      <c r="X1527" s="49">
        <v>44679.40625</v>
      </c>
      <c r="Y1527" s="23">
        <v>0.15</v>
      </c>
      <c r="Z1527" s="23">
        <v>44679.541666666664</v>
      </c>
      <c r="AA1527" s="23">
        <v>0.2</v>
      </c>
      <c r="AB1527" s="23">
        <v>0.33329999999999999</v>
      </c>
      <c r="AC1527" s="23">
        <v>-24887.98</v>
      </c>
      <c r="AD1527" s="23">
        <v>-0.33329999999999999</v>
      </c>
      <c r="AE1527" s="23">
        <v>497759.6</v>
      </c>
      <c r="AF1527" s="23">
        <v>74663.95</v>
      </c>
      <c r="AG1527" s="23">
        <v>4902155.26</v>
      </c>
      <c r="AH1527" s="23">
        <v>14</v>
      </c>
      <c r="AI1527" s="23">
        <v>-1777.71</v>
      </c>
      <c r="AJ1527" s="23">
        <v>-0.66669999999999996</v>
      </c>
      <c r="AK1527" s="23">
        <v>0.33329999999999999</v>
      </c>
      <c r="AL1527" s="23" t="s">
        <v>24</v>
      </c>
      <c r="AM1527" s="23">
        <v>39.5</v>
      </c>
      <c r="AN1527" s="23">
        <v>36048.15</v>
      </c>
      <c r="AO1527" s="23">
        <v>39.89</v>
      </c>
      <c r="AP1527" s="23">
        <v>0</v>
      </c>
      <c r="AR1527" s="46"/>
      <c r="AS1527" s="44"/>
      <c r="AT1527" s="45"/>
      <c r="AU1527" s="47">
        <v>44679</v>
      </c>
      <c r="AV1527" s="52">
        <v>0.40625</v>
      </c>
      <c r="AW1527" t="s">
        <v>212</v>
      </c>
    </row>
    <row r="1528" spans="1:49">
      <c r="A1528" s="25" t="s">
        <v>22</v>
      </c>
      <c r="B1528" s="25" t="s">
        <v>25</v>
      </c>
      <c r="C1528" s="29">
        <v>44679.541666666664</v>
      </c>
      <c r="D1528" s="25">
        <v>39.6</v>
      </c>
      <c r="E1528" s="29">
        <v>44679.6875</v>
      </c>
      <c r="F1528" s="25">
        <v>39.700000000000003</v>
      </c>
      <c r="G1528" s="33">
        <v>2.5000000000000001E-3</v>
      </c>
      <c r="H1528" s="25">
        <v>128.16</v>
      </c>
      <c r="I1528" s="33">
        <v>2.5000000000000001E-3</v>
      </c>
      <c r="J1528" s="25">
        <v>1281.6300000000001</v>
      </c>
      <c r="K1528" s="25">
        <v>50752.53</v>
      </c>
      <c r="L1528" s="25">
        <v>150569.51999999999</v>
      </c>
      <c r="M1528" s="25">
        <v>12</v>
      </c>
      <c r="N1528" s="25">
        <v>10.68</v>
      </c>
      <c r="O1528" s="33">
        <v>-6.3E-3</v>
      </c>
      <c r="P1528" s="33">
        <v>1.01E-2</v>
      </c>
      <c r="Q1528" s="25" t="s">
        <v>24</v>
      </c>
      <c r="R1528" s="25">
        <v>0</v>
      </c>
      <c r="S1528" s="25">
        <v>39.21</v>
      </c>
      <c r="U1528" s="47">
        <f>VLOOKUP(AU1528,[1]expiry_dates!$B$2:$C$2894,2,FALSE)</f>
        <v>44679</v>
      </c>
      <c r="V1528" s="25" t="s">
        <v>113</v>
      </c>
      <c r="W1528" s="25" t="s">
        <v>23</v>
      </c>
      <c r="X1528" s="51">
        <v>44679.541666666664</v>
      </c>
      <c r="Y1528" s="25">
        <v>0.65</v>
      </c>
      <c r="Z1528" s="25">
        <v>44679.6875</v>
      </c>
      <c r="AA1528" s="25">
        <v>0.15</v>
      </c>
      <c r="AB1528" s="25">
        <v>-0.76919999999999999</v>
      </c>
      <c r="AC1528" s="25">
        <v>57411.71</v>
      </c>
      <c r="AD1528" s="25">
        <v>0.76919999999999999</v>
      </c>
      <c r="AE1528" s="25">
        <v>114823.4</v>
      </c>
      <c r="AF1528" s="25">
        <v>74635.22</v>
      </c>
      <c r="AG1528" s="25">
        <v>4959566.97</v>
      </c>
      <c r="AH1528" s="25">
        <v>12</v>
      </c>
      <c r="AI1528" s="25">
        <v>4784.3100000000004</v>
      </c>
      <c r="AJ1528" s="25">
        <v>-0.30769999999999997</v>
      </c>
      <c r="AK1528" s="25">
        <v>0.76919999999999999</v>
      </c>
      <c r="AL1528" s="25" t="s">
        <v>24</v>
      </c>
      <c r="AM1528" s="25">
        <v>39.6</v>
      </c>
      <c r="AN1528" s="25">
        <v>36327.050000000003</v>
      </c>
      <c r="AO1528" s="25">
        <v>39.21</v>
      </c>
      <c r="AP1528" s="25">
        <v>0</v>
      </c>
      <c r="AR1528" s="46"/>
      <c r="AS1528" s="44"/>
      <c r="AT1528" s="45"/>
      <c r="AU1528" s="47">
        <v>44679</v>
      </c>
      <c r="AV1528" s="52">
        <v>4.1666666666666664E-2</v>
      </c>
      <c r="AW1528" t="s">
        <v>213</v>
      </c>
    </row>
  </sheetData>
  <autoFilter ref="A6:AP152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59"/>
  <sheetViews>
    <sheetView showGridLines="0" workbookViewId="0">
      <selection activeCell="A5" sqref="A5"/>
    </sheetView>
  </sheetViews>
  <sheetFormatPr defaultRowHeight="15"/>
  <cols>
    <col min="1" max="1" width="62" bestFit="1" customWidth="1"/>
    <col min="2" max="4" width="10.85546875" bestFit="1" customWidth="1"/>
    <col min="5" max="5" width="31.28515625" bestFit="1" customWidth="1"/>
    <col min="8" max="8" width="62" bestFit="1" customWidth="1"/>
    <col min="9" max="9" width="10.85546875" bestFit="1" customWidth="1"/>
    <col min="10" max="10" width="10.5703125" bestFit="1" customWidth="1"/>
    <col min="11" max="11" width="12.5703125" bestFit="1" customWidth="1"/>
  </cols>
  <sheetData>
    <row r="2" spans="1:12">
      <c r="A2" s="21" t="s">
        <v>26</v>
      </c>
      <c r="B2" s="21"/>
      <c r="C2" s="21"/>
      <c r="D2" s="21"/>
      <c r="E2" s="21"/>
      <c r="H2" s="21" t="s">
        <v>211</v>
      </c>
      <c r="I2" s="21"/>
      <c r="J2" s="21"/>
      <c r="K2" s="21"/>
    </row>
    <row r="4" spans="1:12">
      <c r="A4" s="16" t="s">
        <v>46</v>
      </c>
      <c r="H4" s="16" t="s">
        <v>46</v>
      </c>
    </row>
    <row r="6" spans="1:12">
      <c r="A6" s="53" t="s">
        <v>47</v>
      </c>
      <c r="B6" s="53"/>
      <c r="C6" s="53"/>
      <c r="D6" s="53"/>
      <c r="E6" s="53"/>
      <c r="H6" s="53" t="s">
        <v>47</v>
      </c>
      <c r="I6" s="53"/>
      <c r="J6" s="53"/>
      <c r="K6" s="53"/>
      <c r="L6" s="53"/>
    </row>
    <row r="7" spans="1:12">
      <c r="A7" s="34"/>
      <c r="B7" s="34" t="s">
        <v>48</v>
      </c>
      <c r="C7" s="34" t="s">
        <v>49</v>
      </c>
      <c r="D7" s="34" t="s">
        <v>50</v>
      </c>
      <c r="E7" s="34" t="s">
        <v>51</v>
      </c>
      <c r="H7" s="34"/>
      <c r="I7" s="34" t="s">
        <v>48</v>
      </c>
      <c r="J7" s="34" t="s">
        <v>49</v>
      </c>
      <c r="K7" s="34" t="s">
        <v>50</v>
      </c>
    </row>
    <row r="8" spans="1:12">
      <c r="A8" s="34" t="s">
        <v>52</v>
      </c>
      <c r="B8" s="35">
        <v>10000000</v>
      </c>
      <c r="C8" s="35">
        <v>10000000</v>
      </c>
      <c r="D8" s="35">
        <v>10000000</v>
      </c>
      <c r="E8" s="35">
        <v>10000000</v>
      </c>
      <c r="H8" s="34" t="s">
        <v>52</v>
      </c>
      <c r="I8" s="35">
        <v>10000000</v>
      </c>
      <c r="J8" s="35">
        <v>10000000</v>
      </c>
      <c r="K8" s="35">
        <v>10000000</v>
      </c>
    </row>
    <row r="9" spans="1:12">
      <c r="A9" s="34" t="s">
        <v>53</v>
      </c>
      <c r="B9" s="35">
        <v>10150569.52</v>
      </c>
      <c r="C9" s="35">
        <v>10072960.07</v>
      </c>
      <c r="D9" s="35">
        <v>10077609.449999999</v>
      </c>
      <c r="E9" s="35">
        <v>8437832.0299999993</v>
      </c>
      <c r="H9" s="34" t="s">
        <v>53</v>
      </c>
      <c r="I9" s="35">
        <v>14959566.970000001</v>
      </c>
      <c r="J9" s="35">
        <v>10000000</v>
      </c>
      <c r="K9" s="35">
        <v>14959566.970000001</v>
      </c>
    </row>
    <row r="10" spans="1:12">
      <c r="A10" s="34" t="s">
        <v>54</v>
      </c>
      <c r="B10" s="36">
        <v>150569.51999999999</v>
      </c>
      <c r="C10" s="36">
        <v>72960.070000000007</v>
      </c>
      <c r="D10" s="36">
        <v>77609.45</v>
      </c>
      <c r="E10" s="37">
        <v>-1562167.97</v>
      </c>
      <c r="H10" s="34" t="s">
        <v>54</v>
      </c>
      <c r="I10" s="36">
        <v>4959566.97</v>
      </c>
      <c r="J10" s="42">
        <v>0</v>
      </c>
      <c r="K10" s="36">
        <v>4959566.97</v>
      </c>
    </row>
    <row r="11" spans="1:12">
      <c r="A11" s="34" t="s">
        <v>55</v>
      </c>
      <c r="B11" s="38">
        <v>1.5100000000000001E-2</v>
      </c>
      <c r="C11" s="38">
        <v>7.3000000000000001E-3</v>
      </c>
      <c r="D11" s="38">
        <v>7.7999999999999996E-3</v>
      </c>
      <c r="E11" s="39">
        <v>-0.15620000000000001</v>
      </c>
      <c r="H11" s="34" t="s">
        <v>55</v>
      </c>
      <c r="I11" s="38">
        <v>0.496</v>
      </c>
      <c r="J11" s="41">
        <v>0</v>
      </c>
      <c r="K11" s="38">
        <v>0.496</v>
      </c>
    </row>
    <row r="12" spans="1:12">
      <c r="A12" s="34" t="s">
        <v>56</v>
      </c>
      <c r="B12" s="40">
        <v>5.0000000000000001E-3</v>
      </c>
      <c r="C12" s="40">
        <v>2.3999999999999998E-3</v>
      </c>
      <c r="D12" s="40">
        <v>2.5999999999999999E-3</v>
      </c>
      <c r="E12" s="40">
        <v>1</v>
      </c>
      <c r="H12" s="34" t="s">
        <v>56</v>
      </c>
      <c r="I12" s="40">
        <v>5.7999999999999996E-3</v>
      </c>
      <c r="J12" s="40">
        <v>0</v>
      </c>
      <c r="K12" s="40">
        <v>5.7999999999999996E-3</v>
      </c>
    </row>
    <row r="13" spans="1:12">
      <c r="A13" s="34" t="s">
        <v>57</v>
      </c>
      <c r="B13" s="38">
        <v>2.9851000000000001</v>
      </c>
      <c r="C13" s="38">
        <v>2.9813000000000001</v>
      </c>
      <c r="D13" s="38">
        <v>2.9887000000000001</v>
      </c>
      <c r="E13" s="39">
        <v>-0.15620000000000001</v>
      </c>
      <c r="H13" s="34" t="s">
        <v>57</v>
      </c>
      <c r="I13" s="38">
        <v>85.475099999999998</v>
      </c>
      <c r="J13" s="35" t="s">
        <v>44</v>
      </c>
      <c r="K13" s="38">
        <v>85.475099999999998</v>
      </c>
    </row>
    <row r="14" spans="1:12">
      <c r="A14" s="34" t="s">
        <v>58</v>
      </c>
      <c r="B14" s="41">
        <v>4.5999999999999999E-3</v>
      </c>
      <c r="C14" s="41">
        <v>2.2000000000000001E-3</v>
      </c>
      <c r="D14" s="41">
        <v>2.3999999999999998E-3</v>
      </c>
      <c r="E14" s="39">
        <v>-5.04E-2</v>
      </c>
      <c r="H14" s="34" t="s">
        <v>58</v>
      </c>
      <c r="I14" s="38">
        <v>0.13059999999999999</v>
      </c>
      <c r="J14" s="41">
        <v>0</v>
      </c>
      <c r="K14" s="38">
        <v>0.13059999999999999</v>
      </c>
    </row>
    <row r="15" spans="1:12">
      <c r="A15" s="34" t="s">
        <v>59</v>
      </c>
      <c r="B15" s="41">
        <v>0.90480000000000005</v>
      </c>
      <c r="C15" s="41">
        <v>0.90600000000000003</v>
      </c>
      <c r="D15" s="41">
        <v>0.90810000000000002</v>
      </c>
      <c r="E15" s="39">
        <v>-5.04E-2</v>
      </c>
      <c r="H15" s="34" t="s">
        <v>59</v>
      </c>
      <c r="I15" s="38">
        <v>22.501100000000001</v>
      </c>
      <c r="J15" s="35" t="s">
        <v>44</v>
      </c>
      <c r="K15" s="38">
        <v>22.501100000000001</v>
      </c>
    </row>
    <row r="16" spans="1:12">
      <c r="A16" s="34" t="s">
        <v>60</v>
      </c>
      <c r="B16" s="42">
        <v>0</v>
      </c>
      <c r="C16" s="42">
        <v>0</v>
      </c>
      <c r="D16" s="42">
        <v>0</v>
      </c>
      <c r="E16" s="42">
        <v>0</v>
      </c>
      <c r="H16" s="34" t="s">
        <v>60</v>
      </c>
      <c r="I16" s="42">
        <v>0</v>
      </c>
      <c r="J16" s="42">
        <v>0</v>
      </c>
      <c r="K16" s="42">
        <v>0</v>
      </c>
    </row>
    <row r="17" spans="1:11">
      <c r="A17" s="54"/>
      <c r="B17" s="54"/>
      <c r="C17" s="54"/>
      <c r="D17" s="54"/>
      <c r="E17" s="54"/>
      <c r="H17" s="54"/>
      <c r="I17" s="54"/>
      <c r="J17" s="54"/>
      <c r="K17" s="54"/>
    </row>
    <row r="18" spans="1:11">
      <c r="A18" s="54"/>
      <c r="B18" s="54"/>
      <c r="C18" s="54"/>
      <c r="D18" s="54"/>
      <c r="E18" s="54"/>
      <c r="H18" s="54"/>
      <c r="I18" s="54"/>
      <c r="J18" s="54"/>
      <c r="K18" s="54"/>
    </row>
    <row r="19" spans="1:11">
      <c r="A19" s="34" t="s">
        <v>48</v>
      </c>
      <c r="B19" s="35">
        <v>1522</v>
      </c>
      <c r="C19" s="35" t="s">
        <v>61</v>
      </c>
      <c r="D19" s="35" t="s">
        <v>62</v>
      </c>
      <c r="E19" s="35">
        <v>1</v>
      </c>
      <c r="H19" s="34" t="s">
        <v>48</v>
      </c>
      <c r="I19" s="35">
        <v>1513</v>
      </c>
      <c r="J19" s="35" t="s">
        <v>70</v>
      </c>
      <c r="K19" s="35" t="s">
        <v>208</v>
      </c>
    </row>
    <row r="20" spans="1:11">
      <c r="A20" s="34" t="s">
        <v>63</v>
      </c>
      <c r="B20" s="36">
        <v>98.93</v>
      </c>
      <c r="C20" s="36">
        <v>95.62</v>
      </c>
      <c r="D20" s="36">
        <v>102.25</v>
      </c>
      <c r="E20" s="37">
        <v>-1562167.97</v>
      </c>
      <c r="H20" s="34" t="s">
        <v>63</v>
      </c>
      <c r="I20" s="36">
        <v>3277.97</v>
      </c>
      <c r="J20" s="35" t="s">
        <v>44</v>
      </c>
      <c r="K20" s="36">
        <v>3277.97</v>
      </c>
    </row>
    <row r="21" spans="1:11">
      <c r="A21" s="34" t="s">
        <v>64</v>
      </c>
      <c r="B21" s="38">
        <v>2E-3</v>
      </c>
      <c r="C21" s="38">
        <v>1.9E-3</v>
      </c>
      <c r="D21" s="38">
        <v>2E-3</v>
      </c>
      <c r="E21" s="39">
        <v>-0.15620000000000001</v>
      </c>
      <c r="H21" s="34" t="s">
        <v>64</v>
      </c>
      <c r="I21" s="38">
        <v>5.3499999999999999E-2</v>
      </c>
      <c r="J21" s="35" t="s">
        <v>44</v>
      </c>
      <c r="K21" s="38">
        <v>5.3499999999999999E-2</v>
      </c>
    </row>
    <row r="22" spans="1:11">
      <c r="A22" s="34" t="s">
        <v>65</v>
      </c>
      <c r="B22" s="36">
        <v>15.92</v>
      </c>
      <c r="C22" s="36">
        <v>15.43</v>
      </c>
      <c r="D22" s="36">
        <v>16.420000000000002</v>
      </c>
      <c r="E22" s="36">
        <v>22794</v>
      </c>
      <c r="H22" s="34" t="s">
        <v>65</v>
      </c>
      <c r="I22" s="36">
        <v>15.93</v>
      </c>
      <c r="J22" s="35" t="s">
        <v>44</v>
      </c>
      <c r="K22" s="36">
        <v>15.93</v>
      </c>
    </row>
    <row r="23" spans="1:11">
      <c r="A23" s="54"/>
      <c r="B23" s="54"/>
      <c r="C23" s="54"/>
      <c r="D23" s="54"/>
      <c r="E23" s="54"/>
      <c r="H23" s="54"/>
      <c r="I23" s="54"/>
      <c r="J23" s="54"/>
      <c r="K23" s="54"/>
    </row>
    <row r="24" spans="1:11">
      <c r="A24" s="54"/>
      <c r="B24" s="54"/>
      <c r="C24" s="54"/>
      <c r="D24" s="54"/>
      <c r="E24" s="54"/>
      <c r="H24" s="54"/>
      <c r="I24" s="54"/>
      <c r="J24" s="54"/>
      <c r="K24" s="54"/>
    </row>
    <row r="25" spans="1:11">
      <c r="A25" s="34" t="s">
        <v>66</v>
      </c>
      <c r="B25" s="35" t="s">
        <v>67</v>
      </c>
      <c r="C25" s="35" t="s">
        <v>68</v>
      </c>
      <c r="D25" s="35" t="s">
        <v>69</v>
      </c>
      <c r="E25" s="35" t="s">
        <v>70</v>
      </c>
      <c r="H25" s="34" t="s">
        <v>66</v>
      </c>
      <c r="I25" s="35" t="s">
        <v>209</v>
      </c>
      <c r="J25" s="35" t="s">
        <v>70</v>
      </c>
      <c r="K25" s="35" t="s">
        <v>209</v>
      </c>
    </row>
    <row r="26" spans="1:11">
      <c r="A26" s="34" t="s">
        <v>71</v>
      </c>
      <c r="B26" s="35">
        <v>556114.12</v>
      </c>
      <c r="C26" s="35">
        <v>281434.5</v>
      </c>
      <c r="D26" s="35">
        <v>274679.62</v>
      </c>
      <c r="E26" s="35">
        <v>0</v>
      </c>
      <c r="H26" s="34" t="s">
        <v>71</v>
      </c>
      <c r="I26" s="35">
        <v>12050207.050000001</v>
      </c>
      <c r="J26" s="35">
        <v>0</v>
      </c>
      <c r="K26" s="35">
        <v>12050207.050000001</v>
      </c>
    </row>
    <row r="27" spans="1:11">
      <c r="A27" s="34" t="s">
        <v>72</v>
      </c>
      <c r="B27" s="35">
        <v>984.27</v>
      </c>
      <c r="C27" s="35">
        <v>1034.69</v>
      </c>
      <c r="D27" s="35">
        <v>937.47</v>
      </c>
      <c r="E27" s="35" t="s">
        <v>44</v>
      </c>
      <c r="H27" s="34" t="s">
        <v>72</v>
      </c>
      <c r="I27" s="35">
        <v>19127.310000000001</v>
      </c>
      <c r="J27" s="35" t="s">
        <v>44</v>
      </c>
      <c r="K27" s="35">
        <v>19127.310000000001</v>
      </c>
    </row>
    <row r="28" spans="1:11">
      <c r="A28" s="34" t="s">
        <v>73</v>
      </c>
      <c r="B28" s="40">
        <v>1.9599999999999999E-2</v>
      </c>
      <c r="C28" s="40">
        <v>2.06E-2</v>
      </c>
      <c r="D28" s="40">
        <v>1.8599999999999998E-2</v>
      </c>
      <c r="E28" s="35" t="s">
        <v>44</v>
      </c>
      <c r="H28" s="34" t="s">
        <v>73</v>
      </c>
      <c r="I28" s="40">
        <v>0.30780000000000002</v>
      </c>
      <c r="J28" s="35" t="s">
        <v>44</v>
      </c>
      <c r="K28" s="40">
        <v>0.30780000000000002</v>
      </c>
    </row>
    <row r="29" spans="1:11">
      <c r="A29" s="34" t="s">
        <v>65</v>
      </c>
      <c r="B29" s="35">
        <v>27.24</v>
      </c>
      <c r="C29" s="35">
        <v>26.99</v>
      </c>
      <c r="D29" s="35">
        <v>27.47</v>
      </c>
      <c r="E29" s="35" t="s">
        <v>44</v>
      </c>
      <c r="H29" s="34" t="s">
        <v>65</v>
      </c>
      <c r="I29" s="35">
        <v>25.45</v>
      </c>
      <c r="J29" s="35" t="s">
        <v>44</v>
      </c>
      <c r="K29" s="35">
        <v>25.45</v>
      </c>
    </row>
    <row r="30" spans="1:11">
      <c r="A30" s="34" t="s">
        <v>74</v>
      </c>
      <c r="B30" s="36">
        <v>6</v>
      </c>
      <c r="C30" s="36">
        <v>5</v>
      </c>
      <c r="D30" s="36">
        <v>7</v>
      </c>
      <c r="E30" s="42">
        <v>0</v>
      </c>
      <c r="H30" s="34" t="s">
        <v>74</v>
      </c>
      <c r="I30" s="36">
        <v>8</v>
      </c>
      <c r="J30" s="42">
        <v>0</v>
      </c>
      <c r="K30" s="36">
        <v>8</v>
      </c>
    </row>
    <row r="31" spans="1:11">
      <c r="A31" s="34" t="s">
        <v>75</v>
      </c>
      <c r="B31" s="35">
        <v>11511.91</v>
      </c>
      <c r="C31" s="35">
        <v>6996.22</v>
      </c>
      <c r="D31" s="35">
        <v>11511.91</v>
      </c>
      <c r="E31" s="35">
        <v>0</v>
      </c>
      <c r="H31" s="34" t="s">
        <v>75</v>
      </c>
      <c r="I31" s="35">
        <v>65615.820000000007</v>
      </c>
      <c r="J31" s="35">
        <v>0</v>
      </c>
      <c r="K31" s="35">
        <v>65615.820000000007</v>
      </c>
    </row>
    <row r="32" spans="1:11">
      <c r="A32" s="34" t="s">
        <v>76</v>
      </c>
      <c r="B32" s="35">
        <v>49</v>
      </c>
      <c r="C32" s="35">
        <v>63</v>
      </c>
      <c r="D32" s="35">
        <v>49</v>
      </c>
      <c r="E32" s="35">
        <v>0</v>
      </c>
      <c r="H32" s="34" t="s">
        <v>76</v>
      </c>
      <c r="I32" s="35">
        <v>42</v>
      </c>
      <c r="J32" s="35">
        <v>0</v>
      </c>
      <c r="K32" s="35">
        <v>42</v>
      </c>
    </row>
    <row r="33" spans="1:11">
      <c r="A33" s="54"/>
      <c r="B33" s="54"/>
      <c r="C33" s="54"/>
      <c r="D33" s="54"/>
      <c r="E33" s="54"/>
      <c r="H33" s="54"/>
      <c r="I33" s="54"/>
      <c r="J33" s="54"/>
      <c r="K33" s="54"/>
    </row>
    <row r="34" spans="1:11">
      <c r="A34" s="54"/>
      <c r="B34" s="54"/>
      <c r="C34" s="54"/>
      <c r="D34" s="54"/>
      <c r="E34" s="54"/>
      <c r="H34" s="54"/>
      <c r="I34" s="54"/>
      <c r="J34" s="54"/>
      <c r="K34" s="54"/>
    </row>
    <row r="35" spans="1:11">
      <c r="A35" s="34" t="s">
        <v>77</v>
      </c>
      <c r="B35" s="35" t="s">
        <v>78</v>
      </c>
      <c r="C35" s="35" t="s">
        <v>79</v>
      </c>
      <c r="D35" s="35" t="s">
        <v>80</v>
      </c>
      <c r="E35" s="35" t="s">
        <v>81</v>
      </c>
      <c r="H35" s="34" t="s">
        <v>77</v>
      </c>
      <c r="I35" s="35" t="s">
        <v>210</v>
      </c>
      <c r="J35" s="35" t="s">
        <v>70</v>
      </c>
      <c r="K35" s="35" t="s">
        <v>210</v>
      </c>
    </row>
    <row r="36" spans="1:11">
      <c r="A36" s="34" t="s">
        <v>82</v>
      </c>
      <c r="B36" s="35">
        <v>-405544.6</v>
      </c>
      <c r="C36" s="35">
        <v>-208474.43</v>
      </c>
      <c r="D36" s="35">
        <v>-197070.17</v>
      </c>
      <c r="E36" s="35">
        <v>-1562167.97</v>
      </c>
      <c r="H36" s="34" t="s">
        <v>82</v>
      </c>
      <c r="I36" s="35">
        <v>-7090640.0899999999</v>
      </c>
      <c r="J36" s="35">
        <v>0</v>
      </c>
      <c r="K36" s="35">
        <v>-7090640.0899999999</v>
      </c>
    </row>
    <row r="37" spans="1:11">
      <c r="A37" s="34" t="s">
        <v>83</v>
      </c>
      <c r="B37" s="35">
        <v>-423.77</v>
      </c>
      <c r="C37" s="35">
        <v>-424.59</v>
      </c>
      <c r="D37" s="35">
        <v>-422.9</v>
      </c>
      <c r="E37" s="35">
        <v>-1562167.97</v>
      </c>
      <c r="H37" s="34" t="s">
        <v>83</v>
      </c>
      <c r="I37" s="35">
        <v>-8030.17</v>
      </c>
      <c r="J37" s="35" t="s">
        <v>44</v>
      </c>
      <c r="K37" s="35">
        <v>-8030.17</v>
      </c>
    </row>
    <row r="38" spans="1:11">
      <c r="A38" s="34" t="s">
        <v>84</v>
      </c>
      <c r="B38" s="40">
        <v>-8.3999999999999995E-3</v>
      </c>
      <c r="C38" s="40">
        <v>-8.3999999999999995E-3</v>
      </c>
      <c r="D38" s="40">
        <v>-8.3999999999999995E-3</v>
      </c>
      <c r="E38" s="40">
        <v>-0.15620000000000001</v>
      </c>
      <c r="H38" s="34" t="s">
        <v>84</v>
      </c>
      <c r="I38" s="40">
        <v>-0.128</v>
      </c>
      <c r="J38" s="35" t="s">
        <v>44</v>
      </c>
      <c r="K38" s="40">
        <v>-0.128</v>
      </c>
    </row>
    <row r="39" spans="1:11">
      <c r="A39" s="34" t="s">
        <v>65</v>
      </c>
      <c r="B39" s="35">
        <v>9.24</v>
      </c>
      <c r="C39" s="35">
        <v>9.0299999999999994</v>
      </c>
      <c r="D39" s="35">
        <v>9.4700000000000006</v>
      </c>
      <c r="E39" s="35">
        <v>22794</v>
      </c>
      <c r="H39" s="34" t="s">
        <v>65</v>
      </c>
      <c r="I39" s="35">
        <v>9.1300000000000008</v>
      </c>
      <c r="J39" s="35" t="s">
        <v>44</v>
      </c>
      <c r="K39" s="35">
        <v>9.1300000000000008</v>
      </c>
    </row>
    <row r="40" spans="1:11">
      <c r="A40" s="34" t="s">
        <v>74</v>
      </c>
      <c r="B40" s="35">
        <v>15</v>
      </c>
      <c r="C40" s="35">
        <v>11</v>
      </c>
      <c r="D40" s="35">
        <v>11</v>
      </c>
      <c r="E40" s="35">
        <v>1</v>
      </c>
      <c r="H40" s="34" t="s">
        <v>74</v>
      </c>
      <c r="I40" s="35">
        <v>12</v>
      </c>
      <c r="J40" s="35">
        <v>0</v>
      </c>
      <c r="K40" s="35">
        <v>12</v>
      </c>
    </row>
    <row r="41" spans="1:11">
      <c r="A41" s="34" t="s">
        <v>85</v>
      </c>
      <c r="B41" s="35">
        <v>-4134.37</v>
      </c>
      <c r="C41" s="35">
        <v>-3465.67</v>
      </c>
      <c r="D41" s="35">
        <v>-4134.37</v>
      </c>
      <c r="E41" s="35">
        <v>-1562167.97</v>
      </c>
      <c r="H41" s="34" t="s">
        <v>85</v>
      </c>
      <c r="I41" s="35">
        <v>-158722.74</v>
      </c>
      <c r="J41" s="35">
        <v>0</v>
      </c>
      <c r="K41" s="35">
        <v>-158722.74</v>
      </c>
    </row>
    <row r="42" spans="1:11">
      <c r="A42" s="34" t="s">
        <v>86</v>
      </c>
      <c r="B42" s="35">
        <v>2</v>
      </c>
      <c r="C42" s="35">
        <v>8</v>
      </c>
      <c r="D42" s="35">
        <v>2</v>
      </c>
      <c r="E42" s="35">
        <v>22794</v>
      </c>
      <c r="H42" s="34" t="s">
        <v>86</v>
      </c>
      <c r="I42" s="35">
        <v>3</v>
      </c>
      <c r="J42" s="35">
        <v>0</v>
      </c>
      <c r="K42" s="35">
        <v>3</v>
      </c>
    </row>
    <row r="43" spans="1:11">
      <c r="A43" s="54"/>
      <c r="B43" s="54"/>
      <c r="C43" s="54"/>
      <c r="D43" s="54"/>
      <c r="E43" s="54"/>
      <c r="H43" s="54"/>
      <c r="I43" s="54"/>
      <c r="J43" s="54"/>
      <c r="K43" s="54"/>
    </row>
    <row r="44" spans="1:11">
      <c r="A44" s="54"/>
      <c r="B44" s="54"/>
      <c r="C44" s="54"/>
      <c r="D44" s="54"/>
      <c r="E44" s="54"/>
      <c r="H44" s="54"/>
      <c r="I44" s="54"/>
      <c r="J44" s="54"/>
      <c r="K44" s="54"/>
    </row>
    <row r="45" spans="1:11">
      <c r="A45" s="34" t="s">
        <v>87</v>
      </c>
      <c r="B45" s="35">
        <v>-6567.69</v>
      </c>
      <c r="C45" s="35">
        <v>-5946.68</v>
      </c>
      <c r="D45" s="35">
        <v>-6567.69</v>
      </c>
      <c r="E45" s="35">
        <v>-8267800.5300000003</v>
      </c>
      <c r="H45" s="34" t="s">
        <v>87</v>
      </c>
      <c r="I45" s="35">
        <v>-177396.01</v>
      </c>
      <c r="J45" s="35">
        <v>0</v>
      </c>
      <c r="K45" s="35">
        <v>-177396.01</v>
      </c>
    </row>
    <row r="46" spans="1:11">
      <c r="A46" s="34" t="s">
        <v>88</v>
      </c>
      <c r="B46" s="35">
        <v>-10.28</v>
      </c>
      <c r="C46" s="35">
        <v>-10.28</v>
      </c>
      <c r="D46" s="35">
        <v>-9.69</v>
      </c>
      <c r="E46" s="35">
        <v>-68.430000000000007</v>
      </c>
      <c r="H46" s="34" t="s">
        <v>88</v>
      </c>
      <c r="I46" s="35">
        <v>-100</v>
      </c>
      <c r="J46" s="35">
        <v>0</v>
      </c>
      <c r="K46" s="35">
        <v>-100</v>
      </c>
    </row>
    <row r="47" spans="1:11">
      <c r="A47" s="34" t="s">
        <v>89</v>
      </c>
      <c r="B47" s="35">
        <v>-15668.52</v>
      </c>
      <c r="C47" s="35">
        <v>-19342.689999999999</v>
      </c>
      <c r="D47" s="35">
        <v>-20321.990000000002</v>
      </c>
      <c r="E47" s="35">
        <v>-8267800.5300000003</v>
      </c>
      <c r="H47" s="34" t="s">
        <v>89</v>
      </c>
      <c r="I47" s="35">
        <v>-440161.5</v>
      </c>
      <c r="J47" s="35">
        <v>0</v>
      </c>
      <c r="K47" s="35">
        <v>-440161.5</v>
      </c>
    </row>
    <row r="48" spans="1:11">
      <c r="A48" s="34" t="s">
        <v>90</v>
      </c>
      <c r="B48" s="38">
        <v>-1.6000000000000001E-3</v>
      </c>
      <c r="C48" s="38">
        <v>-1.9E-3</v>
      </c>
      <c r="D48" s="38">
        <v>-2E-3</v>
      </c>
      <c r="E48" s="39">
        <v>-0.68430000000000002</v>
      </c>
      <c r="H48" s="34" t="s">
        <v>90</v>
      </c>
      <c r="I48" s="38">
        <v>-2.92E-2</v>
      </c>
      <c r="J48" s="38">
        <v>0</v>
      </c>
      <c r="K48" s="38">
        <v>-2.92E-2</v>
      </c>
    </row>
    <row r="49" spans="1:11">
      <c r="A49" s="34" t="s">
        <v>91</v>
      </c>
      <c r="B49" s="36">
        <v>9.61</v>
      </c>
      <c r="C49" s="36">
        <v>3.77</v>
      </c>
      <c r="D49" s="36">
        <v>3.82</v>
      </c>
      <c r="E49" s="37">
        <v>-0.19</v>
      </c>
      <c r="H49" s="34" t="s">
        <v>91</v>
      </c>
      <c r="I49" s="36">
        <v>11.27</v>
      </c>
      <c r="J49" s="35" t="s">
        <v>44</v>
      </c>
      <c r="K49" s="36">
        <v>11.27</v>
      </c>
    </row>
    <row r="50" spans="1:11">
      <c r="A50" s="34" t="s">
        <v>92</v>
      </c>
      <c r="B50" s="36">
        <v>2.94</v>
      </c>
      <c r="C50" s="42">
        <v>1.1499999999999999</v>
      </c>
      <c r="D50" s="42">
        <v>1.17</v>
      </c>
      <c r="E50" s="37">
        <v>-7.0000000000000007E-2</v>
      </c>
      <c r="H50" s="34" t="s">
        <v>92</v>
      </c>
      <c r="I50" s="36">
        <v>4.47</v>
      </c>
      <c r="J50" s="35" t="s">
        <v>44</v>
      </c>
      <c r="K50" s="36">
        <v>4.47</v>
      </c>
    </row>
    <row r="51" spans="1:11">
      <c r="A51" s="34" t="s">
        <v>93</v>
      </c>
      <c r="B51" s="36">
        <v>583.17999999999995</v>
      </c>
      <c r="C51" s="36">
        <v>469.12</v>
      </c>
      <c r="D51" s="36">
        <v>449.16</v>
      </c>
      <c r="E51" s="37">
        <v>-7.0000000000000007E-2</v>
      </c>
      <c r="H51" s="34" t="s">
        <v>93</v>
      </c>
      <c r="I51" s="36">
        <v>770.32</v>
      </c>
      <c r="J51" s="35" t="s">
        <v>44</v>
      </c>
      <c r="K51" s="36">
        <v>770.32</v>
      </c>
    </row>
    <row r="52" spans="1:11">
      <c r="A52" s="34" t="s">
        <v>94</v>
      </c>
      <c r="B52" s="42">
        <v>1.37</v>
      </c>
      <c r="C52" s="42">
        <v>1.35</v>
      </c>
      <c r="D52" s="42">
        <v>1.39</v>
      </c>
      <c r="E52" s="37">
        <v>0</v>
      </c>
      <c r="H52" s="34" t="s">
        <v>94</v>
      </c>
      <c r="I52" s="42">
        <v>1.7</v>
      </c>
      <c r="J52" s="35" t="s">
        <v>44</v>
      </c>
      <c r="K52" s="42">
        <v>1.7</v>
      </c>
    </row>
    <row r="53" spans="1:11">
      <c r="A53" s="34" t="s">
        <v>95</v>
      </c>
      <c r="B53" s="36">
        <v>2.3199999999999998</v>
      </c>
      <c r="C53" s="36">
        <v>2.44</v>
      </c>
      <c r="D53" s="36">
        <v>2.2200000000000002</v>
      </c>
      <c r="E53" s="35" t="s">
        <v>44</v>
      </c>
      <c r="H53" s="34" t="s">
        <v>95</v>
      </c>
      <c r="I53" s="36">
        <v>2.38</v>
      </c>
      <c r="J53" s="35" t="s">
        <v>44</v>
      </c>
      <c r="K53" s="36">
        <v>2.38</v>
      </c>
    </row>
    <row r="54" spans="1:11">
      <c r="A54" s="34" t="s">
        <v>96</v>
      </c>
      <c r="B54" s="35">
        <v>7320.61</v>
      </c>
      <c r="C54" s="35">
        <v>7736.72</v>
      </c>
      <c r="D54" s="35">
        <v>7277.74</v>
      </c>
      <c r="E54" s="35">
        <v>2110449.6800000002</v>
      </c>
      <c r="H54" s="34" t="s">
        <v>96</v>
      </c>
      <c r="I54" s="35">
        <v>108396.49</v>
      </c>
      <c r="J54" s="35">
        <v>0.11</v>
      </c>
      <c r="K54" s="35">
        <v>108396.49</v>
      </c>
    </row>
    <row r="55" spans="1:11">
      <c r="A55" s="34" t="s">
        <v>97</v>
      </c>
      <c r="B55" s="35">
        <v>6.02</v>
      </c>
      <c r="C55" s="35">
        <v>3.19</v>
      </c>
      <c r="D55" s="35">
        <v>2.67</v>
      </c>
      <c r="E55" s="35">
        <v>0.22</v>
      </c>
      <c r="H55" s="34" t="s">
        <v>97</v>
      </c>
      <c r="I55" s="35">
        <v>13.46</v>
      </c>
      <c r="J55" s="35">
        <v>0</v>
      </c>
      <c r="K55" s="35">
        <v>13.46</v>
      </c>
    </row>
    <row r="56" spans="1:11">
      <c r="A56" s="34" t="s">
        <v>98</v>
      </c>
      <c r="B56" s="35">
        <v>0.05</v>
      </c>
      <c r="C56" s="35">
        <v>0.05</v>
      </c>
      <c r="D56" s="35">
        <v>0.06</v>
      </c>
      <c r="E56" s="35">
        <v>33.56</v>
      </c>
      <c r="H56" s="34" t="s">
        <v>98</v>
      </c>
      <c r="I56" s="35">
        <v>0.46</v>
      </c>
      <c r="J56" s="35">
        <v>0</v>
      </c>
      <c r="K56" s="35">
        <v>0.46</v>
      </c>
    </row>
    <row r="57" spans="1:11">
      <c r="A57" s="34" t="s">
        <v>99</v>
      </c>
      <c r="B57" s="35">
        <v>-92.97</v>
      </c>
      <c r="C57" s="35">
        <v>-103.39</v>
      </c>
      <c r="D57" s="35">
        <v>-87.04</v>
      </c>
      <c r="E57" s="35">
        <v>-0.31</v>
      </c>
      <c r="H57" s="34" t="s">
        <v>99</v>
      </c>
      <c r="I57" s="35">
        <v>16.55</v>
      </c>
      <c r="J57" s="35" t="s">
        <v>44</v>
      </c>
      <c r="K57" s="35">
        <v>16.55</v>
      </c>
    </row>
    <row r="58" spans="1:11">
      <c r="A58" s="34" t="s">
        <v>100</v>
      </c>
      <c r="B58" s="35">
        <v>1.88</v>
      </c>
      <c r="C58" s="35">
        <v>1.84</v>
      </c>
      <c r="D58" s="35">
        <v>1.91</v>
      </c>
      <c r="E58" s="35" t="s">
        <v>44</v>
      </c>
      <c r="H58" s="34" t="s">
        <v>100</v>
      </c>
      <c r="I58" s="35">
        <v>3.68</v>
      </c>
      <c r="J58" s="35">
        <v>0</v>
      </c>
      <c r="K58" s="35">
        <v>3.68</v>
      </c>
    </row>
    <row r="59" spans="1:11">
      <c r="A59" s="34" t="s">
        <v>101</v>
      </c>
      <c r="B59" s="35">
        <v>0.04</v>
      </c>
      <c r="C59" s="35">
        <v>0.02</v>
      </c>
      <c r="D59" s="35">
        <v>0.02</v>
      </c>
      <c r="E59" s="35">
        <v>0</v>
      </c>
      <c r="H59" s="34" t="s">
        <v>101</v>
      </c>
      <c r="I59" s="35">
        <v>0.08</v>
      </c>
      <c r="J59" s="35">
        <v>0</v>
      </c>
      <c r="K59" s="35">
        <v>0.08</v>
      </c>
    </row>
  </sheetData>
  <mergeCells count="10">
    <mergeCell ref="H6:L6"/>
    <mergeCell ref="H17:K18"/>
    <mergeCell ref="H23:K24"/>
    <mergeCell ref="H33:K34"/>
    <mergeCell ref="H43:K44"/>
    <mergeCell ref="A6:E6"/>
    <mergeCell ref="A17:E18"/>
    <mergeCell ref="A23:E24"/>
    <mergeCell ref="A33:E34"/>
    <mergeCell ref="A43:E44"/>
  </mergeCells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D65"/>
  <sheetViews>
    <sheetView showGridLines="0" topLeftCell="B1" workbookViewId="0">
      <selection activeCell="O3" sqref="O3"/>
    </sheetView>
  </sheetViews>
  <sheetFormatPr defaultRowHeight="15"/>
  <sheetData>
    <row r="2" spans="1:30">
      <c r="A2" s="21" t="s">
        <v>26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Q2" s="21" t="s">
        <v>211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43"/>
    </row>
    <row r="4" spans="1:30">
      <c r="A4" s="4" t="s">
        <v>27</v>
      </c>
      <c r="Q4" s="4" t="s">
        <v>27</v>
      </c>
    </row>
    <row r="5" spans="1:30">
      <c r="A5" s="5"/>
      <c r="Q5" s="5"/>
    </row>
    <row r="6" spans="1:30">
      <c r="A6" s="5"/>
      <c r="Q6" s="5"/>
    </row>
    <row r="31" spans="1:17">
      <c r="A31" s="4" t="s">
        <v>28</v>
      </c>
      <c r="Q31" s="4" t="s">
        <v>28</v>
      </c>
    </row>
    <row r="32" spans="1:17">
      <c r="A32" s="5"/>
      <c r="Q32" s="5"/>
    </row>
    <row r="33" spans="1:17">
      <c r="A33" s="5"/>
      <c r="Q33" s="5"/>
    </row>
    <row r="58" spans="1:30">
      <c r="A58" s="4" t="s">
        <v>29</v>
      </c>
      <c r="Q58" s="4" t="s">
        <v>29</v>
      </c>
    </row>
    <row r="59" spans="1:30">
      <c r="A59" s="5"/>
      <c r="Q59" s="5"/>
    </row>
    <row r="60" spans="1:30">
      <c r="A60" s="6" t="s">
        <v>30</v>
      </c>
      <c r="B60" s="6" t="s">
        <v>31</v>
      </c>
      <c r="C60" s="6" t="s">
        <v>32</v>
      </c>
      <c r="D60" s="6" t="s">
        <v>33</v>
      </c>
      <c r="E60" s="6" t="s">
        <v>34</v>
      </c>
      <c r="F60" s="6" t="s">
        <v>35</v>
      </c>
      <c r="G60" s="6" t="s">
        <v>36</v>
      </c>
      <c r="H60" s="6" t="s">
        <v>37</v>
      </c>
      <c r="I60" s="6" t="s">
        <v>38</v>
      </c>
      <c r="J60" s="6" t="s">
        <v>39</v>
      </c>
      <c r="K60" s="6" t="s">
        <v>40</v>
      </c>
      <c r="L60" s="6" t="s">
        <v>41</v>
      </c>
      <c r="M60" s="6" t="s">
        <v>42</v>
      </c>
      <c r="N60" s="6" t="s">
        <v>43</v>
      </c>
      <c r="Q60" s="6" t="s">
        <v>30</v>
      </c>
      <c r="R60" s="6" t="s">
        <v>31</v>
      </c>
      <c r="S60" s="6" t="s">
        <v>32</v>
      </c>
      <c r="T60" s="6" t="s">
        <v>33</v>
      </c>
      <c r="U60" s="6" t="s">
        <v>34</v>
      </c>
      <c r="V60" s="6" t="s">
        <v>35</v>
      </c>
      <c r="W60" s="6" t="s">
        <v>36</v>
      </c>
      <c r="X60" s="6" t="s">
        <v>37</v>
      </c>
      <c r="Y60" s="6" t="s">
        <v>38</v>
      </c>
      <c r="Z60" s="6" t="s">
        <v>39</v>
      </c>
      <c r="AA60" s="6" t="s">
        <v>40</v>
      </c>
      <c r="AB60" s="6" t="s">
        <v>41</v>
      </c>
      <c r="AC60" s="6" t="s">
        <v>42</v>
      </c>
      <c r="AD60" s="6" t="s">
        <v>43</v>
      </c>
    </row>
    <row r="61" spans="1:30">
      <c r="A61" s="7">
        <v>2019</v>
      </c>
      <c r="B61" s="8">
        <v>0</v>
      </c>
      <c r="C61" s="8">
        <v>0</v>
      </c>
      <c r="D61" s="8">
        <v>0</v>
      </c>
      <c r="E61" s="8">
        <v>0</v>
      </c>
      <c r="F61" s="8">
        <v>0</v>
      </c>
      <c r="G61" s="8">
        <v>0</v>
      </c>
      <c r="H61" s="8">
        <v>1E-3</v>
      </c>
      <c r="I61" s="8">
        <v>0</v>
      </c>
      <c r="J61" s="9">
        <v>-1E-3</v>
      </c>
      <c r="K61" s="8">
        <v>0</v>
      </c>
      <c r="L61" s="9">
        <v>0</v>
      </c>
      <c r="M61" s="9">
        <v>0</v>
      </c>
      <c r="N61" s="10">
        <v>2E-3</v>
      </c>
      <c r="Q61" s="6">
        <v>2019</v>
      </c>
      <c r="R61" s="11">
        <v>8.9999999999999993E-3</v>
      </c>
      <c r="S61" s="11">
        <v>0.02</v>
      </c>
      <c r="T61" s="11">
        <v>8.9999999999999993E-3</v>
      </c>
      <c r="U61" s="11">
        <v>1.4E-2</v>
      </c>
      <c r="V61" s="11">
        <v>5.0000000000000001E-3</v>
      </c>
      <c r="W61" s="11">
        <v>7.0000000000000001E-3</v>
      </c>
      <c r="X61" s="11">
        <v>0.03</v>
      </c>
      <c r="Y61" s="11">
        <v>1.7000000000000001E-2</v>
      </c>
      <c r="Z61" s="12">
        <v>-8.9999999999999993E-3</v>
      </c>
      <c r="AA61" s="11">
        <v>2.4E-2</v>
      </c>
      <c r="AB61" s="11">
        <v>2E-3</v>
      </c>
      <c r="AC61" s="11">
        <v>1.2E-2</v>
      </c>
      <c r="AD61" s="10">
        <v>0.14899999999999999</v>
      </c>
    </row>
    <row r="62" spans="1:30">
      <c r="A62" s="6">
        <v>2020</v>
      </c>
      <c r="B62" s="11">
        <v>0</v>
      </c>
      <c r="C62" s="11">
        <v>0</v>
      </c>
      <c r="D62" s="11">
        <v>1E-3</v>
      </c>
      <c r="E62" s="11">
        <v>1E-3</v>
      </c>
      <c r="F62" s="12">
        <v>0</v>
      </c>
      <c r="G62" s="11">
        <v>2E-3</v>
      </c>
      <c r="H62" s="11">
        <v>1E-3</v>
      </c>
      <c r="I62" s="11">
        <v>1E-3</v>
      </c>
      <c r="J62" s="11">
        <v>0</v>
      </c>
      <c r="K62" s="12">
        <v>0</v>
      </c>
      <c r="L62" s="11">
        <v>1E-3</v>
      </c>
      <c r="M62" s="11">
        <v>0</v>
      </c>
      <c r="N62" s="13">
        <v>7.0000000000000001E-3</v>
      </c>
      <c r="Q62" s="6">
        <v>2020</v>
      </c>
      <c r="R62" s="11">
        <v>8.0000000000000002E-3</v>
      </c>
      <c r="S62" s="11">
        <v>8.9999999999999993E-3</v>
      </c>
      <c r="T62" s="11">
        <v>1E-3</v>
      </c>
      <c r="U62" s="11">
        <v>0.02</v>
      </c>
      <c r="V62" s="11">
        <v>8.9999999999999993E-3</v>
      </c>
      <c r="W62" s="11">
        <v>1.4999999999999999E-2</v>
      </c>
      <c r="X62" s="11">
        <v>1.4E-2</v>
      </c>
      <c r="Y62" s="11">
        <v>1.9E-2</v>
      </c>
      <c r="Z62" s="11">
        <v>8.9999999999999993E-3</v>
      </c>
      <c r="AA62" s="11">
        <v>8.0000000000000002E-3</v>
      </c>
      <c r="AB62" s="11">
        <v>8.0000000000000002E-3</v>
      </c>
      <c r="AC62" s="11">
        <v>1.2999999999999999E-2</v>
      </c>
      <c r="AD62" s="13">
        <v>0.13900000000000001</v>
      </c>
    </row>
    <row r="63" spans="1:30">
      <c r="A63" s="7">
        <v>2021</v>
      </c>
      <c r="B63" s="9">
        <v>0</v>
      </c>
      <c r="C63" s="9">
        <v>0</v>
      </c>
      <c r="D63" s="8">
        <v>0</v>
      </c>
      <c r="E63" s="8">
        <v>0</v>
      </c>
      <c r="F63" s="8">
        <v>0</v>
      </c>
      <c r="G63" s="8">
        <v>1E-3</v>
      </c>
      <c r="H63" s="8">
        <v>0</v>
      </c>
      <c r="I63" s="9">
        <v>0</v>
      </c>
      <c r="J63" s="8">
        <v>1E-3</v>
      </c>
      <c r="K63" s="9">
        <v>0</v>
      </c>
      <c r="L63" s="8">
        <v>0</v>
      </c>
      <c r="M63" s="8">
        <v>1E-3</v>
      </c>
      <c r="N63" s="10">
        <v>4.0000000000000001E-3</v>
      </c>
      <c r="Q63" s="7">
        <v>2021</v>
      </c>
      <c r="R63" s="9">
        <v>-5.0000000000000001E-3</v>
      </c>
      <c r="S63" s="8">
        <v>1.4999999999999999E-2</v>
      </c>
      <c r="T63" s="8">
        <v>2E-3</v>
      </c>
      <c r="U63" s="9">
        <v>-8.0000000000000002E-3</v>
      </c>
      <c r="V63" s="8">
        <v>8.9999999999999993E-3</v>
      </c>
      <c r="W63" s="8">
        <v>0.02</v>
      </c>
      <c r="X63" s="8">
        <v>1.7000000000000001E-2</v>
      </c>
      <c r="Y63" s="9">
        <v>-2E-3</v>
      </c>
      <c r="Z63" s="8">
        <v>1.4999999999999999E-2</v>
      </c>
      <c r="AA63" s="8">
        <v>6.0000000000000001E-3</v>
      </c>
      <c r="AB63" s="8">
        <v>1.0999999999999999E-2</v>
      </c>
      <c r="AC63" s="8">
        <v>2.4E-2</v>
      </c>
      <c r="AD63" s="10">
        <v>0.111</v>
      </c>
    </row>
    <row r="64" spans="1:30">
      <c r="A64" s="6">
        <v>2022</v>
      </c>
      <c r="B64" s="12">
        <v>0</v>
      </c>
      <c r="C64" s="11">
        <v>1E-3</v>
      </c>
      <c r="D64" s="11">
        <v>0</v>
      </c>
      <c r="E64" s="11">
        <v>1E-3</v>
      </c>
      <c r="F64" s="14" t="s">
        <v>44</v>
      </c>
      <c r="G64" s="14" t="s">
        <v>44</v>
      </c>
      <c r="H64" s="14" t="s">
        <v>44</v>
      </c>
      <c r="I64" s="14" t="s">
        <v>44</v>
      </c>
      <c r="J64" s="14" t="s">
        <v>44</v>
      </c>
      <c r="K64" s="14" t="s">
        <v>44</v>
      </c>
      <c r="L64" s="14" t="s">
        <v>44</v>
      </c>
      <c r="M64" s="14" t="s">
        <v>44</v>
      </c>
      <c r="N64" s="13">
        <v>2E-3</v>
      </c>
      <c r="Q64" s="6">
        <v>2022</v>
      </c>
      <c r="R64" s="11">
        <v>1E-3</v>
      </c>
      <c r="S64" s="11">
        <v>2.3E-2</v>
      </c>
      <c r="T64" s="12">
        <v>-0.01</v>
      </c>
      <c r="U64" s="11">
        <v>1.6E-2</v>
      </c>
      <c r="V64" s="14" t="s">
        <v>44</v>
      </c>
      <c r="W64" s="14" t="s">
        <v>44</v>
      </c>
      <c r="X64" s="14" t="s">
        <v>44</v>
      </c>
      <c r="Y64" s="14" t="s">
        <v>44</v>
      </c>
      <c r="Z64" s="14" t="s">
        <v>44</v>
      </c>
      <c r="AA64" s="14" t="s">
        <v>44</v>
      </c>
      <c r="AB64" s="14" t="s">
        <v>44</v>
      </c>
      <c r="AC64" s="14" t="s">
        <v>44</v>
      </c>
      <c r="AD64" s="13">
        <v>2.9000000000000001E-2</v>
      </c>
    </row>
    <row r="65" spans="1:30">
      <c r="A65" s="6" t="s">
        <v>45</v>
      </c>
      <c r="B65" s="13">
        <v>0</v>
      </c>
      <c r="C65" s="13">
        <v>0</v>
      </c>
      <c r="D65" s="13">
        <v>0</v>
      </c>
      <c r="E65" s="13">
        <v>1E-3</v>
      </c>
      <c r="F65" s="13">
        <v>0</v>
      </c>
      <c r="G65" s="13">
        <v>1E-3</v>
      </c>
      <c r="H65" s="13">
        <v>1E-3</v>
      </c>
      <c r="I65" s="13">
        <v>0</v>
      </c>
      <c r="J65" s="13">
        <v>0</v>
      </c>
      <c r="K65" s="13">
        <v>0</v>
      </c>
      <c r="L65" s="13">
        <v>0</v>
      </c>
      <c r="M65" s="13">
        <v>1E-3</v>
      </c>
      <c r="N65" s="15"/>
      <c r="Q65" s="6" t="s">
        <v>45</v>
      </c>
      <c r="R65" s="13">
        <v>3.0000000000000001E-3</v>
      </c>
      <c r="S65" s="13">
        <v>1.7000000000000001E-2</v>
      </c>
      <c r="T65" s="13">
        <v>0</v>
      </c>
      <c r="U65" s="13">
        <v>1.0999999999999999E-2</v>
      </c>
      <c r="V65" s="13">
        <v>8.0000000000000002E-3</v>
      </c>
      <c r="W65" s="13">
        <v>1.4E-2</v>
      </c>
      <c r="X65" s="13">
        <v>0.02</v>
      </c>
      <c r="Y65" s="13">
        <v>1.0999999999999999E-2</v>
      </c>
      <c r="Z65" s="13">
        <v>5.0000000000000001E-3</v>
      </c>
      <c r="AA65" s="13">
        <v>1.2999999999999999E-2</v>
      </c>
      <c r="AB65" s="13">
        <v>7.0000000000000001E-3</v>
      </c>
      <c r="AC65" s="13">
        <v>1.6E-2</v>
      </c>
      <c r="AD65" s="1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Output</vt:lpstr>
      <vt:lpstr>Report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2022-11-28T08:43:37Z</dcterms:created>
  <dcterms:modified xsi:type="dcterms:W3CDTF">2022-12-05T06:26:49Z</dcterms:modified>
</cp:coreProperties>
</file>