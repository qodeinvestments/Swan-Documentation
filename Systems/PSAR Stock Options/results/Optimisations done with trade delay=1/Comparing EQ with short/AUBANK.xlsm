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390" windowWidth="27555" windowHeight="12315"/>
  </bookViews>
  <sheets>
    <sheet name="Output" sheetId="1" r:id="rId1"/>
    <sheet name="Report" sheetId="2" r:id="rId2"/>
    <sheet name="Charts" sheetId="3" r:id="rId3"/>
  </sheets>
  <definedNames>
    <definedName name="_xlnm._FilterDatabase" localSheetId="0" hidden="1">Output!$A$6:$AR$534</definedName>
  </definedNames>
  <calcPr calcId="145621" calcMode="autoNoTable" iterate="1"/>
</workbook>
</file>

<file path=xl/calcChain.xml><?xml version="1.0" encoding="utf-8"?>
<calcChain xmlns="http://schemas.openxmlformats.org/spreadsheetml/2006/main">
  <c r="AQ8" i="1" l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7" i="1"/>
</calcChain>
</file>

<file path=xl/sharedStrings.xml><?xml version="1.0" encoding="utf-8"?>
<sst xmlns="http://schemas.openxmlformats.org/spreadsheetml/2006/main" count="3927" uniqueCount="167">
  <si>
    <t>Timeframe:</t>
  </si>
  <si>
    <t>15 min</t>
  </si>
  <si>
    <t xml:space="preserve">PSAR: </t>
  </si>
  <si>
    <t>Symbol</t>
  </si>
  <si>
    <t>Trade</t>
  </si>
  <si>
    <t>Date</t>
  </si>
  <si>
    <t>Price</t>
  </si>
  <si>
    <t>Ex. date</t>
  </si>
  <si>
    <t>Ex. Price</t>
  </si>
  <si>
    <t>% chg</t>
  </si>
  <si>
    <t>Profit</t>
  </si>
  <si>
    <t>% Profit</t>
  </si>
  <si>
    <t>Shares</t>
  </si>
  <si>
    <t>Position value</t>
  </si>
  <si>
    <t>Cum. Profit</t>
  </si>
  <si>
    <t># bars</t>
  </si>
  <si>
    <t>Profit/bar</t>
  </si>
  <si>
    <t>MAE</t>
  </si>
  <si>
    <t>MFE</t>
  </si>
  <si>
    <t>Scale In/Out</t>
  </si>
  <si>
    <t>Stock__Close</t>
  </si>
  <si>
    <t>PSARValue</t>
  </si>
  <si>
    <t>FixedAUBANK.EQ-NSE - I</t>
  </si>
  <si>
    <t>Short</t>
  </si>
  <si>
    <t>0/0</t>
  </si>
  <si>
    <t>Long</t>
  </si>
  <si>
    <t>EQUITY</t>
  </si>
  <si>
    <r>
      <t>Statistics</t>
    </r>
    <r>
      <rPr>
        <sz val="10"/>
        <color theme="1"/>
        <rFont val="Tahoma,Arial,Helvetica,Sans Ser"/>
      </rPr>
      <t xml:space="preserve"> | Charts | Trades | Formula | Settings | Symbols | Monte Carlo</t>
    </r>
  </si>
  <si>
    <t>Statistics</t>
  </si>
  <si>
    <t>All trades</t>
  </si>
  <si>
    <t>Long trades</t>
  </si>
  <si>
    <t>Short trades</t>
  </si>
  <si>
    <t>Buy&amp;Hold (FixedAUBANK.EQ-NSE - I)</t>
  </si>
  <si>
    <t>Initial capital</t>
  </si>
  <si>
    <t>Ending capital</t>
  </si>
  <si>
    <t>Net Profit</t>
  </si>
  <si>
    <t>Net Profit %</t>
  </si>
  <si>
    <t>Exposure %</t>
  </si>
  <si>
    <t>Net Risk Adjusted Return %</t>
  </si>
  <si>
    <t>Annual Return %</t>
  </si>
  <si>
    <t>Risk Adjusted Return %</t>
  </si>
  <si>
    <t>Total transaction costs</t>
  </si>
  <si>
    <t>264 (50.00 %)</t>
  </si>
  <si>
    <t> Avg. Profit/Loss</t>
  </si>
  <si>
    <t> Avg. Profit/Loss %</t>
  </si>
  <si>
    <t> Avg. Bars Held</t>
  </si>
  <si>
    <t>Winners</t>
  </si>
  <si>
    <t>208 (39.39 %)</t>
  </si>
  <si>
    <t>117 (22.16 %)</t>
  </si>
  <si>
    <t>91 (17.23 %)</t>
  </si>
  <si>
    <t>1 (100.00 %)</t>
  </si>
  <si>
    <t> Total Profit</t>
  </si>
  <si>
    <t> Avg. Profit</t>
  </si>
  <si>
    <t> Avg. Profit %</t>
  </si>
  <si>
    <t> Max. Consecutive</t>
  </si>
  <si>
    <t> Largest win</t>
  </si>
  <si>
    <t> # bars in largest win</t>
  </si>
  <si>
    <t>Losers</t>
  </si>
  <si>
    <t>320 (60.61 %)</t>
  </si>
  <si>
    <t>147 (27.84 %)</t>
  </si>
  <si>
    <t>173 (32.77 %)</t>
  </si>
  <si>
    <t>0 (0.00 %)</t>
  </si>
  <si>
    <t> Total Loss</t>
  </si>
  <si>
    <t> Avg. Loss</t>
  </si>
  <si>
    <t>N/A</t>
  </si>
  <si>
    <t> Avg. Loss %</t>
  </si>
  <si>
    <t> Largest loss</t>
  </si>
  <si>
    <t># bars in largest loss</t>
  </si>
  <si>
    <t>Max. trade drawdown</t>
  </si>
  <si>
    <t>Max. trade % drawdown</t>
  </si>
  <si>
    <t>Max. system drawdown</t>
  </si>
  <si>
    <t>Max. system % drawdown</t>
  </si>
  <si>
    <t>Recovery Factor</t>
  </si>
  <si>
    <t>CAR/MaxDD</t>
  </si>
  <si>
    <t>RAR/MaxDD</t>
  </si>
  <si>
    <t>Profit Factor</t>
  </si>
  <si>
    <t>Payoff Ratio</t>
  </si>
  <si>
    <t>Standard Error</t>
  </si>
  <si>
    <t>Risk-Reward Ratio</t>
  </si>
  <si>
    <t>Ulcer Index</t>
  </si>
  <si>
    <t>Ulcer Performance Index</t>
  </si>
  <si>
    <t>Sharpe Ratio of trades</t>
  </si>
  <si>
    <t>K-Ratio</t>
  </si>
  <si>
    <t>1. Portfolio Equity</t>
  </si>
  <si>
    <t>2. Underwater Equity</t>
  </si>
  <si>
    <t>3. Profit Table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</si>
  <si>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</si>
  <si>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</si>
  <si>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</si>
  <si>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</si>
  <si>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</si>
  <si>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</si>
  <si>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</si>
  <si>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</si>
  <si>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</si>
  <si>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</si>
  <si>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</si>
  <si>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</si>
  <si>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</si>
  <si>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Yr%</t>
  </si>
  <si>
    <t>Avg</t>
  </si>
  <si>
    <t>BN_Close</t>
  </si>
  <si>
    <t>~NewAUBANK680CE-I</t>
  </si>
  <si>
    <t>~NewAUBANK460PE-I</t>
  </si>
  <si>
    <t>~NewAUBANK580CE-I</t>
  </si>
  <si>
    <t>~NewAUBANK500PE-I</t>
  </si>
  <si>
    <t>~NewAUBANK550PE-I</t>
  </si>
  <si>
    <t>~NewAUBANK600CE-I</t>
  </si>
  <si>
    <t>~NewAUBANK640CE-I</t>
  </si>
  <si>
    <t>~NewAUBANK600PE-I</t>
  </si>
  <si>
    <t>~NewAUBANK650CE-I</t>
  </si>
  <si>
    <t>~NewAUBANK630CE-I</t>
  </si>
  <si>
    <t>~NewAUBANK620PE-I</t>
  </si>
  <si>
    <t>~NewAUBANK620CE-I</t>
  </si>
  <si>
    <t>~NewAUBANK610CE-I</t>
  </si>
  <si>
    <t>~NewAUBANK590CE-I</t>
  </si>
  <si>
    <t>~NewAUBANK590PE-I</t>
  </si>
  <si>
    <t>~NewAUBANK520PE-I</t>
  </si>
  <si>
    <t>~NewAUBANK450PE-I</t>
  </si>
  <si>
    <t>~NewAUBANK610PE-I</t>
  </si>
  <si>
    <t>~NewAUBANK550CE-I</t>
  </si>
  <si>
    <t>~NewAUBANK490PE-I</t>
  </si>
  <si>
    <t>~NewAUBANK540PE-I</t>
  </si>
  <si>
    <t>~NewAUBANK540CE-I</t>
  </si>
  <si>
    <t>~NewAUBANK520CE-I</t>
  </si>
  <si>
    <t>~NewAUBANK510PE-I</t>
  </si>
  <si>
    <t>~NewAUBANK560CE-I</t>
  </si>
  <si>
    <t>~NewAUBANK530CE-I</t>
  </si>
  <si>
    <t>~NewAUBANK470PE-I</t>
  </si>
  <si>
    <t>~NewAUBANK460CE-I</t>
  </si>
  <si>
    <t>~NewAUBANK450CE-I</t>
  </si>
  <si>
    <t>~NewAUBANK470CE-I</t>
  </si>
  <si>
    <t>~NewAUBANK480PE-I</t>
  </si>
  <si>
    <t>~NewAUBANK480CE-I</t>
  </si>
  <si>
    <t>~NewAUBANK490CE-I</t>
  </si>
  <si>
    <t>~NewAUBANK500CE-I</t>
  </si>
  <si>
    <t>~NewAUBANK510CE-I</t>
  </si>
  <si>
    <t>~NewAUBANK570CE-I</t>
  </si>
  <si>
    <t>~NewAUBANK570PE-I</t>
  </si>
  <si>
    <t>~NewAUBANK530PE-I</t>
  </si>
  <si>
    <t>~NewAUBANK560PE-I</t>
  </si>
  <si>
    <t>~NewAUBANK630PE-I</t>
  </si>
  <si>
    <t>~NewAUBANK650PE-I</t>
  </si>
  <si>
    <t>~NewAUBANK660CE-I</t>
  </si>
  <si>
    <t>~NewAUBANK660PE-I</t>
  </si>
  <si>
    <t>~NewAUBANK670CE-I</t>
  </si>
  <si>
    <t>~NewAUBANK670PE-I</t>
  </si>
  <si>
    <t>~NewAUBANK680PE-I</t>
  </si>
  <si>
    <t>~NewAUBANK580PE-I</t>
  </si>
  <si>
    <t>~NewAUBANK640PE-I</t>
  </si>
  <si>
    <t>~NewAUBANK690CE-I</t>
  </si>
  <si>
    <t>~NewAUBANK700PE-I</t>
  </si>
  <si>
    <t>~NewAUBANK700CE-I</t>
  </si>
  <si>
    <t>~NewAUBANK690PE-I</t>
  </si>
  <si>
    <t>~NewAUBANK720CE-I</t>
  </si>
  <si>
    <t>~NewAUBANK720PE-I</t>
  </si>
  <si>
    <t>~NewAUBANK710CE-I</t>
  </si>
  <si>
    <t>~NewAUBANK730PE-I</t>
  </si>
  <si>
    <t>OPTIONS</t>
  </si>
  <si>
    <t>524 (100.00 %)</t>
  </si>
  <si>
    <t>263 (50.19 %)</t>
  </si>
  <si>
    <t>261 (49.81 %)</t>
  </si>
  <si>
    <t>AM</t>
  </si>
  <si>
    <t>PM</t>
  </si>
  <si>
    <t>open date time</t>
  </si>
  <si>
    <t>expiry date</t>
  </si>
  <si>
    <t>prem/UL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</si>
</sst>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_);\(#,##0.0\);\-\ "/>
    <numFmt numFmtId="165" formatCode="0.0%_);\(0.0%\)"/>
    <numFmt numFmtId="166" formatCode="0.00%_);\(0.00%\)"/>
    <numFmt numFmtId="167" formatCode="0.000%_);\(0.000%\)"/>
  </numFmts>
  <fonts count="12">
    <font>
      <sz val="11"/>
      <color theme="1"/>
      <name val="Calibri"/>
      <family val="2"/>
      <scheme val="minor"/>
    </font>
    <font>
      <sz val="8"/>
      <color theme="1"/>
      <name val="Tahoma,Arial,Helvetica,Sans Ser"/>
    </font>
    <font>
      <sz val="10"/>
      <color theme="1"/>
      <name val="Tahoma,Arial,Helvetica,Sans Ser"/>
    </font>
    <font>
      <b/>
      <sz val="10"/>
      <color theme="1"/>
      <name val="Tahoma,Arial,Helvetica,Sans Ser"/>
    </font>
    <font>
      <b/>
      <sz val="8"/>
      <color theme="1"/>
      <name val="Tahoma,Arial,Helvetica,Sans Ser"/>
    </font>
    <font>
      <sz val="8"/>
      <color rgb="FF006600"/>
      <name val="Tahoma,Arial,Helvetica,Sans Ser"/>
    </font>
    <font>
      <sz val="8"/>
      <color rgb="FF000088"/>
      <name val="Tahoma,Arial,Helvetica,Sans Ser"/>
    </font>
    <font>
      <sz val="8"/>
      <color rgb="FF880000"/>
      <name val="Tahoma,Arial,Helvetica,Sans Ser"/>
    </font>
    <font>
      <b/>
      <sz val="8"/>
      <color rgb="FF880000"/>
      <name val="Tahoma,Arial,Helvetica,Sans Ser"/>
    </font>
    <font>
      <b/>
      <sz val="11"/>
      <color indexed="9"/>
      <name val="Calibri"/>
      <family val="2"/>
      <scheme val="minor"/>
    </font>
    <font>
      <b/>
      <u val="singleAccounting"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EFFEE"/>
        <bgColor indexed="64"/>
      </patternFill>
    </fill>
    <fill>
      <patternFill patternType="solid">
        <fgColor rgb="FFEE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EE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22" fontId="0" fillId="0" borderId="0" xfId="0" applyNumberFormat="1"/>
    <xf numFmtId="10" fontId="0" fillId="0" borderId="0" xfId="0" applyNumberFormat="1"/>
    <xf numFmtId="0" fontId="3" fillId="0" borderId="0" xfId="0" applyFont="1" applyAlignment="1">
      <alignment horizontal="center" vertical="center"/>
    </xf>
    <xf numFmtId="0" fontId="0" fillId="0" borderId="0" xfId="0"/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right" vertical="center"/>
    </xf>
    <xf numFmtId="0" fontId="4" fillId="4" borderId="1" xfId="0" applyFont="1" applyFill="1" applyBorder="1" applyAlignment="1">
      <alignment horizontal="right" vertical="center"/>
    </xf>
    <xf numFmtId="0" fontId="1" fillId="5" borderId="1" xfId="0" applyFont="1" applyFill="1" applyBorder="1" applyAlignment="1">
      <alignment horizontal="right" vertical="center"/>
    </xf>
    <xf numFmtId="10" fontId="1" fillId="5" borderId="1" xfId="0" applyNumberFormat="1" applyFont="1" applyFill="1" applyBorder="1" applyAlignment="1">
      <alignment horizontal="right" vertical="center"/>
    </xf>
    <xf numFmtId="10" fontId="7" fillId="5" borderId="1" xfId="0" applyNumberFormat="1" applyFont="1" applyFill="1" applyBorder="1" applyAlignment="1">
      <alignment horizontal="right" vertical="center"/>
    </xf>
    <xf numFmtId="10" fontId="4" fillId="4" borderId="1" xfId="0" applyNumberFormat="1" applyFont="1" applyFill="1" applyBorder="1" applyAlignment="1">
      <alignment horizontal="right" vertical="center"/>
    </xf>
    <xf numFmtId="10" fontId="1" fillId="6" borderId="1" xfId="0" applyNumberFormat="1" applyFont="1" applyFill="1" applyBorder="1" applyAlignment="1">
      <alignment horizontal="right" vertical="center"/>
    </xf>
    <xf numFmtId="10" fontId="7" fillId="6" borderId="1" xfId="0" applyNumberFormat="1" applyFont="1" applyFill="1" applyBorder="1" applyAlignment="1">
      <alignment horizontal="right" vertical="center"/>
    </xf>
    <xf numFmtId="0" fontId="1" fillId="6" borderId="1" xfId="0" applyFont="1" applyFill="1" applyBorder="1" applyAlignment="1">
      <alignment horizontal="right" vertical="center"/>
    </xf>
    <xf numFmtId="10" fontId="4" fillId="3" borderId="1" xfId="0" applyNumberFormat="1" applyFont="1" applyFill="1" applyBorder="1" applyAlignment="1">
      <alignment horizontal="right" vertical="center"/>
    </xf>
    <xf numFmtId="10" fontId="8" fillId="3" borderId="1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0" fillId="7" borderId="0" xfId="0" applyFont="1" applyFill="1" applyAlignment="1">
      <alignment horizontal="centerContinuous"/>
    </xf>
    <xf numFmtId="0" fontId="9" fillId="8" borderId="0" xfId="0" applyFont="1" applyFill="1" applyAlignment="1">
      <alignment horizontal="centerContinuous"/>
    </xf>
    <xf numFmtId="0" fontId="0" fillId="0" borderId="0" xfId="0" applyFill="1"/>
    <xf numFmtId="0" fontId="0" fillId="0" borderId="3" xfId="0" applyBorder="1"/>
    <xf numFmtId="0" fontId="0" fillId="0" borderId="4" xfId="0" applyBorder="1"/>
    <xf numFmtId="0" fontId="0" fillId="9" borderId="4" xfId="0" applyFill="1" applyBorder="1"/>
    <xf numFmtId="0" fontId="0" fillId="0" borderId="4" xfId="0" applyFill="1" applyBorder="1"/>
    <xf numFmtId="0" fontId="0" fillId="0" borderId="5" xfId="0" applyBorder="1"/>
    <xf numFmtId="22" fontId="0" fillId="0" borderId="3" xfId="0" applyNumberFormat="1" applyBorder="1"/>
    <xf numFmtId="22" fontId="0" fillId="0" borderId="4" xfId="0" applyNumberFormat="1" applyBorder="1"/>
    <xf numFmtId="22" fontId="0" fillId="9" borderId="4" xfId="0" applyNumberFormat="1" applyFill="1" applyBorder="1"/>
    <xf numFmtId="22" fontId="0" fillId="0" borderId="4" xfId="0" applyNumberFormat="1" applyFill="1" applyBorder="1"/>
    <xf numFmtId="22" fontId="0" fillId="0" borderId="5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9" borderId="4" xfId="0" applyNumberFormat="1" applyFill="1" applyBorder="1"/>
    <xf numFmtId="10" fontId="0" fillId="0" borderId="4" xfId="0" applyNumberFormat="1" applyFill="1" applyBorder="1"/>
    <xf numFmtId="10" fontId="0" fillId="0" borderId="5" xfId="0" applyNumberFormat="1" applyBorder="1"/>
    <xf numFmtId="0" fontId="0" fillId="0" borderId="2" xfId="0" applyBorder="1"/>
    <xf numFmtId="0" fontId="4" fillId="0" borderId="2" xfId="0" applyFont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0" fontId="5" fillId="0" borderId="2" xfId="0" applyFont="1" applyBorder="1" applyAlignment="1">
      <alignment horizontal="right" vertical="center"/>
    </xf>
    <xf numFmtId="10" fontId="5" fillId="0" borderId="2" xfId="0" applyNumberFormat="1" applyFont="1" applyBorder="1" applyAlignment="1">
      <alignment horizontal="right" vertical="center"/>
    </xf>
    <xf numFmtId="10" fontId="1" fillId="0" borderId="2" xfId="0" applyNumberFormat="1" applyFont="1" applyBorder="1" applyAlignment="1">
      <alignment horizontal="right" vertical="center"/>
    </xf>
    <xf numFmtId="10" fontId="6" fillId="0" borderId="2" xfId="0" applyNumberFormat="1" applyFont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10" fontId="7" fillId="0" borderId="2" xfId="0" applyNumberFormat="1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1" fontId="0" fillId="0" borderId="0" xfId="0" applyNumberFormat="1"/>
    <xf numFmtId="14" fontId="0" fillId="0" borderId="0" xfId="0" applyNumberFormat="1" applyFill="1"/>
    <xf numFmtId="21" fontId="0" fillId="0" borderId="0" xfId="0" applyNumberFormat="1" applyFill="1"/>
    <xf numFmtId="167" fontId="0" fillId="0" borderId="0" xfId="0" applyNumberFormat="1"/>
    <xf numFmtId="0" fontId="0" fillId="0" borderId="0" xfId="0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3" fillId="2" borderId="0" xfId="0" applyFont="1" applyFill="1" applyAlignment="1">
      <alignment horizontal="center" vertical="center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12</xdr:col>
      <xdr:colOff>304800</xdr:colOff>
      <xdr:row>29</xdr:row>
      <xdr:rowOff>0</xdr:rowOff>
    </xdr:to>
    <xdr:pic>
      <xdr:nvPicPr>
        <xdr:cNvPr id="2" name="Picture 1" descr="C:\Program Files\AmiBroker\Reports\PSAR Individual stocks on EQ-20221123094659859\1. Portfolio Equ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12</xdr:col>
      <xdr:colOff>304800</xdr:colOff>
      <xdr:row>56</xdr:row>
      <xdr:rowOff>0</xdr:rowOff>
    </xdr:to>
    <xdr:pic>
      <xdr:nvPicPr>
        <xdr:cNvPr id="3" name="Picture 2" descr="C:\Program Files\AmiBroker\Reports\PSAR Individual stocks on EQ-20221123094659859\2. Underwater Equity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960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180975</xdr:rowOff>
    </xdr:from>
    <xdr:to>
      <xdr:col>28</xdr:col>
      <xdr:colOff>304800</xdr:colOff>
      <xdr:row>28</xdr:row>
      <xdr:rowOff>180975</xdr:rowOff>
    </xdr:to>
    <xdr:pic>
      <xdr:nvPicPr>
        <xdr:cNvPr id="4" name="Picture 3" descr="C:\Program Files\AmiBroker\Reports\AUBANK PSAR (long and short) and (short)-20221123093843859\1. Portfolio Equity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32</xdr:row>
      <xdr:rowOff>0</xdr:rowOff>
    </xdr:from>
    <xdr:to>
      <xdr:col>28</xdr:col>
      <xdr:colOff>304800</xdr:colOff>
      <xdr:row>56</xdr:row>
      <xdr:rowOff>0</xdr:rowOff>
    </xdr:to>
    <xdr:pic>
      <xdr:nvPicPr>
        <xdr:cNvPr id="5" name="Picture 4" descr="C:\Program Files\AmiBroker\Reports\AUBANK PSAR (long and short) and (short)-20221123093843859\2. Underwater Equity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245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536"/>
  <sheetViews>
    <sheetView showGridLines="0" tabSelected="1" topLeftCell="S1" workbookViewId="0">
      <selection activeCell="AQ1" sqref="AQ1"/>
    </sheetView>
  </sheetViews>
  <sheetFormatPr defaultRowHeight="15"/>
  <cols>
    <col min="1" max="1" width="23.140625" bestFit="1" customWidth="1"/>
    <col min="2" max="2" width="6" customWidth="1"/>
    <col min="3" max="3" width="15.85546875" bestFit="1" customWidth="1"/>
    <col min="4" max="4" width="8" customWidth="1"/>
    <col min="5" max="5" width="15.85546875" bestFit="1" customWidth="1"/>
    <col min="6" max="6" width="8.42578125" customWidth="1"/>
    <col min="7" max="7" width="7.85546875" customWidth="1"/>
    <col min="8" max="8" width="8.7109375" customWidth="1"/>
    <col min="9" max="9" width="8" customWidth="1"/>
    <col min="10" max="10" width="9" customWidth="1"/>
    <col min="11" max="11" width="13.7109375" bestFit="1" customWidth="1"/>
    <col min="12" max="12" width="11" bestFit="1" customWidth="1"/>
    <col min="13" max="13" width="6.140625" customWidth="1"/>
    <col min="14" max="14" width="9.7109375" bestFit="1" customWidth="1"/>
    <col min="15" max="15" width="6.85546875" customWidth="1"/>
    <col min="16" max="16" width="7.140625" customWidth="1"/>
    <col min="17" max="17" width="11.85546875" bestFit="1" customWidth="1"/>
    <col min="18" max="18" width="12.5703125" bestFit="1" customWidth="1"/>
    <col min="19" max="19" width="10.7109375" bestFit="1" customWidth="1"/>
    <col min="21" max="21" width="10.7109375" bestFit="1" customWidth="1"/>
    <col min="22" max="22" width="20.42578125" bestFit="1" customWidth="1"/>
    <col min="23" max="23" width="6" customWidth="1"/>
    <col min="24" max="24" width="15.85546875" bestFit="1" customWidth="1"/>
    <col min="25" max="25" width="7" customWidth="1"/>
    <col min="26" max="26" width="15.85546875" bestFit="1" customWidth="1"/>
    <col min="27" max="27" width="9" customWidth="1"/>
    <col min="28" max="28" width="8.140625" customWidth="1"/>
    <col min="29" max="29" width="10.7109375" bestFit="1" customWidth="1"/>
    <col min="30" max="30" width="8.85546875" customWidth="1"/>
    <col min="31" max="31" width="9" customWidth="1"/>
    <col min="32" max="32" width="13.7109375" bestFit="1" customWidth="1"/>
    <col min="33" max="33" width="11" bestFit="1" customWidth="1"/>
    <col min="34" max="34" width="6.140625" customWidth="1"/>
    <col min="35" max="35" width="9.7109375" bestFit="1" customWidth="1"/>
    <col min="36" max="36" width="8.85546875" customWidth="1"/>
    <col min="37" max="37" width="7.140625" customWidth="1"/>
    <col min="38" max="38" width="11.85546875" bestFit="1" customWidth="1"/>
    <col min="39" max="39" width="12.5703125" bestFit="1" customWidth="1"/>
    <col min="40" max="40" width="9.42578125" bestFit="1" customWidth="1"/>
    <col min="41" max="41" width="10.7109375" bestFit="1" customWidth="1"/>
    <col min="43" max="43" width="10.7109375" bestFit="1" customWidth="1"/>
    <col min="44" max="44" width="13.28515625" bestFit="1" customWidth="1"/>
    <col min="45" max="45" width="12.42578125" bestFit="1" customWidth="1"/>
    <col min="48" max="48" width="10.7109375" bestFit="1" customWidth="1"/>
  </cols>
  <sheetData>
    <row r="1" spans="1:50">
      <c r="A1" s="37" t="s">
        <v>0</v>
      </c>
      <c r="B1" s="37" t="s">
        <v>1</v>
      </c>
      <c r="AQ1" s="47"/>
      <c r="AR1" s="48"/>
      <c r="AS1" s="49"/>
    </row>
    <row r="2" spans="1:50">
      <c r="A2" s="37" t="s">
        <v>2</v>
      </c>
      <c r="B2" s="37">
        <v>0.02</v>
      </c>
      <c r="AQ2" s="47"/>
      <c r="AR2" s="48"/>
    </row>
    <row r="4" spans="1:50">
      <c r="A4" s="20" t="s">
        <v>26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V4" s="20" t="s">
        <v>158</v>
      </c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</row>
    <row r="5" spans="1:50">
      <c r="AT5" s="50"/>
    </row>
    <row r="6" spans="1:50" ht="17.25">
      <c r="A6" s="19" t="s">
        <v>3</v>
      </c>
      <c r="B6" s="19" t="s">
        <v>4</v>
      </c>
      <c r="C6" s="19" t="s">
        <v>5</v>
      </c>
      <c r="D6" s="19" t="s">
        <v>6</v>
      </c>
      <c r="E6" s="19" t="s">
        <v>7</v>
      </c>
      <c r="F6" s="19" t="s">
        <v>8</v>
      </c>
      <c r="G6" s="19" t="s">
        <v>9</v>
      </c>
      <c r="H6" s="19" t="s">
        <v>10</v>
      </c>
      <c r="I6" s="19" t="s">
        <v>11</v>
      </c>
      <c r="J6" s="19" t="s">
        <v>12</v>
      </c>
      <c r="K6" s="19" t="s">
        <v>13</v>
      </c>
      <c r="L6" s="19" t="s">
        <v>14</v>
      </c>
      <c r="M6" s="19" t="s">
        <v>15</v>
      </c>
      <c r="N6" s="19" t="s">
        <v>16</v>
      </c>
      <c r="O6" s="19" t="s">
        <v>17</v>
      </c>
      <c r="P6" s="19" t="s">
        <v>18</v>
      </c>
      <c r="Q6" s="19" t="s">
        <v>19</v>
      </c>
      <c r="R6" s="19" t="s">
        <v>20</v>
      </c>
      <c r="S6" s="19" t="s">
        <v>21</v>
      </c>
      <c r="U6" s="56" t="s">
        <v>165</v>
      </c>
      <c r="V6" s="19" t="s">
        <v>3</v>
      </c>
      <c r="W6" s="19" t="s">
        <v>4</v>
      </c>
      <c r="X6" s="19" t="s">
        <v>5</v>
      </c>
      <c r="Y6" s="19" t="s">
        <v>6</v>
      </c>
      <c r="Z6" s="19" t="s">
        <v>7</v>
      </c>
      <c r="AA6" s="19" t="s">
        <v>8</v>
      </c>
      <c r="AB6" s="19" t="s">
        <v>9</v>
      </c>
      <c r="AC6" s="19" t="s">
        <v>10</v>
      </c>
      <c r="AD6" s="19" t="s">
        <v>11</v>
      </c>
      <c r="AE6" s="19" t="s">
        <v>12</v>
      </c>
      <c r="AF6" s="19" t="s">
        <v>13</v>
      </c>
      <c r="AG6" s="19" t="s">
        <v>14</v>
      </c>
      <c r="AH6" s="19" t="s">
        <v>15</v>
      </c>
      <c r="AI6" s="19" t="s">
        <v>16</v>
      </c>
      <c r="AJ6" s="19" t="s">
        <v>17</v>
      </c>
      <c r="AK6" s="19" t="s">
        <v>18</v>
      </c>
      <c r="AL6" s="19" t="s">
        <v>19</v>
      </c>
      <c r="AM6" s="19" t="s">
        <v>20</v>
      </c>
      <c r="AN6" s="19" t="s">
        <v>101</v>
      </c>
      <c r="AO6" s="19" t="s">
        <v>21</v>
      </c>
      <c r="AQ6" s="19" t="s">
        <v>166</v>
      </c>
      <c r="AV6" s="55" t="s">
        <v>164</v>
      </c>
      <c r="AW6" s="55"/>
      <c r="AX6" s="55"/>
    </row>
    <row r="7" spans="1:50">
      <c r="A7" s="22" t="s">
        <v>22</v>
      </c>
      <c r="B7" s="22" t="s">
        <v>23</v>
      </c>
      <c r="C7" s="27">
        <v>44253.385416666664</v>
      </c>
      <c r="D7" s="22">
        <v>576</v>
      </c>
      <c r="E7" s="27">
        <v>44253.59375</v>
      </c>
      <c r="F7" s="22">
        <v>562.5</v>
      </c>
      <c r="G7" s="32">
        <v>-2.3400000000000001E-2</v>
      </c>
      <c r="H7" s="22">
        <v>1171.8800000000001</v>
      </c>
      <c r="I7" s="32">
        <v>2.3400000000000001E-2</v>
      </c>
      <c r="J7" s="22">
        <v>86.80556</v>
      </c>
      <c r="K7" s="22">
        <v>50000</v>
      </c>
      <c r="L7" s="22">
        <v>1171.8800000000001</v>
      </c>
      <c r="M7" s="22">
        <v>21</v>
      </c>
      <c r="N7" s="22">
        <v>55.8</v>
      </c>
      <c r="O7" s="32">
        <v>-5.7000000000000002E-3</v>
      </c>
      <c r="P7" s="32">
        <v>5.3400000000000003E-2</v>
      </c>
      <c r="Q7" s="22" t="s">
        <v>24</v>
      </c>
      <c r="R7" s="22">
        <v>0</v>
      </c>
      <c r="S7" s="22">
        <v>587.88</v>
      </c>
      <c r="U7" s="47">
        <v>44280</v>
      </c>
      <c r="V7" s="22" t="s">
        <v>102</v>
      </c>
      <c r="W7" s="22" t="s">
        <v>23</v>
      </c>
      <c r="X7" s="27">
        <v>44253.395833333336</v>
      </c>
      <c r="Y7" s="22">
        <v>2.4249999999999998</v>
      </c>
      <c r="Z7" s="27">
        <v>44253.59375</v>
      </c>
      <c r="AA7" s="22">
        <v>4.4749999999999996</v>
      </c>
      <c r="AB7" s="32">
        <v>0.84540000000000004</v>
      </c>
      <c r="AC7" s="22">
        <v>-42268.04</v>
      </c>
      <c r="AD7" s="32">
        <v>-0.84540000000000004</v>
      </c>
      <c r="AE7" s="22">
        <v>20618.560000000001</v>
      </c>
      <c r="AF7" s="22">
        <v>50000</v>
      </c>
      <c r="AG7" s="22">
        <v>-42268.04</v>
      </c>
      <c r="AH7" s="22">
        <v>20</v>
      </c>
      <c r="AI7" s="22">
        <v>-2113.4</v>
      </c>
      <c r="AJ7" s="32">
        <v>-1.0619000000000001</v>
      </c>
      <c r="AK7" s="32">
        <v>0.37109999999999999</v>
      </c>
      <c r="AL7" s="22" t="s">
        <v>24</v>
      </c>
      <c r="AM7" s="22">
        <v>574.03</v>
      </c>
      <c r="AN7" s="22">
        <v>35555.050000000003</v>
      </c>
      <c r="AO7" s="22">
        <v>586.72</v>
      </c>
      <c r="AQ7" s="50">
        <f>Y7/AM7</f>
        <v>4.2245178823406438E-3</v>
      </c>
      <c r="AR7" s="50"/>
      <c r="AS7" s="48"/>
      <c r="AT7" s="50"/>
      <c r="AV7" s="47">
        <v>44253</v>
      </c>
      <c r="AW7" s="51">
        <v>0.39583333333333331</v>
      </c>
      <c r="AX7" t="s">
        <v>162</v>
      </c>
    </row>
    <row r="8" spans="1:50">
      <c r="A8" s="23" t="s">
        <v>22</v>
      </c>
      <c r="B8" s="23" t="s">
        <v>25</v>
      </c>
      <c r="C8" s="28">
        <v>44253.59375</v>
      </c>
      <c r="D8" s="23">
        <v>562.5</v>
      </c>
      <c r="E8" s="28">
        <v>44256.489583333336</v>
      </c>
      <c r="F8" s="23">
        <v>566.35</v>
      </c>
      <c r="G8" s="33">
        <v>6.7999999999999996E-3</v>
      </c>
      <c r="H8" s="23">
        <v>342.28</v>
      </c>
      <c r="I8" s="33">
        <v>6.7999999999999996E-3</v>
      </c>
      <c r="J8" s="23">
        <v>88.903949999999995</v>
      </c>
      <c r="K8" s="23">
        <v>50008.47</v>
      </c>
      <c r="L8" s="23">
        <v>1514.16</v>
      </c>
      <c r="M8" s="23">
        <v>19</v>
      </c>
      <c r="N8" s="23">
        <v>18.010000000000002</v>
      </c>
      <c r="O8" s="33">
        <v>-1.4200000000000001E-2</v>
      </c>
      <c r="P8" s="33">
        <v>3.56E-2</v>
      </c>
      <c r="Q8" s="23" t="s">
        <v>24</v>
      </c>
      <c r="R8" s="23">
        <v>0</v>
      </c>
      <c r="S8" s="23">
        <v>545.22</v>
      </c>
      <c r="U8" s="47">
        <v>44280</v>
      </c>
      <c r="V8" s="23" t="s">
        <v>103</v>
      </c>
      <c r="W8" s="23" t="s">
        <v>23</v>
      </c>
      <c r="X8" s="28">
        <v>44253.59375</v>
      </c>
      <c r="Y8" s="23">
        <v>2.5</v>
      </c>
      <c r="Z8" s="28">
        <v>44256.489583333336</v>
      </c>
      <c r="AA8" s="23">
        <v>2.5</v>
      </c>
      <c r="AB8" s="33">
        <v>0</v>
      </c>
      <c r="AC8" s="23">
        <v>0</v>
      </c>
      <c r="AD8" s="33">
        <v>0</v>
      </c>
      <c r="AE8" s="23">
        <v>19915.46</v>
      </c>
      <c r="AF8" s="23">
        <v>49788.66</v>
      </c>
      <c r="AG8" s="23">
        <v>-42268.04</v>
      </c>
      <c r="AH8" s="23">
        <v>19</v>
      </c>
      <c r="AI8" s="23">
        <v>0</v>
      </c>
      <c r="AJ8" s="33">
        <v>0</v>
      </c>
      <c r="AK8" s="33">
        <v>0</v>
      </c>
      <c r="AL8" s="23" t="s">
        <v>24</v>
      </c>
      <c r="AM8" s="23">
        <v>562.5</v>
      </c>
      <c r="AN8" s="23">
        <v>35153.9</v>
      </c>
      <c r="AO8" s="23">
        <v>545.22</v>
      </c>
      <c r="AQ8" s="50">
        <f t="shared" ref="AQ8:AQ71" si="0">Y8/AM8</f>
        <v>4.4444444444444444E-3</v>
      </c>
      <c r="AR8" s="50"/>
      <c r="AS8" s="48"/>
      <c r="AT8" s="50"/>
      <c r="AV8" s="47">
        <v>44253</v>
      </c>
      <c r="AW8" s="51">
        <v>9.375E-2</v>
      </c>
      <c r="AX8" t="s">
        <v>163</v>
      </c>
    </row>
    <row r="9" spans="1:50">
      <c r="A9" s="23" t="s">
        <v>22</v>
      </c>
      <c r="B9" s="23" t="s">
        <v>23</v>
      </c>
      <c r="C9" s="28">
        <v>44256.489583333336</v>
      </c>
      <c r="D9" s="23">
        <v>566.35</v>
      </c>
      <c r="E9" s="28">
        <v>44256.583333333336</v>
      </c>
      <c r="F9" s="23">
        <v>573.9</v>
      </c>
      <c r="G9" s="33">
        <v>1.3299999999999999E-2</v>
      </c>
      <c r="H9" s="23">
        <v>-666.67</v>
      </c>
      <c r="I9" s="33">
        <v>-1.3299999999999999E-2</v>
      </c>
      <c r="J9" s="23">
        <v>88.300389999999993</v>
      </c>
      <c r="K9" s="23">
        <v>50008.93</v>
      </c>
      <c r="L9" s="23">
        <v>847.49</v>
      </c>
      <c r="M9" s="23">
        <v>10</v>
      </c>
      <c r="N9" s="23">
        <v>-66.67</v>
      </c>
      <c r="O9" s="33">
        <v>-1.5299999999999999E-2</v>
      </c>
      <c r="P9" s="33">
        <v>4.4999999999999997E-3</v>
      </c>
      <c r="Q9" s="23" t="s">
        <v>24</v>
      </c>
      <c r="R9" s="23">
        <v>0</v>
      </c>
      <c r="S9" s="23">
        <v>581.78</v>
      </c>
      <c r="U9" s="47">
        <v>44280</v>
      </c>
      <c r="V9" s="23" t="s">
        <v>104</v>
      </c>
      <c r="W9" s="23" t="s">
        <v>23</v>
      </c>
      <c r="X9" s="28">
        <v>44256.552083333336</v>
      </c>
      <c r="Y9" s="23">
        <v>24.225000000000001</v>
      </c>
      <c r="Z9" s="28">
        <v>44256.583333333336</v>
      </c>
      <c r="AA9" s="23">
        <v>24.425000000000001</v>
      </c>
      <c r="AB9" s="33">
        <v>8.3000000000000001E-3</v>
      </c>
      <c r="AC9" s="23">
        <v>-411.05</v>
      </c>
      <c r="AD9" s="33">
        <v>-8.3000000000000001E-3</v>
      </c>
      <c r="AE9" s="23">
        <v>2055.2600000000002</v>
      </c>
      <c r="AF9" s="23">
        <v>49788.66</v>
      </c>
      <c r="AG9" s="23">
        <v>-42679.09</v>
      </c>
      <c r="AH9" s="23">
        <v>4</v>
      </c>
      <c r="AI9" s="23">
        <v>-102.76</v>
      </c>
      <c r="AJ9" s="33">
        <v>-8.3000000000000001E-3</v>
      </c>
      <c r="AK9" s="33">
        <v>0</v>
      </c>
      <c r="AL9" s="23" t="s">
        <v>24</v>
      </c>
      <c r="AM9" s="23">
        <v>565.65</v>
      </c>
      <c r="AN9" s="23">
        <v>35323.15</v>
      </c>
      <c r="AO9" s="23">
        <v>576.29999999999995</v>
      </c>
      <c r="AQ9" s="50">
        <f t="shared" si="0"/>
        <v>4.2826836382922305E-2</v>
      </c>
      <c r="AR9" s="50"/>
      <c r="AS9" s="48"/>
      <c r="AT9" s="50"/>
      <c r="AV9" s="47">
        <v>44256</v>
      </c>
      <c r="AW9" s="51">
        <v>5.2083333333333336E-2</v>
      </c>
      <c r="AX9" t="s">
        <v>163</v>
      </c>
    </row>
    <row r="10" spans="1:50">
      <c r="A10" s="23" t="s">
        <v>22</v>
      </c>
      <c r="B10" s="23" t="s">
        <v>25</v>
      </c>
      <c r="C10" s="28">
        <v>44256.583333333336</v>
      </c>
      <c r="D10" s="23">
        <v>573.9</v>
      </c>
      <c r="E10" s="28">
        <v>44257.5</v>
      </c>
      <c r="F10" s="23">
        <v>577.1</v>
      </c>
      <c r="G10" s="33">
        <v>5.5999999999999999E-3</v>
      </c>
      <c r="H10" s="23">
        <v>278.83</v>
      </c>
      <c r="I10" s="33">
        <v>5.5999999999999999E-3</v>
      </c>
      <c r="J10" s="23">
        <v>87.133780000000002</v>
      </c>
      <c r="K10" s="23">
        <v>50006.080000000002</v>
      </c>
      <c r="L10" s="23">
        <v>1126.32</v>
      </c>
      <c r="M10" s="23">
        <v>22</v>
      </c>
      <c r="N10" s="23">
        <v>12.67</v>
      </c>
      <c r="O10" s="33">
        <v>-1.1900000000000001E-2</v>
      </c>
      <c r="P10" s="33">
        <v>2.3699999999999999E-2</v>
      </c>
      <c r="Q10" s="23" t="s">
        <v>24</v>
      </c>
      <c r="R10" s="23">
        <v>0</v>
      </c>
      <c r="S10" s="23">
        <v>563.79999999999995</v>
      </c>
      <c r="U10" s="47">
        <v>44280</v>
      </c>
      <c r="V10" s="23" t="s">
        <v>105</v>
      </c>
      <c r="W10" s="23" t="s">
        <v>23</v>
      </c>
      <c r="X10" s="28">
        <v>44256.635416666664</v>
      </c>
      <c r="Y10" s="23">
        <v>4.3499999999999996</v>
      </c>
      <c r="Z10" s="28">
        <v>44257.5</v>
      </c>
      <c r="AA10" s="23">
        <v>4.3499999999999996</v>
      </c>
      <c r="AB10" s="33">
        <v>0</v>
      </c>
      <c r="AC10" s="23">
        <v>0</v>
      </c>
      <c r="AD10" s="33">
        <v>0</v>
      </c>
      <c r="AE10" s="23">
        <v>11445.2</v>
      </c>
      <c r="AF10" s="23">
        <v>49786.6</v>
      </c>
      <c r="AG10" s="23">
        <v>-42679.09</v>
      </c>
      <c r="AH10" s="23">
        <v>17</v>
      </c>
      <c r="AI10" s="23">
        <v>0</v>
      </c>
      <c r="AJ10" s="33">
        <v>0</v>
      </c>
      <c r="AK10" s="33">
        <v>8.0500000000000002E-2</v>
      </c>
      <c r="AL10" s="23" t="s">
        <v>24</v>
      </c>
      <c r="AM10" s="23">
        <v>575</v>
      </c>
      <c r="AN10" s="23">
        <v>35339.25</v>
      </c>
      <c r="AO10" s="23">
        <v>566.70000000000005</v>
      </c>
      <c r="AQ10" s="50">
        <f t="shared" si="0"/>
        <v>7.5652173913043474E-3</v>
      </c>
      <c r="AR10" s="50"/>
      <c r="AS10" s="48"/>
      <c r="AT10" s="54"/>
      <c r="AV10" s="47">
        <v>44256</v>
      </c>
      <c r="AW10" s="51">
        <v>0.13541666666666666</v>
      </c>
      <c r="AX10" t="s">
        <v>163</v>
      </c>
    </row>
    <row r="11" spans="1:50">
      <c r="A11" s="23" t="s">
        <v>22</v>
      </c>
      <c r="B11" s="23" t="s">
        <v>23</v>
      </c>
      <c r="C11" s="28">
        <v>44257.5</v>
      </c>
      <c r="D11" s="23">
        <v>577.1</v>
      </c>
      <c r="E11" s="28">
        <v>44257.635416666664</v>
      </c>
      <c r="F11" s="23">
        <v>579.875</v>
      </c>
      <c r="G11" s="33">
        <v>4.7999999999999996E-3</v>
      </c>
      <c r="H11" s="23">
        <v>-240.46</v>
      </c>
      <c r="I11" s="33">
        <v>-4.7999999999999996E-3</v>
      </c>
      <c r="J11" s="23">
        <v>86.651480000000006</v>
      </c>
      <c r="K11" s="23">
        <v>50006.57</v>
      </c>
      <c r="L11" s="23">
        <v>885.86</v>
      </c>
      <c r="M11" s="23">
        <v>14</v>
      </c>
      <c r="N11" s="23">
        <v>-17.18</v>
      </c>
      <c r="O11" s="33">
        <v>-4.7999999999999996E-3</v>
      </c>
      <c r="P11" s="33">
        <v>1.09E-2</v>
      </c>
      <c r="Q11" s="23" t="s">
        <v>24</v>
      </c>
      <c r="R11" s="23">
        <v>0</v>
      </c>
      <c r="S11" s="23">
        <v>587.28</v>
      </c>
      <c r="U11" s="47">
        <v>44280</v>
      </c>
      <c r="V11" s="23" t="s">
        <v>104</v>
      </c>
      <c r="W11" s="23" t="s">
        <v>23</v>
      </c>
      <c r="X11" s="28">
        <v>44257.541666666664</v>
      </c>
      <c r="Y11" s="23">
        <v>28.774999999999999</v>
      </c>
      <c r="Z11" s="28">
        <v>44257.635416666664</v>
      </c>
      <c r="AA11" s="23">
        <v>30.824999999999999</v>
      </c>
      <c r="AB11" s="33">
        <v>7.1199999999999999E-2</v>
      </c>
      <c r="AC11" s="23">
        <v>-3546.92</v>
      </c>
      <c r="AD11" s="33">
        <v>-7.1199999999999999E-2</v>
      </c>
      <c r="AE11" s="23">
        <v>1730.203</v>
      </c>
      <c r="AF11" s="23">
        <v>49786.61</v>
      </c>
      <c r="AG11" s="23">
        <v>-46226.01</v>
      </c>
      <c r="AH11" s="23">
        <v>10</v>
      </c>
      <c r="AI11" s="23">
        <v>-354.69</v>
      </c>
      <c r="AJ11" s="33">
        <v>-7.1199999999999999E-2</v>
      </c>
      <c r="AK11" s="33">
        <v>0</v>
      </c>
      <c r="AL11" s="23" t="s">
        <v>24</v>
      </c>
      <c r="AM11" s="23">
        <v>573.1</v>
      </c>
      <c r="AN11" s="23">
        <v>35140.9</v>
      </c>
      <c r="AO11" s="23">
        <v>584.66</v>
      </c>
      <c r="AQ11" s="50">
        <f t="shared" si="0"/>
        <v>5.0209387541441282E-2</v>
      </c>
      <c r="AR11" s="50"/>
      <c r="AS11" s="48"/>
      <c r="AT11" s="50"/>
      <c r="AV11" s="47">
        <v>44257</v>
      </c>
      <c r="AW11" s="51">
        <v>4.1666666666666664E-2</v>
      </c>
      <c r="AX11" t="s">
        <v>163</v>
      </c>
    </row>
    <row r="12" spans="1:50">
      <c r="A12" s="23" t="s">
        <v>22</v>
      </c>
      <c r="B12" s="23" t="s">
        <v>25</v>
      </c>
      <c r="C12" s="28">
        <v>44257.635416666664</v>
      </c>
      <c r="D12" s="23">
        <v>579.875</v>
      </c>
      <c r="E12" s="28">
        <v>44258.458333333336</v>
      </c>
      <c r="F12" s="23">
        <v>576.54999999999995</v>
      </c>
      <c r="G12" s="33">
        <v>-5.7000000000000002E-3</v>
      </c>
      <c r="H12" s="23">
        <v>-286.74</v>
      </c>
      <c r="I12" s="33">
        <v>-5.7000000000000002E-3</v>
      </c>
      <c r="J12" s="23">
        <v>86.237369999999999</v>
      </c>
      <c r="K12" s="23">
        <v>50006.9</v>
      </c>
      <c r="L12" s="23">
        <v>599.12</v>
      </c>
      <c r="M12" s="23">
        <v>12</v>
      </c>
      <c r="N12" s="23">
        <v>-23.89</v>
      </c>
      <c r="O12" s="33">
        <v>-1.2E-2</v>
      </c>
      <c r="P12" s="33">
        <v>9.4000000000000004E-3</v>
      </c>
      <c r="Q12" s="23" t="s">
        <v>24</v>
      </c>
      <c r="R12" s="23">
        <v>0</v>
      </c>
      <c r="S12" s="23">
        <v>570.79999999999995</v>
      </c>
      <c r="U12" s="47">
        <v>44280</v>
      </c>
      <c r="V12" s="23" t="s">
        <v>106</v>
      </c>
      <c r="W12" s="23" t="s">
        <v>23</v>
      </c>
      <c r="X12" s="28">
        <v>44257.635416666664</v>
      </c>
      <c r="Y12" s="23">
        <v>15.5</v>
      </c>
      <c r="Z12" s="28">
        <v>44258.458333333336</v>
      </c>
      <c r="AA12" s="23">
        <v>15.5</v>
      </c>
      <c r="AB12" s="33">
        <v>0</v>
      </c>
      <c r="AC12" s="23">
        <v>0</v>
      </c>
      <c r="AD12" s="33">
        <v>0</v>
      </c>
      <c r="AE12" s="23">
        <v>3212.0390000000002</v>
      </c>
      <c r="AF12" s="23">
        <v>49786.61</v>
      </c>
      <c r="AG12" s="23">
        <v>-46226.01</v>
      </c>
      <c r="AH12" s="23">
        <v>12</v>
      </c>
      <c r="AI12" s="23">
        <v>0</v>
      </c>
      <c r="AJ12" s="33">
        <v>-0.1016</v>
      </c>
      <c r="AK12" s="33">
        <v>0</v>
      </c>
      <c r="AL12" s="23" t="s">
        <v>24</v>
      </c>
      <c r="AM12" s="23">
        <v>579.88</v>
      </c>
      <c r="AN12" s="23">
        <v>35473.949999999997</v>
      </c>
      <c r="AO12" s="23">
        <v>570.79999999999995</v>
      </c>
      <c r="AQ12" s="50">
        <f t="shared" si="0"/>
        <v>2.6729668207215285E-2</v>
      </c>
      <c r="AR12" s="50"/>
      <c r="AS12" s="48"/>
      <c r="AT12" s="50"/>
      <c r="AV12" s="47">
        <v>44257</v>
      </c>
      <c r="AW12" s="51">
        <v>0.13541666666666666</v>
      </c>
      <c r="AX12" t="s">
        <v>163</v>
      </c>
    </row>
    <row r="13" spans="1:50">
      <c r="A13" s="23" t="s">
        <v>22</v>
      </c>
      <c r="B13" s="23" t="s">
        <v>23</v>
      </c>
      <c r="C13" s="28">
        <v>44258.458333333336</v>
      </c>
      <c r="D13" s="23">
        <v>576.54999999999995</v>
      </c>
      <c r="E13" s="28">
        <v>44258.604166666664</v>
      </c>
      <c r="F13" s="23">
        <v>581.67499999999995</v>
      </c>
      <c r="G13" s="33">
        <v>8.8999999999999999E-3</v>
      </c>
      <c r="H13" s="23">
        <v>-444.48</v>
      </c>
      <c r="I13" s="33">
        <v>-8.8999999999999999E-3</v>
      </c>
      <c r="J13" s="23">
        <v>86.728319999999997</v>
      </c>
      <c r="K13" s="23">
        <v>50003.21</v>
      </c>
      <c r="L13" s="23">
        <v>154.63999999999999</v>
      </c>
      <c r="M13" s="23">
        <v>15</v>
      </c>
      <c r="N13" s="23">
        <v>-29.63</v>
      </c>
      <c r="O13" s="33">
        <v>-8.8999999999999999E-3</v>
      </c>
      <c r="P13" s="33">
        <v>1.44E-2</v>
      </c>
      <c r="Q13" s="23" t="s">
        <v>24</v>
      </c>
      <c r="R13" s="23">
        <v>0</v>
      </c>
      <c r="S13" s="23">
        <v>585.33000000000004</v>
      </c>
      <c r="U13" s="47">
        <v>44280</v>
      </c>
      <c r="V13" s="23" t="s">
        <v>107</v>
      </c>
      <c r="W13" s="23" t="s">
        <v>23</v>
      </c>
      <c r="X13" s="28">
        <v>44258.458333333336</v>
      </c>
      <c r="Y13" s="23">
        <v>22.75</v>
      </c>
      <c r="Z13" s="28">
        <v>44258.604166666664</v>
      </c>
      <c r="AA13" s="23">
        <v>23.975000000000001</v>
      </c>
      <c r="AB13" s="33">
        <v>5.3800000000000001E-2</v>
      </c>
      <c r="AC13" s="23">
        <v>-2679.86</v>
      </c>
      <c r="AD13" s="33">
        <v>-5.3800000000000001E-2</v>
      </c>
      <c r="AE13" s="23">
        <v>2187.643</v>
      </c>
      <c r="AF13" s="23">
        <v>49768.87</v>
      </c>
      <c r="AG13" s="23">
        <v>-48905.87</v>
      </c>
      <c r="AH13" s="23">
        <v>15</v>
      </c>
      <c r="AI13" s="23">
        <v>-178.66</v>
      </c>
      <c r="AJ13" s="33">
        <v>-5.3800000000000001E-2</v>
      </c>
      <c r="AK13" s="33">
        <v>0.28570000000000001</v>
      </c>
      <c r="AL13" s="23" t="s">
        <v>24</v>
      </c>
      <c r="AM13" s="23">
        <v>576.54999999999995</v>
      </c>
      <c r="AN13" s="23">
        <v>35960.5</v>
      </c>
      <c r="AO13" s="23">
        <v>585.33000000000004</v>
      </c>
      <c r="AQ13" s="50">
        <f t="shared" si="0"/>
        <v>3.9458850056369787E-2</v>
      </c>
      <c r="AR13" s="50"/>
      <c r="AS13" s="48"/>
      <c r="AT13" s="50"/>
      <c r="AV13" s="47">
        <v>44258</v>
      </c>
      <c r="AW13" s="51">
        <v>0.45833333333333331</v>
      </c>
      <c r="AX13" t="s">
        <v>162</v>
      </c>
    </row>
    <row r="14" spans="1:50">
      <c r="A14" s="23" t="s">
        <v>22</v>
      </c>
      <c r="B14" s="23" t="s">
        <v>25</v>
      </c>
      <c r="C14" s="28">
        <v>44258.604166666664</v>
      </c>
      <c r="D14" s="23">
        <v>581.67499999999995</v>
      </c>
      <c r="E14" s="28">
        <v>44260.5</v>
      </c>
      <c r="F14" s="23">
        <v>637.72500000000002</v>
      </c>
      <c r="G14" s="33">
        <v>9.64E-2</v>
      </c>
      <c r="H14" s="23">
        <v>4818.32</v>
      </c>
      <c r="I14" s="33">
        <v>9.64E-2</v>
      </c>
      <c r="J14" s="23">
        <v>85.964609999999993</v>
      </c>
      <c r="K14" s="23">
        <v>50003.46</v>
      </c>
      <c r="L14" s="23">
        <v>4972.95</v>
      </c>
      <c r="M14" s="23">
        <v>47</v>
      </c>
      <c r="N14" s="23">
        <v>102.52</v>
      </c>
      <c r="O14" s="33">
        <v>-1.1599999999999999E-2</v>
      </c>
      <c r="P14" s="33">
        <v>0.1089</v>
      </c>
      <c r="Q14" s="23" t="s">
        <v>24</v>
      </c>
      <c r="R14" s="23">
        <v>0</v>
      </c>
      <c r="S14" s="23">
        <v>568.83000000000004</v>
      </c>
      <c r="U14" s="47">
        <v>44280</v>
      </c>
      <c r="V14" s="23" t="s">
        <v>106</v>
      </c>
      <c r="W14" s="23" t="s">
        <v>23</v>
      </c>
      <c r="X14" s="28">
        <v>44258.625</v>
      </c>
      <c r="Y14" s="23">
        <v>13.4</v>
      </c>
      <c r="Z14" s="28">
        <v>44260.5</v>
      </c>
      <c r="AA14" s="23">
        <v>7.5</v>
      </c>
      <c r="AB14" s="33">
        <v>-0.44030000000000002</v>
      </c>
      <c r="AC14" s="23">
        <v>21907.26</v>
      </c>
      <c r="AD14" s="33">
        <v>0.44030000000000002</v>
      </c>
      <c r="AE14" s="23">
        <v>3713.0949999999998</v>
      </c>
      <c r="AF14" s="23">
        <v>49755.47</v>
      </c>
      <c r="AG14" s="23">
        <v>-26998.61</v>
      </c>
      <c r="AH14" s="23">
        <v>45</v>
      </c>
      <c r="AI14" s="23">
        <v>486.83</v>
      </c>
      <c r="AJ14" s="33">
        <v>-9.3299999999999994E-2</v>
      </c>
      <c r="AK14" s="33">
        <v>0.58960000000000001</v>
      </c>
      <c r="AL14" s="23" t="s">
        <v>24</v>
      </c>
      <c r="AM14" s="23">
        <v>605.03</v>
      </c>
      <c r="AN14" s="23">
        <v>36381.4</v>
      </c>
      <c r="AO14" s="23">
        <v>570.74</v>
      </c>
      <c r="AQ14" s="50">
        <f t="shared" si="0"/>
        <v>2.2147662099400032E-2</v>
      </c>
      <c r="AR14" s="50"/>
      <c r="AS14" s="48"/>
      <c r="AT14" s="50"/>
      <c r="AV14" s="47">
        <v>44258</v>
      </c>
      <c r="AW14" s="51">
        <v>0.125</v>
      </c>
      <c r="AX14" t="s">
        <v>163</v>
      </c>
    </row>
    <row r="15" spans="1:50">
      <c r="A15" s="23" t="s">
        <v>22</v>
      </c>
      <c r="B15" s="23" t="s">
        <v>23</v>
      </c>
      <c r="C15" s="28">
        <v>44260.5</v>
      </c>
      <c r="D15" s="23">
        <v>637.72500000000002</v>
      </c>
      <c r="E15" s="28">
        <v>44260.520833333336</v>
      </c>
      <c r="F15" s="23">
        <v>643.17499999999995</v>
      </c>
      <c r="G15" s="33">
        <v>8.5000000000000006E-3</v>
      </c>
      <c r="H15" s="23">
        <v>-427.51</v>
      </c>
      <c r="I15" s="33">
        <v>-8.5000000000000006E-3</v>
      </c>
      <c r="J15" s="23">
        <v>78.441890000000001</v>
      </c>
      <c r="K15" s="23">
        <v>50024.35</v>
      </c>
      <c r="L15" s="23">
        <v>4545.4399999999996</v>
      </c>
      <c r="M15" s="23">
        <v>3</v>
      </c>
      <c r="N15" s="23">
        <v>-142.5</v>
      </c>
      <c r="O15" s="33">
        <v>-8.5000000000000006E-3</v>
      </c>
      <c r="P15" s="33">
        <v>2.5999999999999999E-3</v>
      </c>
      <c r="Q15" s="23" t="s">
        <v>24</v>
      </c>
      <c r="R15" s="23">
        <v>0</v>
      </c>
      <c r="S15" s="23">
        <v>645</v>
      </c>
      <c r="U15" s="47">
        <v>44280</v>
      </c>
      <c r="V15" s="23" t="s">
        <v>108</v>
      </c>
      <c r="W15" s="23" t="s">
        <v>23</v>
      </c>
      <c r="X15" s="28">
        <v>44260.5</v>
      </c>
      <c r="Y15" s="23">
        <v>30.875</v>
      </c>
      <c r="Z15" s="28">
        <v>44260.520833333336</v>
      </c>
      <c r="AA15" s="23">
        <v>33.1</v>
      </c>
      <c r="AB15" s="33">
        <v>7.2099999999999997E-2</v>
      </c>
      <c r="AC15" s="23">
        <v>-3593.51</v>
      </c>
      <c r="AD15" s="33">
        <v>-7.2099999999999997E-2</v>
      </c>
      <c r="AE15" s="23">
        <v>1615.0609999999999</v>
      </c>
      <c r="AF15" s="23">
        <v>49865</v>
      </c>
      <c r="AG15" s="23">
        <v>-30592.12</v>
      </c>
      <c r="AH15" s="23">
        <v>3</v>
      </c>
      <c r="AI15" s="23">
        <v>-1197.8399999999999</v>
      </c>
      <c r="AJ15" s="33">
        <v>-7.2099999999999997E-2</v>
      </c>
      <c r="AK15" s="33">
        <v>2.8299999999999999E-2</v>
      </c>
      <c r="AL15" s="23" t="s">
        <v>24</v>
      </c>
      <c r="AM15" s="23">
        <v>637.72</v>
      </c>
      <c r="AN15" s="23">
        <v>35282.400000000001</v>
      </c>
      <c r="AO15" s="23">
        <v>645</v>
      </c>
      <c r="AQ15" s="50">
        <f t="shared" si="0"/>
        <v>4.8414664743147463E-2</v>
      </c>
      <c r="AR15" s="50"/>
      <c r="AS15" s="48"/>
      <c r="AT15" s="50"/>
      <c r="AV15" s="47">
        <v>44260</v>
      </c>
      <c r="AW15" s="51">
        <v>0.5</v>
      </c>
      <c r="AX15" t="s">
        <v>163</v>
      </c>
    </row>
    <row r="16" spans="1:50">
      <c r="A16" s="23" t="s">
        <v>22</v>
      </c>
      <c r="B16" s="23" t="s">
        <v>25</v>
      </c>
      <c r="C16" s="28">
        <v>44260.520833333336</v>
      </c>
      <c r="D16" s="23">
        <v>643.17499999999995</v>
      </c>
      <c r="E16" s="28">
        <v>44260.552083333336</v>
      </c>
      <c r="F16" s="23">
        <v>637</v>
      </c>
      <c r="G16" s="33">
        <v>-9.5999999999999992E-3</v>
      </c>
      <c r="H16" s="23">
        <v>-480.27</v>
      </c>
      <c r="I16" s="33">
        <v>-9.5999999999999992E-3</v>
      </c>
      <c r="J16" s="23">
        <v>77.777069999999995</v>
      </c>
      <c r="K16" s="23">
        <v>50024.27</v>
      </c>
      <c r="L16" s="23">
        <v>4065.17</v>
      </c>
      <c r="M16" s="23">
        <v>4</v>
      </c>
      <c r="N16" s="23">
        <v>-120.07</v>
      </c>
      <c r="O16" s="33">
        <v>-9.5999999999999992E-3</v>
      </c>
      <c r="P16" s="33">
        <v>5.7000000000000002E-3</v>
      </c>
      <c r="Q16" s="23" t="s">
        <v>24</v>
      </c>
      <c r="R16" s="23">
        <v>0</v>
      </c>
      <c r="S16" s="23">
        <v>636.48</v>
      </c>
      <c r="U16" s="47">
        <v>44280</v>
      </c>
      <c r="V16" s="23" t="s">
        <v>109</v>
      </c>
      <c r="W16" s="23" t="s">
        <v>23</v>
      </c>
      <c r="X16" s="28">
        <v>44260.520833333336</v>
      </c>
      <c r="Y16" s="23">
        <v>16</v>
      </c>
      <c r="Z16" s="28">
        <v>44260.552083333336</v>
      </c>
      <c r="AA16" s="23">
        <v>15.25</v>
      </c>
      <c r="AB16" s="33">
        <v>-4.6899999999999997E-2</v>
      </c>
      <c r="AC16" s="23">
        <v>2337.42</v>
      </c>
      <c r="AD16" s="33">
        <v>4.6899999999999997E-2</v>
      </c>
      <c r="AE16" s="23">
        <v>3116.5630000000001</v>
      </c>
      <c r="AF16" s="23">
        <v>49865.01</v>
      </c>
      <c r="AG16" s="23">
        <v>-28254.7</v>
      </c>
      <c r="AH16" s="23">
        <v>4</v>
      </c>
      <c r="AI16" s="23">
        <v>584.36</v>
      </c>
      <c r="AJ16" s="33">
        <v>0</v>
      </c>
      <c r="AK16" s="33">
        <v>4.6899999999999997E-2</v>
      </c>
      <c r="AL16" s="23" t="s">
        <v>24</v>
      </c>
      <c r="AM16" s="23">
        <v>643.16999999999996</v>
      </c>
      <c r="AN16" s="23">
        <v>35385.5</v>
      </c>
      <c r="AO16" s="23">
        <v>636.48</v>
      </c>
      <c r="AQ16" s="50">
        <f t="shared" si="0"/>
        <v>2.4876782188223954E-2</v>
      </c>
      <c r="AR16" s="50"/>
      <c r="AS16" s="48"/>
      <c r="AT16" s="50"/>
      <c r="AV16" s="47">
        <v>44260</v>
      </c>
      <c r="AW16" s="51">
        <v>0.52083333333333337</v>
      </c>
      <c r="AX16" t="s">
        <v>163</v>
      </c>
    </row>
    <row r="17" spans="1:50">
      <c r="A17" s="23" t="s">
        <v>22</v>
      </c>
      <c r="B17" s="23" t="s">
        <v>23</v>
      </c>
      <c r="C17" s="28">
        <v>44260.552083333336</v>
      </c>
      <c r="D17" s="23">
        <v>637</v>
      </c>
      <c r="E17" s="28">
        <v>44260.635416666664</v>
      </c>
      <c r="F17" s="23">
        <v>637.5</v>
      </c>
      <c r="G17" s="33">
        <v>8.0000000000000004E-4</v>
      </c>
      <c r="H17" s="23">
        <v>-39.26</v>
      </c>
      <c r="I17" s="33">
        <v>-8.0000000000000004E-4</v>
      </c>
      <c r="J17" s="23">
        <v>78.525559999999999</v>
      </c>
      <c r="K17" s="23">
        <v>50020.78</v>
      </c>
      <c r="L17" s="23">
        <v>4025.91</v>
      </c>
      <c r="M17" s="23">
        <v>9</v>
      </c>
      <c r="N17" s="23">
        <v>-4.3600000000000003</v>
      </c>
      <c r="O17" s="33">
        <v>-3.5999999999999999E-3</v>
      </c>
      <c r="P17" s="33">
        <v>3.3599999999999998E-2</v>
      </c>
      <c r="Q17" s="23" t="s">
        <v>24</v>
      </c>
      <c r="R17" s="23">
        <v>0</v>
      </c>
      <c r="S17" s="23">
        <v>646.61</v>
      </c>
      <c r="U17" s="47">
        <v>44280</v>
      </c>
      <c r="V17" s="23" t="s">
        <v>110</v>
      </c>
      <c r="W17" s="23" t="s">
        <v>23</v>
      </c>
      <c r="X17" s="28">
        <v>44260.552083333336</v>
      </c>
      <c r="Y17" s="23">
        <v>26.5</v>
      </c>
      <c r="Z17" s="28">
        <v>44260.635416666664</v>
      </c>
      <c r="AA17" s="23">
        <v>25.5</v>
      </c>
      <c r="AB17" s="33">
        <v>-3.7699999999999997E-2</v>
      </c>
      <c r="AC17" s="23">
        <v>1881.46</v>
      </c>
      <c r="AD17" s="33">
        <v>3.7699999999999997E-2</v>
      </c>
      <c r="AE17" s="23">
        <v>1881.461</v>
      </c>
      <c r="AF17" s="23">
        <v>49858.73</v>
      </c>
      <c r="AG17" s="23">
        <v>-26373.24</v>
      </c>
      <c r="AH17" s="23">
        <v>9</v>
      </c>
      <c r="AI17" s="23">
        <v>209.05</v>
      </c>
      <c r="AJ17" s="33">
        <v>-1.89E-2</v>
      </c>
      <c r="AK17" s="33">
        <v>0.4123</v>
      </c>
      <c r="AL17" s="23" t="s">
        <v>24</v>
      </c>
      <c r="AM17" s="23">
        <v>637</v>
      </c>
      <c r="AN17" s="23">
        <v>35384.449999999997</v>
      </c>
      <c r="AO17" s="23">
        <v>646.61</v>
      </c>
      <c r="AQ17" s="50">
        <f t="shared" si="0"/>
        <v>4.1601255886970175E-2</v>
      </c>
      <c r="AR17" s="50"/>
      <c r="AS17" s="48"/>
      <c r="AT17" s="50"/>
      <c r="AV17" s="47">
        <v>44260</v>
      </c>
      <c r="AW17" s="51">
        <v>5.2083333333333336E-2</v>
      </c>
      <c r="AX17" t="s">
        <v>163</v>
      </c>
    </row>
    <row r="18" spans="1:50">
      <c r="A18" s="23" t="s">
        <v>22</v>
      </c>
      <c r="B18" s="23" t="s">
        <v>25</v>
      </c>
      <c r="C18" s="28">
        <v>44260.635416666664</v>
      </c>
      <c r="D18" s="23">
        <v>637.5</v>
      </c>
      <c r="E18" s="28">
        <v>44263.4375</v>
      </c>
      <c r="F18" s="23">
        <v>624.97500000000002</v>
      </c>
      <c r="G18" s="33">
        <v>-1.9599999999999999E-2</v>
      </c>
      <c r="H18" s="23">
        <v>-982.82</v>
      </c>
      <c r="I18" s="33">
        <v>-1.9599999999999999E-2</v>
      </c>
      <c r="J18" s="23">
        <v>78.468959999999996</v>
      </c>
      <c r="K18" s="23">
        <v>50023.96</v>
      </c>
      <c r="L18" s="23">
        <v>3043.08</v>
      </c>
      <c r="M18" s="23">
        <v>10</v>
      </c>
      <c r="N18" s="23">
        <v>-98.28</v>
      </c>
      <c r="O18" s="33">
        <v>-1.9599999999999999E-2</v>
      </c>
      <c r="P18" s="33">
        <v>1.18E-2</v>
      </c>
      <c r="Q18" s="23" t="s">
        <v>24</v>
      </c>
      <c r="R18" s="23">
        <v>0</v>
      </c>
      <c r="S18" s="23">
        <v>615.6</v>
      </c>
      <c r="U18" s="47">
        <v>44280</v>
      </c>
      <c r="V18" s="23" t="s">
        <v>109</v>
      </c>
      <c r="W18" s="23" t="s">
        <v>23</v>
      </c>
      <c r="X18" s="28">
        <v>44260.635416666664</v>
      </c>
      <c r="Y18" s="23">
        <v>15.875</v>
      </c>
      <c r="Z18" s="28">
        <v>44263.4375</v>
      </c>
      <c r="AA18" s="23">
        <v>17</v>
      </c>
      <c r="AB18" s="33">
        <v>7.0900000000000005E-2</v>
      </c>
      <c r="AC18" s="23">
        <v>-3535.98</v>
      </c>
      <c r="AD18" s="33">
        <v>-7.0900000000000005E-2</v>
      </c>
      <c r="AE18" s="23">
        <v>3143.0920000000001</v>
      </c>
      <c r="AF18" s="23">
        <v>49896.59</v>
      </c>
      <c r="AG18" s="23">
        <v>-29909.22</v>
      </c>
      <c r="AH18" s="23">
        <v>10</v>
      </c>
      <c r="AI18" s="23">
        <v>-353.6</v>
      </c>
      <c r="AJ18" s="33">
        <v>-0.33069999999999999</v>
      </c>
      <c r="AK18" s="33">
        <v>0.16539999999999999</v>
      </c>
      <c r="AL18" s="23" t="s">
        <v>24</v>
      </c>
      <c r="AM18" s="23">
        <v>637.5</v>
      </c>
      <c r="AN18" s="23">
        <v>35333.800000000003</v>
      </c>
      <c r="AO18" s="23">
        <v>615.6</v>
      </c>
      <c r="AQ18" s="50">
        <f t="shared" si="0"/>
        <v>2.4901960784313726E-2</v>
      </c>
      <c r="AR18" s="50"/>
      <c r="AS18" s="48"/>
      <c r="AT18" s="50"/>
      <c r="AV18" s="47">
        <v>44260</v>
      </c>
      <c r="AW18" s="51">
        <v>0.13541666666666666</v>
      </c>
      <c r="AX18" t="s">
        <v>163</v>
      </c>
    </row>
    <row r="19" spans="1:50">
      <c r="A19" s="23" t="s">
        <v>22</v>
      </c>
      <c r="B19" s="23" t="s">
        <v>23</v>
      </c>
      <c r="C19" s="28">
        <v>44263.4375</v>
      </c>
      <c r="D19" s="23">
        <v>624.97500000000002</v>
      </c>
      <c r="E19" s="28">
        <v>44263.552083333336</v>
      </c>
      <c r="F19" s="23">
        <v>636</v>
      </c>
      <c r="G19" s="33">
        <v>1.7600000000000001E-2</v>
      </c>
      <c r="H19" s="23">
        <v>-882.36</v>
      </c>
      <c r="I19" s="33">
        <v>-1.7600000000000001E-2</v>
      </c>
      <c r="J19" s="23">
        <v>80.032510000000002</v>
      </c>
      <c r="K19" s="23">
        <v>50018.32</v>
      </c>
      <c r="L19" s="23">
        <v>2160.73</v>
      </c>
      <c r="M19" s="23">
        <v>12</v>
      </c>
      <c r="N19" s="23">
        <v>-73.53</v>
      </c>
      <c r="O19" s="33">
        <v>-2.0799999999999999E-2</v>
      </c>
      <c r="P19" s="33">
        <v>5.5999999999999999E-3</v>
      </c>
      <c r="Q19" s="23" t="s">
        <v>24</v>
      </c>
      <c r="R19" s="23">
        <v>0</v>
      </c>
      <c r="S19" s="23">
        <v>645</v>
      </c>
      <c r="U19" s="47">
        <v>44280</v>
      </c>
      <c r="V19" s="23" t="s">
        <v>111</v>
      </c>
      <c r="W19" s="23" t="s">
        <v>23</v>
      </c>
      <c r="X19" s="28">
        <v>44263.4375</v>
      </c>
      <c r="Y19" s="23">
        <v>27.475000000000001</v>
      </c>
      <c r="Z19" s="28">
        <v>44263.552083333336</v>
      </c>
      <c r="AA19" s="23">
        <v>28</v>
      </c>
      <c r="AB19" s="33">
        <v>1.9099999999999999E-2</v>
      </c>
      <c r="AC19" s="23">
        <v>-953.45</v>
      </c>
      <c r="AD19" s="33">
        <v>-1.9099999999999999E-2</v>
      </c>
      <c r="AE19" s="23">
        <v>1816.095</v>
      </c>
      <c r="AF19" s="23">
        <v>49897.21</v>
      </c>
      <c r="AG19" s="23">
        <v>-30862.67</v>
      </c>
      <c r="AH19" s="23">
        <v>12</v>
      </c>
      <c r="AI19" s="23">
        <v>-79.45</v>
      </c>
      <c r="AJ19" s="33">
        <v>-0.27389999999999998</v>
      </c>
      <c r="AK19" s="33">
        <v>6.2799999999999995E-2</v>
      </c>
      <c r="AL19" s="23" t="s">
        <v>24</v>
      </c>
      <c r="AM19" s="23">
        <v>624.97</v>
      </c>
      <c r="AN19" s="23">
        <v>35277.199999999997</v>
      </c>
      <c r="AO19" s="23">
        <v>645</v>
      </c>
      <c r="AQ19" s="50">
        <f t="shared" si="0"/>
        <v>4.3962110181288705E-2</v>
      </c>
      <c r="AR19" s="50"/>
      <c r="AS19" s="48"/>
      <c r="AT19" s="50"/>
      <c r="AV19" s="47">
        <v>44263</v>
      </c>
      <c r="AW19" s="51">
        <v>0.4375</v>
      </c>
      <c r="AX19" t="s">
        <v>162</v>
      </c>
    </row>
    <row r="20" spans="1:50">
      <c r="A20" s="23" t="s">
        <v>22</v>
      </c>
      <c r="B20" s="23" t="s">
        <v>25</v>
      </c>
      <c r="C20" s="28">
        <v>44263.552083333336</v>
      </c>
      <c r="D20" s="23">
        <v>636</v>
      </c>
      <c r="E20" s="28">
        <v>44264.489583333336</v>
      </c>
      <c r="F20" s="23">
        <v>639.5</v>
      </c>
      <c r="G20" s="33">
        <v>5.4999999999999997E-3</v>
      </c>
      <c r="H20" s="23">
        <v>275.23</v>
      </c>
      <c r="I20" s="33">
        <v>5.4999999999999997E-3</v>
      </c>
      <c r="J20" s="23">
        <v>78.637050000000002</v>
      </c>
      <c r="K20" s="23">
        <v>50013.17</v>
      </c>
      <c r="L20" s="23">
        <v>2435.96</v>
      </c>
      <c r="M20" s="23">
        <v>23</v>
      </c>
      <c r="N20" s="23">
        <v>11.97</v>
      </c>
      <c r="O20" s="33">
        <v>-1.7299999999999999E-2</v>
      </c>
      <c r="P20" s="33">
        <v>3.5299999999999998E-2</v>
      </c>
      <c r="Q20" s="23" t="s">
        <v>24</v>
      </c>
      <c r="R20" s="23">
        <v>0</v>
      </c>
      <c r="S20" s="23">
        <v>621.45000000000005</v>
      </c>
      <c r="U20" s="47">
        <v>44280</v>
      </c>
      <c r="V20" s="23" t="s">
        <v>109</v>
      </c>
      <c r="W20" s="23" t="s">
        <v>23</v>
      </c>
      <c r="X20" s="28">
        <v>44263.5625</v>
      </c>
      <c r="Y20" s="23">
        <v>15.5</v>
      </c>
      <c r="Z20" s="28">
        <v>44264.489583333336</v>
      </c>
      <c r="AA20" s="23">
        <v>11.5</v>
      </c>
      <c r="AB20" s="33">
        <v>-0.2581</v>
      </c>
      <c r="AC20" s="23">
        <v>12863.4</v>
      </c>
      <c r="AD20" s="33">
        <v>0.2581</v>
      </c>
      <c r="AE20" s="23">
        <v>3215.8510000000001</v>
      </c>
      <c r="AF20" s="23">
        <v>49845.69</v>
      </c>
      <c r="AG20" s="23">
        <v>-17999.259999999998</v>
      </c>
      <c r="AH20" s="23">
        <v>22</v>
      </c>
      <c r="AI20" s="23">
        <v>584.70000000000005</v>
      </c>
      <c r="AJ20" s="33">
        <v>0</v>
      </c>
      <c r="AK20" s="33">
        <v>0.52580000000000005</v>
      </c>
      <c r="AL20" s="23" t="s">
        <v>24</v>
      </c>
      <c r="AM20" s="23">
        <v>630.15</v>
      </c>
      <c r="AN20" s="23">
        <v>35184.400000000001</v>
      </c>
      <c r="AO20" s="23">
        <v>622.33000000000004</v>
      </c>
      <c r="AQ20" s="50">
        <f t="shared" si="0"/>
        <v>2.459731809886535E-2</v>
      </c>
      <c r="AR20" s="50"/>
      <c r="AS20" s="48"/>
      <c r="AT20" s="50"/>
      <c r="AV20" s="47">
        <v>44263</v>
      </c>
      <c r="AW20" s="51">
        <v>6.25E-2</v>
      </c>
      <c r="AX20" t="s">
        <v>163</v>
      </c>
    </row>
    <row r="21" spans="1:50">
      <c r="A21" s="23" t="s">
        <v>22</v>
      </c>
      <c r="B21" s="23" t="s">
        <v>23</v>
      </c>
      <c r="C21" s="28">
        <v>44264.489583333336</v>
      </c>
      <c r="D21" s="23">
        <v>639.5</v>
      </c>
      <c r="E21" s="28">
        <v>44265.385416666664</v>
      </c>
      <c r="F21" s="23">
        <v>624.45000000000005</v>
      </c>
      <c r="G21" s="33">
        <v>-2.35E-2</v>
      </c>
      <c r="H21" s="23">
        <v>1176.99</v>
      </c>
      <c r="I21" s="33">
        <v>2.35E-2</v>
      </c>
      <c r="J21" s="23">
        <v>78.205020000000005</v>
      </c>
      <c r="K21" s="23">
        <v>50012.11</v>
      </c>
      <c r="L21" s="23">
        <v>3612.94</v>
      </c>
      <c r="M21" s="23">
        <v>19</v>
      </c>
      <c r="N21" s="23">
        <v>61.95</v>
      </c>
      <c r="O21" s="33">
        <v>-2.5000000000000001E-3</v>
      </c>
      <c r="P21" s="33">
        <v>4.8500000000000001E-2</v>
      </c>
      <c r="Q21" s="23" t="s">
        <v>24</v>
      </c>
      <c r="R21" s="23">
        <v>0</v>
      </c>
      <c r="S21" s="23">
        <v>658.09</v>
      </c>
      <c r="U21" s="47">
        <v>44280</v>
      </c>
      <c r="V21" s="23" t="s">
        <v>110</v>
      </c>
      <c r="W21" s="23" t="s">
        <v>23</v>
      </c>
      <c r="X21" s="28">
        <v>44264.489583333336</v>
      </c>
      <c r="Y21" s="23">
        <v>25.5</v>
      </c>
      <c r="Z21" s="28">
        <v>44265.385416666664</v>
      </c>
      <c r="AA21" s="23">
        <v>18.125</v>
      </c>
      <c r="AB21" s="33">
        <v>-0.28920000000000001</v>
      </c>
      <c r="AC21" s="23">
        <v>14434.76</v>
      </c>
      <c r="AD21" s="33">
        <v>0.28920000000000001</v>
      </c>
      <c r="AE21" s="23">
        <v>1957.2550000000001</v>
      </c>
      <c r="AF21" s="23">
        <v>49910</v>
      </c>
      <c r="AG21" s="23">
        <v>-3564.51</v>
      </c>
      <c r="AH21" s="23">
        <v>19</v>
      </c>
      <c r="AI21" s="23">
        <v>759.72</v>
      </c>
      <c r="AJ21" s="33">
        <v>-1.9599999999999999E-2</v>
      </c>
      <c r="AK21" s="33">
        <v>0.46179999999999999</v>
      </c>
      <c r="AL21" s="23" t="s">
        <v>24</v>
      </c>
      <c r="AM21" s="23">
        <v>639.5</v>
      </c>
      <c r="AN21" s="23">
        <v>36016.25</v>
      </c>
      <c r="AO21" s="23">
        <v>658.09</v>
      </c>
      <c r="AQ21" s="50">
        <f t="shared" si="0"/>
        <v>3.98749022673964E-2</v>
      </c>
      <c r="AR21" s="50"/>
      <c r="AS21" s="48"/>
      <c r="AT21" s="50"/>
      <c r="AV21" s="47">
        <v>44264</v>
      </c>
      <c r="AW21" s="51">
        <v>0.48958333333333331</v>
      </c>
      <c r="AX21" t="s">
        <v>162</v>
      </c>
    </row>
    <row r="22" spans="1:50">
      <c r="A22" s="23" t="s">
        <v>22</v>
      </c>
      <c r="B22" s="23" t="s">
        <v>25</v>
      </c>
      <c r="C22" s="28">
        <v>44265.385416666664</v>
      </c>
      <c r="D22" s="23">
        <v>624.45000000000005</v>
      </c>
      <c r="E22" s="28">
        <v>44265.427083333336</v>
      </c>
      <c r="F22" s="23">
        <v>614.42499999999995</v>
      </c>
      <c r="G22" s="33">
        <v>-1.61E-2</v>
      </c>
      <c r="H22" s="23">
        <v>-802.98</v>
      </c>
      <c r="I22" s="33">
        <v>-1.61E-2</v>
      </c>
      <c r="J22" s="23">
        <v>80.097790000000003</v>
      </c>
      <c r="K22" s="23">
        <v>50017.07</v>
      </c>
      <c r="L22" s="23">
        <v>2809.96</v>
      </c>
      <c r="M22" s="23">
        <v>5</v>
      </c>
      <c r="N22" s="23">
        <v>-160.6</v>
      </c>
      <c r="O22" s="33">
        <v>-1.61E-2</v>
      </c>
      <c r="P22" s="33">
        <v>1.5299999999999999E-2</v>
      </c>
      <c r="Q22" s="23" t="s">
        <v>24</v>
      </c>
      <c r="R22" s="23">
        <v>0</v>
      </c>
      <c r="S22" s="23">
        <v>609.51</v>
      </c>
      <c r="U22" s="47">
        <v>44280</v>
      </c>
      <c r="V22" s="23" t="s">
        <v>112</v>
      </c>
      <c r="W22" s="23" t="s">
        <v>23</v>
      </c>
      <c r="X22" s="28">
        <v>44265.385416666664</v>
      </c>
      <c r="Y22" s="23">
        <v>23.725000000000001</v>
      </c>
      <c r="Z22" s="28">
        <v>44265.427083333336</v>
      </c>
      <c r="AA22" s="23">
        <v>26.725000000000001</v>
      </c>
      <c r="AB22" s="33">
        <v>0.12640000000000001</v>
      </c>
      <c r="AC22" s="23">
        <v>-6321.27</v>
      </c>
      <c r="AD22" s="33">
        <v>-0.12640000000000001</v>
      </c>
      <c r="AE22" s="23">
        <v>2107.0909999999999</v>
      </c>
      <c r="AF22" s="23">
        <v>49990.74</v>
      </c>
      <c r="AG22" s="23">
        <v>-9885.7800000000007</v>
      </c>
      <c r="AH22" s="23">
        <v>5</v>
      </c>
      <c r="AI22" s="23">
        <v>-1264.25</v>
      </c>
      <c r="AJ22" s="33">
        <v>-0.12640000000000001</v>
      </c>
      <c r="AK22" s="33">
        <v>0</v>
      </c>
      <c r="AL22" s="23" t="s">
        <v>24</v>
      </c>
      <c r="AM22" s="23">
        <v>624.45000000000005</v>
      </c>
      <c r="AN22" s="23">
        <v>36081.550000000003</v>
      </c>
      <c r="AO22" s="23">
        <v>609.51</v>
      </c>
      <c r="AQ22" s="50">
        <f t="shared" si="0"/>
        <v>3.7993434222115464E-2</v>
      </c>
      <c r="AR22" s="50"/>
      <c r="AS22" s="48"/>
      <c r="AT22" s="50"/>
      <c r="AV22" s="47">
        <v>44265</v>
      </c>
      <c r="AW22" s="51">
        <v>0.38541666666666669</v>
      </c>
      <c r="AX22" t="s">
        <v>162</v>
      </c>
    </row>
    <row r="23" spans="1:50">
      <c r="A23" s="23" t="s">
        <v>22</v>
      </c>
      <c r="B23" s="23" t="s">
        <v>23</v>
      </c>
      <c r="C23" s="28">
        <v>44265.427083333336</v>
      </c>
      <c r="D23" s="23">
        <v>614.42499999999995</v>
      </c>
      <c r="E23" s="28">
        <v>44265.520833333336</v>
      </c>
      <c r="F23" s="23">
        <v>621.95000000000005</v>
      </c>
      <c r="G23" s="33">
        <v>1.2200000000000001E-2</v>
      </c>
      <c r="H23" s="23">
        <v>-612.54999999999995</v>
      </c>
      <c r="I23" s="33">
        <v>-1.2200000000000001E-2</v>
      </c>
      <c r="J23" s="23">
        <v>81.402159999999995</v>
      </c>
      <c r="K23" s="23">
        <v>50015.519999999997</v>
      </c>
      <c r="L23" s="23">
        <v>2197.41</v>
      </c>
      <c r="M23" s="23">
        <v>10</v>
      </c>
      <c r="N23" s="23">
        <v>-61.26</v>
      </c>
      <c r="O23" s="33">
        <v>-1.2200000000000001E-2</v>
      </c>
      <c r="P23" s="33">
        <v>2.12E-2</v>
      </c>
      <c r="Q23" s="23" t="s">
        <v>24</v>
      </c>
      <c r="R23" s="23">
        <v>0</v>
      </c>
      <c r="S23" s="23">
        <v>634</v>
      </c>
      <c r="U23" s="47">
        <v>44280</v>
      </c>
      <c r="V23" s="23" t="s">
        <v>113</v>
      </c>
      <c r="W23" s="23" t="s">
        <v>23</v>
      </c>
      <c r="X23" s="28">
        <v>44265.427083333336</v>
      </c>
      <c r="Y23" s="23">
        <v>25</v>
      </c>
      <c r="Z23" s="28">
        <v>44265.520833333336</v>
      </c>
      <c r="AA23" s="23">
        <v>28</v>
      </c>
      <c r="AB23" s="33">
        <v>0.12</v>
      </c>
      <c r="AC23" s="23">
        <v>-5995.84</v>
      </c>
      <c r="AD23" s="33">
        <v>-0.12</v>
      </c>
      <c r="AE23" s="23">
        <v>1998.6130000000001</v>
      </c>
      <c r="AF23" s="23">
        <v>49965.32</v>
      </c>
      <c r="AG23" s="23">
        <v>-15881.62</v>
      </c>
      <c r="AH23" s="23">
        <v>10</v>
      </c>
      <c r="AI23" s="23">
        <v>-599.58000000000004</v>
      </c>
      <c r="AJ23" s="33">
        <v>-0.12</v>
      </c>
      <c r="AK23" s="33">
        <v>9.4E-2</v>
      </c>
      <c r="AL23" s="23" t="s">
        <v>24</v>
      </c>
      <c r="AM23" s="23">
        <v>614.41999999999996</v>
      </c>
      <c r="AN23" s="23">
        <v>36017.550000000003</v>
      </c>
      <c r="AO23" s="23">
        <v>634</v>
      </c>
      <c r="AQ23" s="50">
        <f t="shared" si="0"/>
        <v>4.0688779662120374E-2</v>
      </c>
      <c r="AR23" s="50"/>
      <c r="AS23" s="48"/>
      <c r="AT23" s="50"/>
      <c r="AV23" s="47">
        <v>44265</v>
      </c>
      <c r="AW23" s="51">
        <v>0.42708333333333331</v>
      </c>
      <c r="AX23" t="s">
        <v>162</v>
      </c>
    </row>
    <row r="24" spans="1:50">
      <c r="A24" s="23" t="s">
        <v>22</v>
      </c>
      <c r="B24" s="23" t="s">
        <v>25</v>
      </c>
      <c r="C24" s="28">
        <v>44265.520833333336</v>
      </c>
      <c r="D24" s="23">
        <v>621.95000000000005</v>
      </c>
      <c r="E24" s="28">
        <v>44267.5625</v>
      </c>
      <c r="F24" s="23">
        <v>627.04999999999995</v>
      </c>
      <c r="G24" s="33">
        <v>8.2000000000000007E-3</v>
      </c>
      <c r="H24" s="23">
        <v>410.11</v>
      </c>
      <c r="I24" s="33">
        <v>8.2000000000000007E-3</v>
      </c>
      <c r="J24" s="23">
        <v>80.413539999999998</v>
      </c>
      <c r="K24" s="23">
        <v>50013.2</v>
      </c>
      <c r="L24" s="23">
        <v>2607.52</v>
      </c>
      <c r="M24" s="23">
        <v>33</v>
      </c>
      <c r="N24" s="23">
        <v>12.43</v>
      </c>
      <c r="O24" s="33">
        <v>-8.8000000000000005E-3</v>
      </c>
      <c r="P24" s="33">
        <v>2.4799999999999999E-2</v>
      </c>
      <c r="Q24" s="23" t="s">
        <v>24</v>
      </c>
      <c r="R24" s="23">
        <v>0</v>
      </c>
      <c r="S24" s="23">
        <v>602.24</v>
      </c>
      <c r="U24" s="47">
        <v>44280</v>
      </c>
      <c r="V24" s="23" t="s">
        <v>109</v>
      </c>
      <c r="W24" s="23" t="s">
        <v>23</v>
      </c>
      <c r="X24" s="28">
        <v>44265.520833333336</v>
      </c>
      <c r="Y24" s="23">
        <v>16.524999999999999</v>
      </c>
      <c r="Z24" s="28">
        <v>44267.5625</v>
      </c>
      <c r="AA24" s="23">
        <v>11.025</v>
      </c>
      <c r="AB24" s="33">
        <v>-0.33279999999999998</v>
      </c>
      <c r="AC24" s="23">
        <v>16623.09</v>
      </c>
      <c r="AD24" s="33">
        <v>0.33279999999999998</v>
      </c>
      <c r="AE24" s="23">
        <v>3022.38</v>
      </c>
      <c r="AF24" s="23">
        <v>49944.83</v>
      </c>
      <c r="AG24" s="23">
        <v>741.47</v>
      </c>
      <c r="AH24" s="23">
        <v>33</v>
      </c>
      <c r="AI24" s="23">
        <v>503.73</v>
      </c>
      <c r="AJ24" s="33">
        <v>-0.15429999999999999</v>
      </c>
      <c r="AK24" s="33">
        <v>0.35849999999999999</v>
      </c>
      <c r="AL24" s="23" t="s">
        <v>24</v>
      </c>
      <c r="AM24" s="23">
        <v>621.95000000000005</v>
      </c>
      <c r="AN24" s="23">
        <v>35888.050000000003</v>
      </c>
      <c r="AO24" s="23">
        <v>602.24</v>
      </c>
      <c r="AQ24" s="50">
        <f t="shared" si="0"/>
        <v>2.6569659940509683E-2</v>
      </c>
      <c r="AR24" s="50"/>
      <c r="AS24" s="48"/>
      <c r="AT24" s="50"/>
      <c r="AV24" s="47">
        <v>44265</v>
      </c>
      <c r="AW24" s="51">
        <v>0.52083333333333337</v>
      </c>
      <c r="AX24" t="s">
        <v>163</v>
      </c>
    </row>
    <row r="25" spans="1:50">
      <c r="A25" s="23" t="s">
        <v>22</v>
      </c>
      <c r="B25" s="23" t="s">
        <v>23</v>
      </c>
      <c r="C25" s="28">
        <v>44267.5625</v>
      </c>
      <c r="D25" s="23">
        <v>627.04999999999995</v>
      </c>
      <c r="E25" s="28">
        <v>44271.385416666664</v>
      </c>
      <c r="F25" s="23">
        <v>609.5</v>
      </c>
      <c r="G25" s="33">
        <v>-2.8000000000000001E-2</v>
      </c>
      <c r="H25" s="23">
        <v>1399.86</v>
      </c>
      <c r="I25" s="33">
        <v>2.8000000000000001E-2</v>
      </c>
      <c r="J25" s="23">
        <v>79.764080000000007</v>
      </c>
      <c r="K25" s="23">
        <v>50016.06</v>
      </c>
      <c r="L25" s="23">
        <v>4007.38</v>
      </c>
      <c r="M25" s="23">
        <v>40</v>
      </c>
      <c r="N25" s="23">
        <v>35</v>
      </c>
      <c r="O25" s="33">
        <v>-1.2E-2</v>
      </c>
      <c r="P25" s="33">
        <v>5.9900000000000002E-2</v>
      </c>
      <c r="Q25" s="23" t="s">
        <v>24</v>
      </c>
      <c r="R25" s="23">
        <v>0</v>
      </c>
      <c r="S25" s="23">
        <v>637.4</v>
      </c>
      <c r="U25" s="47">
        <v>44280</v>
      </c>
      <c r="V25" s="23" t="s">
        <v>108</v>
      </c>
      <c r="W25" s="23" t="s">
        <v>23</v>
      </c>
      <c r="X25" s="28">
        <v>44267.5625</v>
      </c>
      <c r="Y25" s="23">
        <v>18.5</v>
      </c>
      <c r="Z25" s="28">
        <v>44271.385416666664</v>
      </c>
      <c r="AA25" s="23">
        <v>8.1999999999999993</v>
      </c>
      <c r="AB25" s="33">
        <v>-0.55679999999999996</v>
      </c>
      <c r="AC25" s="23">
        <v>27839.9</v>
      </c>
      <c r="AD25" s="33">
        <v>0.55679999999999996</v>
      </c>
      <c r="AE25" s="23">
        <v>2702.9029999999998</v>
      </c>
      <c r="AF25" s="23">
        <v>50003.71</v>
      </c>
      <c r="AG25" s="23">
        <v>28581.37</v>
      </c>
      <c r="AH25" s="23">
        <v>40</v>
      </c>
      <c r="AI25" s="23">
        <v>696</v>
      </c>
      <c r="AJ25" s="33">
        <v>-0.20949999999999999</v>
      </c>
      <c r="AK25" s="33">
        <v>0.6784</v>
      </c>
      <c r="AL25" s="23" t="s">
        <v>24</v>
      </c>
      <c r="AM25" s="23">
        <v>627.04999999999995</v>
      </c>
      <c r="AN25" s="23">
        <v>35544.5</v>
      </c>
      <c r="AO25" s="23">
        <v>637.4</v>
      </c>
      <c r="AQ25" s="50">
        <f t="shared" si="0"/>
        <v>2.9503229407543262E-2</v>
      </c>
      <c r="AR25" s="50"/>
      <c r="AS25" s="48"/>
      <c r="AT25" s="50"/>
      <c r="AV25" s="47">
        <v>44267</v>
      </c>
      <c r="AW25" s="51">
        <v>6.25E-2</v>
      </c>
      <c r="AX25" t="s">
        <v>163</v>
      </c>
    </row>
    <row r="26" spans="1:50">
      <c r="A26" s="23" t="s">
        <v>22</v>
      </c>
      <c r="B26" s="23" t="s">
        <v>25</v>
      </c>
      <c r="C26" s="28">
        <v>44271.385416666664</v>
      </c>
      <c r="D26" s="23">
        <v>609.5</v>
      </c>
      <c r="E26" s="28">
        <v>44271.604166666664</v>
      </c>
      <c r="F26" s="23">
        <v>611.32500000000005</v>
      </c>
      <c r="G26" s="33">
        <v>3.0000000000000001E-3</v>
      </c>
      <c r="H26" s="23">
        <v>149.78</v>
      </c>
      <c r="I26" s="33">
        <v>3.0000000000000001E-3</v>
      </c>
      <c r="J26" s="23">
        <v>82.069929999999999</v>
      </c>
      <c r="K26" s="23">
        <v>50021.62</v>
      </c>
      <c r="L26" s="23">
        <v>4157.16</v>
      </c>
      <c r="M26" s="23">
        <v>22</v>
      </c>
      <c r="N26" s="23">
        <v>6.81</v>
      </c>
      <c r="O26" s="33">
        <v>-8.6999999999999994E-3</v>
      </c>
      <c r="P26" s="33">
        <v>1.5299999999999999E-2</v>
      </c>
      <c r="Q26" s="23" t="s">
        <v>24</v>
      </c>
      <c r="R26" s="23">
        <v>0</v>
      </c>
      <c r="S26" s="23">
        <v>590.97</v>
      </c>
      <c r="U26" s="47">
        <v>44280</v>
      </c>
      <c r="V26" s="23" t="s">
        <v>109</v>
      </c>
      <c r="W26" s="23" t="s">
        <v>23</v>
      </c>
      <c r="X26" s="28">
        <v>44271.385416666664</v>
      </c>
      <c r="Y26" s="23">
        <v>13.025</v>
      </c>
      <c r="Z26" s="28">
        <v>44271.604166666664</v>
      </c>
      <c r="AA26" s="23">
        <v>10.625</v>
      </c>
      <c r="AB26" s="33">
        <v>-0.18429999999999999</v>
      </c>
      <c r="AC26" s="23">
        <v>9244.68</v>
      </c>
      <c r="AD26" s="33">
        <v>0.18429999999999999</v>
      </c>
      <c r="AE26" s="23">
        <v>3851.9479999999999</v>
      </c>
      <c r="AF26" s="23">
        <v>50171.63</v>
      </c>
      <c r="AG26" s="23">
        <v>37826.050000000003</v>
      </c>
      <c r="AH26" s="23">
        <v>22</v>
      </c>
      <c r="AI26" s="23">
        <v>420.21</v>
      </c>
      <c r="AJ26" s="33">
        <v>-0.26679999999999998</v>
      </c>
      <c r="AK26" s="33">
        <v>0.36470000000000002</v>
      </c>
      <c r="AL26" s="23" t="s">
        <v>24</v>
      </c>
      <c r="AM26" s="23">
        <v>609.5</v>
      </c>
      <c r="AN26" s="23">
        <v>35101.449999999997</v>
      </c>
      <c r="AO26" s="23">
        <v>590.97</v>
      </c>
      <c r="AQ26" s="50">
        <f t="shared" si="0"/>
        <v>2.1369975389663658E-2</v>
      </c>
      <c r="AR26" s="50"/>
      <c r="AS26" s="48"/>
      <c r="AT26" s="50"/>
      <c r="AV26" s="47">
        <v>44271</v>
      </c>
      <c r="AW26" s="51">
        <v>0.38541666666666669</v>
      </c>
      <c r="AX26" t="s">
        <v>162</v>
      </c>
    </row>
    <row r="27" spans="1:50">
      <c r="A27" s="23" t="s">
        <v>22</v>
      </c>
      <c r="B27" s="23" t="s">
        <v>23</v>
      </c>
      <c r="C27" s="28">
        <v>44271.604166666664</v>
      </c>
      <c r="D27" s="23">
        <v>611.32500000000005</v>
      </c>
      <c r="E27" s="28">
        <v>44272.520833333336</v>
      </c>
      <c r="F27" s="23">
        <v>600.25</v>
      </c>
      <c r="G27" s="33">
        <v>-1.8100000000000002E-2</v>
      </c>
      <c r="H27" s="23">
        <v>906.22</v>
      </c>
      <c r="I27" s="33">
        <v>1.8100000000000002E-2</v>
      </c>
      <c r="J27" s="23">
        <v>81.825990000000004</v>
      </c>
      <c r="K27" s="23">
        <v>50022.27</v>
      </c>
      <c r="L27" s="23">
        <v>5063.38</v>
      </c>
      <c r="M27" s="23">
        <v>21</v>
      </c>
      <c r="N27" s="23">
        <v>43.15</v>
      </c>
      <c r="O27" s="33">
        <v>-1.0699999999999999E-2</v>
      </c>
      <c r="P27" s="33">
        <v>3.85E-2</v>
      </c>
      <c r="Q27" s="23" t="s">
        <v>24</v>
      </c>
      <c r="R27" s="23">
        <v>0</v>
      </c>
      <c r="S27" s="23">
        <v>618.41999999999996</v>
      </c>
      <c r="U27" s="47">
        <v>44280</v>
      </c>
      <c r="V27" s="23" t="s">
        <v>114</v>
      </c>
      <c r="W27" s="23" t="s">
        <v>23</v>
      </c>
      <c r="X27" s="28">
        <v>44271.604166666664</v>
      </c>
      <c r="Y27" s="23">
        <v>17</v>
      </c>
      <c r="Z27" s="28">
        <v>44272.520833333336</v>
      </c>
      <c r="AA27" s="23">
        <v>10.324999999999999</v>
      </c>
      <c r="AB27" s="33">
        <v>-0.3926</v>
      </c>
      <c r="AC27" s="23">
        <v>19722.68</v>
      </c>
      <c r="AD27" s="33">
        <v>0.3926</v>
      </c>
      <c r="AE27" s="23">
        <v>2954.7089999999998</v>
      </c>
      <c r="AF27" s="23">
        <v>50230.06</v>
      </c>
      <c r="AG27" s="23">
        <v>57548.73</v>
      </c>
      <c r="AH27" s="23">
        <v>21</v>
      </c>
      <c r="AI27" s="23">
        <v>939.18</v>
      </c>
      <c r="AJ27" s="33">
        <v>-0.14710000000000001</v>
      </c>
      <c r="AK27" s="33">
        <v>0.55879999999999996</v>
      </c>
      <c r="AL27" s="23" t="s">
        <v>24</v>
      </c>
      <c r="AM27" s="23">
        <v>611.33000000000004</v>
      </c>
      <c r="AN27" s="23">
        <v>34889.800000000003</v>
      </c>
      <c r="AO27" s="23">
        <v>618.41999999999996</v>
      </c>
      <c r="AQ27" s="50">
        <f t="shared" si="0"/>
        <v>2.78082214188736E-2</v>
      </c>
      <c r="AR27" s="50"/>
      <c r="AS27" s="48"/>
      <c r="AT27" s="50"/>
      <c r="AV27" s="47">
        <v>44271</v>
      </c>
      <c r="AW27" s="51">
        <v>0.10416666666666667</v>
      </c>
      <c r="AX27" t="s">
        <v>163</v>
      </c>
    </row>
    <row r="28" spans="1:50">
      <c r="A28" s="23" t="s">
        <v>22</v>
      </c>
      <c r="B28" s="23" t="s">
        <v>25</v>
      </c>
      <c r="C28" s="28">
        <v>44272.520833333336</v>
      </c>
      <c r="D28" s="23">
        <v>600.25</v>
      </c>
      <c r="E28" s="28">
        <v>44272.583333333336</v>
      </c>
      <c r="F28" s="23">
        <v>592.125</v>
      </c>
      <c r="G28" s="33">
        <v>-1.35E-2</v>
      </c>
      <c r="H28" s="23">
        <v>-677.14</v>
      </c>
      <c r="I28" s="33">
        <v>-1.35E-2</v>
      </c>
      <c r="J28" s="23">
        <v>83.339830000000006</v>
      </c>
      <c r="K28" s="23">
        <v>50024.73</v>
      </c>
      <c r="L28" s="23">
        <v>4386.24</v>
      </c>
      <c r="M28" s="23">
        <v>7</v>
      </c>
      <c r="N28" s="23">
        <v>-96.73</v>
      </c>
      <c r="O28" s="33">
        <v>-1.35E-2</v>
      </c>
      <c r="P28" s="33">
        <v>4.7999999999999996E-3</v>
      </c>
      <c r="Q28" s="23" t="s">
        <v>24</v>
      </c>
      <c r="R28" s="23">
        <v>0</v>
      </c>
      <c r="S28" s="23">
        <v>588.38</v>
      </c>
      <c r="U28" s="47">
        <v>44280</v>
      </c>
      <c r="V28" s="23" t="s">
        <v>106</v>
      </c>
      <c r="W28" s="23" t="s">
        <v>23</v>
      </c>
      <c r="X28" s="28">
        <v>44272.520833333336</v>
      </c>
      <c r="Y28" s="23">
        <v>2</v>
      </c>
      <c r="Z28" s="28">
        <v>44272.583333333336</v>
      </c>
      <c r="AA28" s="23">
        <v>3.35</v>
      </c>
      <c r="AB28" s="33">
        <v>0.67500000000000004</v>
      </c>
      <c r="AC28" s="23">
        <v>-33938.74</v>
      </c>
      <c r="AD28" s="33">
        <v>-0.67500000000000004</v>
      </c>
      <c r="AE28" s="23">
        <v>25139.81</v>
      </c>
      <c r="AF28" s="23">
        <v>50279.62</v>
      </c>
      <c r="AG28" s="23">
        <v>23609.99</v>
      </c>
      <c r="AH28" s="23">
        <v>7</v>
      </c>
      <c r="AI28" s="23">
        <v>-4848.3900000000003</v>
      </c>
      <c r="AJ28" s="33">
        <v>-0.67500000000000004</v>
      </c>
      <c r="AK28" s="33">
        <v>0.125</v>
      </c>
      <c r="AL28" s="23" t="s">
        <v>24</v>
      </c>
      <c r="AM28" s="23">
        <v>600.25</v>
      </c>
      <c r="AN28" s="23">
        <v>34693.35</v>
      </c>
      <c r="AO28" s="23">
        <v>588.38</v>
      </c>
      <c r="AQ28" s="50">
        <f t="shared" si="0"/>
        <v>3.3319450229071222E-3</v>
      </c>
      <c r="AR28" s="50"/>
      <c r="AS28" s="48"/>
      <c r="AT28" s="50"/>
      <c r="AV28" s="47">
        <v>44272</v>
      </c>
      <c r="AW28" s="51">
        <v>0.52083333333333337</v>
      </c>
      <c r="AX28" t="s">
        <v>163</v>
      </c>
    </row>
    <row r="29" spans="1:50">
      <c r="A29" s="23" t="s">
        <v>22</v>
      </c>
      <c r="B29" s="23" t="s">
        <v>23</v>
      </c>
      <c r="C29" s="28">
        <v>44272.583333333336</v>
      </c>
      <c r="D29" s="23">
        <v>592.125</v>
      </c>
      <c r="E29" s="28">
        <v>44273.385416666664</v>
      </c>
      <c r="F29" s="23">
        <v>595.92499999999995</v>
      </c>
      <c r="G29" s="33">
        <v>6.4000000000000003E-3</v>
      </c>
      <c r="H29" s="23">
        <v>-321.02</v>
      </c>
      <c r="I29" s="33">
        <v>-6.4000000000000003E-3</v>
      </c>
      <c r="J29" s="23">
        <v>84.479320000000001</v>
      </c>
      <c r="K29" s="23">
        <v>50022.32</v>
      </c>
      <c r="L29" s="23">
        <v>4065.22</v>
      </c>
      <c r="M29" s="23">
        <v>10</v>
      </c>
      <c r="N29" s="23">
        <v>-32.1</v>
      </c>
      <c r="O29" s="33">
        <v>-1.0800000000000001E-2</v>
      </c>
      <c r="P29" s="33">
        <v>1.6799999999999999E-2</v>
      </c>
      <c r="Q29" s="23" t="s">
        <v>24</v>
      </c>
      <c r="R29" s="23">
        <v>0</v>
      </c>
      <c r="S29" s="23">
        <v>602.89</v>
      </c>
      <c r="U29" s="47">
        <v>44280</v>
      </c>
      <c r="V29" s="23" t="s">
        <v>115</v>
      </c>
      <c r="W29" s="23" t="s">
        <v>23</v>
      </c>
      <c r="X29" s="28">
        <v>44272.583333333336</v>
      </c>
      <c r="Y29" s="23">
        <v>15.9</v>
      </c>
      <c r="Z29" s="28">
        <v>44273.385416666664</v>
      </c>
      <c r="AA29" s="23">
        <v>22.675000000000001</v>
      </c>
      <c r="AB29" s="33">
        <v>0.42609999999999998</v>
      </c>
      <c r="AC29" s="23">
        <v>-21376.76</v>
      </c>
      <c r="AD29" s="33">
        <v>-0.42609999999999998</v>
      </c>
      <c r="AE29" s="23">
        <v>3155.241</v>
      </c>
      <c r="AF29" s="23">
        <v>50168.33</v>
      </c>
      <c r="AG29" s="23">
        <v>2233.23</v>
      </c>
      <c r="AH29" s="23">
        <v>10</v>
      </c>
      <c r="AI29" s="23">
        <v>-2137.6799999999998</v>
      </c>
      <c r="AJ29" s="33">
        <v>-0.434</v>
      </c>
      <c r="AK29" s="33">
        <v>0.20130000000000001</v>
      </c>
      <c r="AL29" s="23" t="s">
        <v>24</v>
      </c>
      <c r="AM29" s="23">
        <v>592.13</v>
      </c>
      <c r="AN29" s="23">
        <v>34518.15</v>
      </c>
      <c r="AO29" s="23">
        <v>602.89</v>
      </c>
      <c r="AQ29" s="50">
        <f t="shared" si="0"/>
        <v>2.6852211507608127E-2</v>
      </c>
      <c r="AR29" s="50"/>
      <c r="AS29" s="48"/>
      <c r="AT29" s="50"/>
      <c r="AV29" s="47">
        <v>44272</v>
      </c>
      <c r="AW29" s="51">
        <v>8.3333333333333329E-2</v>
      </c>
      <c r="AX29" t="s">
        <v>163</v>
      </c>
    </row>
    <row r="30" spans="1:50">
      <c r="A30" s="23" t="s">
        <v>22</v>
      </c>
      <c r="B30" s="23" t="s">
        <v>25</v>
      </c>
      <c r="C30" s="28">
        <v>44273.385416666664</v>
      </c>
      <c r="D30" s="23">
        <v>595.92499999999995</v>
      </c>
      <c r="E30" s="28">
        <v>44273.4375</v>
      </c>
      <c r="F30" s="23">
        <v>584.875</v>
      </c>
      <c r="G30" s="33">
        <v>-1.8499999999999999E-2</v>
      </c>
      <c r="H30" s="23">
        <v>-927.49</v>
      </c>
      <c r="I30" s="33">
        <v>-1.8499999999999999E-2</v>
      </c>
      <c r="J30" s="23">
        <v>83.935460000000006</v>
      </c>
      <c r="K30" s="23">
        <v>50019.24</v>
      </c>
      <c r="L30" s="23">
        <v>3137.73</v>
      </c>
      <c r="M30" s="23">
        <v>6</v>
      </c>
      <c r="N30" s="23">
        <v>-154.58000000000001</v>
      </c>
      <c r="O30" s="33">
        <v>-1.8499999999999999E-2</v>
      </c>
      <c r="P30" s="33">
        <v>1.52E-2</v>
      </c>
      <c r="Q30" s="23" t="s">
        <v>24</v>
      </c>
      <c r="R30" s="23">
        <v>0</v>
      </c>
      <c r="S30" s="23">
        <v>583.39</v>
      </c>
      <c r="U30" s="47">
        <v>44280</v>
      </c>
      <c r="V30" s="23" t="s">
        <v>106</v>
      </c>
      <c r="W30" s="23" t="s">
        <v>23</v>
      </c>
      <c r="X30" s="28">
        <v>44273.385416666664</v>
      </c>
      <c r="Y30" s="23">
        <v>4.45</v>
      </c>
      <c r="Z30" s="28">
        <v>44273.4375</v>
      </c>
      <c r="AA30" s="23">
        <v>4.45</v>
      </c>
      <c r="AB30" s="33">
        <v>0</v>
      </c>
      <c r="AC30" s="23">
        <v>0</v>
      </c>
      <c r="AD30" s="33">
        <v>0</v>
      </c>
      <c r="AE30" s="23">
        <v>11265.76</v>
      </c>
      <c r="AF30" s="23">
        <v>50132.639999999999</v>
      </c>
      <c r="AG30" s="23">
        <v>2233.23</v>
      </c>
      <c r="AH30" s="23">
        <v>6</v>
      </c>
      <c r="AI30" s="23">
        <v>0</v>
      </c>
      <c r="AJ30" s="33">
        <v>0</v>
      </c>
      <c r="AK30" s="33">
        <v>0.43819999999999998</v>
      </c>
      <c r="AL30" s="23" t="s">
        <v>24</v>
      </c>
      <c r="AM30" s="23">
        <v>595.91999999999996</v>
      </c>
      <c r="AN30" s="23">
        <v>34614.75</v>
      </c>
      <c r="AO30" s="23">
        <v>583.39</v>
      </c>
      <c r="AQ30" s="50">
        <f t="shared" si="0"/>
        <v>7.4674452946704266E-3</v>
      </c>
      <c r="AR30" s="50"/>
      <c r="AS30" s="48"/>
      <c r="AT30" s="50"/>
      <c r="AV30" s="47">
        <v>44273</v>
      </c>
      <c r="AW30" s="51">
        <v>0.38541666666666669</v>
      </c>
      <c r="AX30" t="s">
        <v>162</v>
      </c>
    </row>
    <row r="31" spans="1:50">
      <c r="A31" s="23" t="s">
        <v>22</v>
      </c>
      <c r="B31" s="23" t="s">
        <v>23</v>
      </c>
      <c r="C31" s="28">
        <v>44273.4375</v>
      </c>
      <c r="D31" s="23">
        <v>584.875</v>
      </c>
      <c r="E31" s="28">
        <v>44273.5</v>
      </c>
      <c r="F31" s="23">
        <v>602.77499999999998</v>
      </c>
      <c r="G31" s="33">
        <v>3.0599999999999999E-2</v>
      </c>
      <c r="H31" s="23">
        <v>-1530.81</v>
      </c>
      <c r="I31" s="33">
        <v>-3.0599999999999999E-2</v>
      </c>
      <c r="J31" s="23">
        <v>85.520179999999996</v>
      </c>
      <c r="K31" s="23">
        <v>50018.61</v>
      </c>
      <c r="L31" s="23">
        <v>1606.92</v>
      </c>
      <c r="M31" s="23">
        <v>7</v>
      </c>
      <c r="N31" s="23">
        <v>-218.69</v>
      </c>
      <c r="O31" s="33">
        <v>-3.0599999999999999E-2</v>
      </c>
      <c r="P31" s="33">
        <v>8.3000000000000001E-3</v>
      </c>
      <c r="Q31" s="23" t="s">
        <v>24</v>
      </c>
      <c r="R31" s="23">
        <v>0</v>
      </c>
      <c r="S31" s="23">
        <v>604.66</v>
      </c>
      <c r="U31" s="47">
        <v>44280</v>
      </c>
      <c r="V31" s="23" t="s">
        <v>115</v>
      </c>
      <c r="W31" s="23" t="s">
        <v>23</v>
      </c>
      <c r="X31" s="28">
        <v>44273.4375</v>
      </c>
      <c r="Y31" s="23">
        <v>15.074999999999999</v>
      </c>
      <c r="Z31" s="28">
        <v>44273.5</v>
      </c>
      <c r="AA31" s="23">
        <v>21.25</v>
      </c>
      <c r="AB31" s="33">
        <v>0.40960000000000002</v>
      </c>
      <c r="AC31" s="23">
        <v>-20508.580000000002</v>
      </c>
      <c r="AD31" s="33">
        <v>-0.40960000000000002</v>
      </c>
      <c r="AE31" s="23">
        <v>3321.2269999999999</v>
      </c>
      <c r="AF31" s="23">
        <v>50067.49</v>
      </c>
      <c r="AG31" s="23">
        <v>-18275.34</v>
      </c>
      <c r="AH31" s="23">
        <v>7</v>
      </c>
      <c r="AI31" s="23">
        <v>-2929.8</v>
      </c>
      <c r="AJ31" s="33">
        <v>-0.40960000000000002</v>
      </c>
      <c r="AK31" s="33">
        <v>3.4799999999999998E-2</v>
      </c>
      <c r="AL31" s="23" t="s">
        <v>24</v>
      </c>
      <c r="AM31" s="23">
        <v>584.88</v>
      </c>
      <c r="AN31" s="23">
        <v>34447.75</v>
      </c>
      <c r="AO31" s="23">
        <v>604.66</v>
      </c>
      <c r="AQ31" s="50">
        <f t="shared" si="0"/>
        <v>2.5774517849815347E-2</v>
      </c>
      <c r="AR31" s="50"/>
      <c r="AS31" s="48"/>
      <c r="AT31" s="50"/>
      <c r="AV31" s="47">
        <v>44273</v>
      </c>
      <c r="AW31" s="51">
        <v>0.4375</v>
      </c>
      <c r="AX31" t="s">
        <v>162</v>
      </c>
    </row>
    <row r="32" spans="1:50">
      <c r="A32" s="23" t="s">
        <v>22</v>
      </c>
      <c r="B32" s="23" t="s">
        <v>25</v>
      </c>
      <c r="C32" s="28">
        <v>44273.5</v>
      </c>
      <c r="D32" s="23">
        <v>602.77499999999998</v>
      </c>
      <c r="E32" s="28">
        <v>44273.552083333336</v>
      </c>
      <c r="F32" s="23">
        <v>589.02499999999998</v>
      </c>
      <c r="G32" s="33">
        <v>-2.2800000000000001E-2</v>
      </c>
      <c r="H32" s="23">
        <v>-1140.79</v>
      </c>
      <c r="I32" s="33">
        <v>-2.2800000000000001E-2</v>
      </c>
      <c r="J32" s="23">
        <v>82.966740000000001</v>
      </c>
      <c r="K32" s="23">
        <v>50010.28</v>
      </c>
      <c r="L32" s="23">
        <v>466.13</v>
      </c>
      <c r="M32" s="23">
        <v>6</v>
      </c>
      <c r="N32" s="23">
        <v>-190.13</v>
      </c>
      <c r="O32" s="33">
        <v>-2.2800000000000001E-2</v>
      </c>
      <c r="P32" s="33">
        <v>1.6999999999999999E-3</v>
      </c>
      <c r="Q32" s="23" t="s">
        <v>24</v>
      </c>
      <c r="R32" s="23">
        <v>0</v>
      </c>
      <c r="S32" s="23">
        <v>580.87</v>
      </c>
      <c r="U32" s="47">
        <v>44280</v>
      </c>
      <c r="V32" s="23" t="s">
        <v>116</v>
      </c>
      <c r="W32" s="23" t="s">
        <v>23</v>
      </c>
      <c r="X32" s="28">
        <v>44273.5</v>
      </c>
      <c r="Y32" s="23">
        <v>9.1750000000000007</v>
      </c>
      <c r="Z32" s="28">
        <v>44273.552083333336</v>
      </c>
      <c r="AA32" s="23">
        <v>15.5</v>
      </c>
      <c r="AB32" s="33">
        <v>0.68940000000000001</v>
      </c>
      <c r="AC32" s="23">
        <v>-34429.71</v>
      </c>
      <c r="AD32" s="33">
        <v>-0.68940000000000001</v>
      </c>
      <c r="AE32" s="23">
        <v>5443.433</v>
      </c>
      <c r="AF32" s="23">
        <v>49943.5</v>
      </c>
      <c r="AG32" s="23">
        <v>-52705.06</v>
      </c>
      <c r="AH32" s="23">
        <v>6</v>
      </c>
      <c r="AI32" s="23">
        <v>-5738.29</v>
      </c>
      <c r="AJ32" s="33">
        <v>-0.68940000000000001</v>
      </c>
      <c r="AK32" s="33">
        <v>0</v>
      </c>
      <c r="AL32" s="23" t="s">
        <v>24</v>
      </c>
      <c r="AM32" s="23">
        <v>602.78</v>
      </c>
      <c r="AN32" s="23">
        <v>34622.9</v>
      </c>
      <c r="AO32" s="23">
        <v>580.87</v>
      </c>
      <c r="AQ32" s="50">
        <f t="shared" si="0"/>
        <v>1.5221142041872658E-2</v>
      </c>
      <c r="AR32" s="50"/>
      <c r="AS32" s="48"/>
      <c r="AT32" s="50"/>
      <c r="AV32" s="47">
        <v>44273</v>
      </c>
      <c r="AW32" s="51">
        <v>0.5</v>
      </c>
      <c r="AX32" t="s">
        <v>163</v>
      </c>
    </row>
    <row r="33" spans="1:50">
      <c r="A33" s="23" t="s">
        <v>22</v>
      </c>
      <c r="B33" s="23" t="s">
        <v>23</v>
      </c>
      <c r="C33" s="28">
        <v>44273.552083333336</v>
      </c>
      <c r="D33" s="23">
        <v>589.02499999999998</v>
      </c>
      <c r="E33" s="28">
        <v>44274.427083333336</v>
      </c>
      <c r="F33" s="23">
        <v>581.5</v>
      </c>
      <c r="G33" s="33">
        <v>-1.2800000000000001E-2</v>
      </c>
      <c r="H33" s="23">
        <v>638.84</v>
      </c>
      <c r="I33" s="33">
        <v>1.2800000000000001E-2</v>
      </c>
      <c r="J33" s="23">
        <v>84.895970000000005</v>
      </c>
      <c r="K33" s="23">
        <v>50005.85</v>
      </c>
      <c r="L33" s="23">
        <v>1104.97</v>
      </c>
      <c r="M33" s="23">
        <v>17</v>
      </c>
      <c r="N33" s="23">
        <v>37.58</v>
      </c>
      <c r="O33" s="33">
        <v>-1.5100000000000001E-2</v>
      </c>
      <c r="P33" s="33">
        <v>4.5900000000000003E-2</v>
      </c>
      <c r="Q33" s="23" t="s">
        <v>24</v>
      </c>
      <c r="R33" s="23">
        <v>0</v>
      </c>
      <c r="S33" s="23">
        <v>603.83000000000004</v>
      </c>
      <c r="U33" s="47">
        <v>44280</v>
      </c>
      <c r="V33" s="23" t="s">
        <v>107</v>
      </c>
      <c r="W33" s="23" t="s">
        <v>23</v>
      </c>
      <c r="X33" s="28">
        <v>44273.552083333336</v>
      </c>
      <c r="Y33" s="23">
        <v>8.5500000000000007</v>
      </c>
      <c r="Z33" s="28">
        <v>44274.427083333336</v>
      </c>
      <c r="AA33" s="23">
        <v>9.0250000000000004</v>
      </c>
      <c r="AB33" s="33">
        <v>5.5599999999999997E-2</v>
      </c>
      <c r="AC33" s="23">
        <v>-2770.09</v>
      </c>
      <c r="AD33" s="33">
        <v>-5.5599999999999997E-2</v>
      </c>
      <c r="AE33" s="23">
        <v>5831.7740000000003</v>
      </c>
      <c r="AF33" s="23">
        <v>49861.67</v>
      </c>
      <c r="AG33" s="23">
        <v>-55475.15</v>
      </c>
      <c r="AH33" s="23">
        <v>17</v>
      </c>
      <c r="AI33" s="23">
        <v>-162.94999999999999</v>
      </c>
      <c r="AJ33" s="33">
        <v>-0.46200000000000002</v>
      </c>
      <c r="AK33" s="33">
        <v>0.38300000000000001</v>
      </c>
      <c r="AL33" s="23" t="s">
        <v>24</v>
      </c>
      <c r="AM33" s="23">
        <v>589.03</v>
      </c>
      <c r="AN33" s="23">
        <v>34016.35</v>
      </c>
      <c r="AO33" s="23">
        <v>603.83000000000004</v>
      </c>
      <c r="AQ33" s="50">
        <f t="shared" si="0"/>
        <v>1.4515389708503813E-2</v>
      </c>
      <c r="AR33" s="50"/>
      <c r="AS33" s="48"/>
      <c r="AT33" s="50"/>
      <c r="AV33" s="47">
        <v>44273</v>
      </c>
      <c r="AW33" s="51">
        <v>5.2083333333333336E-2</v>
      </c>
      <c r="AX33" t="s">
        <v>163</v>
      </c>
    </row>
    <row r="34" spans="1:50">
      <c r="A34" s="23" t="s">
        <v>22</v>
      </c>
      <c r="B34" s="23" t="s">
        <v>25</v>
      </c>
      <c r="C34" s="28">
        <v>44274.427083333336</v>
      </c>
      <c r="D34" s="23">
        <v>581.5</v>
      </c>
      <c r="E34" s="28">
        <v>44277.604166666664</v>
      </c>
      <c r="F34" s="23">
        <v>609.92499999999995</v>
      </c>
      <c r="G34" s="33">
        <v>4.8899999999999999E-2</v>
      </c>
      <c r="H34" s="23">
        <v>2444.33</v>
      </c>
      <c r="I34" s="33">
        <v>4.8899999999999999E-2</v>
      </c>
      <c r="J34" s="23">
        <v>85.992220000000003</v>
      </c>
      <c r="K34" s="23">
        <v>50004.480000000003</v>
      </c>
      <c r="L34" s="23">
        <v>3549.3</v>
      </c>
      <c r="M34" s="23">
        <v>46</v>
      </c>
      <c r="N34" s="23">
        <v>53.14</v>
      </c>
      <c r="O34" s="33">
        <v>-5.1000000000000004E-3</v>
      </c>
      <c r="P34" s="33">
        <v>6.1699999999999998E-2</v>
      </c>
      <c r="Q34" s="23" t="s">
        <v>24</v>
      </c>
      <c r="R34" s="23">
        <v>0</v>
      </c>
      <c r="S34" s="23">
        <v>562.99</v>
      </c>
      <c r="U34" s="47">
        <v>44280</v>
      </c>
      <c r="V34" s="23" t="s">
        <v>116</v>
      </c>
      <c r="W34" s="23" t="s">
        <v>23</v>
      </c>
      <c r="X34" s="28">
        <v>44274.427083333336</v>
      </c>
      <c r="Y34" s="23">
        <v>20.149999999999999</v>
      </c>
      <c r="Z34" s="28">
        <v>44277.604166666664</v>
      </c>
      <c r="AA34" s="23">
        <v>3.6</v>
      </c>
      <c r="AB34" s="33">
        <v>-0.82130000000000003</v>
      </c>
      <c r="AC34" s="23">
        <v>40815.83</v>
      </c>
      <c r="AD34" s="33">
        <v>0.82130000000000003</v>
      </c>
      <c r="AE34" s="23">
        <v>2466.2130000000002</v>
      </c>
      <c r="AF34" s="23">
        <v>49694.2</v>
      </c>
      <c r="AG34" s="23">
        <v>-14659.32</v>
      </c>
      <c r="AH34" s="23">
        <v>46</v>
      </c>
      <c r="AI34" s="23">
        <v>887.3</v>
      </c>
      <c r="AJ34" s="33">
        <v>-8.6999999999999994E-3</v>
      </c>
      <c r="AK34" s="33">
        <v>0.84989999999999999</v>
      </c>
      <c r="AL34" s="23" t="s">
        <v>24</v>
      </c>
      <c r="AM34" s="23">
        <v>581.5</v>
      </c>
      <c r="AN34" s="23">
        <v>33821.75</v>
      </c>
      <c r="AO34" s="23">
        <v>562.99</v>
      </c>
      <c r="AQ34" s="50">
        <f t="shared" si="0"/>
        <v>3.4651762682717108E-2</v>
      </c>
      <c r="AR34" s="50"/>
      <c r="AS34" s="48"/>
      <c r="AT34" s="50"/>
      <c r="AV34" s="47">
        <v>44274</v>
      </c>
      <c r="AW34" s="51">
        <v>0.42708333333333331</v>
      </c>
      <c r="AX34" t="s">
        <v>162</v>
      </c>
    </row>
    <row r="35" spans="1:50">
      <c r="A35" s="23" t="s">
        <v>22</v>
      </c>
      <c r="B35" s="23" t="s">
        <v>23</v>
      </c>
      <c r="C35" s="28">
        <v>44277.604166666664</v>
      </c>
      <c r="D35" s="23">
        <v>609.92499999999995</v>
      </c>
      <c r="E35" s="28">
        <v>44278.385416666664</v>
      </c>
      <c r="F35" s="23">
        <v>616.75</v>
      </c>
      <c r="G35" s="33">
        <v>1.12E-2</v>
      </c>
      <c r="H35" s="23">
        <v>-559.69000000000005</v>
      </c>
      <c r="I35" s="33">
        <v>-1.12E-2</v>
      </c>
      <c r="J35" s="23">
        <v>82.006460000000004</v>
      </c>
      <c r="K35" s="23">
        <v>50017.79</v>
      </c>
      <c r="L35" s="23">
        <v>2989.61</v>
      </c>
      <c r="M35" s="23">
        <v>8</v>
      </c>
      <c r="N35" s="23">
        <v>-69.959999999999994</v>
      </c>
      <c r="O35" s="33">
        <v>-1.24E-2</v>
      </c>
      <c r="P35" s="33">
        <v>3.2000000000000002E-3</v>
      </c>
      <c r="Q35" s="23" t="s">
        <v>24</v>
      </c>
      <c r="R35" s="23">
        <v>0</v>
      </c>
      <c r="S35" s="23">
        <v>617.19000000000005</v>
      </c>
      <c r="U35" s="47">
        <v>44280</v>
      </c>
      <c r="V35" s="23" t="s">
        <v>114</v>
      </c>
      <c r="W35" s="23" t="s">
        <v>23</v>
      </c>
      <c r="X35" s="28">
        <v>44277.604166666664</v>
      </c>
      <c r="Y35" s="23">
        <v>10.050000000000001</v>
      </c>
      <c r="Z35" s="28">
        <v>44278.385416666664</v>
      </c>
      <c r="AA35" s="23">
        <v>11.2</v>
      </c>
      <c r="AB35" s="33">
        <v>0.1144</v>
      </c>
      <c r="AC35" s="23">
        <v>-5713.01</v>
      </c>
      <c r="AD35" s="33">
        <v>-0.1144</v>
      </c>
      <c r="AE35" s="23">
        <v>4967.8310000000001</v>
      </c>
      <c r="AF35" s="23">
        <v>49926.7</v>
      </c>
      <c r="AG35" s="23">
        <v>-20372.330000000002</v>
      </c>
      <c r="AH35" s="23">
        <v>8</v>
      </c>
      <c r="AI35" s="23">
        <v>-714.13</v>
      </c>
      <c r="AJ35" s="33">
        <v>-0.24379999999999999</v>
      </c>
      <c r="AK35" s="33">
        <v>0.1915</v>
      </c>
      <c r="AL35" s="23" t="s">
        <v>24</v>
      </c>
      <c r="AM35" s="23">
        <v>609.91999999999996</v>
      </c>
      <c r="AN35" s="23">
        <v>33488.300000000003</v>
      </c>
      <c r="AO35" s="23">
        <v>617.19000000000005</v>
      </c>
      <c r="AQ35" s="50">
        <f t="shared" si="0"/>
        <v>1.6477570828961178E-2</v>
      </c>
      <c r="AR35" s="50"/>
      <c r="AS35" s="48"/>
      <c r="AT35" s="50"/>
      <c r="AV35" s="47">
        <v>44277</v>
      </c>
      <c r="AW35" s="51">
        <v>0.10416666666666667</v>
      </c>
      <c r="AX35" t="s">
        <v>163</v>
      </c>
    </row>
    <row r="36" spans="1:50">
      <c r="A36" s="23" t="s">
        <v>22</v>
      </c>
      <c r="B36" s="23" t="s">
        <v>25</v>
      </c>
      <c r="C36" s="28">
        <v>44278.385416666664</v>
      </c>
      <c r="D36" s="23">
        <v>616.75</v>
      </c>
      <c r="E36" s="28">
        <v>44278.59375</v>
      </c>
      <c r="F36" s="23">
        <v>626.125</v>
      </c>
      <c r="G36" s="33">
        <v>1.52E-2</v>
      </c>
      <c r="H36" s="23">
        <v>760.25</v>
      </c>
      <c r="I36" s="33">
        <v>1.52E-2</v>
      </c>
      <c r="J36" s="23">
        <v>81.093860000000006</v>
      </c>
      <c r="K36" s="23">
        <v>50014.64</v>
      </c>
      <c r="L36" s="23">
        <v>3749.86</v>
      </c>
      <c r="M36" s="23">
        <v>21</v>
      </c>
      <c r="N36" s="23">
        <v>36.200000000000003</v>
      </c>
      <c r="O36" s="33">
        <v>-1.0699999999999999E-2</v>
      </c>
      <c r="P36" s="33">
        <v>3.1099999999999999E-2</v>
      </c>
      <c r="Q36" s="23" t="s">
        <v>24</v>
      </c>
      <c r="R36" s="23">
        <v>0</v>
      </c>
      <c r="S36" s="23">
        <v>608.55999999999995</v>
      </c>
      <c r="U36" s="47">
        <v>44280</v>
      </c>
      <c r="V36" s="23" t="s">
        <v>106</v>
      </c>
      <c r="W36" s="23" t="s">
        <v>23</v>
      </c>
      <c r="X36" s="28">
        <v>44278.395833333336</v>
      </c>
      <c r="Y36" s="23">
        <v>0.25</v>
      </c>
      <c r="Z36" s="28">
        <v>44278.59375</v>
      </c>
      <c r="AA36" s="23">
        <v>0.375</v>
      </c>
      <c r="AB36" s="33">
        <v>0.5</v>
      </c>
      <c r="AC36" s="23">
        <v>-24949.07</v>
      </c>
      <c r="AD36" s="33">
        <v>-0.5</v>
      </c>
      <c r="AE36" s="23">
        <v>199592.5</v>
      </c>
      <c r="AF36" s="23">
        <v>49898.14</v>
      </c>
      <c r="AG36" s="23">
        <v>-45321.4</v>
      </c>
      <c r="AH36" s="23">
        <v>20</v>
      </c>
      <c r="AI36" s="23">
        <v>-1247.45</v>
      </c>
      <c r="AJ36" s="33">
        <v>-0.5</v>
      </c>
      <c r="AK36" s="33">
        <v>0.2</v>
      </c>
      <c r="AL36" s="23" t="s">
        <v>24</v>
      </c>
      <c r="AM36" s="23">
        <v>613.95000000000005</v>
      </c>
      <c r="AN36" s="23">
        <v>33853.599999999999</v>
      </c>
      <c r="AO36" s="23">
        <v>609.08000000000004</v>
      </c>
      <c r="AQ36" s="50">
        <f t="shared" si="0"/>
        <v>4.0719928332926133E-4</v>
      </c>
      <c r="AR36" s="50"/>
      <c r="AS36" s="48"/>
      <c r="AT36" s="50"/>
      <c r="AV36" s="47">
        <v>44278</v>
      </c>
      <c r="AW36" s="51">
        <v>0.39583333333333331</v>
      </c>
      <c r="AX36" t="s">
        <v>162</v>
      </c>
    </row>
    <row r="37" spans="1:50">
      <c r="A37" s="23" t="s">
        <v>22</v>
      </c>
      <c r="B37" s="23" t="s">
        <v>23</v>
      </c>
      <c r="C37" s="28">
        <v>44278.59375</v>
      </c>
      <c r="D37" s="23">
        <v>626.125</v>
      </c>
      <c r="E37" s="28">
        <v>44279.583333333336</v>
      </c>
      <c r="F37" s="23">
        <v>611.47500000000002</v>
      </c>
      <c r="G37" s="33">
        <v>-2.3400000000000001E-2</v>
      </c>
      <c r="H37" s="23">
        <v>1170.33</v>
      </c>
      <c r="I37" s="33">
        <v>2.3400000000000001E-2</v>
      </c>
      <c r="J37" s="23">
        <v>79.886200000000002</v>
      </c>
      <c r="K37" s="23">
        <v>50018.75</v>
      </c>
      <c r="L37" s="23">
        <v>4920.1899999999996</v>
      </c>
      <c r="M37" s="23">
        <v>28</v>
      </c>
      <c r="N37" s="23">
        <v>41.8</v>
      </c>
      <c r="O37" s="33">
        <v>-7.9000000000000008E-3</v>
      </c>
      <c r="P37" s="33">
        <v>2.9700000000000001E-2</v>
      </c>
      <c r="Q37" s="23" t="s">
        <v>24</v>
      </c>
      <c r="R37" s="23">
        <v>0</v>
      </c>
      <c r="S37" s="23">
        <v>635.51</v>
      </c>
      <c r="U37" s="47">
        <v>44280</v>
      </c>
      <c r="V37" s="23" t="s">
        <v>113</v>
      </c>
      <c r="W37" s="23" t="s">
        <v>23</v>
      </c>
      <c r="X37" s="28">
        <v>44278.59375</v>
      </c>
      <c r="Y37" s="23">
        <v>10.875</v>
      </c>
      <c r="Z37" s="28">
        <v>44279.583333333336</v>
      </c>
      <c r="AA37" s="23">
        <v>3.25</v>
      </c>
      <c r="AB37" s="33">
        <v>-0.70109999999999995</v>
      </c>
      <c r="AC37" s="23">
        <v>34898.589999999997</v>
      </c>
      <c r="AD37" s="33">
        <v>0.70109999999999995</v>
      </c>
      <c r="AE37" s="23">
        <v>4576.8639999999996</v>
      </c>
      <c r="AF37" s="23">
        <v>49773.39</v>
      </c>
      <c r="AG37" s="23">
        <v>-10422.81</v>
      </c>
      <c r="AH37" s="23">
        <v>28</v>
      </c>
      <c r="AI37" s="23">
        <v>1246.3800000000001</v>
      </c>
      <c r="AJ37" s="33">
        <v>-0.39539999999999997</v>
      </c>
      <c r="AK37" s="33">
        <v>0.81379999999999997</v>
      </c>
      <c r="AL37" s="23" t="s">
        <v>24</v>
      </c>
      <c r="AM37" s="23">
        <v>626.13</v>
      </c>
      <c r="AN37" s="23">
        <v>34204.699999999997</v>
      </c>
      <c r="AO37" s="23">
        <v>635.51</v>
      </c>
      <c r="AQ37" s="50">
        <f t="shared" si="0"/>
        <v>1.7368597575583344E-2</v>
      </c>
      <c r="AR37" s="50"/>
      <c r="AS37" s="48"/>
      <c r="AT37" s="50"/>
      <c r="AV37" s="47">
        <v>44278</v>
      </c>
      <c r="AW37" s="51">
        <v>9.375E-2</v>
      </c>
      <c r="AX37" t="s">
        <v>163</v>
      </c>
    </row>
    <row r="38" spans="1:50">
      <c r="A38" s="23" t="s">
        <v>22</v>
      </c>
      <c r="B38" s="23" t="s">
        <v>25</v>
      </c>
      <c r="C38" s="28">
        <v>44279.583333333336</v>
      </c>
      <c r="D38" s="23">
        <v>611.47500000000002</v>
      </c>
      <c r="E38" s="28">
        <v>44280.385416666664</v>
      </c>
      <c r="F38" s="23">
        <v>597.54999999999995</v>
      </c>
      <c r="G38" s="33">
        <v>-2.2800000000000001E-2</v>
      </c>
      <c r="H38" s="23">
        <v>-1139.2</v>
      </c>
      <c r="I38" s="33">
        <v>-2.2800000000000001E-2</v>
      </c>
      <c r="J38" s="23">
        <v>81.809389999999993</v>
      </c>
      <c r="K38" s="23">
        <v>50024.39</v>
      </c>
      <c r="L38" s="23">
        <v>3781</v>
      </c>
      <c r="M38" s="23">
        <v>10</v>
      </c>
      <c r="N38" s="23">
        <v>-113.92</v>
      </c>
      <c r="O38" s="33">
        <v>-2.2800000000000001E-2</v>
      </c>
      <c r="P38" s="33">
        <v>7.4000000000000003E-3</v>
      </c>
      <c r="Q38" s="23" t="s">
        <v>24</v>
      </c>
      <c r="R38" s="23">
        <v>0</v>
      </c>
      <c r="S38" s="23">
        <v>607.66999999999996</v>
      </c>
      <c r="U38" s="47">
        <v>44280</v>
      </c>
      <c r="V38" s="23" t="s">
        <v>116</v>
      </c>
      <c r="W38" s="23" t="s">
        <v>23</v>
      </c>
      <c r="X38" s="28">
        <v>44279.583333333336</v>
      </c>
      <c r="Y38" s="23">
        <v>1.7</v>
      </c>
      <c r="Z38" s="28">
        <v>44280.385416666664</v>
      </c>
      <c r="AA38" s="23">
        <v>1.7</v>
      </c>
      <c r="AB38" s="33">
        <v>0</v>
      </c>
      <c r="AC38" s="23">
        <v>0</v>
      </c>
      <c r="AD38" s="33">
        <v>0</v>
      </c>
      <c r="AE38" s="23">
        <v>29384.47</v>
      </c>
      <c r="AF38" s="23">
        <v>49953.61</v>
      </c>
      <c r="AG38" s="23">
        <v>-10422.81</v>
      </c>
      <c r="AH38" s="23">
        <v>10</v>
      </c>
      <c r="AI38" s="23">
        <v>0</v>
      </c>
      <c r="AJ38" s="33">
        <v>0</v>
      </c>
      <c r="AK38" s="33">
        <v>0</v>
      </c>
      <c r="AL38" s="23" t="s">
        <v>24</v>
      </c>
      <c r="AM38" s="23">
        <v>611.47</v>
      </c>
      <c r="AN38" s="23">
        <v>33558.15</v>
      </c>
      <c r="AO38" s="23">
        <v>607.66999999999996</v>
      </c>
      <c r="AQ38" s="50">
        <f t="shared" si="0"/>
        <v>2.780185454723862E-3</v>
      </c>
      <c r="AR38" s="50"/>
      <c r="AS38" s="48"/>
      <c r="AT38" s="50"/>
      <c r="AV38" s="47">
        <v>44279</v>
      </c>
      <c r="AW38" s="51">
        <v>8.3333333333333329E-2</v>
      </c>
      <c r="AX38" t="s">
        <v>163</v>
      </c>
    </row>
    <row r="39" spans="1:50">
      <c r="A39" s="23" t="s">
        <v>22</v>
      </c>
      <c r="B39" s="23" t="s">
        <v>23</v>
      </c>
      <c r="C39" s="28">
        <v>44280.385416666664</v>
      </c>
      <c r="D39" s="23">
        <v>597.54999999999995</v>
      </c>
      <c r="E39" s="28">
        <v>44280.6875</v>
      </c>
      <c r="F39" s="23">
        <v>575.25</v>
      </c>
      <c r="G39" s="33">
        <v>-3.73E-2</v>
      </c>
      <c r="H39" s="23">
        <v>1866.92</v>
      </c>
      <c r="I39" s="33">
        <v>3.73E-2</v>
      </c>
      <c r="J39" s="23">
        <v>83.71857</v>
      </c>
      <c r="K39" s="23">
        <v>50026.03</v>
      </c>
      <c r="L39" s="23">
        <v>5647.92</v>
      </c>
      <c r="M39" s="23">
        <v>27</v>
      </c>
      <c r="N39" s="23">
        <v>69.150000000000006</v>
      </c>
      <c r="O39" s="33">
        <v>-2.7699999999999999E-2</v>
      </c>
      <c r="P39" s="33">
        <v>5.0200000000000002E-2</v>
      </c>
      <c r="Q39" s="23" t="s">
        <v>24</v>
      </c>
      <c r="R39" s="23">
        <v>0</v>
      </c>
      <c r="S39" s="23">
        <v>615.58000000000004</v>
      </c>
      <c r="U39" s="47">
        <v>44280</v>
      </c>
      <c r="V39" s="23" t="s">
        <v>113</v>
      </c>
      <c r="W39" s="23" t="s">
        <v>23</v>
      </c>
      <c r="X39" s="28">
        <v>44280.385416666664</v>
      </c>
      <c r="Y39" s="23">
        <v>1</v>
      </c>
      <c r="Z39" s="28">
        <v>44280.6875</v>
      </c>
      <c r="AA39" s="23">
        <v>2.5000000000000001E-2</v>
      </c>
      <c r="AB39" s="33">
        <v>-0.97499999999999998</v>
      </c>
      <c r="AC39" s="23">
        <v>48699.19</v>
      </c>
      <c r="AD39" s="33">
        <v>0.97499999999999998</v>
      </c>
      <c r="AE39" s="23">
        <v>49947.89</v>
      </c>
      <c r="AF39" s="23">
        <v>49947.89</v>
      </c>
      <c r="AG39" s="23">
        <v>38276.379999999997</v>
      </c>
      <c r="AH39" s="23">
        <v>27</v>
      </c>
      <c r="AI39" s="23">
        <v>1803.67</v>
      </c>
      <c r="AJ39" s="33">
        <v>-0.8</v>
      </c>
      <c r="AK39" s="33">
        <v>0.97499999999999998</v>
      </c>
      <c r="AL39" s="23" t="s">
        <v>24</v>
      </c>
      <c r="AM39" s="23">
        <v>597.54999999999995</v>
      </c>
      <c r="AN39" s="23">
        <v>32923.300000000003</v>
      </c>
      <c r="AO39" s="23">
        <v>615.58000000000004</v>
      </c>
      <c r="AQ39" s="50">
        <f t="shared" si="0"/>
        <v>1.6735001255125095E-3</v>
      </c>
      <c r="AR39" s="50"/>
      <c r="AS39" s="48"/>
      <c r="AT39" s="50"/>
      <c r="AV39" s="47">
        <v>44280</v>
      </c>
      <c r="AW39" s="51">
        <v>0.38541666666666669</v>
      </c>
      <c r="AX39" t="s">
        <v>162</v>
      </c>
    </row>
    <row r="40" spans="1:50">
      <c r="A40" s="23" t="s">
        <v>22</v>
      </c>
      <c r="B40" s="23" t="s">
        <v>25</v>
      </c>
      <c r="C40" s="28">
        <v>44281.385416666664</v>
      </c>
      <c r="D40" s="23">
        <v>579.95000000000005</v>
      </c>
      <c r="E40" s="28">
        <v>44281.614583333336</v>
      </c>
      <c r="F40" s="23">
        <v>588.375</v>
      </c>
      <c r="G40" s="33">
        <v>1.4500000000000001E-2</v>
      </c>
      <c r="H40" s="23">
        <v>726.77</v>
      </c>
      <c r="I40" s="33">
        <v>1.4500000000000001E-2</v>
      </c>
      <c r="J40" s="23">
        <v>86.263019999999997</v>
      </c>
      <c r="K40" s="23">
        <v>50028.24</v>
      </c>
      <c r="L40" s="23">
        <v>6374.69</v>
      </c>
      <c r="M40" s="23">
        <v>23</v>
      </c>
      <c r="N40" s="23">
        <v>31.6</v>
      </c>
      <c r="O40" s="33">
        <v>-9.5999999999999992E-3</v>
      </c>
      <c r="P40" s="33">
        <v>3.1E-2</v>
      </c>
      <c r="Q40" s="23" t="s">
        <v>24</v>
      </c>
      <c r="R40" s="23">
        <v>0</v>
      </c>
      <c r="S40" s="23">
        <v>568.59</v>
      </c>
      <c r="U40" s="47">
        <v>44315</v>
      </c>
      <c r="V40" s="23" t="s">
        <v>117</v>
      </c>
      <c r="W40" s="23" t="s">
        <v>23</v>
      </c>
      <c r="X40" s="28">
        <v>44281.416666666664</v>
      </c>
      <c r="Y40" s="23">
        <v>22</v>
      </c>
      <c r="Z40" s="28">
        <v>44281.614583333336</v>
      </c>
      <c r="AA40" s="23">
        <v>22</v>
      </c>
      <c r="AB40" s="33">
        <v>0</v>
      </c>
      <c r="AC40" s="23">
        <v>0</v>
      </c>
      <c r="AD40" s="33">
        <v>0</v>
      </c>
      <c r="AE40" s="23">
        <v>2281.4270000000001</v>
      </c>
      <c r="AF40" s="23">
        <v>50191.38</v>
      </c>
      <c r="AG40" s="23">
        <v>38276.379999999997</v>
      </c>
      <c r="AH40" s="23">
        <v>20</v>
      </c>
      <c r="AI40" s="23">
        <v>0</v>
      </c>
      <c r="AJ40" s="33">
        <v>0</v>
      </c>
      <c r="AK40" s="33">
        <v>0</v>
      </c>
      <c r="AL40" s="23" t="s">
        <v>24</v>
      </c>
      <c r="AM40" s="23">
        <v>578.22</v>
      </c>
      <c r="AN40" s="23">
        <v>33346</v>
      </c>
      <c r="AO40" s="23">
        <v>571.58000000000004</v>
      </c>
      <c r="AQ40" s="50">
        <f t="shared" si="0"/>
        <v>3.8047801874718963E-2</v>
      </c>
      <c r="AR40" s="50"/>
      <c r="AS40" s="48"/>
      <c r="AT40" s="50"/>
      <c r="AV40" s="47">
        <v>44281</v>
      </c>
      <c r="AW40" s="51">
        <v>0.41666666666666669</v>
      </c>
      <c r="AX40" t="s">
        <v>162</v>
      </c>
    </row>
    <row r="41" spans="1:50">
      <c r="A41" s="23" t="s">
        <v>22</v>
      </c>
      <c r="B41" s="23" t="s">
        <v>23</v>
      </c>
      <c r="C41" s="28">
        <v>44281.614583333336</v>
      </c>
      <c r="D41" s="23">
        <v>588.375</v>
      </c>
      <c r="E41" s="28">
        <v>44285.385416666664</v>
      </c>
      <c r="F41" s="23">
        <v>592.25</v>
      </c>
      <c r="G41" s="33">
        <v>6.6E-3</v>
      </c>
      <c r="H41" s="23">
        <v>-329.51</v>
      </c>
      <c r="I41" s="33">
        <v>-6.6E-3</v>
      </c>
      <c r="J41" s="23">
        <v>85.034390000000002</v>
      </c>
      <c r="K41" s="23">
        <v>50032.11</v>
      </c>
      <c r="L41" s="23">
        <v>6045.18</v>
      </c>
      <c r="M41" s="23">
        <v>8</v>
      </c>
      <c r="N41" s="23">
        <v>-41.19</v>
      </c>
      <c r="O41" s="33">
        <v>-1.9699999999999999E-2</v>
      </c>
      <c r="P41" s="33">
        <v>3.8999999999999998E-3</v>
      </c>
      <c r="Q41" s="23" t="s">
        <v>24</v>
      </c>
      <c r="R41" s="23">
        <v>0</v>
      </c>
      <c r="S41" s="23">
        <v>597.95000000000005</v>
      </c>
      <c r="U41" s="47">
        <v>44315</v>
      </c>
      <c r="V41" s="23" t="s">
        <v>107</v>
      </c>
      <c r="W41" s="23" t="s">
        <v>23</v>
      </c>
      <c r="X41" s="28">
        <v>44281.614583333336</v>
      </c>
      <c r="Y41" s="23">
        <v>26.475000000000001</v>
      </c>
      <c r="Z41" s="28">
        <v>44285.385416666664</v>
      </c>
      <c r="AA41" s="23">
        <v>29.475000000000001</v>
      </c>
      <c r="AB41" s="33">
        <v>0.1133</v>
      </c>
      <c r="AC41" s="23">
        <v>-5687.41</v>
      </c>
      <c r="AD41" s="33">
        <v>-0.1133</v>
      </c>
      <c r="AE41" s="23">
        <v>1895.8030000000001</v>
      </c>
      <c r="AF41" s="23">
        <v>50191.38</v>
      </c>
      <c r="AG41" s="23">
        <v>32588.97</v>
      </c>
      <c r="AH41" s="23">
        <v>8</v>
      </c>
      <c r="AI41" s="23">
        <v>-710.93</v>
      </c>
      <c r="AJ41" s="33">
        <v>-0.1133</v>
      </c>
      <c r="AK41" s="33">
        <v>8.2199999999999995E-2</v>
      </c>
      <c r="AL41" s="23" t="s">
        <v>24</v>
      </c>
      <c r="AM41" s="23">
        <v>588.38</v>
      </c>
      <c r="AN41" s="23">
        <v>33320.75</v>
      </c>
      <c r="AO41" s="23">
        <v>597.95000000000005</v>
      </c>
      <c r="AQ41" s="50">
        <f t="shared" si="0"/>
        <v>4.4996430878004014E-2</v>
      </c>
      <c r="AR41" s="50"/>
      <c r="AS41" s="48"/>
      <c r="AT41" s="50"/>
      <c r="AV41" s="47">
        <v>44281</v>
      </c>
      <c r="AW41" s="51">
        <v>0.11458333333333333</v>
      </c>
      <c r="AX41" t="s">
        <v>163</v>
      </c>
    </row>
    <row r="42" spans="1:50">
      <c r="A42" s="23" t="s">
        <v>22</v>
      </c>
      <c r="B42" s="23" t="s">
        <v>25</v>
      </c>
      <c r="C42" s="28">
        <v>44285.385416666664</v>
      </c>
      <c r="D42" s="23">
        <v>592.25</v>
      </c>
      <c r="E42" s="28">
        <v>44285.46875</v>
      </c>
      <c r="F42" s="23">
        <v>592.35</v>
      </c>
      <c r="G42" s="33">
        <v>2.0000000000000001E-4</v>
      </c>
      <c r="H42" s="23">
        <v>8.4499999999999993</v>
      </c>
      <c r="I42" s="33">
        <v>2.0000000000000001E-4</v>
      </c>
      <c r="J42" s="23">
        <v>84.469300000000004</v>
      </c>
      <c r="K42" s="23">
        <v>50026.94</v>
      </c>
      <c r="L42" s="23">
        <v>6053.63</v>
      </c>
      <c r="M42" s="23">
        <v>9</v>
      </c>
      <c r="N42" s="23">
        <v>0.94</v>
      </c>
      <c r="O42" s="33">
        <v>-8.0000000000000002E-3</v>
      </c>
      <c r="P42" s="33">
        <v>7.1999999999999998E-3</v>
      </c>
      <c r="Q42" s="23" t="s">
        <v>24</v>
      </c>
      <c r="R42" s="23">
        <v>0</v>
      </c>
      <c r="S42" s="23">
        <v>586.91999999999996</v>
      </c>
      <c r="U42" s="47">
        <v>44315</v>
      </c>
      <c r="V42" s="23" t="s">
        <v>118</v>
      </c>
      <c r="W42" s="23" t="s">
        <v>23</v>
      </c>
      <c r="X42" s="28">
        <v>44285.427083333336</v>
      </c>
      <c r="Y42" s="23">
        <v>0.5</v>
      </c>
      <c r="Z42" s="28">
        <v>44285.46875</v>
      </c>
      <c r="AA42" s="23">
        <v>0.5</v>
      </c>
      <c r="AB42" s="33">
        <v>0</v>
      </c>
      <c r="AC42" s="23">
        <v>0</v>
      </c>
      <c r="AD42" s="33">
        <v>0</v>
      </c>
      <c r="AE42" s="23">
        <v>100325.9</v>
      </c>
      <c r="AF42" s="23">
        <v>50162.95</v>
      </c>
      <c r="AG42" s="23">
        <v>32588.97</v>
      </c>
      <c r="AH42" s="23">
        <v>5</v>
      </c>
      <c r="AI42" s="23">
        <v>0</v>
      </c>
      <c r="AJ42" s="33">
        <v>0</v>
      </c>
      <c r="AK42" s="33">
        <v>0</v>
      </c>
      <c r="AL42" s="23" t="s">
        <v>24</v>
      </c>
      <c r="AM42" s="23">
        <v>594.5</v>
      </c>
      <c r="AN42" s="23">
        <v>33932.699999999997</v>
      </c>
      <c r="AO42" s="23">
        <v>589.57000000000005</v>
      </c>
      <c r="AQ42" s="50">
        <f t="shared" si="0"/>
        <v>8.4104289318755253E-4</v>
      </c>
      <c r="AR42" s="50"/>
      <c r="AS42" s="48"/>
      <c r="AT42" s="50"/>
      <c r="AV42" s="47">
        <v>44285</v>
      </c>
      <c r="AW42" s="51">
        <v>0.42708333333333331</v>
      </c>
      <c r="AX42" t="s">
        <v>162</v>
      </c>
    </row>
    <row r="43" spans="1:50">
      <c r="A43" s="23" t="s">
        <v>22</v>
      </c>
      <c r="B43" s="23" t="s">
        <v>23</v>
      </c>
      <c r="C43" s="28">
        <v>44285.46875</v>
      </c>
      <c r="D43" s="23">
        <v>592.35</v>
      </c>
      <c r="E43" s="28">
        <v>44285.583333333336</v>
      </c>
      <c r="F43" s="23">
        <v>595.9</v>
      </c>
      <c r="G43" s="33">
        <v>6.0000000000000001E-3</v>
      </c>
      <c r="H43" s="23">
        <v>-299.83999999999997</v>
      </c>
      <c r="I43" s="33">
        <v>-6.0000000000000001E-3</v>
      </c>
      <c r="J43" s="23">
        <v>84.462299999999999</v>
      </c>
      <c r="K43" s="23">
        <v>50031.24</v>
      </c>
      <c r="L43" s="23">
        <v>5753.79</v>
      </c>
      <c r="M43" s="23">
        <v>12</v>
      </c>
      <c r="N43" s="23">
        <v>-24.99</v>
      </c>
      <c r="O43" s="33">
        <v>-6.0000000000000001E-3</v>
      </c>
      <c r="P43" s="33">
        <v>1.66E-2</v>
      </c>
      <c r="Q43" s="23" t="s">
        <v>24</v>
      </c>
      <c r="R43" s="23">
        <v>0</v>
      </c>
      <c r="S43" s="23">
        <v>599.97</v>
      </c>
      <c r="U43" s="47">
        <v>44315</v>
      </c>
      <c r="V43" s="23" t="s">
        <v>107</v>
      </c>
      <c r="W43" s="23" t="s">
        <v>23</v>
      </c>
      <c r="X43" s="28">
        <v>44285.46875</v>
      </c>
      <c r="Y43" s="23">
        <v>26.1</v>
      </c>
      <c r="Z43" s="28">
        <v>44285.583333333336</v>
      </c>
      <c r="AA43" s="23">
        <v>22.75</v>
      </c>
      <c r="AB43" s="33">
        <v>-0.12839999999999999</v>
      </c>
      <c r="AC43" s="23">
        <v>6438.54</v>
      </c>
      <c r="AD43" s="33">
        <v>0.12839999999999999</v>
      </c>
      <c r="AE43" s="23">
        <v>1921.952</v>
      </c>
      <c r="AF43" s="23">
        <v>50162.95</v>
      </c>
      <c r="AG43" s="23">
        <v>39027.51</v>
      </c>
      <c r="AH43" s="23">
        <v>12</v>
      </c>
      <c r="AI43" s="23">
        <v>536.54</v>
      </c>
      <c r="AJ43" s="33">
        <v>0</v>
      </c>
      <c r="AK43" s="33">
        <v>0.14749999999999999</v>
      </c>
      <c r="AL43" s="23" t="s">
        <v>24</v>
      </c>
      <c r="AM43" s="23">
        <v>592.35</v>
      </c>
      <c r="AN43" s="23">
        <v>33883.800000000003</v>
      </c>
      <c r="AO43" s="23">
        <v>599.97</v>
      </c>
      <c r="AQ43" s="50">
        <f t="shared" si="0"/>
        <v>4.4061787794378325E-2</v>
      </c>
      <c r="AR43" s="50"/>
      <c r="AS43" s="48"/>
      <c r="AT43" s="50"/>
      <c r="AV43" s="47">
        <v>44285</v>
      </c>
      <c r="AW43" s="51">
        <v>0.46875</v>
      </c>
      <c r="AX43" t="s">
        <v>162</v>
      </c>
    </row>
    <row r="44" spans="1:50">
      <c r="A44" s="23" t="s">
        <v>22</v>
      </c>
      <c r="B44" s="23" t="s">
        <v>25</v>
      </c>
      <c r="C44" s="28">
        <v>44285.583333333336</v>
      </c>
      <c r="D44" s="23">
        <v>595.9</v>
      </c>
      <c r="E44" s="28">
        <v>44286.427083333336</v>
      </c>
      <c r="F44" s="23">
        <v>619.65</v>
      </c>
      <c r="G44" s="33">
        <v>3.9899999999999998E-2</v>
      </c>
      <c r="H44" s="23">
        <v>1994.01</v>
      </c>
      <c r="I44" s="33">
        <v>3.9899999999999998E-2</v>
      </c>
      <c r="J44" s="23">
        <v>83.958389999999994</v>
      </c>
      <c r="K44" s="23">
        <v>50030.8</v>
      </c>
      <c r="L44" s="23">
        <v>7747.8</v>
      </c>
      <c r="M44" s="23">
        <v>14</v>
      </c>
      <c r="N44" s="23">
        <v>142.43</v>
      </c>
      <c r="O44" s="33">
        <v>-8.3000000000000001E-3</v>
      </c>
      <c r="P44" s="33">
        <v>0.13639999999999999</v>
      </c>
      <c r="Q44" s="23" t="s">
        <v>24</v>
      </c>
      <c r="R44" s="23">
        <v>0</v>
      </c>
      <c r="S44" s="23">
        <v>582.77</v>
      </c>
      <c r="U44" s="47">
        <v>44315</v>
      </c>
      <c r="V44" s="23" t="s">
        <v>119</v>
      </c>
      <c r="W44" s="23" t="s">
        <v>23</v>
      </c>
      <c r="X44" s="28">
        <v>44285.59375</v>
      </c>
      <c r="Y44" s="23">
        <v>35</v>
      </c>
      <c r="Z44" s="28">
        <v>44286.427083333336</v>
      </c>
      <c r="AA44" s="23">
        <v>35.35</v>
      </c>
      <c r="AB44" s="33">
        <v>0.01</v>
      </c>
      <c r="AC44" s="23">
        <v>-501.95</v>
      </c>
      <c r="AD44" s="33">
        <v>-0.01</v>
      </c>
      <c r="AE44" s="23">
        <v>1434.1469999999999</v>
      </c>
      <c r="AF44" s="23">
        <v>50195.14</v>
      </c>
      <c r="AG44" s="23">
        <v>38525.56</v>
      </c>
      <c r="AH44" s="23">
        <v>13</v>
      </c>
      <c r="AI44" s="23">
        <v>-38.61</v>
      </c>
      <c r="AJ44" s="33">
        <v>-0.01</v>
      </c>
      <c r="AK44" s="33">
        <v>0</v>
      </c>
      <c r="AL44" s="23" t="s">
        <v>24</v>
      </c>
      <c r="AM44" s="23">
        <v>602.1</v>
      </c>
      <c r="AN44" s="23">
        <v>33941.9</v>
      </c>
      <c r="AO44" s="23">
        <v>583.87</v>
      </c>
      <c r="AQ44" s="50">
        <f t="shared" si="0"/>
        <v>5.8129878757681448E-2</v>
      </c>
      <c r="AR44" s="50"/>
      <c r="AS44" s="48"/>
      <c r="AT44" s="50"/>
      <c r="AV44" s="47">
        <v>44285</v>
      </c>
      <c r="AW44" s="51">
        <v>9.375E-2</v>
      </c>
      <c r="AX44" t="s">
        <v>163</v>
      </c>
    </row>
    <row r="45" spans="1:50">
      <c r="A45" s="23" t="s">
        <v>22</v>
      </c>
      <c r="B45" s="23" t="s">
        <v>23</v>
      </c>
      <c r="C45" s="28">
        <v>44286.427083333336</v>
      </c>
      <c r="D45" s="23">
        <v>619.65</v>
      </c>
      <c r="E45" s="28">
        <v>44287.385416666664</v>
      </c>
      <c r="F45" s="23">
        <v>623.82500000000005</v>
      </c>
      <c r="G45" s="33">
        <v>6.7000000000000002E-3</v>
      </c>
      <c r="H45" s="23">
        <v>-337.15</v>
      </c>
      <c r="I45" s="33">
        <v>-6.7000000000000002E-3</v>
      </c>
      <c r="J45" s="23">
        <v>80.754480000000001</v>
      </c>
      <c r="K45" s="23">
        <v>50039.519999999997</v>
      </c>
      <c r="L45" s="23">
        <v>7410.65</v>
      </c>
      <c r="M45" s="23">
        <v>25</v>
      </c>
      <c r="N45" s="23">
        <v>-13.49</v>
      </c>
      <c r="O45" s="33">
        <v>-1.0200000000000001E-2</v>
      </c>
      <c r="P45" s="33">
        <v>1.84E-2</v>
      </c>
      <c r="Q45" s="23" t="s">
        <v>24</v>
      </c>
      <c r="R45" s="23">
        <v>0</v>
      </c>
      <c r="S45" s="23">
        <v>677.2</v>
      </c>
      <c r="U45" s="47">
        <v>44315</v>
      </c>
      <c r="V45" s="23" t="s">
        <v>107</v>
      </c>
      <c r="W45" s="23" t="s">
        <v>23</v>
      </c>
      <c r="X45" s="28">
        <v>44286.427083333336</v>
      </c>
      <c r="Y45" s="23">
        <v>41.85</v>
      </c>
      <c r="Z45" s="28">
        <v>44287.385416666664</v>
      </c>
      <c r="AA45" s="23">
        <v>42.5</v>
      </c>
      <c r="AB45" s="33">
        <v>1.55E-2</v>
      </c>
      <c r="AC45" s="23">
        <v>-779.57</v>
      </c>
      <c r="AD45" s="33">
        <v>-1.55E-2</v>
      </c>
      <c r="AE45" s="23">
        <v>1199.346</v>
      </c>
      <c r="AF45" s="23">
        <v>50192.63</v>
      </c>
      <c r="AG45" s="23">
        <v>37745.980000000003</v>
      </c>
      <c r="AH45" s="23">
        <v>25</v>
      </c>
      <c r="AI45" s="23">
        <v>-31.18</v>
      </c>
      <c r="AJ45" s="33">
        <v>-0.13500000000000001</v>
      </c>
      <c r="AK45" s="33">
        <v>6.8099999999999994E-2</v>
      </c>
      <c r="AL45" s="23" t="s">
        <v>24</v>
      </c>
      <c r="AM45" s="23">
        <v>619.65</v>
      </c>
      <c r="AN45" s="23">
        <v>33393.85</v>
      </c>
      <c r="AO45" s="23">
        <v>677.2</v>
      </c>
      <c r="AQ45" s="50">
        <f t="shared" si="0"/>
        <v>6.7538126361655779E-2</v>
      </c>
      <c r="AR45" s="50"/>
      <c r="AS45" s="48"/>
      <c r="AT45" s="50"/>
      <c r="AV45" s="47">
        <v>44286</v>
      </c>
      <c r="AW45" s="51">
        <v>0.42708333333333331</v>
      </c>
      <c r="AX45" t="s">
        <v>162</v>
      </c>
    </row>
    <row r="46" spans="1:50">
      <c r="A46" s="23" t="s">
        <v>22</v>
      </c>
      <c r="B46" s="23" t="s">
        <v>25</v>
      </c>
      <c r="C46" s="28">
        <v>44287.385416666664</v>
      </c>
      <c r="D46" s="23">
        <v>623.82500000000005</v>
      </c>
      <c r="E46" s="28">
        <v>44287.40625</v>
      </c>
      <c r="F46" s="23">
        <v>619.07500000000005</v>
      </c>
      <c r="G46" s="33">
        <v>-7.6E-3</v>
      </c>
      <c r="H46" s="23">
        <v>-380.99</v>
      </c>
      <c r="I46" s="33">
        <v>-7.6E-3</v>
      </c>
      <c r="J46" s="23">
        <v>80.209320000000005</v>
      </c>
      <c r="K46" s="23">
        <v>50036.58</v>
      </c>
      <c r="L46" s="23">
        <v>7029.65</v>
      </c>
      <c r="M46" s="23">
        <v>3</v>
      </c>
      <c r="N46" s="23">
        <v>-127</v>
      </c>
      <c r="O46" s="33">
        <v>-1.3299999999999999E-2</v>
      </c>
      <c r="P46" s="33">
        <v>1.47E-2</v>
      </c>
      <c r="Q46" s="23" t="s">
        <v>24</v>
      </c>
      <c r="R46" s="23">
        <v>0</v>
      </c>
      <c r="S46" s="23">
        <v>609.21</v>
      </c>
      <c r="U46" s="47">
        <v>44315</v>
      </c>
      <c r="V46" s="23" t="s">
        <v>109</v>
      </c>
      <c r="W46" s="23" t="s">
        <v>23</v>
      </c>
      <c r="X46" s="28">
        <v>44287.385416666664</v>
      </c>
      <c r="Y46" s="23">
        <v>20.9</v>
      </c>
      <c r="Z46" s="28">
        <v>44287.40625</v>
      </c>
      <c r="AA46" s="23">
        <v>25</v>
      </c>
      <c r="AB46" s="33">
        <v>0.19620000000000001</v>
      </c>
      <c r="AC46" s="23">
        <v>-9845.64</v>
      </c>
      <c r="AD46" s="33">
        <v>-0.19620000000000001</v>
      </c>
      <c r="AE46" s="23">
        <v>2401.375</v>
      </c>
      <c r="AF46" s="23">
        <v>50188.73</v>
      </c>
      <c r="AG46" s="23">
        <v>27900.35</v>
      </c>
      <c r="AH46" s="23">
        <v>3</v>
      </c>
      <c r="AI46" s="23">
        <v>-3281.88</v>
      </c>
      <c r="AJ46" s="33">
        <v>-0.19620000000000001</v>
      </c>
      <c r="AK46" s="33">
        <v>6.7000000000000004E-2</v>
      </c>
      <c r="AL46" s="23" t="s">
        <v>24</v>
      </c>
      <c r="AM46" s="23">
        <v>623.83000000000004</v>
      </c>
      <c r="AN46" s="23">
        <v>33407.75</v>
      </c>
      <c r="AO46" s="23">
        <v>609.21</v>
      </c>
      <c r="AQ46" s="50">
        <f t="shared" si="0"/>
        <v>3.3502717086385712E-2</v>
      </c>
      <c r="AR46" s="50"/>
      <c r="AS46" s="48"/>
      <c r="AT46" s="50"/>
      <c r="AV46" s="47">
        <v>44287</v>
      </c>
      <c r="AW46" s="51">
        <v>0.38541666666666669</v>
      </c>
      <c r="AX46" t="s">
        <v>162</v>
      </c>
    </row>
    <row r="47" spans="1:50">
      <c r="A47" s="23" t="s">
        <v>22</v>
      </c>
      <c r="B47" s="23" t="s">
        <v>23</v>
      </c>
      <c r="C47" s="28">
        <v>44287.40625</v>
      </c>
      <c r="D47" s="23">
        <v>619.07500000000005</v>
      </c>
      <c r="E47" s="28">
        <v>44287.541666666664</v>
      </c>
      <c r="F47" s="23">
        <v>619.65</v>
      </c>
      <c r="G47" s="33">
        <v>8.9999999999999998E-4</v>
      </c>
      <c r="H47" s="23">
        <v>-46.47</v>
      </c>
      <c r="I47" s="33">
        <v>-8.9999999999999998E-4</v>
      </c>
      <c r="J47" s="23">
        <v>80.82011</v>
      </c>
      <c r="K47" s="23">
        <v>50033.71</v>
      </c>
      <c r="L47" s="23">
        <v>6983.18</v>
      </c>
      <c r="M47" s="23">
        <v>14</v>
      </c>
      <c r="N47" s="23">
        <v>-3.32</v>
      </c>
      <c r="O47" s="33">
        <v>-4.5999999999999999E-3</v>
      </c>
      <c r="P47" s="33">
        <v>1.8700000000000001E-2</v>
      </c>
      <c r="Q47" s="23" t="s">
        <v>24</v>
      </c>
      <c r="R47" s="23">
        <v>0</v>
      </c>
      <c r="S47" s="23">
        <v>631.97</v>
      </c>
      <c r="U47" s="47">
        <v>44315</v>
      </c>
      <c r="V47" s="23" t="s">
        <v>113</v>
      </c>
      <c r="W47" s="23" t="s">
        <v>23</v>
      </c>
      <c r="X47" s="28">
        <v>44287.40625</v>
      </c>
      <c r="Y47" s="23">
        <v>31.5</v>
      </c>
      <c r="Z47" s="28">
        <v>44287.541666666664</v>
      </c>
      <c r="AA47" s="23">
        <v>28.85</v>
      </c>
      <c r="AB47" s="33">
        <v>-8.4099999999999994E-2</v>
      </c>
      <c r="AC47" s="23">
        <v>4220.66</v>
      </c>
      <c r="AD47" s="33">
        <v>8.4099999999999994E-2</v>
      </c>
      <c r="AE47" s="23">
        <v>1592.702</v>
      </c>
      <c r="AF47" s="23">
        <v>50170.12</v>
      </c>
      <c r="AG47" s="23">
        <v>32121.01</v>
      </c>
      <c r="AH47" s="23">
        <v>14</v>
      </c>
      <c r="AI47" s="23">
        <v>301.48</v>
      </c>
      <c r="AJ47" s="33">
        <v>-3.0200000000000001E-2</v>
      </c>
      <c r="AK47" s="33">
        <v>0.14680000000000001</v>
      </c>
      <c r="AL47" s="23" t="s">
        <v>24</v>
      </c>
      <c r="AM47" s="23">
        <v>619.08000000000004</v>
      </c>
      <c r="AN47" s="23">
        <v>33412.85</v>
      </c>
      <c r="AO47" s="23">
        <v>631.97</v>
      </c>
      <c r="AQ47" s="50">
        <f t="shared" si="0"/>
        <v>5.0881953867028491E-2</v>
      </c>
      <c r="AR47" s="50"/>
      <c r="AS47" s="48"/>
      <c r="AT47" s="50"/>
      <c r="AV47" s="47">
        <v>44287</v>
      </c>
      <c r="AW47" s="51">
        <v>0.40625</v>
      </c>
      <c r="AX47" t="s">
        <v>162</v>
      </c>
    </row>
    <row r="48" spans="1:50">
      <c r="A48" s="23" t="s">
        <v>22</v>
      </c>
      <c r="B48" s="23" t="s">
        <v>25</v>
      </c>
      <c r="C48" s="28">
        <v>44287.541666666664</v>
      </c>
      <c r="D48" s="23">
        <v>619.65</v>
      </c>
      <c r="E48" s="28">
        <v>44291.385416666664</v>
      </c>
      <c r="F48" s="23">
        <v>621.5</v>
      </c>
      <c r="G48" s="33">
        <v>3.0000000000000001E-3</v>
      </c>
      <c r="H48" s="23">
        <v>149.38999999999999</v>
      </c>
      <c r="I48" s="33">
        <v>3.0000000000000001E-3</v>
      </c>
      <c r="J48" s="23">
        <v>80.749759999999995</v>
      </c>
      <c r="K48" s="23">
        <v>50036.59</v>
      </c>
      <c r="L48" s="23">
        <v>7132.57</v>
      </c>
      <c r="M48" s="23">
        <v>14</v>
      </c>
      <c r="N48" s="23">
        <v>10.67</v>
      </c>
      <c r="O48" s="33">
        <v>-7.4999999999999997E-3</v>
      </c>
      <c r="P48" s="33">
        <v>3.1199999999999999E-2</v>
      </c>
      <c r="Q48" s="23" t="s">
        <v>24</v>
      </c>
      <c r="R48" s="23">
        <v>0</v>
      </c>
      <c r="S48" s="23">
        <v>607.75</v>
      </c>
      <c r="U48" s="47">
        <v>44315</v>
      </c>
      <c r="V48" s="23" t="s">
        <v>109</v>
      </c>
      <c r="W48" s="23" t="s">
        <v>23</v>
      </c>
      <c r="X48" s="28">
        <v>44287.541666666664</v>
      </c>
      <c r="Y48" s="23">
        <v>21</v>
      </c>
      <c r="Z48" s="28">
        <v>44291.385416666664</v>
      </c>
      <c r="AA48" s="23">
        <v>19.824999999999999</v>
      </c>
      <c r="AB48" s="33">
        <v>-5.6000000000000001E-2</v>
      </c>
      <c r="AC48" s="23">
        <v>2806.61</v>
      </c>
      <c r="AD48" s="33">
        <v>5.6000000000000001E-2</v>
      </c>
      <c r="AE48" s="23">
        <v>2388.6</v>
      </c>
      <c r="AF48" s="23">
        <v>50160.61</v>
      </c>
      <c r="AG48" s="23">
        <v>34927.61</v>
      </c>
      <c r="AH48" s="23">
        <v>14</v>
      </c>
      <c r="AI48" s="23">
        <v>200.47</v>
      </c>
      <c r="AJ48" s="33">
        <v>-9.5200000000000007E-2</v>
      </c>
      <c r="AK48" s="33">
        <v>0.40479999999999999</v>
      </c>
      <c r="AL48" s="23" t="s">
        <v>24</v>
      </c>
      <c r="AM48" s="23">
        <v>619.65</v>
      </c>
      <c r="AN48" s="23">
        <v>33455.75</v>
      </c>
      <c r="AO48" s="23">
        <v>607.75</v>
      </c>
      <c r="AQ48" s="50">
        <f t="shared" si="0"/>
        <v>3.3890099249576373E-2</v>
      </c>
      <c r="AR48" s="50"/>
      <c r="AS48" s="48"/>
      <c r="AT48" s="50"/>
      <c r="AV48" s="47">
        <v>44287</v>
      </c>
      <c r="AW48" s="51">
        <v>4.1666666666666664E-2</v>
      </c>
      <c r="AX48" t="s">
        <v>163</v>
      </c>
    </row>
    <row r="49" spans="1:50">
      <c r="A49" s="23" t="s">
        <v>22</v>
      </c>
      <c r="B49" s="23" t="s">
        <v>23</v>
      </c>
      <c r="C49" s="28">
        <v>44291.385416666664</v>
      </c>
      <c r="D49" s="23">
        <v>621.5</v>
      </c>
      <c r="E49" s="28">
        <v>44291.635416666664</v>
      </c>
      <c r="F49" s="23">
        <v>614</v>
      </c>
      <c r="G49" s="33">
        <v>-1.21E-2</v>
      </c>
      <c r="H49" s="23">
        <v>603.86</v>
      </c>
      <c r="I49" s="33">
        <v>1.21E-2</v>
      </c>
      <c r="J49" s="23">
        <v>80.514080000000007</v>
      </c>
      <c r="K49" s="23">
        <v>50039.5</v>
      </c>
      <c r="L49" s="23">
        <v>7736.42</v>
      </c>
      <c r="M49" s="23">
        <v>25</v>
      </c>
      <c r="N49" s="23">
        <v>24.15</v>
      </c>
      <c r="O49" s="33">
        <v>-1.6899999999999998E-2</v>
      </c>
      <c r="P49" s="33">
        <v>2.0899999999999998E-2</v>
      </c>
      <c r="Q49" s="23" t="s">
        <v>24</v>
      </c>
      <c r="R49" s="23">
        <v>0</v>
      </c>
      <c r="S49" s="23">
        <v>638.16</v>
      </c>
      <c r="U49" s="47">
        <v>44315</v>
      </c>
      <c r="V49" s="23" t="s">
        <v>113</v>
      </c>
      <c r="W49" s="23" t="s">
        <v>23</v>
      </c>
      <c r="X49" s="28">
        <v>44291.385416666664</v>
      </c>
      <c r="Y49" s="23">
        <v>29.524999999999999</v>
      </c>
      <c r="Z49" s="28">
        <v>44291.635416666664</v>
      </c>
      <c r="AA49" s="23">
        <v>26.274999999999999</v>
      </c>
      <c r="AB49" s="33">
        <v>-0.1101</v>
      </c>
      <c r="AC49" s="23">
        <v>5532.66</v>
      </c>
      <c r="AD49" s="33">
        <v>0.1101</v>
      </c>
      <c r="AE49" s="23">
        <v>1702.3579999999999</v>
      </c>
      <c r="AF49" s="23">
        <v>50262.12</v>
      </c>
      <c r="AG49" s="23">
        <v>40460.28</v>
      </c>
      <c r="AH49" s="23">
        <v>25</v>
      </c>
      <c r="AI49" s="23">
        <v>221.31</v>
      </c>
      <c r="AJ49" s="33">
        <v>-0.05</v>
      </c>
      <c r="AK49" s="33">
        <v>0.13120000000000001</v>
      </c>
      <c r="AL49" s="23" t="s">
        <v>24</v>
      </c>
      <c r="AM49" s="23">
        <v>621.5</v>
      </c>
      <c r="AN49" s="23">
        <v>33271.550000000003</v>
      </c>
      <c r="AO49" s="23">
        <v>638.16</v>
      </c>
      <c r="AQ49" s="50">
        <f t="shared" si="0"/>
        <v>4.750603378921963E-2</v>
      </c>
      <c r="AR49" s="50"/>
      <c r="AS49" s="48"/>
      <c r="AT49" s="50"/>
      <c r="AV49" s="47">
        <v>44291</v>
      </c>
      <c r="AW49" s="51">
        <v>0.38541666666666669</v>
      </c>
      <c r="AX49" t="s">
        <v>162</v>
      </c>
    </row>
    <row r="50" spans="1:50">
      <c r="A50" s="23" t="s">
        <v>22</v>
      </c>
      <c r="B50" s="23" t="s">
        <v>25</v>
      </c>
      <c r="C50" s="28">
        <v>44291.635416666664</v>
      </c>
      <c r="D50" s="23">
        <v>614</v>
      </c>
      <c r="E50" s="28">
        <v>44292.520833333336</v>
      </c>
      <c r="F50" s="23">
        <v>607.95000000000005</v>
      </c>
      <c r="G50" s="33">
        <v>-9.9000000000000008E-3</v>
      </c>
      <c r="H50" s="23">
        <v>-493.05</v>
      </c>
      <c r="I50" s="33">
        <v>-9.9000000000000008E-3</v>
      </c>
      <c r="J50" s="23">
        <v>81.496089999999995</v>
      </c>
      <c r="K50" s="23">
        <v>50038.6</v>
      </c>
      <c r="L50" s="23">
        <v>7243.37</v>
      </c>
      <c r="M50" s="23">
        <v>18</v>
      </c>
      <c r="N50" s="23">
        <v>-27.39</v>
      </c>
      <c r="O50" s="33">
        <v>-2.18E-2</v>
      </c>
      <c r="P50" s="33">
        <v>2.12E-2</v>
      </c>
      <c r="Q50" s="23" t="s">
        <v>24</v>
      </c>
      <c r="R50" s="23">
        <v>0</v>
      </c>
      <c r="S50" s="23">
        <v>608.67999999999995</v>
      </c>
      <c r="U50" s="47">
        <v>44315</v>
      </c>
      <c r="V50" s="23" t="s">
        <v>116</v>
      </c>
      <c r="W50" s="23" t="s">
        <v>23</v>
      </c>
      <c r="X50" s="28">
        <v>44291.635416666664</v>
      </c>
      <c r="Y50" s="23">
        <v>19.824999999999999</v>
      </c>
      <c r="Z50" s="28">
        <v>44292.520833333336</v>
      </c>
      <c r="AA50" s="23">
        <v>19.175000000000001</v>
      </c>
      <c r="AB50" s="33">
        <v>-3.2800000000000003E-2</v>
      </c>
      <c r="AC50" s="23">
        <v>1645.36</v>
      </c>
      <c r="AD50" s="33">
        <v>3.2800000000000003E-2</v>
      </c>
      <c r="AE50" s="23">
        <v>2531.317</v>
      </c>
      <c r="AF50" s="23">
        <v>50183.360000000001</v>
      </c>
      <c r="AG50" s="23">
        <v>42105.63</v>
      </c>
      <c r="AH50" s="23">
        <v>18</v>
      </c>
      <c r="AI50" s="23">
        <v>91.41</v>
      </c>
      <c r="AJ50" s="33">
        <v>0</v>
      </c>
      <c r="AK50" s="33">
        <v>6.6799999999999998E-2</v>
      </c>
      <c r="AL50" s="23" t="s">
        <v>24</v>
      </c>
      <c r="AM50" s="23">
        <v>614</v>
      </c>
      <c r="AN50" s="23">
        <v>32714.45</v>
      </c>
      <c r="AO50" s="23">
        <v>608.67999999999995</v>
      </c>
      <c r="AQ50" s="50">
        <f t="shared" si="0"/>
        <v>3.2288273615635181E-2</v>
      </c>
      <c r="AR50" s="50"/>
      <c r="AS50" s="48"/>
      <c r="AT50" s="50"/>
      <c r="AV50" s="47">
        <v>44291</v>
      </c>
      <c r="AW50" s="51">
        <v>0.13541666666666666</v>
      </c>
      <c r="AX50" t="s">
        <v>163</v>
      </c>
    </row>
    <row r="51" spans="1:50">
      <c r="A51" s="23" t="s">
        <v>22</v>
      </c>
      <c r="B51" s="23" t="s">
        <v>23</v>
      </c>
      <c r="C51" s="28">
        <v>44292.520833333336</v>
      </c>
      <c r="D51" s="23">
        <v>607.95000000000005</v>
      </c>
      <c r="E51" s="28">
        <v>44292.614583333336</v>
      </c>
      <c r="F51" s="23">
        <v>615.5</v>
      </c>
      <c r="G51" s="33">
        <v>1.24E-2</v>
      </c>
      <c r="H51" s="23">
        <v>-621.45000000000005</v>
      </c>
      <c r="I51" s="33">
        <v>-1.24E-2</v>
      </c>
      <c r="J51" s="23">
        <v>82.311539999999994</v>
      </c>
      <c r="K51" s="23">
        <v>50041.3</v>
      </c>
      <c r="L51" s="23">
        <v>6621.92</v>
      </c>
      <c r="M51" s="23">
        <v>10</v>
      </c>
      <c r="N51" s="23">
        <v>-62.15</v>
      </c>
      <c r="O51" s="33">
        <v>-2.18E-2</v>
      </c>
      <c r="P51" s="33">
        <v>6.9999999999999999E-4</v>
      </c>
      <c r="Q51" s="23" t="s">
        <v>24</v>
      </c>
      <c r="R51" s="23">
        <v>0</v>
      </c>
      <c r="S51" s="23">
        <v>626.72</v>
      </c>
      <c r="U51" s="47">
        <v>44315</v>
      </c>
      <c r="V51" s="23" t="s">
        <v>108</v>
      </c>
      <c r="W51" s="23" t="s">
        <v>23</v>
      </c>
      <c r="X51" s="28">
        <v>44292.520833333336</v>
      </c>
      <c r="Y51" s="23">
        <v>17.425000000000001</v>
      </c>
      <c r="Z51" s="28">
        <v>44292.614583333336</v>
      </c>
      <c r="AA51" s="23">
        <v>18.5</v>
      </c>
      <c r="AB51" s="33">
        <v>6.1699999999999998E-2</v>
      </c>
      <c r="AC51" s="23">
        <v>-3097.64</v>
      </c>
      <c r="AD51" s="33">
        <v>-6.1699999999999998E-2</v>
      </c>
      <c r="AE51" s="23">
        <v>2881.5219999999999</v>
      </c>
      <c r="AF51" s="23">
        <v>50210.53</v>
      </c>
      <c r="AG51" s="23">
        <v>39008</v>
      </c>
      <c r="AH51" s="23">
        <v>10</v>
      </c>
      <c r="AI51" s="23">
        <v>-309.76</v>
      </c>
      <c r="AJ51" s="33">
        <v>-0.17649999999999999</v>
      </c>
      <c r="AK51" s="33">
        <v>1.4E-3</v>
      </c>
      <c r="AL51" s="23" t="s">
        <v>24</v>
      </c>
      <c r="AM51" s="23">
        <v>607.95000000000005</v>
      </c>
      <c r="AN51" s="23">
        <v>32443.45</v>
      </c>
      <c r="AO51" s="23">
        <v>626.72</v>
      </c>
      <c r="AQ51" s="50">
        <f t="shared" si="0"/>
        <v>2.8661896537544206E-2</v>
      </c>
      <c r="AR51" s="50"/>
      <c r="AS51" s="48"/>
      <c r="AT51" s="50"/>
      <c r="AV51" s="47">
        <v>44292</v>
      </c>
      <c r="AW51" s="51">
        <v>0.52083333333333337</v>
      </c>
      <c r="AX51" t="s">
        <v>163</v>
      </c>
    </row>
    <row r="52" spans="1:50">
      <c r="A52" s="23" t="s">
        <v>22</v>
      </c>
      <c r="B52" s="23" t="s">
        <v>25</v>
      </c>
      <c r="C52" s="28">
        <v>44292.614583333336</v>
      </c>
      <c r="D52" s="23">
        <v>615.5</v>
      </c>
      <c r="E52" s="28">
        <v>44292.635416666664</v>
      </c>
      <c r="F52" s="23">
        <v>611</v>
      </c>
      <c r="G52" s="33">
        <v>-7.3000000000000001E-3</v>
      </c>
      <c r="H52" s="23">
        <v>-365.8</v>
      </c>
      <c r="I52" s="33">
        <v>-7.3000000000000001E-3</v>
      </c>
      <c r="J52" s="23">
        <v>81.287899999999993</v>
      </c>
      <c r="K52" s="23">
        <v>50032.7</v>
      </c>
      <c r="L52" s="23">
        <v>6256.13</v>
      </c>
      <c r="M52" s="23">
        <v>3</v>
      </c>
      <c r="N52" s="23">
        <v>-121.93</v>
      </c>
      <c r="O52" s="33">
        <v>-7.3000000000000001E-3</v>
      </c>
      <c r="P52" s="33">
        <v>7.3000000000000001E-3</v>
      </c>
      <c r="Q52" s="23" t="s">
        <v>24</v>
      </c>
      <c r="R52" s="23">
        <v>0</v>
      </c>
      <c r="S52" s="23">
        <v>607.75</v>
      </c>
      <c r="U52" s="47">
        <v>44315</v>
      </c>
      <c r="V52" s="23" t="s">
        <v>109</v>
      </c>
      <c r="W52" s="23" t="s">
        <v>23</v>
      </c>
      <c r="X52" s="28">
        <v>44292.614583333336</v>
      </c>
      <c r="Y52" s="23">
        <v>20.85</v>
      </c>
      <c r="Z52" s="28">
        <v>44292.635416666664</v>
      </c>
      <c r="AA52" s="23">
        <v>22.5</v>
      </c>
      <c r="AB52" s="33">
        <v>7.9100000000000004E-2</v>
      </c>
      <c r="AC52" s="23">
        <v>-3972.27</v>
      </c>
      <c r="AD52" s="33">
        <v>-7.9100000000000004E-2</v>
      </c>
      <c r="AE52" s="23">
        <v>2407.4360000000001</v>
      </c>
      <c r="AF52" s="23">
        <v>50195.040000000001</v>
      </c>
      <c r="AG52" s="23">
        <v>35035.730000000003</v>
      </c>
      <c r="AH52" s="23">
        <v>3</v>
      </c>
      <c r="AI52" s="23">
        <v>-1324.09</v>
      </c>
      <c r="AJ52" s="33">
        <v>-7.9100000000000004E-2</v>
      </c>
      <c r="AK52" s="33">
        <v>0</v>
      </c>
      <c r="AL52" s="23" t="s">
        <v>24</v>
      </c>
      <c r="AM52" s="23">
        <v>615.5</v>
      </c>
      <c r="AN52" s="23">
        <v>32451.8</v>
      </c>
      <c r="AO52" s="23">
        <v>607.75</v>
      </c>
      <c r="AQ52" s="50">
        <f t="shared" si="0"/>
        <v>3.3874898456539404E-2</v>
      </c>
      <c r="AR52" s="50"/>
      <c r="AS52" s="48"/>
      <c r="AT52" s="50"/>
      <c r="AV52" s="47">
        <v>44292</v>
      </c>
      <c r="AW52" s="51">
        <v>0.11458333333333333</v>
      </c>
      <c r="AX52" t="s">
        <v>163</v>
      </c>
    </row>
    <row r="53" spans="1:50">
      <c r="A53" s="23" t="s">
        <v>22</v>
      </c>
      <c r="B53" s="23" t="s">
        <v>23</v>
      </c>
      <c r="C53" s="28">
        <v>44292.635416666664</v>
      </c>
      <c r="D53" s="23">
        <v>611</v>
      </c>
      <c r="E53" s="28">
        <v>44293.416666666664</v>
      </c>
      <c r="F53" s="23">
        <v>614.5</v>
      </c>
      <c r="G53" s="33">
        <v>5.7000000000000002E-3</v>
      </c>
      <c r="H53" s="23">
        <v>-286.60000000000002</v>
      </c>
      <c r="I53" s="33">
        <v>-5.7000000000000002E-3</v>
      </c>
      <c r="J53" s="23">
        <v>81.885339999999999</v>
      </c>
      <c r="K53" s="23">
        <v>50031.94</v>
      </c>
      <c r="L53" s="23">
        <v>5969.53</v>
      </c>
      <c r="M53" s="23">
        <v>8</v>
      </c>
      <c r="N53" s="23">
        <v>-35.82</v>
      </c>
      <c r="O53" s="33">
        <v>-5.7000000000000002E-3</v>
      </c>
      <c r="P53" s="33">
        <v>1.7899999999999999E-2</v>
      </c>
      <c r="Q53" s="23" t="s">
        <v>24</v>
      </c>
      <c r="R53" s="23">
        <v>0</v>
      </c>
      <c r="S53" s="23">
        <v>619.52</v>
      </c>
      <c r="U53" s="47">
        <v>44315</v>
      </c>
      <c r="V53" s="23" t="s">
        <v>113</v>
      </c>
      <c r="W53" s="23" t="s">
        <v>23</v>
      </c>
      <c r="X53" s="28">
        <v>44292.635416666664</v>
      </c>
      <c r="Y53" s="23">
        <v>25</v>
      </c>
      <c r="Z53" s="28">
        <v>44293.416666666664</v>
      </c>
      <c r="AA53" s="23">
        <v>25.024999999999999</v>
      </c>
      <c r="AB53" s="33">
        <v>1E-3</v>
      </c>
      <c r="AC53" s="23">
        <v>-50.2</v>
      </c>
      <c r="AD53" s="33">
        <v>-1E-3</v>
      </c>
      <c r="AE53" s="23">
        <v>2007.8019999999999</v>
      </c>
      <c r="AF53" s="23">
        <v>50195.040000000001</v>
      </c>
      <c r="AG53" s="23">
        <v>34985.53</v>
      </c>
      <c r="AH53" s="23">
        <v>8</v>
      </c>
      <c r="AI53" s="23">
        <v>-6.27</v>
      </c>
      <c r="AJ53" s="33">
        <v>-8.2000000000000003E-2</v>
      </c>
      <c r="AK53" s="33">
        <v>0.11899999999999999</v>
      </c>
      <c r="AL53" s="23" t="s">
        <v>24</v>
      </c>
      <c r="AM53" s="23">
        <v>611</v>
      </c>
      <c r="AN53" s="23">
        <v>32540.9</v>
      </c>
      <c r="AO53" s="23">
        <v>619.52</v>
      </c>
      <c r="AQ53" s="50">
        <f t="shared" si="0"/>
        <v>4.0916530278232409E-2</v>
      </c>
      <c r="AR53" s="50"/>
      <c r="AS53" s="48"/>
      <c r="AT53" s="50"/>
      <c r="AV53" s="47">
        <v>44292</v>
      </c>
      <c r="AW53" s="51">
        <v>0.13541666666666666</v>
      </c>
      <c r="AX53" t="s">
        <v>163</v>
      </c>
    </row>
    <row r="54" spans="1:50">
      <c r="A54" s="23" t="s">
        <v>22</v>
      </c>
      <c r="B54" s="23" t="s">
        <v>25</v>
      </c>
      <c r="C54" s="28">
        <v>44293.416666666664</v>
      </c>
      <c r="D54" s="23">
        <v>614.5</v>
      </c>
      <c r="E54" s="28">
        <v>44293.614583333336</v>
      </c>
      <c r="F54" s="23">
        <v>615</v>
      </c>
      <c r="G54" s="33">
        <v>8.0000000000000004E-4</v>
      </c>
      <c r="H54" s="23">
        <v>40.71</v>
      </c>
      <c r="I54" s="33">
        <v>8.0000000000000004E-4</v>
      </c>
      <c r="J54" s="23">
        <v>81.417050000000003</v>
      </c>
      <c r="K54" s="23">
        <v>50030.78</v>
      </c>
      <c r="L54" s="23">
        <v>6010.24</v>
      </c>
      <c r="M54" s="23">
        <v>20</v>
      </c>
      <c r="N54" s="23">
        <v>2.04</v>
      </c>
      <c r="O54" s="33">
        <v>-7.0000000000000001E-3</v>
      </c>
      <c r="P54" s="33">
        <v>2.3099999999999999E-2</v>
      </c>
      <c r="Q54" s="23" t="s">
        <v>24</v>
      </c>
      <c r="R54" s="23">
        <v>0</v>
      </c>
      <c r="S54" s="23">
        <v>600.77</v>
      </c>
      <c r="U54" s="47">
        <v>44315</v>
      </c>
      <c r="V54" s="23" t="s">
        <v>109</v>
      </c>
      <c r="W54" s="23" t="s">
        <v>23</v>
      </c>
      <c r="X54" s="28">
        <v>44293.416666666664</v>
      </c>
      <c r="Y54" s="23">
        <v>21.8</v>
      </c>
      <c r="Z54" s="28">
        <v>44293.614583333336</v>
      </c>
      <c r="AA54" s="23">
        <v>17.75</v>
      </c>
      <c r="AB54" s="33">
        <v>-0.18579999999999999</v>
      </c>
      <c r="AC54" s="23">
        <v>9325.1299999999992</v>
      </c>
      <c r="AD54" s="33">
        <v>0.18579999999999999</v>
      </c>
      <c r="AE54" s="23">
        <v>2302.5</v>
      </c>
      <c r="AF54" s="23">
        <v>50194.5</v>
      </c>
      <c r="AG54" s="23">
        <v>44310.66</v>
      </c>
      <c r="AH54" s="23">
        <v>20</v>
      </c>
      <c r="AI54" s="23">
        <v>466.26</v>
      </c>
      <c r="AJ54" s="33">
        <v>-0.1055</v>
      </c>
      <c r="AK54" s="33">
        <v>0.2477</v>
      </c>
      <c r="AL54" s="23" t="s">
        <v>24</v>
      </c>
      <c r="AM54" s="23">
        <v>614.5</v>
      </c>
      <c r="AN54" s="23">
        <v>32755.1</v>
      </c>
      <c r="AO54" s="23">
        <v>600.77</v>
      </c>
      <c r="AQ54" s="50">
        <f t="shared" si="0"/>
        <v>3.5475996745321398E-2</v>
      </c>
      <c r="AR54" s="50"/>
      <c r="AS54" s="48"/>
      <c r="AT54" s="50"/>
      <c r="AV54" s="47">
        <v>44293</v>
      </c>
      <c r="AW54" s="51">
        <v>0.41666666666666669</v>
      </c>
      <c r="AX54" t="s">
        <v>162</v>
      </c>
    </row>
    <row r="55" spans="1:50">
      <c r="A55" s="23" t="s">
        <v>22</v>
      </c>
      <c r="B55" s="23" t="s">
        <v>23</v>
      </c>
      <c r="C55" s="28">
        <v>44293.614583333336</v>
      </c>
      <c r="D55" s="23">
        <v>615</v>
      </c>
      <c r="E55" s="28">
        <v>44294.385416666664</v>
      </c>
      <c r="F55" s="23">
        <v>625.5</v>
      </c>
      <c r="G55" s="33">
        <v>1.7100000000000001E-2</v>
      </c>
      <c r="H55" s="23">
        <v>-854.2</v>
      </c>
      <c r="I55" s="33">
        <v>-1.7100000000000001E-2</v>
      </c>
      <c r="J55" s="23">
        <v>81.352739999999997</v>
      </c>
      <c r="K55" s="23">
        <v>50031.93</v>
      </c>
      <c r="L55" s="23">
        <v>5156.03</v>
      </c>
      <c r="M55" s="23">
        <v>7</v>
      </c>
      <c r="N55" s="23">
        <v>-122.03</v>
      </c>
      <c r="O55" s="33">
        <v>-1.7100000000000001E-2</v>
      </c>
      <c r="P55" s="33">
        <v>1.6000000000000001E-3</v>
      </c>
      <c r="Q55" s="23" t="s">
        <v>24</v>
      </c>
      <c r="R55" s="23">
        <v>0</v>
      </c>
      <c r="S55" s="23">
        <v>628.22</v>
      </c>
      <c r="U55" s="47">
        <v>44315</v>
      </c>
      <c r="V55" s="23" t="s">
        <v>113</v>
      </c>
      <c r="W55" s="23" t="s">
        <v>23</v>
      </c>
      <c r="X55" s="28">
        <v>44293.614583333336</v>
      </c>
      <c r="Y55" s="23">
        <v>26.2</v>
      </c>
      <c r="Z55" s="28">
        <v>44294.385416666664</v>
      </c>
      <c r="AA55" s="23">
        <v>26.824999999999999</v>
      </c>
      <c r="AB55" s="33">
        <v>2.3900000000000001E-2</v>
      </c>
      <c r="AC55" s="23">
        <v>-1198.03</v>
      </c>
      <c r="AD55" s="33">
        <v>-2.3900000000000001E-2</v>
      </c>
      <c r="AE55" s="23">
        <v>1916.8530000000001</v>
      </c>
      <c r="AF55" s="23">
        <v>50221.55</v>
      </c>
      <c r="AG55" s="23">
        <v>43112.63</v>
      </c>
      <c r="AH55" s="23">
        <v>7</v>
      </c>
      <c r="AI55" s="23">
        <v>-171.15</v>
      </c>
      <c r="AJ55" s="33">
        <v>-5.4399999999999997E-2</v>
      </c>
      <c r="AK55" s="33">
        <v>0</v>
      </c>
      <c r="AL55" s="23" t="s">
        <v>24</v>
      </c>
      <c r="AM55" s="23">
        <v>615</v>
      </c>
      <c r="AN55" s="23">
        <v>32945.199999999997</v>
      </c>
      <c r="AO55" s="23">
        <v>628.22</v>
      </c>
      <c r="AQ55" s="50">
        <f t="shared" si="0"/>
        <v>4.2601626016260163E-2</v>
      </c>
      <c r="AR55" s="50"/>
      <c r="AS55" s="48"/>
      <c r="AT55" s="50"/>
      <c r="AV55" s="47">
        <v>44293</v>
      </c>
      <c r="AW55" s="51">
        <v>0.11458333333333333</v>
      </c>
      <c r="AX55" t="s">
        <v>163</v>
      </c>
    </row>
    <row r="56" spans="1:50">
      <c r="A56" s="23" t="s">
        <v>22</v>
      </c>
      <c r="B56" s="23" t="s">
        <v>25</v>
      </c>
      <c r="C56" s="28">
        <v>44294.385416666664</v>
      </c>
      <c r="D56" s="23">
        <v>625.5</v>
      </c>
      <c r="E56" s="28">
        <v>44294.5</v>
      </c>
      <c r="F56" s="23">
        <v>622.5</v>
      </c>
      <c r="G56" s="33">
        <v>-4.7999999999999996E-3</v>
      </c>
      <c r="H56" s="23">
        <v>-239.94</v>
      </c>
      <c r="I56" s="33">
        <v>-4.7999999999999996E-3</v>
      </c>
      <c r="J56" s="23">
        <v>79.981189999999998</v>
      </c>
      <c r="K56" s="23">
        <v>50028.23</v>
      </c>
      <c r="L56" s="23">
        <v>4916.09</v>
      </c>
      <c r="M56" s="23">
        <v>12</v>
      </c>
      <c r="N56" s="23">
        <v>-20</v>
      </c>
      <c r="O56" s="33">
        <v>-1.3599999999999999E-2</v>
      </c>
      <c r="P56" s="33">
        <v>1.12E-2</v>
      </c>
      <c r="Q56" s="23" t="s">
        <v>24</v>
      </c>
      <c r="R56" s="23">
        <v>0</v>
      </c>
      <c r="S56" s="23">
        <v>614.27</v>
      </c>
      <c r="U56" s="47">
        <v>44315</v>
      </c>
      <c r="V56" s="23" t="s">
        <v>109</v>
      </c>
      <c r="W56" s="23" t="s">
        <v>23</v>
      </c>
      <c r="X56" s="28">
        <v>44294.395833333336</v>
      </c>
      <c r="Y56" s="23">
        <v>16</v>
      </c>
      <c r="Z56" s="28">
        <v>44294.5</v>
      </c>
      <c r="AA56" s="23">
        <v>15.025</v>
      </c>
      <c r="AB56" s="33">
        <v>-6.0900000000000003E-2</v>
      </c>
      <c r="AC56" s="23">
        <v>3060.01</v>
      </c>
      <c r="AD56" s="33">
        <v>6.0900000000000003E-2</v>
      </c>
      <c r="AE56" s="23">
        <v>3138.473</v>
      </c>
      <c r="AF56" s="23">
        <v>50215.56</v>
      </c>
      <c r="AG56" s="23">
        <v>46172.639999999999</v>
      </c>
      <c r="AH56" s="23">
        <v>11</v>
      </c>
      <c r="AI56" s="23">
        <v>278.18</v>
      </c>
      <c r="AJ56" s="33">
        <v>-8.7499999999999994E-2</v>
      </c>
      <c r="AK56" s="33">
        <v>0.16250000000000001</v>
      </c>
      <c r="AL56" s="23" t="s">
        <v>24</v>
      </c>
      <c r="AM56" s="23">
        <v>626</v>
      </c>
      <c r="AN56" s="23">
        <v>33238.65</v>
      </c>
      <c r="AO56" s="23">
        <v>615.04999999999995</v>
      </c>
      <c r="AQ56" s="50">
        <f t="shared" si="0"/>
        <v>2.5559105431309903E-2</v>
      </c>
      <c r="AR56" s="50"/>
      <c r="AS56" s="48"/>
      <c r="AT56" s="50"/>
      <c r="AV56" s="47">
        <v>44294</v>
      </c>
      <c r="AW56" s="51">
        <v>0.39583333333333331</v>
      </c>
      <c r="AX56" t="s">
        <v>162</v>
      </c>
    </row>
    <row r="57" spans="1:50">
      <c r="A57" s="23" t="s">
        <v>22</v>
      </c>
      <c r="B57" s="23" t="s">
        <v>23</v>
      </c>
      <c r="C57" s="28">
        <v>44294.5</v>
      </c>
      <c r="D57" s="23">
        <v>622.5</v>
      </c>
      <c r="E57" s="28">
        <v>44294.552083333336</v>
      </c>
      <c r="F57" s="23">
        <v>628.1</v>
      </c>
      <c r="G57" s="33">
        <v>8.9999999999999993E-3</v>
      </c>
      <c r="H57" s="23">
        <v>-450.03</v>
      </c>
      <c r="I57" s="33">
        <v>-8.9999999999999993E-3</v>
      </c>
      <c r="J57" s="23">
        <v>80.363020000000006</v>
      </c>
      <c r="K57" s="23">
        <v>50025.98</v>
      </c>
      <c r="L57" s="23">
        <v>4466.0600000000004</v>
      </c>
      <c r="M57" s="23">
        <v>6</v>
      </c>
      <c r="N57" s="23">
        <v>-75.010000000000005</v>
      </c>
      <c r="O57" s="33">
        <v>-8.9999999999999993E-3</v>
      </c>
      <c r="P57" s="33">
        <v>3.8E-3</v>
      </c>
      <c r="Q57" s="23" t="s">
        <v>24</v>
      </c>
      <c r="R57" s="23">
        <v>0</v>
      </c>
      <c r="S57" s="23">
        <v>632.5</v>
      </c>
      <c r="U57" s="47">
        <v>44315</v>
      </c>
      <c r="V57" s="23" t="s">
        <v>113</v>
      </c>
      <c r="W57" s="23" t="s">
        <v>23</v>
      </c>
      <c r="X57" s="28">
        <v>44294.5</v>
      </c>
      <c r="Y57" s="23">
        <v>30.25</v>
      </c>
      <c r="Z57" s="28">
        <v>44294.552083333336</v>
      </c>
      <c r="AA57" s="23">
        <v>30.25</v>
      </c>
      <c r="AB57" s="33">
        <v>0</v>
      </c>
      <c r="AC57" s="23">
        <v>0</v>
      </c>
      <c r="AD57" s="33">
        <v>0</v>
      </c>
      <c r="AE57" s="23">
        <v>1660.5239999999999</v>
      </c>
      <c r="AF57" s="23">
        <v>50230.86</v>
      </c>
      <c r="AG57" s="23">
        <v>46172.639999999999</v>
      </c>
      <c r="AH57" s="23">
        <v>6</v>
      </c>
      <c r="AI57" s="23">
        <v>0</v>
      </c>
      <c r="AJ57" s="33">
        <v>-0.1091</v>
      </c>
      <c r="AK57" s="33">
        <v>0</v>
      </c>
      <c r="AL57" s="23" t="s">
        <v>24</v>
      </c>
      <c r="AM57" s="23">
        <v>622.5</v>
      </c>
      <c r="AN57" s="23">
        <v>32911.85</v>
      </c>
      <c r="AO57" s="23">
        <v>632.5</v>
      </c>
      <c r="AQ57" s="50">
        <f t="shared" si="0"/>
        <v>4.8594377510040164E-2</v>
      </c>
      <c r="AR57" s="50"/>
      <c r="AS57" s="48"/>
      <c r="AT57" s="50"/>
      <c r="AV57" s="47">
        <v>44294</v>
      </c>
      <c r="AW57" s="51">
        <v>0.5</v>
      </c>
      <c r="AX57" t="s">
        <v>163</v>
      </c>
    </row>
    <row r="58" spans="1:50">
      <c r="A58" s="23" t="s">
        <v>22</v>
      </c>
      <c r="B58" s="23" t="s">
        <v>25</v>
      </c>
      <c r="C58" s="28">
        <v>44294.552083333336</v>
      </c>
      <c r="D58" s="23">
        <v>628.1</v>
      </c>
      <c r="E58" s="28">
        <v>44294.635416666664</v>
      </c>
      <c r="F58" s="23">
        <v>625.15</v>
      </c>
      <c r="G58" s="33">
        <v>-4.7000000000000002E-3</v>
      </c>
      <c r="H58" s="23">
        <v>-234.95</v>
      </c>
      <c r="I58" s="33">
        <v>-4.7000000000000002E-3</v>
      </c>
      <c r="J58" s="23">
        <v>79.643649999999994</v>
      </c>
      <c r="K58" s="23">
        <v>50024.18</v>
      </c>
      <c r="L58" s="23">
        <v>4231.1099999999997</v>
      </c>
      <c r="M58" s="23">
        <v>9</v>
      </c>
      <c r="N58" s="23">
        <v>-26.11</v>
      </c>
      <c r="O58" s="33">
        <v>-8.5000000000000006E-3</v>
      </c>
      <c r="P58" s="33">
        <v>5.7000000000000002E-3</v>
      </c>
      <c r="Q58" s="23" t="s">
        <v>24</v>
      </c>
      <c r="R58" s="23">
        <v>0</v>
      </c>
      <c r="S58" s="23">
        <v>620.54</v>
      </c>
      <c r="U58" s="47">
        <v>44315</v>
      </c>
      <c r="V58" s="23" t="s">
        <v>109</v>
      </c>
      <c r="W58" s="23" t="s">
        <v>23</v>
      </c>
      <c r="X58" s="28">
        <v>44294.552083333336</v>
      </c>
      <c r="Y58" s="23">
        <v>14</v>
      </c>
      <c r="Z58" s="28">
        <v>44294.635416666664</v>
      </c>
      <c r="AA58" s="23">
        <v>15.9</v>
      </c>
      <c r="AB58" s="33">
        <v>0.13569999999999999</v>
      </c>
      <c r="AC58" s="23">
        <v>-6817.05</v>
      </c>
      <c r="AD58" s="33">
        <v>-0.13569999999999999</v>
      </c>
      <c r="AE58" s="23">
        <v>3587.9189999999999</v>
      </c>
      <c r="AF58" s="23">
        <v>50230.86</v>
      </c>
      <c r="AG58" s="23">
        <v>39355.589999999997</v>
      </c>
      <c r="AH58" s="23">
        <v>9</v>
      </c>
      <c r="AI58" s="23">
        <v>-757.45</v>
      </c>
      <c r="AJ58" s="33">
        <v>-0.13750000000000001</v>
      </c>
      <c r="AK58" s="33">
        <v>4.1099999999999998E-2</v>
      </c>
      <c r="AL58" s="23" t="s">
        <v>24</v>
      </c>
      <c r="AM58" s="23">
        <v>628.1</v>
      </c>
      <c r="AN58" s="23">
        <v>33121.35</v>
      </c>
      <c r="AO58" s="23">
        <v>620.54</v>
      </c>
      <c r="AQ58" s="50">
        <f t="shared" si="0"/>
        <v>2.2289444355994267E-2</v>
      </c>
      <c r="AR58" s="50"/>
      <c r="AS58" s="48"/>
      <c r="AT58" s="50"/>
      <c r="AV58" s="47">
        <v>44294</v>
      </c>
      <c r="AW58" s="51">
        <v>5.2083333333333336E-2</v>
      </c>
      <c r="AX58" t="s">
        <v>163</v>
      </c>
    </row>
    <row r="59" spans="1:50">
      <c r="A59" s="23" t="s">
        <v>22</v>
      </c>
      <c r="B59" s="23" t="s">
        <v>23</v>
      </c>
      <c r="C59" s="28">
        <v>44294.635416666664</v>
      </c>
      <c r="D59" s="23">
        <v>625.15</v>
      </c>
      <c r="E59" s="28">
        <v>44298.59375</v>
      </c>
      <c r="F59" s="23">
        <v>545.65</v>
      </c>
      <c r="G59" s="33">
        <v>-0.12720000000000001</v>
      </c>
      <c r="H59" s="23">
        <v>6361.25</v>
      </c>
      <c r="I59" s="33">
        <v>0.12720000000000001</v>
      </c>
      <c r="J59" s="23">
        <v>80.015690000000006</v>
      </c>
      <c r="K59" s="23">
        <v>50021.81</v>
      </c>
      <c r="L59" s="23">
        <v>10592.35</v>
      </c>
      <c r="M59" s="23">
        <v>53</v>
      </c>
      <c r="N59" s="23">
        <v>120.02</v>
      </c>
      <c r="O59" s="33">
        <v>-3.5000000000000001E-3</v>
      </c>
      <c r="P59" s="33">
        <v>0.17979999999999999</v>
      </c>
      <c r="Q59" s="23" t="s">
        <v>24</v>
      </c>
      <c r="R59" s="23">
        <v>0</v>
      </c>
      <c r="S59" s="23">
        <v>631.54999999999995</v>
      </c>
      <c r="U59" s="47">
        <v>44315</v>
      </c>
      <c r="V59" s="23" t="s">
        <v>113</v>
      </c>
      <c r="W59" s="23" t="s">
        <v>23</v>
      </c>
      <c r="X59" s="28">
        <v>44294.635416666664</v>
      </c>
      <c r="Y59" s="23">
        <v>31.074999999999999</v>
      </c>
      <c r="Z59" s="28">
        <v>44298.59375</v>
      </c>
      <c r="AA59" s="23">
        <v>7</v>
      </c>
      <c r="AB59" s="33">
        <v>-0.77470000000000006</v>
      </c>
      <c r="AC59" s="23">
        <v>38889.03</v>
      </c>
      <c r="AD59" s="33">
        <v>0.77470000000000006</v>
      </c>
      <c r="AE59" s="23">
        <v>1615.328</v>
      </c>
      <c r="AF59" s="23">
        <v>50196.33</v>
      </c>
      <c r="AG59" s="23">
        <v>78244.62</v>
      </c>
      <c r="AH59" s="23">
        <v>53</v>
      </c>
      <c r="AI59" s="23">
        <v>733.76</v>
      </c>
      <c r="AJ59" s="33">
        <v>-5.6300000000000003E-2</v>
      </c>
      <c r="AK59" s="33">
        <v>0.84960000000000002</v>
      </c>
      <c r="AL59" s="23" t="s">
        <v>24</v>
      </c>
      <c r="AM59" s="23">
        <v>625.15</v>
      </c>
      <c r="AN59" s="23">
        <v>32798.400000000001</v>
      </c>
      <c r="AO59" s="23">
        <v>631.54999999999995</v>
      </c>
      <c r="AQ59" s="50">
        <f t="shared" si="0"/>
        <v>4.9708070063184839E-2</v>
      </c>
      <c r="AR59" s="50"/>
      <c r="AS59" s="48"/>
      <c r="AT59" s="50"/>
      <c r="AV59" s="47">
        <v>44294</v>
      </c>
      <c r="AW59" s="51">
        <v>0.13541666666666666</v>
      </c>
      <c r="AX59" t="s">
        <v>163</v>
      </c>
    </row>
    <row r="60" spans="1:50">
      <c r="A60" s="23" t="s">
        <v>22</v>
      </c>
      <c r="B60" s="23" t="s">
        <v>25</v>
      </c>
      <c r="C60" s="28">
        <v>44298.59375</v>
      </c>
      <c r="D60" s="23">
        <v>545.65</v>
      </c>
      <c r="E60" s="28">
        <v>44299.458333333336</v>
      </c>
      <c r="F60" s="23">
        <v>532.35</v>
      </c>
      <c r="G60" s="33">
        <v>-2.4400000000000002E-2</v>
      </c>
      <c r="H60" s="23">
        <v>-1220.0999999999999</v>
      </c>
      <c r="I60" s="33">
        <v>-2.4400000000000002E-2</v>
      </c>
      <c r="J60" s="23">
        <v>91.736530000000002</v>
      </c>
      <c r="K60" s="23">
        <v>50056.04</v>
      </c>
      <c r="L60" s="23">
        <v>9372.26</v>
      </c>
      <c r="M60" s="23">
        <v>16</v>
      </c>
      <c r="N60" s="23">
        <v>-76.260000000000005</v>
      </c>
      <c r="O60" s="33">
        <v>-3.1300000000000001E-2</v>
      </c>
      <c r="P60" s="33">
        <v>1.34E-2</v>
      </c>
      <c r="Q60" s="23" t="s">
        <v>24</v>
      </c>
      <c r="R60" s="23">
        <v>0</v>
      </c>
      <c r="S60" s="23">
        <v>514.16</v>
      </c>
      <c r="U60" s="47">
        <v>44315</v>
      </c>
      <c r="V60" s="23" t="s">
        <v>106</v>
      </c>
      <c r="W60" s="23" t="s">
        <v>23</v>
      </c>
      <c r="X60" s="28">
        <v>44298.59375</v>
      </c>
      <c r="Y60" s="23">
        <v>30.25</v>
      </c>
      <c r="Z60" s="28">
        <v>44299.458333333336</v>
      </c>
      <c r="AA60" s="23">
        <v>28.524999999999999</v>
      </c>
      <c r="AB60" s="33">
        <v>-5.7000000000000002E-2</v>
      </c>
      <c r="AC60" s="23">
        <v>2874.02</v>
      </c>
      <c r="AD60" s="33">
        <v>5.7000000000000002E-2</v>
      </c>
      <c r="AE60" s="23">
        <v>1666.0989999999999</v>
      </c>
      <c r="AF60" s="23">
        <v>50399.5</v>
      </c>
      <c r="AG60" s="23">
        <v>81118.64</v>
      </c>
      <c r="AH60" s="23">
        <v>16</v>
      </c>
      <c r="AI60" s="23">
        <v>179.63</v>
      </c>
      <c r="AJ60" s="33">
        <v>-0.35539999999999999</v>
      </c>
      <c r="AK60" s="33">
        <v>6.2E-2</v>
      </c>
      <c r="AL60" s="23" t="s">
        <v>24</v>
      </c>
      <c r="AM60" s="23">
        <v>545.65</v>
      </c>
      <c r="AN60" s="23">
        <v>30740.6</v>
      </c>
      <c r="AO60" s="23">
        <v>514.16</v>
      </c>
      <c r="AQ60" s="50">
        <f t="shared" si="0"/>
        <v>5.5438467882342163E-2</v>
      </c>
      <c r="AR60" s="50"/>
      <c r="AS60" s="48"/>
      <c r="AT60" s="50"/>
      <c r="AV60" s="47">
        <v>44298</v>
      </c>
      <c r="AW60" s="51">
        <v>9.375E-2</v>
      </c>
      <c r="AX60" t="s">
        <v>163</v>
      </c>
    </row>
    <row r="61" spans="1:50">
      <c r="A61" s="23" t="s">
        <v>22</v>
      </c>
      <c r="B61" s="23" t="s">
        <v>23</v>
      </c>
      <c r="C61" s="28">
        <v>44299.458333333336</v>
      </c>
      <c r="D61" s="23">
        <v>532.35</v>
      </c>
      <c r="E61" s="28">
        <v>44299.572916666664</v>
      </c>
      <c r="F61" s="23">
        <v>540</v>
      </c>
      <c r="G61" s="33">
        <v>1.44E-2</v>
      </c>
      <c r="H61" s="23">
        <v>-719.2</v>
      </c>
      <c r="I61" s="33">
        <v>-1.44E-2</v>
      </c>
      <c r="J61" s="23">
        <v>94.013360000000006</v>
      </c>
      <c r="K61" s="23">
        <v>50048.01</v>
      </c>
      <c r="L61" s="23">
        <v>8653.06</v>
      </c>
      <c r="M61" s="23">
        <v>12</v>
      </c>
      <c r="N61" s="23">
        <v>-59.93</v>
      </c>
      <c r="O61" s="33">
        <v>-1.44E-2</v>
      </c>
      <c r="P61" s="33">
        <v>2.8000000000000001E-2</v>
      </c>
      <c r="Q61" s="23" t="s">
        <v>24</v>
      </c>
      <c r="R61" s="23">
        <v>0</v>
      </c>
      <c r="S61" s="23">
        <v>552.14</v>
      </c>
      <c r="U61" s="47">
        <v>44315</v>
      </c>
      <c r="V61" s="23" t="s">
        <v>120</v>
      </c>
      <c r="W61" s="23" t="s">
        <v>23</v>
      </c>
      <c r="X61" s="28">
        <v>44299.458333333336</v>
      </c>
      <c r="Y61" s="23">
        <v>20.524999999999999</v>
      </c>
      <c r="Z61" s="28">
        <v>44299.572916666664</v>
      </c>
      <c r="AA61" s="23">
        <v>21.3</v>
      </c>
      <c r="AB61" s="33">
        <v>3.78E-2</v>
      </c>
      <c r="AC61" s="23">
        <v>-1903.26</v>
      </c>
      <c r="AD61" s="33">
        <v>-3.78E-2</v>
      </c>
      <c r="AE61" s="23">
        <v>2455.8139999999999</v>
      </c>
      <c r="AF61" s="23">
        <v>50405.59</v>
      </c>
      <c r="AG61" s="23">
        <v>79215.39</v>
      </c>
      <c r="AH61" s="23">
        <v>12</v>
      </c>
      <c r="AI61" s="23">
        <v>-158.6</v>
      </c>
      <c r="AJ61" s="33">
        <v>-4.2599999999999999E-2</v>
      </c>
      <c r="AK61" s="33">
        <v>0.24970000000000001</v>
      </c>
      <c r="AL61" s="23" t="s">
        <v>24</v>
      </c>
      <c r="AM61" s="23">
        <v>532.35</v>
      </c>
      <c r="AN61" s="23">
        <v>31178.6</v>
      </c>
      <c r="AO61" s="23">
        <v>552.14</v>
      </c>
      <c r="AQ61" s="50">
        <f t="shared" si="0"/>
        <v>3.8555461632384706E-2</v>
      </c>
      <c r="AR61" s="50"/>
      <c r="AS61" s="48"/>
      <c r="AT61" s="50"/>
      <c r="AV61" s="47">
        <v>44299</v>
      </c>
      <c r="AW61" s="51">
        <v>0.45833333333333331</v>
      </c>
      <c r="AX61" t="s">
        <v>162</v>
      </c>
    </row>
    <row r="62" spans="1:50">
      <c r="A62" s="23" t="s">
        <v>22</v>
      </c>
      <c r="B62" s="23" t="s">
        <v>25</v>
      </c>
      <c r="C62" s="28">
        <v>44299.572916666664</v>
      </c>
      <c r="D62" s="23">
        <v>540</v>
      </c>
      <c r="E62" s="28">
        <v>44301.385416666664</v>
      </c>
      <c r="F62" s="23">
        <v>541.22500000000002</v>
      </c>
      <c r="G62" s="33">
        <v>2.3E-3</v>
      </c>
      <c r="H62" s="23">
        <v>113.54</v>
      </c>
      <c r="I62" s="33">
        <v>2.3E-3</v>
      </c>
      <c r="J62" s="23">
        <v>92.684460000000001</v>
      </c>
      <c r="K62" s="23">
        <v>50049.61</v>
      </c>
      <c r="L62" s="23">
        <v>8766.59</v>
      </c>
      <c r="M62" s="23">
        <v>11</v>
      </c>
      <c r="N62" s="23">
        <v>10.32</v>
      </c>
      <c r="O62" s="33">
        <v>-2.5700000000000001E-2</v>
      </c>
      <c r="P62" s="33">
        <v>1.5599999999999999E-2</v>
      </c>
      <c r="Q62" s="23" t="s">
        <v>24</v>
      </c>
      <c r="R62" s="23">
        <v>0</v>
      </c>
      <c r="S62" s="23">
        <v>517.41999999999996</v>
      </c>
      <c r="U62" s="47">
        <v>44315</v>
      </c>
      <c r="V62" s="23" t="s">
        <v>121</v>
      </c>
      <c r="W62" s="23" t="s">
        <v>23</v>
      </c>
      <c r="X62" s="28">
        <v>44299.572916666664</v>
      </c>
      <c r="Y62" s="23">
        <v>10.050000000000001</v>
      </c>
      <c r="Z62" s="28">
        <v>44301.385416666664</v>
      </c>
      <c r="AA62" s="23">
        <v>10.050000000000001</v>
      </c>
      <c r="AB62" s="33">
        <v>0</v>
      </c>
      <c r="AC62" s="23">
        <v>0</v>
      </c>
      <c r="AD62" s="33">
        <v>0</v>
      </c>
      <c r="AE62" s="23">
        <v>5016.1850000000004</v>
      </c>
      <c r="AF62" s="23">
        <v>50412.66</v>
      </c>
      <c r="AG62" s="23">
        <v>79215.39</v>
      </c>
      <c r="AH62" s="23">
        <v>11</v>
      </c>
      <c r="AI62" s="23">
        <v>0</v>
      </c>
      <c r="AJ62" s="33">
        <v>0</v>
      </c>
      <c r="AK62" s="33">
        <v>0</v>
      </c>
      <c r="AL62" s="23" t="s">
        <v>24</v>
      </c>
      <c r="AM62" s="23">
        <v>540</v>
      </c>
      <c r="AN62" s="23">
        <v>31548.9</v>
      </c>
      <c r="AO62" s="23">
        <v>517.41999999999996</v>
      </c>
      <c r="AQ62" s="50">
        <f t="shared" si="0"/>
        <v>1.8611111111111113E-2</v>
      </c>
      <c r="AR62" s="50"/>
      <c r="AS62" s="48"/>
      <c r="AT62" s="50"/>
      <c r="AV62" s="47">
        <v>44299</v>
      </c>
      <c r="AW62" s="51">
        <v>7.2916666666666671E-2</v>
      </c>
      <c r="AX62" t="s">
        <v>163</v>
      </c>
    </row>
    <row r="63" spans="1:50">
      <c r="A63" s="23" t="s">
        <v>22</v>
      </c>
      <c r="B63" s="23" t="s">
        <v>23</v>
      </c>
      <c r="C63" s="28">
        <v>44301.385416666664</v>
      </c>
      <c r="D63" s="23">
        <v>541.22500000000002</v>
      </c>
      <c r="E63" s="28">
        <v>44301.40625</v>
      </c>
      <c r="F63" s="23">
        <v>545.35</v>
      </c>
      <c r="G63" s="33">
        <v>7.6E-3</v>
      </c>
      <c r="H63" s="23">
        <v>-381.41</v>
      </c>
      <c r="I63" s="33">
        <v>-7.6E-3</v>
      </c>
      <c r="J63" s="23">
        <v>92.463300000000004</v>
      </c>
      <c r="K63" s="23">
        <v>50043.45</v>
      </c>
      <c r="L63" s="23">
        <v>8385.18</v>
      </c>
      <c r="M63" s="23">
        <v>3</v>
      </c>
      <c r="N63" s="23">
        <v>-127.14</v>
      </c>
      <c r="O63" s="33">
        <v>-7.9000000000000008E-3</v>
      </c>
      <c r="P63" s="33">
        <v>3.9199999999999999E-2</v>
      </c>
      <c r="Q63" s="23" t="s">
        <v>24</v>
      </c>
      <c r="R63" s="23">
        <v>0</v>
      </c>
      <c r="S63" s="23">
        <v>547.28</v>
      </c>
      <c r="U63" s="47">
        <v>44315</v>
      </c>
      <c r="V63" s="23" t="s">
        <v>120</v>
      </c>
      <c r="W63" s="23" t="s">
        <v>23</v>
      </c>
      <c r="X63" s="28">
        <v>44301.385416666664</v>
      </c>
      <c r="Y63" s="23">
        <v>25.15</v>
      </c>
      <c r="Z63" s="28">
        <v>44301.40625</v>
      </c>
      <c r="AA63" s="23">
        <v>25.524999999999999</v>
      </c>
      <c r="AB63" s="33">
        <v>1.49E-2</v>
      </c>
      <c r="AC63" s="23">
        <v>-751.43</v>
      </c>
      <c r="AD63" s="33">
        <v>-1.49E-2</v>
      </c>
      <c r="AE63" s="23">
        <v>2003.82</v>
      </c>
      <c r="AF63" s="23">
        <v>50396.08</v>
      </c>
      <c r="AG63" s="23">
        <v>78463.95</v>
      </c>
      <c r="AH63" s="23">
        <v>3</v>
      </c>
      <c r="AI63" s="23">
        <v>-250.48</v>
      </c>
      <c r="AJ63" s="33">
        <v>-8.5500000000000007E-2</v>
      </c>
      <c r="AK63" s="33">
        <v>0.2843</v>
      </c>
      <c r="AL63" s="23" t="s">
        <v>24</v>
      </c>
      <c r="AM63" s="23">
        <v>541.22</v>
      </c>
      <c r="AN63" s="23">
        <v>32050.75</v>
      </c>
      <c r="AO63" s="23">
        <v>547.28</v>
      </c>
      <c r="AQ63" s="50">
        <f t="shared" si="0"/>
        <v>4.6469088355936584E-2</v>
      </c>
      <c r="AR63" s="50"/>
      <c r="AS63" s="48"/>
      <c r="AT63" s="50"/>
      <c r="AV63" s="47">
        <v>44301</v>
      </c>
      <c r="AW63" s="51">
        <v>0.38541666666666669</v>
      </c>
      <c r="AX63" t="s">
        <v>162</v>
      </c>
    </row>
    <row r="64" spans="1:50">
      <c r="A64" s="23" t="s">
        <v>22</v>
      </c>
      <c r="B64" s="23" t="s">
        <v>25</v>
      </c>
      <c r="C64" s="28">
        <v>44301.40625</v>
      </c>
      <c r="D64" s="23">
        <v>545.35</v>
      </c>
      <c r="E64" s="28">
        <v>44301.53125</v>
      </c>
      <c r="F64" s="23">
        <v>537.6</v>
      </c>
      <c r="G64" s="33">
        <v>-1.4200000000000001E-2</v>
      </c>
      <c r="H64" s="23">
        <v>-711.19</v>
      </c>
      <c r="I64" s="33">
        <v>-1.4200000000000001E-2</v>
      </c>
      <c r="J64" s="23">
        <v>91.766249999999999</v>
      </c>
      <c r="K64" s="23">
        <v>50044.72</v>
      </c>
      <c r="L64" s="23">
        <v>7674</v>
      </c>
      <c r="M64" s="23">
        <v>13</v>
      </c>
      <c r="N64" s="23">
        <v>-54.71</v>
      </c>
      <c r="O64" s="33">
        <v>-2.81E-2</v>
      </c>
      <c r="P64" s="33">
        <v>1.2200000000000001E-2</v>
      </c>
      <c r="Q64" s="23" t="s">
        <v>24</v>
      </c>
      <c r="R64" s="23">
        <v>0</v>
      </c>
      <c r="S64" s="23">
        <v>520</v>
      </c>
      <c r="U64" s="47">
        <v>44315</v>
      </c>
      <c r="V64" s="23" t="s">
        <v>118</v>
      </c>
      <c r="W64" s="23" t="s">
        <v>23</v>
      </c>
      <c r="X64" s="28">
        <v>44301.40625</v>
      </c>
      <c r="Y64" s="23">
        <v>2.5249999999999999</v>
      </c>
      <c r="Z64" s="28">
        <v>44301.53125</v>
      </c>
      <c r="AA64" s="23">
        <v>4.4249999999999998</v>
      </c>
      <c r="AB64" s="33">
        <v>0.75249999999999995</v>
      </c>
      <c r="AC64" s="23">
        <v>-37929.15</v>
      </c>
      <c r="AD64" s="33">
        <v>-0.75249999999999995</v>
      </c>
      <c r="AE64" s="23">
        <v>19962.71</v>
      </c>
      <c r="AF64" s="23">
        <v>50405.85</v>
      </c>
      <c r="AG64" s="23">
        <v>40534.800000000003</v>
      </c>
      <c r="AH64" s="23">
        <v>13</v>
      </c>
      <c r="AI64" s="23">
        <v>-2917.63</v>
      </c>
      <c r="AJ64" s="33">
        <v>-0.75249999999999995</v>
      </c>
      <c r="AK64" s="33">
        <v>9.9000000000000008E-3</v>
      </c>
      <c r="AL64" s="23" t="s">
        <v>24</v>
      </c>
      <c r="AM64" s="23">
        <v>545.35</v>
      </c>
      <c r="AN64" s="23">
        <v>31758.45</v>
      </c>
      <c r="AO64" s="23">
        <v>520</v>
      </c>
      <c r="AQ64" s="50">
        <f t="shared" si="0"/>
        <v>4.6300540937012922E-3</v>
      </c>
      <c r="AR64" s="50"/>
      <c r="AS64" s="48"/>
      <c r="AT64" s="50"/>
      <c r="AV64" s="47">
        <v>44301</v>
      </c>
      <c r="AW64" s="51">
        <v>0.40625</v>
      </c>
      <c r="AX64" t="s">
        <v>162</v>
      </c>
    </row>
    <row r="65" spans="1:50">
      <c r="A65" s="23" t="s">
        <v>22</v>
      </c>
      <c r="B65" s="23" t="s">
        <v>23</v>
      </c>
      <c r="C65" s="28">
        <v>44301.53125</v>
      </c>
      <c r="D65" s="23">
        <v>537.6</v>
      </c>
      <c r="E65" s="28">
        <v>44302.385416666664</v>
      </c>
      <c r="F65" s="23">
        <v>536</v>
      </c>
      <c r="G65" s="33">
        <v>-3.0000000000000001E-3</v>
      </c>
      <c r="H65" s="23">
        <v>148.91999999999999</v>
      </c>
      <c r="I65" s="33">
        <v>3.0000000000000001E-3</v>
      </c>
      <c r="J65" s="23">
        <v>93.077500000000001</v>
      </c>
      <c r="K65" s="23">
        <v>50038.46</v>
      </c>
      <c r="L65" s="23">
        <v>7822.92</v>
      </c>
      <c r="M65" s="23">
        <v>15</v>
      </c>
      <c r="N65" s="23">
        <v>9.93</v>
      </c>
      <c r="O65" s="33">
        <v>-1.77E-2</v>
      </c>
      <c r="P65" s="33">
        <v>2.4899999999999999E-2</v>
      </c>
      <c r="Q65" s="23" t="s">
        <v>24</v>
      </c>
      <c r="R65" s="23">
        <v>0</v>
      </c>
      <c r="S65" s="23">
        <v>551.66999999999996</v>
      </c>
      <c r="U65" s="47">
        <v>44315</v>
      </c>
      <c r="V65" s="23" t="s">
        <v>108</v>
      </c>
      <c r="W65" s="23" t="s">
        <v>23</v>
      </c>
      <c r="X65" s="28">
        <v>44301.53125</v>
      </c>
      <c r="Y65" s="23">
        <v>4</v>
      </c>
      <c r="Z65" s="28">
        <v>44302.385416666664</v>
      </c>
      <c r="AA65" s="23">
        <v>3.4750000000000001</v>
      </c>
      <c r="AB65" s="33">
        <v>-0.1313</v>
      </c>
      <c r="AC65" s="23">
        <v>6589.1</v>
      </c>
      <c r="AD65" s="33">
        <v>0.13120000000000001</v>
      </c>
      <c r="AE65" s="23">
        <v>12550.67</v>
      </c>
      <c r="AF65" s="23">
        <v>50202.68</v>
      </c>
      <c r="AG65" s="23">
        <v>47123.9</v>
      </c>
      <c r="AH65" s="23">
        <v>15</v>
      </c>
      <c r="AI65" s="23">
        <v>439.27</v>
      </c>
      <c r="AJ65" s="33">
        <v>0</v>
      </c>
      <c r="AK65" s="33">
        <v>0.1313</v>
      </c>
      <c r="AL65" s="23" t="s">
        <v>24</v>
      </c>
      <c r="AM65" s="23">
        <v>537.6</v>
      </c>
      <c r="AN65" s="23">
        <v>31841.95</v>
      </c>
      <c r="AO65" s="23">
        <v>551.66999999999996</v>
      </c>
      <c r="AQ65" s="50">
        <f t="shared" si="0"/>
        <v>7.4404761904761901E-3</v>
      </c>
      <c r="AR65" s="50"/>
      <c r="AS65" s="48"/>
      <c r="AT65" s="50"/>
      <c r="AV65" s="47">
        <v>44301</v>
      </c>
      <c r="AW65" s="51">
        <v>0.53125</v>
      </c>
      <c r="AX65" t="s">
        <v>163</v>
      </c>
    </row>
    <row r="66" spans="1:50">
      <c r="A66" s="23" t="s">
        <v>22</v>
      </c>
      <c r="B66" s="23" t="s">
        <v>25</v>
      </c>
      <c r="C66" s="28">
        <v>44302.385416666664</v>
      </c>
      <c r="D66" s="23">
        <v>536</v>
      </c>
      <c r="E66" s="28">
        <v>44302.625</v>
      </c>
      <c r="F66" s="23">
        <v>537</v>
      </c>
      <c r="G66" s="33">
        <v>1.9E-3</v>
      </c>
      <c r="H66" s="23">
        <v>93.36</v>
      </c>
      <c r="I66" s="33">
        <v>1.9E-3</v>
      </c>
      <c r="J66" s="23">
        <v>93.361760000000004</v>
      </c>
      <c r="K66" s="23">
        <v>50041.91</v>
      </c>
      <c r="L66" s="23">
        <v>7916.28</v>
      </c>
      <c r="M66" s="23">
        <v>24</v>
      </c>
      <c r="N66" s="23">
        <v>3.89</v>
      </c>
      <c r="O66" s="33">
        <v>-1.12E-2</v>
      </c>
      <c r="P66" s="33">
        <v>2.5700000000000001E-2</v>
      </c>
      <c r="Q66" s="23" t="s">
        <v>24</v>
      </c>
      <c r="R66" s="23">
        <v>0</v>
      </c>
      <c r="S66" s="23">
        <v>524.92999999999995</v>
      </c>
      <c r="U66" s="47">
        <v>44315</v>
      </c>
      <c r="V66" s="23" t="s">
        <v>122</v>
      </c>
      <c r="W66" s="23" t="s">
        <v>23</v>
      </c>
      <c r="X66" s="28">
        <v>44302.385416666664</v>
      </c>
      <c r="Y66" s="23">
        <v>31.824999999999999</v>
      </c>
      <c r="Z66" s="28">
        <v>44302.625</v>
      </c>
      <c r="AA66" s="23">
        <v>22.475000000000001</v>
      </c>
      <c r="AB66" s="33">
        <v>-0.29380000000000001</v>
      </c>
      <c r="AC66" s="23">
        <v>14758.93</v>
      </c>
      <c r="AD66" s="33">
        <v>0.29380000000000001</v>
      </c>
      <c r="AE66" s="23">
        <v>1578.4949999999999</v>
      </c>
      <c r="AF66" s="23">
        <v>50235.62</v>
      </c>
      <c r="AG66" s="23">
        <v>61882.84</v>
      </c>
      <c r="AH66" s="23">
        <v>24</v>
      </c>
      <c r="AI66" s="23">
        <v>614.96</v>
      </c>
      <c r="AJ66" s="33">
        <v>-1.6000000000000001E-3</v>
      </c>
      <c r="AK66" s="33">
        <v>0.29380000000000001</v>
      </c>
      <c r="AL66" s="23" t="s">
        <v>24</v>
      </c>
      <c r="AM66" s="23">
        <v>536</v>
      </c>
      <c r="AN66" s="23">
        <v>32039</v>
      </c>
      <c r="AO66" s="23">
        <v>524.92999999999995</v>
      </c>
      <c r="AQ66" s="50">
        <f t="shared" si="0"/>
        <v>5.9374999999999997E-2</v>
      </c>
      <c r="AR66" s="50"/>
      <c r="AS66" s="48"/>
      <c r="AT66" s="50"/>
      <c r="AV66" s="47">
        <v>44302</v>
      </c>
      <c r="AW66" s="51">
        <v>0.38541666666666669</v>
      </c>
      <c r="AX66" t="s">
        <v>162</v>
      </c>
    </row>
    <row r="67" spans="1:50">
      <c r="A67" s="23" t="s">
        <v>22</v>
      </c>
      <c r="B67" s="23" t="s">
        <v>23</v>
      </c>
      <c r="C67" s="28">
        <v>44302.625</v>
      </c>
      <c r="D67" s="23">
        <v>537</v>
      </c>
      <c r="E67" s="28">
        <v>44305.552083333336</v>
      </c>
      <c r="F67" s="23">
        <v>504.17500000000001</v>
      </c>
      <c r="G67" s="33">
        <v>-6.1100000000000002E-2</v>
      </c>
      <c r="H67" s="23">
        <v>3058.9</v>
      </c>
      <c r="I67" s="33">
        <v>6.1100000000000002E-2</v>
      </c>
      <c r="J67" s="23">
        <v>93.188119999999998</v>
      </c>
      <c r="K67" s="23">
        <v>50042.02</v>
      </c>
      <c r="L67" s="23">
        <v>10975.18</v>
      </c>
      <c r="M67" s="23">
        <v>22</v>
      </c>
      <c r="N67" s="23">
        <v>139.04</v>
      </c>
      <c r="O67" s="33">
        <v>-1.01E-2</v>
      </c>
      <c r="P67" s="33">
        <v>9.3799999999999994E-2</v>
      </c>
      <c r="Q67" s="23" t="s">
        <v>24</v>
      </c>
      <c r="R67" s="23">
        <v>0</v>
      </c>
      <c r="S67" s="23">
        <v>549.20000000000005</v>
      </c>
      <c r="U67" s="47">
        <v>44315</v>
      </c>
      <c r="V67" s="23" t="s">
        <v>123</v>
      </c>
      <c r="W67" s="23" t="s">
        <v>23</v>
      </c>
      <c r="X67" s="28">
        <v>44302.625</v>
      </c>
      <c r="Y67" s="23">
        <v>22.5</v>
      </c>
      <c r="Z67" s="28">
        <v>44305.552083333336</v>
      </c>
      <c r="AA67" s="23">
        <v>10.55</v>
      </c>
      <c r="AB67" s="33">
        <v>-0.53110000000000002</v>
      </c>
      <c r="AC67" s="23">
        <v>26719.89</v>
      </c>
      <c r="AD67" s="33">
        <v>0.53110000000000002</v>
      </c>
      <c r="AE67" s="23">
        <v>2235.9740000000002</v>
      </c>
      <c r="AF67" s="23">
        <v>50309.41</v>
      </c>
      <c r="AG67" s="23">
        <v>88602.72</v>
      </c>
      <c r="AH67" s="23">
        <v>22</v>
      </c>
      <c r="AI67" s="23">
        <v>1214.54</v>
      </c>
      <c r="AJ67" s="33">
        <v>-0.1222</v>
      </c>
      <c r="AK67" s="33">
        <v>0.62109999999999999</v>
      </c>
      <c r="AL67" s="23" t="s">
        <v>24</v>
      </c>
      <c r="AM67" s="23">
        <v>537</v>
      </c>
      <c r="AN67" s="23">
        <v>31966.1</v>
      </c>
      <c r="AO67" s="23">
        <v>549.20000000000005</v>
      </c>
      <c r="AQ67" s="50">
        <f t="shared" si="0"/>
        <v>4.189944134078212E-2</v>
      </c>
      <c r="AR67" s="50"/>
      <c r="AS67" s="48"/>
      <c r="AT67" s="50"/>
      <c r="AV67" s="47">
        <v>44302</v>
      </c>
      <c r="AW67" s="51">
        <v>0.125</v>
      </c>
      <c r="AX67" t="s">
        <v>163</v>
      </c>
    </row>
    <row r="68" spans="1:50">
      <c r="A68" s="23" t="s">
        <v>22</v>
      </c>
      <c r="B68" s="23" t="s">
        <v>25</v>
      </c>
      <c r="C68" s="28">
        <v>44305.552083333336</v>
      </c>
      <c r="D68" s="23">
        <v>504.17500000000001</v>
      </c>
      <c r="E68" s="28">
        <v>44306.59375</v>
      </c>
      <c r="F68" s="23">
        <v>519.77499999999998</v>
      </c>
      <c r="G68" s="33">
        <v>3.09E-2</v>
      </c>
      <c r="H68" s="23">
        <v>1548.72</v>
      </c>
      <c r="I68" s="33">
        <v>3.09E-2</v>
      </c>
      <c r="J68" s="23">
        <v>99.27722</v>
      </c>
      <c r="K68" s="23">
        <v>50053.09</v>
      </c>
      <c r="L68" s="23">
        <v>12523.91</v>
      </c>
      <c r="M68" s="23">
        <v>33</v>
      </c>
      <c r="N68" s="23">
        <v>46.93</v>
      </c>
      <c r="O68" s="33">
        <v>-6.9999999999999999E-4</v>
      </c>
      <c r="P68" s="33">
        <v>4.6300000000000001E-2</v>
      </c>
      <c r="Q68" s="23" t="s">
        <v>24</v>
      </c>
      <c r="R68" s="23">
        <v>0</v>
      </c>
      <c r="S68" s="23">
        <v>487.12</v>
      </c>
      <c r="U68" s="47">
        <v>44315</v>
      </c>
      <c r="V68" s="23" t="s">
        <v>105</v>
      </c>
      <c r="W68" s="23" t="s">
        <v>23</v>
      </c>
      <c r="X68" s="28">
        <v>44305.552083333336</v>
      </c>
      <c r="Y68" s="23">
        <v>19.5</v>
      </c>
      <c r="Z68" s="28">
        <v>44306.59375</v>
      </c>
      <c r="AA68" s="23">
        <v>12.525</v>
      </c>
      <c r="AB68" s="33">
        <v>-0.35770000000000002</v>
      </c>
      <c r="AC68" s="23">
        <v>18042.68</v>
      </c>
      <c r="AD68" s="33">
        <v>0.35770000000000002</v>
      </c>
      <c r="AE68" s="23">
        <v>2586.7640000000001</v>
      </c>
      <c r="AF68" s="23">
        <v>50441.89</v>
      </c>
      <c r="AG68" s="23">
        <v>106645.4</v>
      </c>
      <c r="AH68" s="23">
        <v>33</v>
      </c>
      <c r="AI68" s="23">
        <v>546.75</v>
      </c>
      <c r="AJ68" s="33">
        <v>-3.4599999999999999E-2</v>
      </c>
      <c r="AK68" s="33">
        <v>0.53849999999999998</v>
      </c>
      <c r="AL68" s="23" t="s">
        <v>24</v>
      </c>
      <c r="AM68" s="23">
        <v>504.17</v>
      </c>
      <c r="AN68" s="23">
        <v>30771.35</v>
      </c>
      <c r="AO68" s="23">
        <v>487.12</v>
      </c>
      <c r="AQ68" s="50">
        <f t="shared" si="0"/>
        <v>3.8677430231866233E-2</v>
      </c>
      <c r="AR68" s="50"/>
      <c r="AS68" s="48"/>
      <c r="AT68" s="50"/>
      <c r="AV68" s="47">
        <v>44305</v>
      </c>
      <c r="AW68" s="51">
        <v>5.2083333333333336E-2</v>
      </c>
      <c r="AX68" t="s">
        <v>163</v>
      </c>
    </row>
    <row r="69" spans="1:50">
      <c r="A69" s="23" t="s">
        <v>22</v>
      </c>
      <c r="B69" s="23" t="s">
        <v>23</v>
      </c>
      <c r="C69" s="28">
        <v>44306.59375</v>
      </c>
      <c r="D69" s="23">
        <v>519.77499999999998</v>
      </c>
      <c r="E69" s="28">
        <v>44308.479166666664</v>
      </c>
      <c r="F69" s="23">
        <v>519.77499999999998</v>
      </c>
      <c r="G69" s="33">
        <v>0</v>
      </c>
      <c r="H69" s="23">
        <v>0</v>
      </c>
      <c r="I69" s="33">
        <v>0</v>
      </c>
      <c r="J69" s="23">
        <v>96.318879999999993</v>
      </c>
      <c r="K69" s="23">
        <v>50064.15</v>
      </c>
      <c r="L69" s="23">
        <v>12523.91</v>
      </c>
      <c r="M69" s="23">
        <v>18</v>
      </c>
      <c r="N69" s="23">
        <v>0</v>
      </c>
      <c r="O69" s="33">
        <v>-6.1000000000000004E-3</v>
      </c>
      <c r="P69" s="33">
        <v>3.32E-2</v>
      </c>
      <c r="Q69" s="23" t="s">
        <v>24</v>
      </c>
      <c r="R69" s="23">
        <v>0</v>
      </c>
      <c r="S69" s="23">
        <v>527.5</v>
      </c>
      <c r="U69" s="47">
        <v>44315</v>
      </c>
      <c r="V69" s="23" t="s">
        <v>124</v>
      </c>
      <c r="W69" s="23" t="s">
        <v>23</v>
      </c>
      <c r="X69" s="28">
        <v>44306.59375</v>
      </c>
      <c r="Y69" s="23">
        <v>22.25</v>
      </c>
      <c r="Z69" s="28">
        <v>44308.479166666664</v>
      </c>
      <c r="AA69" s="23">
        <v>15.7</v>
      </c>
      <c r="AB69" s="33">
        <v>-0.2944</v>
      </c>
      <c r="AC69" s="23">
        <v>14881.5</v>
      </c>
      <c r="AD69" s="33">
        <v>0.2944</v>
      </c>
      <c r="AE69" s="23">
        <v>2271.9850000000001</v>
      </c>
      <c r="AF69" s="23">
        <v>50551.66</v>
      </c>
      <c r="AG69" s="23">
        <v>121526.9</v>
      </c>
      <c r="AH69" s="23">
        <v>18</v>
      </c>
      <c r="AI69" s="23">
        <v>826.75</v>
      </c>
      <c r="AJ69" s="33">
        <v>0</v>
      </c>
      <c r="AK69" s="33">
        <v>0.48199999999999998</v>
      </c>
      <c r="AL69" s="23" t="s">
        <v>24</v>
      </c>
      <c r="AM69" s="23">
        <v>519.78</v>
      </c>
      <c r="AN69" s="23">
        <v>31143.200000000001</v>
      </c>
      <c r="AO69" s="23">
        <v>527.5</v>
      </c>
      <c r="AQ69" s="50">
        <f t="shared" si="0"/>
        <v>4.2806572011235527E-2</v>
      </c>
      <c r="AR69" s="50"/>
      <c r="AS69" s="48"/>
      <c r="AT69" s="50"/>
      <c r="AV69" s="47">
        <v>44306</v>
      </c>
      <c r="AW69" s="51">
        <v>9.375E-2</v>
      </c>
      <c r="AX69" t="s">
        <v>163</v>
      </c>
    </row>
    <row r="70" spans="1:50">
      <c r="A70" s="23" t="s">
        <v>22</v>
      </c>
      <c r="B70" s="23" t="s">
        <v>25</v>
      </c>
      <c r="C70" s="28">
        <v>44308.479166666664</v>
      </c>
      <c r="D70" s="23">
        <v>519.77499999999998</v>
      </c>
      <c r="E70" s="28">
        <v>44309.5625</v>
      </c>
      <c r="F70" s="23">
        <v>549.57500000000005</v>
      </c>
      <c r="G70" s="33">
        <v>5.7299999999999997E-2</v>
      </c>
      <c r="H70" s="23">
        <v>2870.38</v>
      </c>
      <c r="I70" s="33">
        <v>5.7299999999999997E-2</v>
      </c>
      <c r="J70" s="23">
        <v>96.321430000000007</v>
      </c>
      <c r="K70" s="23">
        <v>50065.47</v>
      </c>
      <c r="L70" s="23">
        <v>15394.28</v>
      </c>
      <c r="M70" s="23">
        <v>37</v>
      </c>
      <c r="N70" s="23">
        <v>77.58</v>
      </c>
      <c r="O70" s="33">
        <v>-1.14E-2</v>
      </c>
      <c r="P70" s="33">
        <v>8.5599999999999996E-2</v>
      </c>
      <c r="Q70" s="23" t="s">
        <v>24</v>
      </c>
      <c r="R70" s="23">
        <v>0</v>
      </c>
      <c r="S70" s="23">
        <v>503.02</v>
      </c>
      <c r="U70" s="47">
        <v>44315</v>
      </c>
      <c r="V70" s="23" t="s">
        <v>125</v>
      </c>
      <c r="W70" s="23" t="s">
        <v>23</v>
      </c>
      <c r="X70" s="28">
        <v>44308.479166666664</v>
      </c>
      <c r="Y70" s="23">
        <v>16</v>
      </c>
      <c r="Z70" s="28">
        <v>44309.5625</v>
      </c>
      <c r="AA70" s="23">
        <v>5.6</v>
      </c>
      <c r="AB70" s="33">
        <v>-0.65</v>
      </c>
      <c r="AC70" s="23">
        <v>32899.39</v>
      </c>
      <c r="AD70" s="33">
        <v>0.65</v>
      </c>
      <c r="AE70" s="23">
        <v>3163.4029999999998</v>
      </c>
      <c r="AF70" s="23">
        <v>50614.45</v>
      </c>
      <c r="AG70" s="23">
        <v>154426.29</v>
      </c>
      <c r="AH70" s="23">
        <v>37</v>
      </c>
      <c r="AI70" s="23">
        <v>889.17</v>
      </c>
      <c r="AJ70" s="33">
        <v>0</v>
      </c>
      <c r="AK70" s="33">
        <v>0.6875</v>
      </c>
      <c r="AL70" s="23" t="s">
        <v>24</v>
      </c>
      <c r="AM70" s="23">
        <v>519.78</v>
      </c>
      <c r="AN70" s="23">
        <v>31241.5</v>
      </c>
      <c r="AO70" s="23">
        <v>503.02</v>
      </c>
      <c r="AQ70" s="50">
        <f t="shared" si="0"/>
        <v>3.078225403055139E-2</v>
      </c>
      <c r="AR70" s="50"/>
      <c r="AS70" s="48"/>
      <c r="AT70" s="50"/>
      <c r="AV70" s="47">
        <v>44308</v>
      </c>
      <c r="AW70" s="51">
        <v>0.47916666666666669</v>
      </c>
      <c r="AX70" t="s">
        <v>162</v>
      </c>
    </row>
    <row r="71" spans="1:50">
      <c r="A71" s="23" t="s">
        <v>22</v>
      </c>
      <c r="B71" s="23" t="s">
        <v>23</v>
      </c>
      <c r="C71" s="28">
        <v>44309.5625</v>
      </c>
      <c r="D71" s="23">
        <v>549.57500000000005</v>
      </c>
      <c r="E71" s="28">
        <v>44312.4375</v>
      </c>
      <c r="F71" s="23">
        <v>542.75</v>
      </c>
      <c r="G71" s="33">
        <v>-1.24E-2</v>
      </c>
      <c r="H71" s="23">
        <v>621.92999999999995</v>
      </c>
      <c r="I71" s="33">
        <v>1.24E-2</v>
      </c>
      <c r="J71" s="23">
        <v>91.124840000000006</v>
      </c>
      <c r="K71" s="23">
        <v>50079.93</v>
      </c>
      <c r="L71" s="23">
        <v>16016.21</v>
      </c>
      <c r="M71" s="23">
        <v>17</v>
      </c>
      <c r="N71" s="23">
        <v>36.58</v>
      </c>
      <c r="O71" s="33">
        <v>-1.12E-2</v>
      </c>
      <c r="P71" s="33">
        <v>4.1700000000000001E-2</v>
      </c>
      <c r="Q71" s="23" t="s">
        <v>24</v>
      </c>
      <c r="R71" s="23">
        <v>0</v>
      </c>
      <c r="S71" s="23">
        <v>563.9</v>
      </c>
      <c r="U71" s="47">
        <v>44315</v>
      </c>
      <c r="V71" s="23" t="s">
        <v>120</v>
      </c>
      <c r="W71" s="23" t="s">
        <v>23</v>
      </c>
      <c r="X71" s="28">
        <v>44309.5625</v>
      </c>
      <c r="Y71" s="23">
        <v>21.75</v>
      </c>
      <c r="Z71" s="28">
        <v>44312.4375</v>
      </c>
      <c r="AA71" s="23">
        <v>13.275</v>
      </c>
      <c r="AB71" s="33">
        <v>-0.38969999999999999</v>
      </c>
      <c r="AC71" s="23">
        <v>19783.62</v>
      </c>
      <c r="AD71" s="33">
        <v>0.38969999999999999</v>
      </c>
      <c r="AE71" s="23">
        <v>2334.3510000000001</v>
      </c>
      <c r="AF71" s="23">
        <v>50772.13</v>
      </c>
      <c r="AG71" s="23">
        <v>174209.92000000001</v>
      </c>
      <c r="AH71" s="23">
        <v>17</v>
      </c>
      <c r="AI71" s="23">
        <v>1163.74</v>
      </c>
      <c r="AJ71" s="33">
        <v>-4.5999999999999999E-2</v>
      </c>
      <c r="AK71" s="33">
        <v>0.55169999999999997</v>
      </c>
      <c r="AL71" s="23" t="s">
        <v>24</v>
      </c>
      <c r="AM71" s="23">
        <v>549.58000000000004</v>
      </c>
      <c r="AN71" s="23">
        <v>31803.7</v>
      </c>
      <c r="AO71" s="23">
        <v>563.9</v>
      </c>
      <c r="AQ71" s="50">
        <f t="shared" si="0"/>
        <v>3.9575675970741291E-2</v>
      </c>
      <c r="AR71" s="50"/>
      <c r="AS71" s="48"/>
      <c r="AT71" s="50"/>
      <c r="AV71" s="47">
        <v>44309</v>
      </c>
      <c r="AW71" s="51">
        <v>6.25E-2</v>
      </c>
      <c r="AX71" t="s">
        <v>163</v>
      </c>
    </row>
    <row r="72" spans="1:50">
      <c r="A72" s="23" t="s">
        <v>22</v>
      </c>
      <c r="B72" s="23" t="s">
        <v>25</v>
      </c>
      <c r="C72" s="28">
        <v>44312.4375</v>
      </c>
      <c r="D72" s="23">
        <v>542.75</v>
      </c>
      <c r="E72" s="28">
        <v>44312.552083333336</v>
      </c>
      <c r="F72" s="23">
        <v>539.79999999999995</v>
      </c>
      <c r="G72" s="33">
        <v>-5.4000000000000003E-3</v>
      </c>
      <c r="H72" s="23">
        <v>-272.20999999999998</v>
      </c>
      <c r="I72" s="33">
        <v>-5.4000000000000003E-3</v>
      </c>
      <c r="J72" s="23">
        <v>92.275170000000003</v>
      </c>
      <c r="K72" s="23">
        <v>50082.35</v>
      </c>
      <c r="L72" s="23">
        <v>15744</v>
      </c>
      <c r="M72" s="23">
        <v>12</v>
      </c>
      <c r="N72" s="23">
        <v>-22.68</v>
      </c>
      <c r="O72" s="33">
        <v>-1.0500000000000001E-2</v>
      </c>
      <c r="P72" s="33">
        <v>9.7000000000000003E-3</v>
      </c>
      <c r="Q72" s="23" t="s">
        <v>24</v>
      </c>
      <c r="R72" s="23">
        <v>0</v>
      </c>
      <c r="S72" s="23">
        <v>526.65</v>
      </c>
      <c r="U72" s="47">
        <v>44315</v>
      </c>
      <c r="V72" s="23" t="s">
        <v>122</v>
      </c>
      <c r="W72" s="23" t="s">
        <v>23</v>
      </c>
      <c r="X72" s="28">
        <v>44312.4375</v>
      </c>
      <c r="Y72" s="23">
        <v>17.975000000000001</v>
      </c>
      <c r="Z72" s="28">
        <v>44312.552083333336</v>
      </c>
      <c r="AA72" s="23">
        <v>19</v>
      </c>
      <c r="AB72" s="33">
        <v>5.7000000000000002E-2</v>
      </c>
      <c r="AC72" s="23">
        <v>-2901.2</v>
      </c>
      <c r="AD72" s="33">
        <v>-5.7000000000000002E-2</v>
      </c>
      <c r="AE72" s="23">
        <v>2830.4409999999998</v>
      </c>
      <c r="AF72" s="23">
        <v>50877.18</v>
      </c>
      <c r="AG72" s="23">
        <v>171308.72</v>
      </c>
      <c r="AH72" s="23">
        <v>12</v>
      </c>
      <c r="AI72" s="23">
        <v>-241.77</v>
      </c>
      <c r="AJ72" s="33">
        <v>-0.17249999999999999</v>
      </c>
      <c r="AK72" s="33">
        <v>0.14050000000000001</v>
      </c>
      <c r="AL72" s="23" t="s">
        <v>24</v>
      </c>
      <c r="AM72" s="23">
        <v>542.75</v>
      </c>
      <c r="AN72" s="23">
        <v>32483.65</v>
      </c>
      <c r="AO72" s="23">
        <v>526.65</v>
      </c>
      <c r="AQ72" s="50">
        <f t="shared" ref="AQ72:AQ135" si="1">Y72/AM72</f>
        <v>3.3118378627360667E-2</v>
      </c>
      <c r="AR72" s="50"/>
      <c r="AS72" s="48"/>
      <c r="AT72" s="50"/>
      <c r="AV72" s="47">
        <v>44312</v>
      </c>
      <c r="AW72" s="51">
        <v>0.4375</v>
      </c>
      <c r="AX72" t="s">
        <v>162</v>
      </c>
    </row>
    <row r="73" spans="1:50">
      <c r="A73" s="23" t="s">
        <v>22</v>
      </c>
      <c r="B73" s="23" t="s">
        <v>23</v>
      </c>
      <c r="C73" s="28">
        <v>44312.552083333336</v>
      </c>
      <c r="D73" s="23">
        <v>539.79999999999995</v>
      </c>
      <c r="E73" s="28">
        <v>44313.447916666664</v>
      </c>
      <c r="F73" s="23">
        <v>534</v>
      </c>
      <c r="G73" s="33">
        <v>-1.0699999999999999E-2</v>
      </c>
      <c r="H73" s="23">
        <v>538.09</v>
      </c>
      <c r="I73" s="33">
        <v>1.0699999999999999E-2</v>
      </c>
      <c r="J73" s="23">
        <v>92.774770000000004</v>
      </c>
      <c r="K73" s="23">
        <v>50079.82</v>
      </c>
      <c r="L73" s="23">
        <v>16282.09</v>
      </c>
      <c r="M73" s="23">
        <v>19</v>
      </c>
      <c r="N73" s="23">
        <v>28.32</v>
      </c>
      <c r="O73" s="33">
        <v>-4.4000000000000003E-3</v>
      </c>
      <c r="P73" s="33">
        <v>3.85E-2</v>
      </c>
      <c r="Q73" s="23" t="s">
        <v>24</v>
      </c>
      <c r="R73" s="23">
        <v>0</v>
      </c>
      <c r="S73" s="23">
        <v>547.76</v>
      </c>
      <c r="U73" s="47">
        <v>44315</v>
      </c>
      <c r="V73" s="23" t="s">
        <v>123</v>
      </c>
      <c r="W73" s="23" t="s">
        <v>23</v>
      </c>
      <c r="X73" s="28">
        <v>44312.552083333336</v>
      </c>
      <c r="Y73" s="23">
        <v>13.925000000000001</v>
      </c>
      <c r="Z73" s="28">
        <v>44313.447916666664</v>
      </c>
      <c r="AA73" s="23">
        <v>7.35</v>
      </c>
      <c r="AB73" s="33">
        <v>-0.47220000000000001</v>
      </c>
      <c r="AC73" s="23">
        <v>24029.09</v>
      </c>
      <c r="AD73" s="33">
        <v>0.47220000000000001</v>
      </c>
      <c r="AE73" s="23">
        <v>3654.6149999999998</v>
      </c>
      <c r="AF73" s="23">
        <v>50890.51</v>
      </c>
      <c r="AG73" s="23">
        <v>195337.81</v>
      </c>
      <c r="AH73" s="23">
        <v>19</v>
      </c>
      <c r="AI73" s="23">
        <v>1264.69</v>
      </c>
      <c r="AJ73" s="33">
        <v>-0.1221</v>
      </c>
      <c r="AK73" s="33">
        <v>0.67320000000000002</v>
      </c>
      <c r="AL73" s="23" t="s">
        <v>24</v>
      </c>
      <c r="AM73" s="23">
        <v>539.79999999999995</v>
      </c>
      <c r="AN73" s="23">
        <v>32377.05</v>
      </c>
      <c r="AO73" s="23">
        <v>547.76</v>
      </c>
      <c r="AQ73" s="50">
        <f t="shared" si="1"/>
        <v>2.579659133012227E-2</v>
      </c>
      <c r="AR73" s="50"/>
      <c r="AS73" s="48"/>
      <c r="AT73" s="50"/>
      <c r="AV73" s="47">
        <v>44312</v>
      </c>
      <c r="AW73" s="51">
        <v>5.2083333333333336E-2</v>
      </c>
      <c r="AX73" t="s">
        <v>163</v>
      </c>
    </row>
    <row r="74" spans="1:50">
      <c r="A74" s="23" t="s">
        <v>22</v>
      </c>
      <c r="B74" s="23" t="s">
        <v>25</v>
      </c>
      <c r="C74" s="28">
        <v>44313.447916666664</v>
      </c>
      <c r="D74" s="23">
        <v>534</v>
      </c>
      <c r="E74" s="28">
        <v>44314.46875</v>
      </c>
      <c r="F74" s="23">
        <v>543.97500000000002</v>
      </c>
      <c r="G74" s="33">
        <v>1.8700000000000001E-2</v>
      </c>
      <c r="H74" s="23">
        <v>935.54</v>
      </c>
      <c r="I74" s="33">
        <v>1.8700000000000001E-2</v>
      </c>
      <c r="J74" s="23">
        <v>93.788240000000002</v>
      </c>
      <c r="K74" s="23">
        <v>50082.92</v>
      </c>
      <c r="L74" s="23">
        <v>17217.63</v>
      </c>
      <c r="M74" s="23">
        <v>31</v>
      </c>
      <c r="N74" s="23">
        <v>30.18</v>
      </c>
      <c r="O74" s="33">
        <v>-6.6E-3</v>
      </c>
      <c r="P74" s="33">
        <v>2.8899999999999999E-2</v>
      </c>
      <c r="Q74" s="23" t="s">
        <v>24</v>
      </c>
      <c r="R74" s="23">
        <v>0</v>
      </c>
      <c r="S74" s="23">
        <v>519</v>
      </c>
      <c r="U74" s="47">
        <v>44315</v>
      </c>
      <c r="V74" s="23" t="s">
        <v>117</v>
      </c>
      <c r="W74" s="23" t="s">
        <v>23</v>
      </c>
      <c r="X74" s="28">
        <v>44313.447916666664</v>
      </c>
      <c r="Y74" s="23">
        <v>6.5</v>
      </c>
      <c r="Z74" s="28">
        <v>44314.46875</v>
      </c>
      <c r="AA74" s="23">
        <v>2.75</v>
      </c>
      <c r="AB74" s="33">
        <v>-0.57689999999999997</v>
      </c>
      <c r="AC74" s="23">
        <v>29409.63</v>
      </c>
      <c r="AD74" s="33">
        <v>0.57689999999999997</v>
      </c>
      <c r="AE74" s="23">
        <v>7842.567</v>
      </c>
      <c r="AF74" s="23">
        <v>50976.69</v>
      </c>
      <c r="AG74" s="23">
        <v>224747.43</v>
      </c>
      <c r="AH74" s="23">
        <v>31</v>
      </c>
      <c r="AI74" s="23">
        <v>948.7</v>
      </c>
      <c r="AJ74" s="33">
        <v>-3.4599999999999999E-2</v>
      </c>
      <c r="AK74" s="33">
        <v>0.88460000000000005</v>
      </c>
      <c r="AL74" s="23" t="s">
        <v>24</v>
      </c>
      <c r="AM74" s="23">
        <v>534</v>
      </c>
      <c r="AN74" s="23">
        <v>32514.55</v>
      </c>
      <c r="AO74" s="23">
        <v>519</v>
      </c>
      <c r="AQ74" s="50">
        <f t="shared" si="1"/>
        <v>1.2172284644194757E-2</v>
      </c>
      <c r="AR74" s="50"/>
      <c r="AS74" s="48"/>
      <c r="AT74" s="50"/>
      <c r="AV74" s="47">
        <v>44313</v>
      </c>
      <c r="AW74" s="51">
        <v>0.44791666666666669</v>
      </c>
      <c r="AX74" t="s">
        <v>162</v>
      </c>
    </row>
    <row r="75" spans="1:50">
      <c r="A75" s="23" t="s">
        <v>22</v>
      </c>
      <c r="B75" s="23" t="s">
        <v>23</v>
      </c>
      <c r="C75" s="28">
        <v>44314.46875</v>
      </c>
      <c r="D75" s="23">
        <v>543.97500000000002</v>
      </c>
      <c r="E75" s="28">
        <v>44314.489583333336</v>
      </c>
      <c r="F75" s="23">
        <v>556.67499999999995</v>
      </c>
      <c r="G75" s="33">
        <v>2.3300000000000001E-2</v>
      </c>
      <c r="H75" s="23">
        <v>-1169.32</v>
      </c>
      <c r="I75" s="33">
        <v>-2.3300000000000001E-2</v>
      </c>
      <c r="J75" s="23">
        <v>92.072239999999994</v>
      </c>
      <c r="K75" s="23">
        <v>50085</v>
      </c>
      <c r="L75" s="23">
        <v>16048.31</v>
      </c>
      <c r="M75" s="23">
        <v>3</v>
      </c>
      <c r="N75" s="23">
        <v>-389.77</v>
      </c>
      <c r="O75" s="33">
        <v>-2.3300000000000001E-2</v>
      </c>
      <c r="P75" s="33">
        <v>7.1000000000000004E-3</v>
      </c>
      <c r="Q75" s="23" t="s">
        <v>24</v>
      </c>
      <c r="R75" s="23">
        <v>0</v>
      </c>
      <c r="S75" s="23">
        <v>549.26</v>
      </c>
      <c r="U75" s="47">
        <v>44315</v>
      </c>
      <c r="V75" s="23" t="s">
        <v>120</v>
      </c>
      <c r="W75" s="23" t="s">
        <v>23</v>
      </c>
      <c r="X75" s="28">
        <v>44314.46875</v>
      </c>
      <c r="Y75" s="23">
        <v>4.4749999999999996</v>
      </c>
      <c r="Z75" s="28">
        <v>44314.489583333336</v>
      </c>
      <c r="AA75" s="23">
        <v>11.525</v>
      </c>
      <c r="AB75" s="33">
        <v>1.5753999999999999</v>
      </c>
      <c r="AC75" s="23">
        <v>-80541.31</v>
      </c>
      <c r="AD75" s="33">
        <v>-1.5753999999999999</v>
      </c>
      <c r="AE75" s="23">
        <v>11424.3</v>
      </c>
      <c r="AF75" s="23">
        <v>51123.73</v>
      </c>
      <c r="AG75" s="23">
        <v>144206.13</v>
      </c>
      <c r="AH75" s="23">
        <v>3</v>
      </c>
      <c r="AI75" s="23">
        <v>-26847.1</v>
      </c>
      <c r="AJ75" s="33">
        <v>-1.5753999999999999</v>
      </c>
      <c r="AK75" s="33">
        <v>5.5899999999999998E-2</v>
      </c>
      <c r="AL75" s="23" t="s">
        <v>24</v>
      </c>
      <c r="AM75" s="23">
        <v>543.97</v>
      </c>
      <c r="AN75" s="23">
        <v>33106.75</v>
      </c>
      <c r="AO75" s="23">
        <v>549.26</v>
      </c>
      <c r="AQ75" s="50">
        <f t="shared" si="1"/>
        <v>8.2265566115778434E-3</v>
      </c>
      <c r="AR75" s="50"/>
      <c r="AS75" s="48"/>
      <c r="AT75" s="50"/>
      <c r="AV75" s="47">
        <v>44314</v>
      </c>
      <c r="AW75" s="51">
        <v>0.46875</v>
      </c>
      <c r="AX75" t="s">
        <v>162</v>
      </c>
    </row>
    <row r="76" spans="1:50">
      <c r="A76" s="23" t="s">
        <v>22</v>
      </c>
      <c r="B76" s="23" t="s">
        <v>25</v>
      </c>
      <c r="C76" s="28">
        <v>44314.489583333336</v>
      </c>
      <c r="D76" s="23">
        <v>556.67499999999995</v>
      </c>
      <c r="E76" s="28">
        <v>44315.40625</v>
      </c>
      <c r="F76" s="23">
        <v>561.42499999999995</v>
      </c>
      <c r="G76" s="33">
        <v>8.5000000000000006E-3</v>
      </c>
      <c r="H76" s="23">
        <v>427.37</v>
      </c>
      <c r="I76" s="33">
        <v>8.5000000000000006E-3</v>
      </c>
      <c r="J76" s="23">
        <v>89.972819999999999</v>
      </c>
      <c r="K76" s="23">
        <v>50085.62</v>
      </c>
      <c r="L76" s="23">
        <v>16475.68</v>
      </c>
      <c r="M76" s="23">
        <v>21</v>
      </c>
      <c r="N76" s="23">
        <v>20.350000000000001</v>
      </c>
      <c r="O76" s="33">
        <v>-2.2800000000000001E-2</v>
      </c>
      <c r="P76" s="33">
        <v>5.2699999999999997E-2</v>
      </c>
      <c r="Q76" s="23" t="s">
        <v>24</v>
      </c>
      <c r="R76" s="23">
        <v>0</v>
      </c>
      <c r="S76" s="23">
        <v>540.1</v>
      </c>
      <c r="U76" s="47">
        <v>44315</v>
      </c>
      <c r="V76" s="23" t="s">
        <v>106</v>
      </c>
      <c r="W76" s="23" t="s">
        <v>23</v>
      </c>
      <c r="X76" s="28">
        <v>44314.489583333336</v>
      </c>
      <c r="Y76" s="23">
        <v>9</v>
      </c>
      <c r="Z76" s="28">
        <v>44315.40625</v>
      </c>
      <c r="AA76" s="23">
        <v>2.1</v>
      </c>
      <c r="AB76" s="33">
        <v>-0.76670000000000005</v>
      </c>
      <c r="AC76" s="23">
        <v>39106.18</v>
      </c>
      <c r="AD76" s="33">
        <v>0.76670000000000005</v>
      </c>
      <c r="AE76" s="23">
        <v>5667.5630000000001</v>
      </c>
      <c r="AF76" s="23">
        <v>51008.07</v>
      </c>
      <c r="AG76" s="23">
        <v>183312.31</v>
      </c>
      <c r="AH76" s="23">
        <v>21</v>
      </c>
      <c r="AI76" s="23">
        <v>1862.2</v>
      </c>
      <c r="AJ76" s="33">
        <v>-0.5</v>
      </c>
      <c r="AK76" s="33">
        <v>0.93330000000000002</v>
      </c>
      <c r="AL76" s="23" t="s">
        <v>24</v>
      </c>
      <c r="AM76" s="23">
        <v>556.66999999999996</v>
      </c>
      <c r="AN76" s="23">
        <v>33165.800000000003</v>
      </c>
      <c r="AO76" s="23">
        <v>540.1</v>
      </c>
      <c r="AQ76" s="50">
        <f t="shared" si="1"/>
        <v>1.6167567858875097E-2</v>
      </c>
      <c r="AR76" s="50"/>
      <c r="AS76" s="48"/>
      <c r="AT76" s="50"/>
      <c r="AV76" s="47">
        <v>44314</v>
      </c>
      <c r="AW76" s="51">
        <v>0.48958333333333331</v>
      </c>
      <c r="AX76" t="s">
        <v>162</v>
      </c>
    </row>
    <row r="77" spans="1:50">
      <c r="A77" s="23" t="s">
        <v>22</v>
      </c>
      <c r="B77" s="23" t="s">
        <v>23</v>
      </c>
      <c r="C77" s="28">
        <v>44315.40625</v>
      </c>
      <c r="D77" s="23">
        <v>561.42499999999995</v>
      </c>
      <c r="E77" s="28">
        <v>44315.53125</v>
      </c>
      <c r="F77" s="23">
        <v>570.29999999999995</v>
      </c>
      <c r="G77" s="33">
        <v>1.5800000000000002E-2</v>
      </c>
      <c r="H77" s="23">
        <v>-791.79</v>
      </c>
      <c r="I77" s="33">
        <v>-1.5800000000000002E-2</v>
      </c>
      <c r="J77" s="23">
        <v>89.215959999999995</v>
      </c>
      <c r="K77" s="23">
        <v>50088.07</v>
      </c>
      <c r="L77" s="23">
        <v>15683.89</v>
      </c>
      <c r="M77" s="23">
        <v>13</v>
      </c>
      <c r="N77" s="23">
        <v>-60.91</v>
      </c>
      <c r="O77" s="33">
        <v>-2.7699999999999999E-2</v>
      </c>
      <c r="P77" s="33">
        <v>7.0000000000000001E-3</v>
      </c>
      <c r="Q77" s="23" t="s">
        <v>24</v>
      </c>
      <c r="R77" s="23">
        <v>0</v>
      </c>
      <c r="S77" s="23">
        <v>586</v>
      </c>
      <c r="U77" s="47">
        <v>44315</v>
      </c>
      <c r="V77" s="23" t="s">
        <v>126</v>
      </c>
      <c r="W77" s="23" t="s">
        <v>23</v>
      </c>
      <c r="X77" s="28">
        <v>44315.40625</v>
      </c>
      <c r="Y77" s="23">
        <v>5.5250000000000004</v>
      </c>
      <c r="Z77" s="28">
        <v>44315.53125</v>
      </c>
      <c r="AA77" s="23">
        <v>7.5</v>
      </c>
      <c r="AB77" s="33">
        <v>0.35749999999999998</v>
      </c>
      <c r="AC77" s="23">
        <v>-18216.14</v>
      </c>
      <c r="AD77" s="33">
        <v>-0.35749999999999998</v>
      </c>
      <c r="AE77" s="23">
        <v>9223.36</v>
      </c>
      <c r="AF77" s="23">
        <v>50959.07</v>
      </c>
      <c r="AG77" s="23">
        <v>165096.17000000001</v>
      </c>
      <c r="AH77" s="23">
        <v>13</v>
      </c>
      <c r="AI77" s="23">
        <v>-1401.24</v>
      </c>
      <c r="AJ77" s="33">
        <v>-1.8281000000000001</v>
      </c>
      <c r="AK77" s="33">
        <v>0</v>
      </c>
      <c r="AL77" s="23" t="s">
        <v>24</v>
      </c>
      <c r="AM77" s="23">
        <v>561.41999999999996</v>
      </c>
      <c r="AN77" s="23">
        <v>33611.5</v>
      </c>
      <c r="AO77" s="23">
        <v>586</v>
      </c>
      <c r="AQ77" s="50">
        <f t="shared" si="1"/>
        <v>9.8411171671832151E-3</v>
      </c>
      <c r="AR77" s="50"/>
      <c r="AS77" s="48"/>
      <c r="AT77" s="50"/>
      <c r="AV77" s="47">
        <v>44315</v>
      </c>
      <c r="AW77" s="51">
        <v>0.40625</v>
      </c>
      <c r="AX77" t="s">
        <v>162</v>
      </c>
    </row>
    <row r="78" spans="1:50">
      <c r="A78" s="23" t="s">
        <v>22</v>
      </c>
      <c r="B78" s="23" t="s">
        <v>25</v>
      </c>
      <c r="C78" s="28">
        <v>44315.53125</v>
      </c>
      <c r="D78" s="23">
        <v>570.29999999999995</v>
      </c>
      <c r="E78" s="28">
        <v>44315.614583333336</v>
      </c>
      <c r="F78" s="23">
        <v>561.29999999999995</v>
      </c>
      <c r="G78" s="33">
        <v>-1.5800000000000002E-2</v>
      </c>
      <c r="H78" s="23">
        <v>-790.33</v>
      </c>
      <c r="I78" s="33">
        <v>-1.5800000000000002E-2</v>
      </c>
      <c r="J78" s="23">
        <v>87.814220000000006</v>
      </c>
      <c r="K78" s="23">
        <v>50080.45</v>
      </c>
      <c r="L78" s="23">
        <v>14893.56</v>
      </c>
      <c r="M78" s="23">
        <v>9</v>
      </c>
      <c r="N78" s="23">
        <v>-87.81</v>
      </c>
      <c r="O78" s="33">
        <v>-1.5800000000000002E-2</v>
      </c>
      <c r="P78" s="33">
        <v>1.01E-2</v>
      </c>
      <c r="Q78" s="23" t="s">
        <v>24</v>
      </c>
      <c r="R78" s="23">
        <v>0</v>
      </c>
      <c r="S78" s="23">
        <v>557.79</v>
      </c>
      <c r="U78" s="47">
        <v>44315</v>
      </c>
      <c r="V78" s="23" t="s">
        <v>106</v>
      </c>
      <c r="W78" s="23" t="s">
        <v>23</v>
      </c>
      <c r="X78" s="28">
        <v>44315.53125</v>
      </c>
      <c r="Y78" s="23">
        <v>0.42499999999999999</v>
      </c>
      <c r="Z78" s="28">
        <v>44315.614583333336</v>
      </c>
      <c r="AA78" s="23">
        <v>0.5</v>
      </c>
      <c r="AB78" s="33">
        <v>0.17649999999999999</v>
      </c>
      <c r="AC78" s="23">
        <v>-8969.2000000000007</v>
      </c>
      <c r="AD78" s="33">
        <v>-0.17649999999999999</v>
      </c>
      <c r="AE78" s="23">
        <v>119589.4</v>
      </c>
      <c r="AF78" s="23">
        <v>50825.48</v>
      </c>
      <c r="AG78" s="23">
        <v>156126.97</v>
      </c>
      <c r="AH78" s="23">
        <v>9</v>
      </c>
      <c r="AI78" s="23">
        <v>-996.58</v>
      </c>
      <c r="AJ78" s="33">
        <v>-1.2941</v>
      </c>
      <c r="AK78" s="33">
        <v>0.88239999999999996</v>
      </c>
      <c r="AL78" s="23" t="s">
        <v>24</v>
      </c>
      <c r="AM78" s="23">
        <v>570.29999999999995</v>
      </c>
      <c r="AN78" s="23">
        <v>33862.199999999997</v>
      </c>
      <c r="AO78" s="23">
        <v>557.79</v>
      </c>
      <c r="AQ78" s="50">
        <f t="shared" si="1"/>
        <v>7.4522181308083466E-4</v>
      </c>
      <c r="AR78" s="50"/>
      <c r="AS78" s="48"/>
      <c r="AT78" s="50"/>
      <c r="AV78" s="47">
        <v>44315</v>
      </c>
      <c r="AW78" s="51">
        <v>0.53125</v>
      </c>
      <c r="AX78" t="s">
        <v>163</v>
      </c>
    </row>
    <row r="79" spans="1:50">
      <c r="A79" s="23" t="s">
        <v>22</v>
      </c>
      <c r="B79" s="23" t="s">
        <v>23</v>
      </c>
      <c r="C79" s="28">
        <v>44315.614583333336</v>
      </c>
      <c r="D79" s="23">
        <v>561.29999999999995</v>
      </c>
      <c r="E79" s="28">
        <v>44315.697916666664</v>
      </c>
      <c r="F79" s="23">
        <v>562.25</v>
      </c>
      <c r="G79" s="33">
        <v>1.6999999999999999E-3</v>
      </c>
      <c r="H79" s="23">
        <v>-84.76</v>
      </c>
      <c r="I79" s="33">
        <v>-1.6999999999999999E-3</v>
      </c>
      <c r="J79" s="23">
        <v>89.216449999999995</v>
      </c>
      <c r="K79" s="23">
        <v>50077.19</v>
      </c>
      <c r="L79" s="23">
        <v>14808.81</v>
      </c>
      <c r="M79" s="23">
        <v>5</v>
      </c>
      <c r="N79" s="23">
        <v>-16.95</v>
      </c>
      <c r="O79" s="33">
        <v>-1.32E-2</v>
      </c>
      <c r="P79" s="33">
        <v>3.2000000000000002E-3</v>
      </c>
      <c r="Q79" s="23" t="s">
        <v>24</v>
      </c>
      <c r="R79" s="23">
        <v>0</v>
      </c>
      <c r="S79" s="23">
        <v>576.08000000000004</v>
      </c>
      <c r="U79" s="47">
        <v>44315</v>
      </c>
      <c r="V79" s="23" t="s">
        <v>126</v>
      </c>
      <c r="W79" s="23" t="s">
        <v>23</v>
      </c>
      <c r="X79" s="28">
        <v>44315.614583333336</v>
      </c>
      <c r="Y79" s="23">
        <v>5.5</v>
      </c>
      <c r="Z79" s="28">
        <v>44315.697916666664</v>
      </c>
      <c r="AA79" s="23">
        <v>6.125</v>
      </c>
      <c r="AB79" s="33">
        <v>0.11360000000000001</v>
      </c>
      <c r="AC79" s="23">
        <v>-5801.1</v>
      </c>
      <c r="AD79" s="33">
        <v>-0.11360000000000001</v>
      </c>
      <c r="AE79" s="23">
        <v>9281.7659999999996</v>
      </c>
      <c r="AF79" s="23">
        <v>51049.71</v>
      </c>
      <c r="AG79" s="23">
        <v>150325.87</v>
      </c>
      <c r="AH79" s="23">
        <v>5</v>
      </c>
      <c r="AI79" s="23">
        <v>-1160.22</v>
      </c>
      <c r="AJ79" s="33">
        <v>-0.36359999999999998</v>
      </c>
      <c r="AK79" s="33">
        <v>0.70909999999999995</v>
      </c>
      <c r="AL79" s="23" t="s">
        <v>24</v>
      </c>
      <c r="AM79" s="23">
        <v>561.29999999999995</v>
      </c>
      <c r="AN79" s="23">
        <v>33748.300000000003</v>
      </c>
      <c r="AO79" s="23">
        <v>576.08000000000004</v>
      </c>
      <c r="AQ79" s="50">
        <f t="shared" si="1"/>
        <v>9.7986816319258867E-3</v>
      </c>
      <c r="AR79" s="50"/>
      <c r="AS79" s="48"/>
      <c r="AT79" s="50"/>
      <c r="AV79" s="47">
        <v>44315</v>
      </c>
      <c r="AW79" s="51">
        <v>0.11458333333333333</v>
      </c>
      <c r="AX79" t="s">
        <v>163</v>
      </c>
    </row>
    <row r="80" spans="1:50">
      <c r="A80" s="23" t="s">
        <v>22</v>
      </c>
      <c r="B80" s="23" t="s">
        <v>23</v>
      </c>
      <c r="C80" s="28">
        <v>44316.385416666664</v>
      </c>
      <c r="D80" s="23">
        <v>525.70000000000005</v>
      </c>
      <c r="E80" s="28">
        <v>44320.385416666664</v>
      </c>
      <c r="F80" s="23">
        <v>471.5</v>
      </c>
      <c r="G80" s="33">
        <v>-0.1031</v>
      </c>
      <c r="H80" s="23">
        <v>5162.67</v>
      </c>
      <c r="I80" s="33">
        <v>0.1031</v>
      </c>
      <c r="J80" s="23">
        <v>95.252129999999994</v>
      </c>
      <c r="K80" s="23">
        <v>50074.05</v>
      </c>
      <c r="L80" s="23">
        <v>19971.47</v>
      </c>
      <c r="M80" s="23">
        <v>57</v>
      </c>
      <c r="N80" s="23">
        <v>90.57</v>
      </c>
      <c r="O80" s="33">
        <v>-3.1E-2</v>
      </c>
      <c r="P80" s="33">
        <v>0.13039999999999999</v>
      </c>
      <c r="Q80" s="23" t="s">
        <v>24</v>
      </c>
      <c r="R80" s="23">
        <v>0</v>
      </c>
      <c r="S80" s="23">
        <v>570.42999999999995</v>
      </c>
      <c r="U80" s="47">
        <v>44343</v>
      </c>
      <c r="V80" s="23" t="s">
        <v>127</v>
      </c>
      <c r="W80" s="23" t="s">
        <v>23</v>
      </c>
      <c r="X80" s="28">
        <v>44316.385416666664</v>
      </c>
      <c r="Y80" s="23">
        <v>31.574999999999999</v>
      </c>
      <c r="Z80" s="28">
        <v>44320.385416666664</v>
      </c>
      <c r="AA80" s="23">
        <v>9.4</v>
      </c>
      <c r="AB80" s="33">
        <v>-0.70230000000000004</v>
      </c>
      <c r="AC80" s="23">
        <v>35642.67</v>
      </c>
      <c r="AD80" s="33">
        <v>0.70230000000000004</v>
      </c>
      <c r="AE80" s="23">
        <v>1607.336</v>
      </c>
      <c r="AF80" s="23">
        <v>50751.63</v>
      </c>
      <c r="AG80" s="23">
        <v>185968.54</v>
      </c>
      <c r="AH80" s="23">
        <v>57</v>
      </c>
      <c r="AI80" s="23">
        <v>625.30999999999995</v>
      </c>
      <c r="AJ80" s="33">
        <v>-0.36099999999999999</v>
      </c>
      <c r="AK80" s="33">
        <v>0.74660000000000004</v>
      </c>
      <c r="AL80" s="23" t="s">
        <v>24</v>
      </c>
      <c r="AM80" s="23">
        <v>525.70000000000005</v>
      </c>
      <c r="AN80" s="23">
        <v>33139.199999999997</v>
      </c>
      <c r="AO80" s="23">
        <v>570.42999999999995</v>
      </c>
      <c r="AQ80" s="50">
        <f t="shared" si="1"/>
        <v>6.0062773444930564E-2</v>
      </c>
      <c r="AR80" s="50"/>
      <c r="AS80" s="48"/>
      <c r="AT80" s="50"/>
      <c r="AV80" s="47">
        <v>44316</v>
      </c>
      <c r="AW80" s="51">
        <v>0.38541666666666669</v>
      </c>
      <c r="AX80" t="s">
        <v>162</v>
      </c>
    </row>
    <row r="81" spans="1:50">
      <c r="A81" s="23" t="s">
        <v>22</v>
      </c>
      <c r="B81" s="23" t="s">
        <v>25</v>
      </c>
      <c r="C81" s="28">
        <v>44320.385416666664</v>
      </c>
      <c r="D81" s="23">
        <v>471.5</v>
      </c>
      <c r="E81" s="28">
        <v>44320.458333333336</v>
      </c>
      <c r="F81" s="23">
        <v>463.5</v>
      </c>
      <c r="G81" s="33">
        <v>-1.7000000000000001E-2</v>
      </c>
      <c r="H81" s="23">
        <v>-850.06</v>
      </c>
      <c r="I81" s="33">
        <v>-1.7000000000000001E-2</v>
      </c>
      <c r="J81" s="23">
        <v>106.2578</v>
      </c>
      <c r="K81" s="23">
        <v>50100.57</v>
      </c>
      <c r="L81" s="23">
        <v>19121.41</v>
      </c>
      <c r="M81" s="23">
        <v>8</v>
      </c>
      <c r="N81" s="23">
        <v>-106.26</v>
      </c>
      <c r="O81" s="33">
        <v>-1.7000000000000001E-2</v>
      </c>
      <c r="P81" s="33">
        <v>1.5299999999999999E-2</v>
      </c>
      <c r="Q81" s="23" t="s">
        <v>24</v>
      </c>
      <c r="R81" s="23">
        <v>0</v>
      </c>
      <c r="S81" s="23">
        <v>457.98</v>
      </c>
      <c r="U81" s="47">
        <v>44343</v>
      </c>
      <c r="V81" s="23" t="s">
        <v>128</v>
      </c>
      <c r="W81" s="23" t="s">
        <v>23</v>
      </c>
      <c r="X81" s="28">
        <v>44320.385416666664</v>
      </c>
      <c r="Y81" s="23">
        <v>24.9</v>
      </c>
      <c r="Z81" s="28">
        <v>44320.458333333336</v>
      </c>
      <c r="AA81" s="23">
        <v>28.5</v>
      </c>
      <c r="AB81" s="33">
        <v>0.14460000000000001</v>
      </c>
      <c r="AC81" s="23">
        <v>-7364.63</v>
      </c>
      <c r="AD81" s="33">
        <v>-0.14460000000000001</v>
      </c>
      <c r="AE81" s="23">
        <v>2045.73</v>
      </c>
      <c r="AF81" s="23">
        <v>50938.68</v>
      </c>
      <c r="AG81" s="23">
        <v>178603.91</v>
      </c>
      <c r="AH81" s="23">
        <v>8</v>
      </c>
      <c r="AI81" s="23">
        <v>-920.58</v>
      </c>
      <c r="AJ81" s="33">
        <v>-0.14460000000000001</v>
      </c>
      <c r="AK81" s="33">
        <v>0.1305</v>
      </c>
      <c r="AL81" s="23" t="s">
        <v>24</v>
      </c>
      <c r="AM81" s="23">
        <v>471.5</v>
      </c>
      <c r="AN81" s="23">
        <v>32744.1</v>
      </c>
      <c r="AO81" s="23">
        <v>457.98</v>
      </c>
      <c r="AQ81" s="50">
        <f t="shared" si="1"/>
        <v>5.2810180275715796E-2</v>
      </c>
      <c r="AR81" s="50"/>
      <c r="AS81" s="48"/>
      <c r="AT81" s="50"/>
      <c r="AV81" s="47">
        <v>44320</v>
      </c>
      <c r="AW81" s="51">
        <v>0.38541666666666669</v>
      </c>
      <c r="AX81" t="s">
        <v>162</v>
      </c>
    </row>
    <row r="82" spans="1:50">
      <c r="A82" s="23" t="s">
        <v>22</v>
      </c>
      <c r="B82" s="23" t="s">
        <v>23</v>
      </c>
      <c r="C82" s="28">
        <v>44320.458333333336</v>
      </c>
      <c r="D82" s="23">
        <v>463.5</v>
      </c>
      <c r="E82" s="28">
        <v>44321.385416666664</v>
      </c>
      <c r="F82" s="23">
        <v>461.9</v>
      </c>
      <c r="G82" s="33">
        <v>-3.5000000000000001E-3</v>
      </c>
      <c r="H82" s="23">
        <v>172.94</v>
      </c>
      <c r="I82" s="33">
        <v>3.5000000000000001E-3</v>
      </c>
      <c r="J82" s="23">
        <v>108.08450000000001</v>
      </c>
      <c r="K82" s="23">
        <v>50097.19</v>
      </c>
      <c r="L82" s="23">
        <v>19294.349999999999</v>
      </c>
      <c r="M82" s="23">
        <v>22</v>
      </c>
      <c r="N82" s="23">
        <v>7.86</v>
      </c>
      <c r="O82" s="33">
        <v>-8.0000000000000002E-3</v>
      </c>
      <c r="P82" s="33">
        <v>1.55E-2</v>
      </c>
      <c r="Q82" s="23" t="s">
        <v>24</v>
      </c>
      <c r="R82" s="23">
        <v>0</v>
      </c>
      <c r="S82" s="23">
        <v>478.11</v>
      </c>
      <c r="U82" s="47">
        <v>44343</v>
      </c>
      <c r="V82" s="23" t="s">
        <v>129</v>
      </c>
      <c r="W82" s="23" t="s">
        <v>23</v>
      </c>
      <c r="X82" s="28">
        <v>44320.458333333336</v>
      </c>
      <c r="Y82" s="23">
        <v>29.925000000000001</v>
      </c>
      <c r="Z82" s="28">
        <v>44321.385416666664</v>
      </c>
      <c r="AA82" s="23">
        <v>24.3</v>
      </c>
      <c r="AB82" s="33">
        <v>-0.188</v>
      </c>
      <c r="AC82" s="23">
        <v>9570.73</v>
      </c>
      <c r="AD82" s="33">
        <v>0.188</v>
      </c>
      <c r="AE82" s="23">
        <v>1701.463</v>
      </c>
      <c r="AF82" s="23">
        <v>50916.29</v>
      </c>
      <c r="AG82" s="23">
        <v>188174.64</v>
      </c>
      <c r="AH82" s="23">
        <v>22</v>
      </c>
      <c r="AI82" s="23">
        <v>435.03</v>
      </c>
      <c r="AJ82" s="33">
        <v>-2.5000000000000001E-3</v>
      </c>
      <c r="AK82" s="33">
        <v>0.2147</v>
      </c>
      <c r="AL82" s="23" t="s">
        <v>24</v>
      </c>
      <c r="AM82" s="23">
        <v>463.5</v>
      </c>
      <c r="AN82" s="23">
        <v>32926.15</v>
      </c>
      <c r="AO82" s="23">
        <v>478.11</v>
      </c>
      <c r="AQ82" s="50">
        <f t="shared" si="1"/>
        <v>6.4563106796116501E-2</v>
      </c>
      <c r="AR82" s="50"/>
      <c r="AS82" s="48"/>
      <c r="AT82" s="50"/>
      <c r="AV82" s="47">
        <v>44320</v>
      </c>
      <c r="AW82" s="51">
        <v>0.45833333333333331</v>
      </c>
      <c r="AX82" t="s">
        <v>162</v>
      </c>
    </row>
    <row r="83" spans="1:50">
      <c r="A83" s="23" t="s">
        <v>22</v>
      </c>
      <c r="B83" s="23" t="s">
        <v>25</v>
      </c>
      <c r="C83" s="28">
        <v>44321.385416666664</v>
      </c>
      <c r="D83" s="23">
        <v>461.9</v>
      </c>
      <c r="E83" s="28">
        <v>44321.40625</v>
      </c>
      <c r="F83" s="23">
        <v>459.5</v>
      </c>
      <c r="G83" s="33">
        <v>-5.1999999999999998E-3</v>
      </c>
      <c r="H83" s="23">
        <v>-260.29000000000002</v>
      </c>
      <c r="I83" s="33">
        <v>-5.1999999999999998E-3</v>
      </c>
      <c r="J83" s="23">
        <v>108.4538</v>
      </c>
      <c r="K83" s="23">
        <v>50094.8</v>
      </c>
      <c r="L83" s="23">
        <v>19034.060000000001</v>
      </c>
      <c r="M83" s="23">
        <v>3</v>
      </c>
      <c r="N83" s="23">
        <v>-86.76</v>
      </c>
      <c r="O83" s="33">
        <v>-6.3E-3</v>
      </c>
      <c r="P83" s="33">
        <v>1.09E-2</v>
      </c>
      <c r="Q83" s="23" t="s">
        <v>24</v>
      </c>
      <c r="R83" s="23">
        <v>0</v>
      </c>
      <c r="S83" s="23">
        <v>456.72</v>
      </c>
      <c r="U83" s="47">
        <v>44343</v>
      </c>
      <c r="V83" s="23" t="s">
        <v>103</v>
      </c>
      <c r="W83" s="23" t="s">
        <v>23</v>
      </c>
      <c r="X83" s="28">
        <v>44321.385416666664</v>
      </c>
      <c r="Y83" s="23">
        <v>21.8</v>
      </c>
      <c r="Z83" s="28">
        <v>44321.40625</v>
      </c>
      <c r="AA83" s="23">
        <v>23.5</v>
      </c>
      <c r="AB83" s="33">
        <v>7.8E-2</v>
      </c>
      <c r="AC83" s="23">
        <v>-3972.07</v>
      </c>
      <c r="AD83" s="33">
        <v>-7.8E-2</v>
      </c>
      <c r="AE83" s="23">
        <v>2336.5129999999999</v>
      </c>
      <c r="AF83" s="23">
        <v>50935.98</v>
      </c>
      <c r="AG83" s="23">
        <v>184202.57</v>
      </c>
      <c r="AH83" s="23">
        <v>3</v>
      </c>
      <c r="AI83" s="23">
        <v>-1324.02</v>
      </c>
      <c r="AJ83" s="33">
        <v>-8.2600000000000007E-2</v>
      </c>
      <c r="AK83" s="33">
        <v>7.4499999999999997E-2</v>
      </c>
      <c r="AL83" s="23" t="s">
        <v>24</v>
      </c>
      <c r="AM83" s="23">
        <v>461.9</v>
      </c>
      <c r="AN83" s="23">
        <v>32463</v>
      </c>
      <c r="AO83" s="23">
        <v>456.72</v>
      </c>
      <c r="AQ83" s="50">
        <f t="shared" si="1"/>
        <v>4.7196362849101538E-2</v>
      </c>
      <c r="AR83" s="50"/>
      <c r="AS83" s="48"/>
      <c r="AT83" s="50"/>
      <c r="AV83" s="47">
        <v>44321</v>
      </c>
      <c r="AW83" s="51">
        <v>0.38541666666666669</v>
      </c>
      <c r="AX83" t="s">
        <v>162</v>
      </c>
    </row>
    <row r="84" spans="1:50">
      <c r="A84" s="23" t="s">
        <v>22</v>
      </c>
      <c r="B84" s="23" t="s">
        <v>23</v>
      </c>
      <c r="C84" s="28">
        <v>44321.40625</v>
      </c>
      <c r="D84" s="23">
        <v>459.5</v>
      </c>
      <c r="E84" s="28">
        <v>44321.427083333336</v>
      </c>
      <c r="F84" s="23">
        <v>466.1</v>
      </c>
      <c r="G84" s="33">
        <v>1.44E-2</v>
      </c>
      <c r="H84" s="23">
        <v>-719.54</v>
      </c>
      <c r="I84" s="33">
        <v>-1.44E-2</v>
      </c>
      <c r="J84" s="23">
        <v>109.0206</v>
      </c>
      <c r="K84" s="23">
        <v>50094.95</v>
      </c>
      <c r="L84" s="23">
        <v>18314.52</v>
      </c>
      <c r="M84" s="23">
        <v>3</v>
      </c>
      <c r="N84" s="23">
        <v>-239.85</v>
      </c>
      <c r="O84" s="33">
        <v>-1.44E-2</v>
      </c>
      <c r="P84" s="33">
        <v>9.7999999999999997E-3</v>
      </c>
      <c r="Q84" s="23" t="s">
        <v>24</v>
      </c>
      <c r="R84" s="23">
        <v>0</v>
      </c>
      <c r="S84" s="23">
        <v>466.52</v>
      </c>
      <c r="U84" s="47">
        <v>44343</v>
      </c>
      <c r="V84" s="23" t="s">
        <v>130</v>
      </c>
      <c r="W84" s="23" t="s">
        <v>23</v>
      </c>
      <c r="X84" s="28">
        <v>44321.40625</v>
      </c>
      <c r="Y84" s="23">
        <v>28.7</v>
      </c>
      <c r="Z84" s="28">
        <v>44321.427083333336</v>
      </c>
      <c r="AA84" s="23">
        <v>38</v>
      </c>
      <c r="AB84" s="33">
        <v>0.32400000000000001</v>
      </c>
      <c r="AC84" s="23">
        <v>-16500.16</v>
      </c>
      <c r="AD84" s="33">
        <v>-0.32400000000000001</v>
      </c>
      <c r="AE84" s="23">
        <v>1774.211</v>
      </c>
      <c r="AF84" s="23">
        <v>50919.839999999997</v>
      </c>
      <c r="AG84" s="23">
        <v>167702.41</v>
      </c>
      <c r="AH84" s="23">
        <v>3</v>
      </c>
      <c r="AI84" s="23">
        <v>-5500.05</v>
      </c>
      <c r="AJ84" s="33">
        <v>-0.32400000000000001</v>
      </c>
      <c r="AK84" s="33">
        <v>0</v>
      </c>
      <c r="AL84" s="23" t="s">
        <v>24</v>
      </c>
      <c r="AM84" s="23">
        <v>459.5</v>
      </c>
      <c r="AN84" s="23">
        <v>32501.3</v>
      </c>
      <c r="AO84" s="23">
        <v>466.52</v>
      </c>
      <c r="AQ84" s="50">
        <f t="shared" si="1"/>
        <v>6.2459194776931445E-2</v>
      </c>
      <c r="AR84" s="50"/>
      <c r="AS84" s="48"/>
      <c r="AT84" s="50"/>
      <c r="AV84" s="47">
        <v>44321</v>
      </c>
      <c r="AW84" s="51">
        <v>0.40625</v>
      </c>
      <c r="AX84" t="s">
        <v>162</v>
      </c>
    </row>
    <row r="85" spans="1:50">
      <c r="A85" s="23" t="s">
        <v>22</v>
      </c>
      <c r="B85" s="23" t="s">
        <v>25</v>
      </c>
      <c r="C85" s="28">
        <v>44321.427083333336</v>
      </c>
      <c r="D85" s="23">
        <v>466.1</v>
      </c>
      <c r="E85" s="28">
        <v>44321.572916666664</v>
      </c>
      <c r="F85" s="23">
        <v>467.5</v>
      </c>
      <c r="G85" s="33">
        <v>3.0000000000000001E-3</v>
      </c>
      <c r="H85" s="23">
        <v>150.47</v>
      </c>
      <c r="I85" s="33">
        <v>3.0000000000000001E-3</v>
      </c>
      <c r="J85" s="23">
        <v>107.47669999999999</v>
      </c>
      <c r="K85" s="23">
        <v>50094.9</v>
      </c>
      <c r="L85" s="23">
        <v>18464.990000000002</v>
      </c>
      <c r="M85" s="23">
        <v>15</v>
      </c>
      <c r="N85" s="23">
        <v>10.029999999999999</v>
      </c>
      <c r="O85" s="33">
        <v>-1.52E-2</v>
      </c>
      <c r="P85" s="33">
        <v>2.1700000000000001E-2</v>
      </c>
      <c r="Q85" s="23" t="s">
        <v>24</v>
      </c>
      <c r="R85" s="23">
        <v>0</v>
      </c>
      <c r="S85" s="23">
        <v>455.37</v>
      </c>
      <c r="U85" s="47">
        <v>44343</v>
      </c>
      <c r="V85" s="23" t="s">
        <v>128</v>
      </c>
      <c r="W85" s="23" t="s">
        <v>23</v>
      </c>
      <c r="X85" s="28">
        <v>44321.427083333336</v>
      </c>
      <c r="Y85" s="23">
        <v>26</v>
      </c>
      <c r="Z85" s="28">
        <v>44321.572916666664</v>
      </c>
      <c r="AA85" s="23">
        <v>22.75</v>
      </c>
      <c r="AB85" s="33">
        <v>-0.125</v>
      </c>
      <c r="AC85" s="23">
        <v>6362.94</v>
      </c>
      <c r="AD85" s="33">
        <v>0.125</v>
      </c>
      <c r="AE85" s="23">
        <v>1957.827</v>
      </c>
      <c r="AF85" s="23">
        <v>50903.49</v>
      </c>
      <c r="AG85" s="23">
        <v>174065.35</v>
      </c>
      <c r="AH85" s="23">
        <v>15</v>
      </c>
      <c r="AI85" s="23">
        <v>424.2</v>
      </c>
      <c r="AJ85" s="33">
        <v>-0.1346</v>
      </c>
      <c r="AK85" s="33">
        <v>0.21829999999999999</v>
      </c>
      <c r="AL85" s="23" t="s">
        <v>24</v>
      </c>
      <c r="AM85" s="23">
        <v>466.1</v>
      </c>
      <c r="AN85" s="23">
        <v>32530.7</v>
      </c>
      <c r="AO85" s="23">
        <v>455.37</v>
      </c>
      <c r="AQ85" s="50">
        <f t="shared" si="1"/>
        <v>5.5782021025531002E-2</v>
      </c>
      <c r="AR85" s="50"/>
      <c r="AS85" s="48"/>
      <c r="AT85" s="50"/>
      <c r="AV85" s="47">
        <v>44321</v>
      </c>
      <c r="AW85" s="51">
        <v>0.42708333333333331</v>
      </c>
      <c r="AX85" t="s">
        <v>162</v>
      </c>
    </row>
    <row r="86" spans="1:50">
      <c r="A86" s="23" t="s">
        <v>22</v>
      </c>
      <c r="B86" s="23" t="s">
        <v>23</v>
      </c>
      <c r="C86" s="28">
        <v>44321.572916666664</v>
      </c>
      <c r="D86" s="23">
        <v>467.5</v>
      </c>
      <c r="E86" s="28">
        <v>44322.385416666664</v>
      </c>
      <c r="F86" s="23">
        <v>469.92500000000001</v>
      </c>
      <c r="G86" s="33">
        <v>5.1999999999999998E-3</v>
      </c>
      <c r="H86" s="23">
        <v>-259.83999999999997</v>
      </c>
      <c r="I86" s="33">
        <v>-5.1999999999999998E-3</v>
      </c>
      <c r="J86" s="23">
        <v>107.15219999999999</v>
      </c>
      <c r="K86" s="23">
        <v>50093.67</v>
      </c>
      <c r="L86" s="23">
        <v>18205.150000000001</v>
      </c>
      <c r="M86" s="23">
        <v>11</v>
      </c>
      <c r="N86" s="23">
        <v>-23.62</v>
      </c>
      <c r="O86" s="33">
        <v>-2.1399999999999999E-2</v>
      </c>
      <c r="P86" s="33">
        <v>5.3E-3</v>
      </c>
      <c r="Q86" s="23" t="s">
        <v>24</v>
      </c>
      <c r="R86" s="23">
        <v>0</v>
      </c>
      <c r="S86" s="23">
        <v>476.23</v>
      </c>
      <c r="U86" s="47">
        <v>44343</v>
      </c>
      <c r="V86" s="23" t="s">
        <v>131</v>
      </c>
      <c r="W86" s="23" t="s">
        <v>23</v>
      </c>
      <c r="X86" s="28">
        <v>44321.572916666664</v>
      </c>
      <c r="Y86" s="23">
        <v>24.35</v>
      </c>
      <c r="Z86" s="28">
        <v>44322.385416666664</v>
      </c>
      <c r="AA86" s="23">
        <v>24.225000000000001</v>
      </c>
      <c r="AB86" s="33">
        <v>-5.1000000000000004E-3</v>
      </c>
      <c r="AC86" s="23">
        <v>261.14</v>
      </c>
      <c r="AD86" s="33">
        <v>5.1000000000000004E-3</v>
      </c>
      <c r="AE86" s="23">
        <v>2089.13</v>
      </c>
      <c r="AF86" s="23">
        <v>50870.32</v>
      </c>
      <c r="AG86" s="23">
        <v>174326.49</v>
      </c>
      <c r="AH86" s="23">
        <v>11</v>
      </c>
      <c r="AI86" s="23">
        <v>23.74</v>
      </c>
      <c r="AJ86" s="33">
        <v>-0.1643</v>
      </c>
      <c r="AK86" s="33">
        <v>5.5399999999999998E-2</v>
      </c>
      <c r="AL86" s="23" t="s">
        <v>24</v>
      </c>
      <c r="AM86" s="23">
        <v>467.5</v>
      </c>
      <c r="AN86" s="23">
        <v>32708.35</v>
      </c>
      <c r="AO86" s="23">
        <v>476.23</v>
      </c>
      <c r="AQ86" s="50">
        <f t="shared" si="1"/>
        <v>5.2085561497326203E-2</v>
      </c>
      <c r="AR86" s="50"/>
      <c r="AS86" s="48"/>
      <c r="AT86" s="50"/>
      <c r="AV86" s="47">
        <v>44321</v>
      </c>
      <c r="AW86" s="51">
        <v>7.2916666666666671E-2</v>
      </c>
      <c r="AX86" t="s">
        <v>163</v>
      </c>
    </row>
    <row r="87" spans="1:50">
      <c r="A87" s="23" t="s">
        <v>22</v>
      </c>
      <c r="B87" s="23" t="s">
        <v>25</v>
      </c>
      <c r="C87" s="28">
        <v>44322.385416666664</v>
      </c>
      <c r="D87" s="23">
        <v>469.92500000000001</v>
      </c>
      <c r="E87" s="28">
        <v>44322.427083333336</v>
      </c>
      <c r="F87" s="23">
        <v>470.67500000000001</v>
      </c>
      <c r="G87" s="33">
        <v>1.6000000000000001E-3</v>
      </c>
      <c r="H87" s="23">
        <v>79.94</v>
      </c>
      <c r="I87" s="33">
        <v>1.6000000000000001E-3</v>
      </c>
      <c r="J87" s="23">
        <v>106.5873</v>
      </c>
      <c r="K87" s="23">
        <v>50088.04</v>
      </c>
      <c r="L87" s="23">
        <v>18285.09</v>
      </c>
      <c r="M87" s="23">
        <v>5</v>
      </c>
      <c r="N87" s="23">
        <v>15.99</v>
      </c>
      <c r="O87" s="33">
        <v>-5.4000000000000003E-3</v>
      </c>
      <c r="P87" s="33">
        <v>3.4200000000000001E-2</v>
      </c>
      <c r="Q87" s="23" t="s">
        <v>24</v>
      </c>
      <c r="R87" s="23">
        <v>0</v>
      </c>
      <c r="S87" s="23">
        <v>466.03</v>
      </c>
      <c r="U87" s="47">
        <v>44343</v>
      </c>
      <c r="V87" s="23" t="s">
        <v>128</v>
      </c>
      <c r="W87" s="23" t="s">
        <v>23</v>
      </c>
      <c r="X87" s="28">
        <v>44322.385416666664</v>
      </c>
      <c r="Y87" s="23">
        <v>22.625</v>
      </c>
      <c r="Z87" s="28">
        <v>44322.427083333336</v>
      </c>
      <c r="AA87" s="23">
        <v>21.9</v>
      </c>
      <c r="AB87" s="33">
        <v>-3.2000000000000001E-2</v>
      </c>
      <c r="AC87" s="23">
        <v>1629.38</v>
      </c>
      <c r="AD87" s="33">
        <v>3.2000000000000001E-2</v>
      </c>
      <c r="AE87" s="23">
        <v>2247.42</v>
      </c>
      <c r="AF87" s="23">
        <v>50847.87</v>
      </c>
      <c r="AG87" s="23">
        <v>175955.87</v>
      </c>
      <c r="AH87" s="23">
        <v>5</v>
      </c>
      <c r="AI87" s="23">
        <v>325.88</v>
      </c>
      <c r="AJ87" s="33">
        <v>-4.4200000000000003E-2</v>
      </c>
      <c r="AK87" s="33">
        <v>0.1182</v>
      </c>
      <c r="AL87" s="23" t="s">
        <v>24</v>
      </c>
      <c r="AM87" s="23">
        <v>469.92</v>
      </c>
      <c r="AN87" s="23">
        <v>32732.1</v>
      </c>
      <c r="AO87" s="23">
        <v>466.03</v>
      </c>
      <c r="AQ87" s="50">
        <f t="shared" si="1"/>
        <v>4.8146493020088527E-2</v>
      </c>
      <c r="AR87" s="50"/>
      <c r="AS87" s="48"/>
      <c r="AT87" s="50"/>
      <c r="AV87" s="47">
        <v>44322</v>
      </c>
      <c r="AW87" s="51">
        <v>0.38541666666666669</v>
      </c>
      <c r="AX87" t="s">
        <v>162</v>
      </c>
    </row>
    <row r="88" spans="1:50">
      <c r="A88" s="23" t="s">
        <v>22</v>
      </c>
      <c r="B88" s="23" t="s">
        <v>23</v>
      </c>
      <c r="C88" s="28">
        <v>44322.427083333336</v>
      </c>
      <c r="D88" s="23">
        <v>470.67500000000001</v>
      </c>
      <c r="E88" s="28">
        <v>44322.53125</v>
      </c>
      <c r="F88" s="23">
        <v>481.1</v>
      </c>
      <c r="G88" s="33">
        <v>2.2100000000000002E-2</v>
      </c>
      <c r="H88" s="23">
        <v>-1109.51</v>
      </c>
      <c r="I88" s="33">
        <v>-2.2100000000000002E-2</v>
      </c>
      <c r="J88" s="23">
        <v>106.4276</v>
      </c>
      <c r="K88" s="23">
        <v>50092.800000000003</v>
      </c>
      <c r="L88" s="23">
        <v>17175.580000000002</v>
      </c>
      <c r="M88" s="23">
        <v>11</v>
      </c>
      <c r="N88" s="23">
        <v>-100.86</v>
      </c>
      <c r="O88" s="33">
        <v>-2.2100000000000002E-2</v>
      </c>
      <c r="P88" s="33">
        <v>2.7000000000000001E-3</v>
      </c>
      <c r="Q88" s="23" t="s">
        <v>24</v>
      </c>
      <c r="R88" s="23">
        <v>0</v>
      </c>
      <c r="S88" s="23">
        <v>486</v>
      </c>
      <c r="U88" s="47">
        <v>44343</v>
      </c>
      <c r="V88" s="23" t="s">
        <v>131</v>
      </c>
      <c r="W88" s="23" t="s">
        <v>23</v>
      </c>
      <c r="X88" s="28">
        <v>44322.427083333336</v>
      </c>
      <c r="Y88" s="23">
        <v>25.5</v>
      </c>
      <c r="Z88" s="28">
        <v>44322.53125</v>
      </c>
      <c r="AA88" s="23">
        <v>30.25</v>
      </c>
      <c r="AB88" s="33">
        <v>0.18629999999999999</v>
      </c>
      <c r="AC88" s="23">
        <v>-9477.61</v>
      </c>
      <c r="AD88" s="33">
        <v>-0.18629999999999999</v>
      </c>
      <c r="AE88" s="23">
        <v>1995.2860000000001</v>
      </c>
      <c r="AF88" s="23">
        <v>50879.78</v>
      </c>
      <c r="AG88" s="23">
        <v>166478.26</v>
      </c>
      <c r="AH88" s="23">
        <v>11</v>
      </c>
      <c r="AI88" s="23">
        <v>-861.6</v>
      </c>
      <c r="AJ88" s="33">
        <v>-0.18629999999999999</v>
      </c>
      <c r="AK88" s="33">
        <v>3.8199999999999998E-2</v>
      </c>
      <c r="AL88" s="23" t="s">
        <v>24</v>
      </c>
      <c r="AM88" s="23">
        <v>470.67</v>
      </c>
      <c r="AN88" s="23">
        <v>32672.25</v>
      </c>
      <c r="AO88" s="23">
        <v>486</v>
      </c>
      <c r="AQ88" s="50">
        <f t="shared" si="1"/>
        <v>5.417808655746064E-2</v>
      </c>
      <c r="AR88" s="50"/>
      <c r="AS88" s="48"/>
      <c r="AT88" s="50"/>
      <c r="AV88" s="47">
        <v>44322</v>
      </c>
      <c r="AW88" s="51">
        <v>0.42708333333333331</v>
      </c>
      <c r="AX88" t="s">
        <v>162</v>
      </c>
    </row>
    <row r="89" spans="1:50">
      <c r="A89" s="23" t="s">
        <v>22</v>
      </c>
      <c r="B89" s="23" t="s">
        <v>25</v>
      </c>
      <c r="C89" s="28">
        <v>44322.53125</v>
      </c>
      <c r="D89" s="23">
        <v>481.1</v>
      </c>
      <c r="E89" s="28">
        <v>44323.385416666664</v>
      </c>
      <c r="F89" s="23">
        <v>470.4</v>
      </c>
      <c r="G89" s="33">
        <v>-2.2200000000000001E-2</v>
      </c>
      <c r="H89" s="23">
        <v>-1113.99</v>
      </c>
      <c r="I89" s="33">
        <v>-2.2200000000000001E-2</v>
      </c>
      <c r="J89" s="23">
        <v>104.1113</v>
      </c>
      <c r="K89" s="23">
        <v>50087.93</v>
      </c>
      <c r="L89" s="23">
        <v>16061.59</v>
      </c>
      <c r="M89" s="23">
        <v>15</v>
      </c>
      <c r="N89" s="23">
        <v>-74.27</v>
      </c>
      <c r="O89" s="33">
        <v>-2.2200000000000001E-2</v>
      </c>
      <c r="P89" s="33">
        <v>5.7999999999999996E-3</v>
      </c>
      <c r="Q89" s="23" t="s">
        <v>24</v>
      </c>
      <c r="R89" s="23">
        <v>0</v>
      </c>
      <c r="S89" s="23">
        <v>469.62</v>
      </c>
      <c r="U89" s="47">
        <v>44343</v>
      </c>
      <c r="V89" s="23" t="s">
        <v>132</v>
      </c>
      <c r="W89" s="23" t="s">
        <v>23</v>
      </c>
      <c r="X89" s="28">
        <v>44322.53125</v>
      </c>
      <c r="Y89" s="23">
        <v>21.9</v>
      </c>
      <c r="Z89" s="28">
        <v>44323.385416666664</v>
      </c>
      <c r="AA89" s="23">
        <v>28.25</v>
      </c>
      <c r="AB89" s="33">
        <v>0.28999999999999998</v>
      </c>
      <c r="AC89" s="23">
        <v>-14745.65</v>
      </c>
      <c r="AD89" s="33">
        <v>-0.28999999999999998</v>
      </c>
      <c r="AE89" s="23">
        <v>2322.15</v>
      </c>
      <c r="AF89" s="23">
        <v>50855.09</v>
      </c>
      <c r="AG89" s="23">
        <v>151732.60999999999</v>
      </c>
      <c r="AH89" s="23">
        <v>15</v>
      </c>
      <c r="AI89" s="23">
        <v>-983.04</v>
      </c>
      <c r="AJ89" s="33">
        <v>-0.28999999999999998</v>
      </c>
      <c r="AK89" s="33">
        <v>8.6800000000000002E-2</v>
      </c>
      <c r="AL89" s="23" t="s">
        <v>24</v>
      </c>
      <c r="AM89" s="23">
        <v>481.1</v>
      </c>
      <c r="AN89" s="23">
        <v>32833.800000000003</v>
      </c>
      <c r="AO89" s="23">
        <v>469.62</v>
      </c>
      <c r="AQ89" s="50">
        <f t="shared" si="1"/>
        <v>4.5520681770941589E-2</v>
      </c>
      <c r="AR89" s="50"/>
      <c r="AS89" s="48"/>
      <c r="AT89" s="50"/>
      <c r="AV89" s="47">
        <v>44322</v>
      </c>
      <c r="AW89" s="51">
        <v>0.53125</v>
      </c>
      <c r="AX89" t="s">
        <v>163</v>
      </c>
    </row>
    <row r="90" spans="1:50">
      <c r="A90" s="23" t="s">
        <v>22</v>
      </c>
      <c r="B90" s="23" t="s">
        <v>23</v>
      </c>
      <c r="C90" s="28">
        <v>44323.385416666664</v>
      </c>
      <c r="D90" s="23">
        <v>470.4</v>
      </c>
      <c r="E90" s="28">
        <v>44326.385416666664</v>
      </c>
      <c r="F90" s="23">
        <v>471.47500000000002</v>
      </c>
      <c r="G90" s="33">
        <v>2.3E-3</v>
      </c>
      <c r="H90" s="23">
        <v>-114.45</v>
      </c>
      <c r="I90" s="33">
        <v>-2.3E-3</v>
      </c>
      <c r="J90" s="23">
        <v>106.46559999999999</v>
      </c>
      <c r="K90" s="23">
        <v>50081.4</v>
      </c>
      <c r="L90" s="23">
        <v>15947.14</v>
      </c>
      <c r="M90" s="23">
        <v>29</v>
      </c>
      <c r="N90" s="23">
        <v>-3.95</v>
      </c>
      <c r="O90" s="33">
        <v>-1.32E-2</v>
      </c>
      <c r="P90" s="33">
        <v>1.6899999999999998E-2</v>
      </c>
      <c r="Q90" s="23" t="s">
        <v>24</v>
      </c>
      <c r="R90" s="23">
        <v>0</v>
      </c>
      <c r="S90" s="23">
        <v>482.97</v>
      </c>
      <c r="U90" s="47">
        <v>44343</v>
      </c>
      <c r="V90" s="23" t="s">
        <v>131</v>
      </c>
      <c r="W90" s="23" t="s">
        <v>23</v>
      </c>
      <c r="X90" s="28">
        <v>44323.385416666664</v>
      </c>
      <c r="Y90" s="23">
        <v>22.8</v>
      </c>
      <c r="Z90" s="28">
        <v>44326.385416666664</v>
      </c>
      <c r="AA90" s="23">
        <v>21.25</v>
      </c>
      <c r="AB90" s="33">
        <v>-6.8000000000000005E-2</v>
      </c>
      <c r="AC90" s="23">
        <v>3456.13</v>
      </c>
      <c r="AD90" s="33">
        <v>6.8000000000000005E-2</v>
      </c>
      <c r="AE90" s="23">
        <v>2229.7579999999998</v>
      </c>
      <c r="AF90" s="23">
        <v>50838.49</v>
      </c>
      <c r="AG90" s="23">
        <v>155188.74</v>
      </c>
      <c r="AH90" s="23">
        <v>29</v>
      </c>
      <c r="AI90" s="23">
        <v>119.18</v>
      </c>
      <c r="AJ90" s="33">
        <v>-0.1075</v>
      </c>
      <c r="AK90" s="33">
        <v>0.17430000000000001</v>
      </c>
      <c r="AL90" s="23" t="s">
        <v>24</v>
      </c>
      <c r="AM90" s="23">
        <v>470.4</v>
      </c>
      <c r="AN90" s="23">
        <v>33205.35</v>
      </c>
      <c r="AO90" s="23">
        <v>482.97</v>
      </c>
      <c r="AQ90" s="50">
        <f t="shared" si="1"/>
        <v>4.8469387755102046E-2</v>
      </c>
      <c r="AR90" s="50"/>
      <c r="AS90" s="48"/>
      <c r="AT90" s="50"/>
      <c r="AV90" s="47">
        <v>44323</v>
      </c>
      <c r="AW90" s="51">
        <v>0.38541666666666669</v>
      </c>
      <c r="AX90" t="s">
        <v>162</v>
      </c>
    </row>
    <row r="91" spans="1:50">
      <c r="A91" s="23" t="s">
        <v>22</v>
      </c>
      <c r="B91" s="23" t="s">
        <v>25</v>
      </c>
      <c r="C91" s="28">
        <v>44326.385416666664</v>
      </c>
      <c r="D91" s="23">
        <v>471.47500000000002</v>
      </c>
      <c r="E91" s="28">
        <v>44326.614583333336</v>
      </c>
      <c r="F91" s="23">
        <v>471.75</v>
      </c>
      <c r="G91" s="33">
        <v>5.9999999999999995E-4</v>
      </c>
      <c r="H91" s="23">
        <v>29.21</v>
      </c>
      <c r="I91" s="33">
        <v>5.9999999999999995E-4</v>
      </c>
      <c r="J91" s="23">
        <v>106.2187</v>
      </c>
      <c r="K91" s="23">
        <v>50079.46</v>
      </c>
      <c r="L91" s="23">
        <v>15976.35</v>
      </c>
      <c r="M91" s="23">
        <v>23</v>
      </c>
      <c r="N91" s="23">
        <v>1.27</v>
      </c>
      <c r="O91" s="33">
        <v>-8.3999999999999995E-3</v>
      </c>
      <c r="P91" s="33">
        <v>7.4999999999999997E-3</v>
      </c>
      <c r="Q91" s="23" t="s">
        <v>24</v>
      </c>
      <c r="R91" s="23">
        <v>0</v>
      </c>
      <c r="S91" s="23">
        <v>463.04</v>
      </c>
      <c r="U91" s="47">
        <v>44343</v>
      </c>
      <c r="V91" s="23" t="s">
        <v>128</v>
      </c>
      <c r="W91" s="23" t="s">
        <v>23</v>
      </c>
      <c r="X91" s="28">
        <v>44326.385416666664</v>
      </c>
      <c r="Y91" s="23">
        <v>19.975000000000001</v>
      </c>
      <c r="Z91" s="28">
        <v>44326.614583333336</v>
      </c>
      <c r="AA91" s="23">
        <v>17.55</v>
      </c>
      <c r="AB91" s="33">
        <v>-0.12139999999999999</v>
      </c>
      <c r="AC91" s="23">
        <v>6167.33</v>
      </c>
      <c r="AD91" s="33">
        <v>0.12139999999999999</v>
      </c>
      <c r="AE91" s="23">
        <v>2543.23</v>
      </c>
      <c r="AF91" s="23">
        <v>50801.03</v>
      </c>
      <c r="AG91" s="23">
        <v>161356.07</v>
      </c>
      <c r="AH91" s="23">
        <v>23</v>
      </c>
      <c r="AI91" s="23">
        <v>268.14</v>
      </c>
      <c r="AJ91" s="33">
        <v>-6.6299999999999998E-2</v>
      </c>
      <c r="AK91" s="33">
        <v>0.17150000000000001</v>
      </c>
      <c r="AL91" s="23" t="s">
        <v>24</v>
      </c>
      <c r="AM91" s="23">
        <v>471.48</v>
      </c>
      <c r="AN91" s="23">
        <v>33177.550000000003</v>
      </c>
      <c r="AO91" s="23">
        <v>463.04</v>
      </c>
      <c r="AQ91" s="50">
        <f t="shared" si="1"/>
        <v>4.2366590311359975E-2</v>
      </c>
      <c r="AR91" s="50"/>
      <c r="AS91" s="48"/>
      <c r="AT91" s="50"/>
      <c r="AV91" s="47">
        <v>44326</v>
      </c>
      <c r="AW91" s="51">
        <v>0.38541666666666669</v>
      </c>
      <c r="AX91" t="s">
        <v>162</v>
      </c>
    </row>
    <row r="92" spans="1:50">
      <c r="A92" s="23" t="s">
        <v>22</v>
      </c>
      <c r="B92" s="23" t="s">
        <v>23</v>
      </c>
      <c r="C92" s="28">
        <v>44326.614583333336</v>
      </c>
      <c r="D92" s="23">
        <v>471.75</v>
      </c>
      <c r="E92" s="28">
        <v>44326.635416666664</v>
      </c>
      <c r="F92" s="23">
        <v>474.85</v>
      </c>
      <c r="G92" s="33">
        <v>6.6E-3</v>
      </c>
      <c r="H92" s="23">
        <v>-329.09</v>
      </c>
      <c r="I92" s="33">
        <v>-6.6E-3</v>
      </c>
      <c r="J92" s="23">
        <v>106.1591</v>
      </c>
      <c r="K92" s="23">
        <v>50080.55</v>
      </c>
      <c r="L92" s="23">
        <v>15647.25</v>
      </c>
      <c r="M92" s="23">
        <v>3</v>
      </c>
      <c r="N92" s="23">
        <v>-109.7</v>
      </c>
      <c r="O92" s="33">
        <v>-6.6E-3</v>
      </c>
      <c r="P92" s="33">
        <v>5.0000000000000001E-4</v>
      </c>
      <c r="Q92" s="23" t="s">
        <v>24</v>
      </c>
      <c r="R92" s="23">
        <v>0</v>
      </c>
      <c r="S92" s="23">
        <v>474.93</v>
      </c>
      <c r="U92" s="47">
        <v>44343</v>
      </c>
      <c r="V92" s="23" t="s">
        <v>131</v>
      </c>
      <c r="W92" s="23" t="s">
        <v>23</v>
      </c>
      <c r="X92" s="28">
        <v>44326.614583333336</v>
      </c>
      <c r="Y92" s="23">
        <v>20.524999999999999</v>
      </c>
      <c r="Z92" s="28">
        <v>44326.635416666664</v>
      </c>
      <c r="AA92" s="23">
        <v>22.225000000000001</v>
      </c>
      <c r="AB92" s="33">
        <v>8.2799999999999999E-2</v>
      </c>
      <c r="AC92" s="23">
        <v>-4208.24</v>
      </c>
      <c r="AD92" s="33">
        <v>-8.2799999999999999E-2</v>
      </c>
      <c r="AE92" s="23">
        <v>2475.4380000000001</v>
      </c>
      <c r="AF92" s="23">
        <v>50808.37</v>
      </c>
      <c r="AG92" s="23">
        <v>157147.82</v>
      </c>
      <c r="AH92" s="23">
        <v>3</v>
      </c>
      <c r="AI92" s="23">
        <v>-1402.75</v>
      </c>
      <c r="AJ92" s="33">
        <v>-8.2799999999999999E-2</v>
      </c>
      <c r="AK92" s="33">
        <v>2.1899999999999999E-2</v>
      </c>
      <c r="AL92" s="23" t="s">
        <v>24</v>
      </c>
      <c r="AM92" s="23">
        <v>471.75</v>
      </c>
      <c r="AN92" s="23">
        <v>33106.15</v>
      </c>
      <c r="AO92" s="23">
        <v>474.93</v>
      </c>
      <c r="AQ92" s="50">
        <f t="shared" si="1"/>
        <v>4.3508214096449387E-2</v>
      </c>
      <c r="AR92" s="50"/>
      <c r="AS92" s="48"/>
      <c r="AT92" s="50"/>
      <c r="AV92" s="47">
        <v>44326</v>
      </c>
      <c r="AW92" s="51">
        <v>0.11458333333333333</v>
      </c>
      <c r="AX92" t="s">
        <v>163</v>
      </c>
    </row>
    <row r="93" spans="1:50">
      <c r="A93" s="23" t="s">
        <v>22</v>
      </c>
      <c r="B93" s="23" t="s">
        <v>25</v>
      </c>
      <c r="C93" s="28">
        <v>44326.635416666664</v>
      </c>
      <c r="D93" s="23">
        <v>474.85</v>
      </c>
      <c r="E93" s="28">
        <v>44327.385416666664</v>
      </c>
      <c r="F93" s="23">
        <v>473.5</v>
      </c>
      <c r="G93" s="33">
        <v>-2.8E-3</v>
      </c>
      <c r="H93" s="23">
        <v>-142.37</v>
      </c>
      <c r="I93" s="33">
        <v>-2.8E-3</v>
      </c>
      <c r="J93" s="23">
        <v>105.46299999999999</v>
      </c>
      <c r="K93" s="23">
        <v>50079.09</v>
      </c>
      <c r="L93" s="23">
        <v>15504.88</v>
      </c>
      <c r="M93" s="23">
        <v>5</v>
      </c>
      <c r="N93" s="23">
        <v>-28.47</v>
      </c>
      <c r="O93" s="33">
        <v>-1.6500000000000001E-2</v>
      </c>
      <c r="P93" s="33">
        <v>1.2999999999999999E-3</v>
      </c>
      <c r="Q93" s="23" t="s">
        <v>24</v>
      </c>
      <c r="R93" s="23">
        <v>0</v>
      </c>
      <c r="S93" s="23">
        <v>471.5</v>
      </c>
      <c r="U93" s="47">
        <v>44343</v>
      </c>
      <c r="V93" s="23" t="s">
        <v>128</v>
      </c>
      <c r="W93" s="23" t="s">
        <v>23</v>
      </c>
      <c r="X93" s="28">
        <v>44326.635416666664</v>
      </c>
      <c r="Y93" s="23">
        <v>15.6</v>
      </c>
      <c r="Z93" s="28">
        <v>44327.385416666664</v>
      </c>
      <c r="AA93" s="23">
        <v>17.5</v>
      </c>
      <c r="AB93" s="33">
        <v>0.12180000000000001</v>
      </c>
      <c r="AC93" s="23">
        <v>-6186.61</v>
      </c>
      <c r="AD93" s="33">
        <v>-0.12180000000000001</v>
      </c>
      <c r="AE93" s="23">
        <v>3256.1109999999999</v>
      </c>
      <c r="AF93" s="23">
        <v>50795.33</v>
      </c>
      <c r="AG93" s="23">
        <v>150961.21</v>
      </c>
      <c r="AH93" s="23">
        <v>5</v>
      </c>
      <c r="AI93" s="23">
        <v>-1237.32</v>
      </c>
      <c r="AJ93" s="33">
        <v>-0.12180000000000001</v>
      </c>
      <c r="AK93" s="33">
        <v>0</v>
      </c>
      <c r="AL93" s="23" t="s">
        <v>24</v>
      </c>
      <c r="AM93" s="23">
        <v>474.85</v>
      </c>
      <c r="AN93" s="23">
        <v>33191.5</v>
      </c>
      <c r="AO93" s="23">
        <v>471.5</v>
      </c>
      <c r="AQ93" s="50">
        <f t="shared" si="1"/>
        <v>3.2852479730441191E-2</v>
      </c>
      <c r="AR93" s="50"/>
      <c r="AS93" s="48"/>
      <c r="AT93" s="50"/>
      <c r="AV93" s="47">
        <v>44326</v>
      </c>
      <c r="AW93" s="51">
        <v>0.13541666666666666</v>
      </c>
      <c r="AX93" t="s">
        <v>163</v>
      </c>
    </row>
    <row r="94" spans="1:50">
      <c r="A94" s="23" t="s">
        <v>22</v>
      </c>
      <c r="B94" s="23" t="s">
        <v>23</v>
      </c>
      <c r="C94" s="28">
        <v>44327.385416666664</v>
      </c>
      <c r="D94" s="23">
        <v>473.5</v>
      </c>
      <c r="E94" s="28">
        <v>44327.40625</v>
      </c>
      <c r="F94" s="23">
        <v>474.7</v>
      </c>
      <c r="G94" s="33">
        <v>2.5000000000000001E-3</v>
      </c>
      <c r="H94" s="23">
        <v>-126.9</v>
      </c>
      <c r="I94" s="33">
        <v>-2.5000000000000001E-3</v>
      </c>
      <c r="J94" s="23">
        <v>105.7531</v>
      </c>
      <c r="K94" s="23">
        <v>50074.09</v>
      </c>
      <c r="L94" s="23">
        <v>15377.98</v>
      </c>
      <c r="M94" s="23">
        <v>3</v>
      </c>
      <c r="N94" s="23">
        <v>-42.3</v>
      </c>
      <c r="O94" s="33">
        <v>-2.5000000000000001E-3</v>
      </c>
      <c r="P94" s="33">
        <v>1.7399999999999999E-2</v>
      </c>
      <c r="Q94" s="23" t="s">
        <v>24</v>
      </c>
      <c r="R94" s="23">
        <v>0</v>
      </c>
      <c r="S94" s="23">
        <v>474.88</v>
      </c>
      <c r="U94" s="47">
        <v>44343</v>
      </c>
      <c r="V94" s="23" t="s">
        <v>131</v>
      </c>
      <c r="W94" s="23" t="s">
        <v>23</v>
      </c>
      <c r="X94" s="28">
        <v>44327.385416666664</v>
      </c>
      <c r="Y94" s="23">
        <v>20.399999999999999</v>
      </c>
      <c r="Z94" s="28">
        <v>44327.40625</v>
      </c>
      <c r="AA94" s="23">
        <v>22</v>
      </c>
      <c r="AB94" s="33">
        <v>7.8399999999999997E-2</v>
      </c>
      <c r="AC94" s="23">
        <v>-3983.2</v>
      </c>
      <c r="AD94" s="33">
        <v>-7.8399999999999997E-2</v>
      </c>
      <c r="AE94" s="23">
        <v>2489.4969999999998</v>
      </c>
      <c r="AF94" s="23">
        <v>50785.74</v>
      </c>
      <c r="AG94" s="23">
        <v>146978.01999999999</v>
      </c>
      <c r="AH94" s="23">
        <v>3</v>
      </c>
      <c r="AI94" s="23">
        <v>-1327.73</v>
      </c>
      <c r="AJ94" s="33">
        <v>-7.8399999999999997E-2</v>
      </c>
      <c r="AK94" s="33">
        <v>0.1091</v>
      </c>
      <c r="AL94" s="23" t="s">
        <v>24</v>
      </c>
      <c r="AM94" s="23">
        <v>473.5</v>
      </c>
      <c r="AN94" s="23">
        <v>32778.65</v>
      </c>
      <c r="AO94" s="23">
        <v>474.88</v>
      </c>
      <c r="AQ94" s="50">
        <f t="shared" si="1"/>
        <v>4.3083421330517423E-2</v>
      </c>
      <c r="AR94" s="50"/>
      <c r="AS94" s="48"/>
      <c r="AT94" s="50"/>
      <c r="AV94" s="47">
        <v>44327</v>
      </c>
      <c r="AW94" s="51">
        <v>0.38541666666666669</v>
      </c>
      <c r="AX94" t="s">
        <v>162</v>
      </c>
    </row>
    <row r="95" spans="1:50">
      <c r="A95" s="23" t="s">
        <v>22</v>
      </c>
      <c r="B95" s="23" t="s">
        <v>25</v>
      </c>
      <c r="C95" s="28">
        <v>44327.40625</v>
      </c>
      <c r="D95" s="23">
        <v>474.7</v>
      </c>
      <c r="E95" s="28">
        <v>44328.385416666664</v>
      </c>
      <c r="F95" s="23">
        <v>476.5</v>
      </c>
      <c r="G95" s="33">
        <v>3.8E-3</v>
      </c>
      <c r="H95" s="23">
        <v>189.89</v>
      </c>
      <c r="I95" s="33">
        <v>3.8E-3</v>
      </c>
      <c r="J95" s="23">
        <v>105.49460000000001</v>
      </c>
      <c r="K95" s="23">
        <v>50078.27</v>
      </c>
      <c r="L95" s="23">
        <v>15567.87</v>
      </c>
      <c r="M95" s="23">
        <v>27</v>
      </c>
      <c r="N95" s="23">
        <v>7.03</v>
      </c>
      <c r="O95" s="33">
        <v>-8.8000000000000005E-3</v>
      </c>
      <c r="P95" s="33">
        <v>3.0300000000000001E-2</v>
      </c>
      <c r="Q95" s="23" t="s">
        <v>24</v>
      </c>
      <c r="R95" s="23">
        <v>0</v>
      </c>
      <c r="S95" s="23">
        <v>465.47</v>
      </c>
      <c r="U95" s="47">
        <v>44343</v>
      </c>
      <c r="V95" s="23" t="s">
        <v>128</v>
      </c>
      <c r="W95" s="23" t="s">
        <v>23</v>
      </c>
      <c r="X95" s="28">
        <v>44327.40625</v>
      </c>
      <c r="Y95" s="23">
        <v>17.149999999999999</v>
      </c>
      <c r="Z95" s="28">
        <v>44328.385416666664</v>
      </c>
      <c r="AA95" s="23">
        <v>14.975</v>
      </c>
      <c r="AB95" s="33">
        <v>-0.1268</v>
      </c>
      <c r="AC95" s="23">
        <v>6436.28</v>
      </c>
      <c r="AD95" s="33">
        <v>0.1268</v>
      </c>
      <c r="AE95" s="23">
        <v>2959.21</v>
      </c>
      <c r="AF95" s="23">
        <v>50750.45</v>
      </c>
      <c r="AG95" s="23">
        <v>153414.29999999999</v>
      </c>
      <c r="AH95" s="23">
        <v>27</v>
      </c>
      <c r="AI95" s="23">
        <v>238.38</v>
      </c>
      <c r="AJ95" s="33">
        <v>-8.1600000000000006E-2</v>
      </c>
      <c r="AK95" s="33">
        <v>0.43149999999999999</v>
      </c>
      <c r="AL95" s="23" t="s">
        <v>24</v>
      </c>
      <c r="AM95" s="23">
        <v>474.7</v>
      </c>
      <c r="AN95" s="23">
        <v>32832.449999999997</v>
      </c>
      <c r="AO95" s="23">
        <v>465.47</v>
      </c>
      <c r="AQ95" s="50">
        <f t="shared" si="1"/>
        <v>3.6128080893195698E-2</v>
      </c>
      <c r="AR95" s="50"/>
      <c r="AS95" s="48"/>
      <c r="AT95" s="50"/>
      <c r="AV95" s="47">
        <v>44327</v>
      </c>
      <c r="AW95" s="51">
        <v>0.40625</v>
      </c>
      <c r="AX95" t="s">
        <v>162</v>
      </c>
    </row>
    <row r="96" spans="1:50">
      <c r="A96" s="23" t="s">
        <v>22</v>
      </c>
      <c r="B96" s="23" t="s">
        <v>23</v>
      </c>
      <c r="C96" s="28">
        <v>44328.385416666664</v>
      </c>
      <c r="D96" s="23">
        <v>476.5</v>
      </c>
      <c r="E96" s="28">
        <v>44328.583333333336</v>
      </c>
      <c r="F96" s="23">
        <v>478.17500000000001</v>
      </c>
      <c r="G96" s="33">
        <v>3.5000000000000001E-3</v>
      </c>
      <c r="H96" s="23">
        <v>-176.04</v>
      </c>
      <c r="I96" s="33">
        <v>-3.5000000000000001E-3</v>
      </c>
      <c r="J96" s="23">
        <v>105.099</v>
      </c>
      <c r="K96" s="23">
        <v>50079.68</v>
      </c>
      <c r="L96" s="23">
        <v>15391.82</v>
      </c>
      <c r="M96" s="23">
        <v>20</v>
      </c>
      <c r="N96" s="23">
        <v>-8.8000000000000007</v>
      </c>
      <c r="O96" s="33">
        <v>-1.26E-2</v>
      </c>
      <c r="P96" s="33">
        <v>6.4000000000000003E-3</v>
      </c>
      <c r="Q96" s="23" t="s">
        <v>24</v>
      </c>
      <c r="R96" s="23">
        <v>0</v>
      </c>
      <c r="S96" s="23">
        <v>488.38</v>
      </c>
      <c r="U96" s="47">
        <v>44343</v>
      </c>
      <c r="V96" s="23" t="s">
        <v>133</v>
      </c>
      <c r="W96" s="23" t="s">
        <v>23</v>
      </c>
      <c r="X96" s="28">
        <v>44328.385416666664</v>
      </c>
      <c r="Y96" s="23">
        <v>17.175000000000001</v>
      </c>
      <c r="Z96" s="28">
        <v>44328.583333333336</v>
      </c>
      <c r="AA96" s="23">
        <v>16.850000000000001</v>
      </c>
      <c r="AB96" s="33">
        <v>-1.89E-2</v>
      </c>
      <c r="AC96" s="23">
        <v>961.35</v>
      </c>
      <c r="AD96" s="33">
        <v>1.89E-2</v>
      </c>
      <c r="AE96" s="23">
        <v>2958.002</v>
      </c>
      <c r="AF96" s="23">
        <v>50803.69</v>
      </c>
      <c r="AG96" s="23">
        <v>154375.65</v>
      </c>
      <c r="AH96" s="23">
        <v>20</v>
      </c>
      <c r="AI96" s="23">
        <v>48.07</v>
      </c>
      <c r="AJ96" s="33">
        <v>-0.13539999999999999</v>
      </c>
      <c r="AK96" s="33">
        <v>4.9500000000000002E-2</v>
      </c>
      <c r="AL96" s="23" t="s">
        <v>24</v>
      </c>
      <c r="AM96" s="23">
        <v>476.5</v>
      </c>
      <c r="AN96" s="23">
        <v>32679.85</v>
      </c>
      <c r="AO96" s="23">
        <v>488.38</v>
      </c>
      <c r="AQ96" s="50">
        <f t="shared" si="1"/>
        <v>3.6044071353620151E-2</v>
      </c>
      <c r="AR96" s="50"/>
      <c r="AS96" s="48"/>
      <c r="AT96" s="50"/>
      <c r="AV96" s="47">
        <v>44328</v>
      </c>
      <c r="AW96" s="51">
        <v>0.38541666666666669</v>
      </c>
      <c r="AX96" t="s">
        <v>162</v>
      </c>
    </row>
    <row r="97" spans="1:50">
      <c r="A97" s="23" t="s">
        <v>22</v>
      </c>
      <c r="B97" s="23" t="s">
        <v>25</v>
      </c>
      <c r="C97" s="28">
        <v>44328.583333333336</v>
      </c>
      <c r="D97" s="23">
        <v>478.17500000000001</v>
      </c>
      <c r="E97" s="28">
        <v>44330.479166666664</v>
      </c>
      <c r="F97" s="23">
        <v>480</v>
      </c>
      <c r="G97" s="33">
        <v>3.8E-3</v>
      </c>
      <c r="H97" s="23">
        <v>191.12</v>
      </c>
      <c r="I97" s="33">
        <v>3.8E-3</v>
      </c>
      <c r="J97" s="23">
        <v>104.7255</v>
      </c>
      <c r="K97" s="23">
        <v>50077.13</v>
      </c>
      <c r="L97" s="23">
        <v>15582.95</v>
      </c>
      <c r="M97" s="23">
        <v>19</v>
      </c>
      <c r="N97" s="23">
        <v>10.06</v>
      </c>
      <c r="O97" s="33">
        <v>-6.3E-3</v>
      </c>
      <c r="P97" s="33">
        <v>1.7899999999999999E-2</v>
      </c>
      <c r="Q97" s="23" t="s">
        <v>24</v>
      </c>
      <c r="R97" s="23">
        <v>0</v>
      </c>
      <c r="S97" s="23">
        <v>473.66</v>
      </c>
      <c r="U97" s="47">
        <v>44343</v>
      </c>
      <c r="V97" s="23" t="s">
        <v>103</v>
      </c>
      <c r="W97" s="23" t="s">
        <v>23</v>
      </c>
      <c r="X97" s="28">
        <v>44328.583333333336</v>
      </c>
      <c r="Y97" s="23">
        <v>10.15</v>
      </c>
      <c r="Z97" s="28">
        <v>44330.479166666664</v>
      </c>
      <c r="AA97" s="23">
        <v>8.5500000000000007</v>
      </c>
      <c r="AB97" s="33">
        <v>-0.15759999999999999</v>
      </c>
      <c r="AC97" s="23">
        <v>8002.63</v>
      </c>
      <c r="AD97" s="33">
        <v>0.15759999999999999</v>
      </c>
      <c r="AE97" s="23">
        <v>5001.6459999999997</v>
      </c>
      <c r="AF97" s="23">
        <v>50766.7</v>
      </c>
      <c r="AG97" s="23">
        <v>162378.28</v>
      </c>
      <c r="AH97" s="23">
        <v>19</v>
      </c>
      <c r="AI97" s="23">
        <v>421.19</v>
      </c>
      <c r="AJ97" s="33">
        <v>-3.6900000000000002E-2</v>
      </c>
      <c r="AK97" s="33">
        <v>0.25619999999999998</v>
      </c>
      <c r="AL97" s="23" t="s">
        <v>24</v>
      </c>
      <c r="AM97" s="23">
        <v>478.17</v>
      </c>
      <c r="AN97" s="23">
        <v>32620</v>
      </c>
      <c r="AO97" s="23">
        <v>473.66</v>
      </c>
      <c r="AQ97" s="50">
        <f t="shared" si="1"/>
        <v>2.1226760357195139E-2</v>
      </c>
      <c r="AR97" s="50"/>
      <c r="AS97" s="48"/>
      <c r="AT97" s="50"/>
      <c r="AV97" s="47">
        <v>44328</v>
      </c>
      <c r="AW97" s="51">
        <v>8.3333333333333329E-2</v>
      </c>
      <c r="AX97" t="s">
        <v>163</v>
      </c>
    </row>
    <row r="98" spans="1:50">
      <c r="A98" s="23" t="s">
        <v>22</v>
      </c>
      <c r="B98" s="23" t="s">
        <v>23</v>
      </c>
      <c r="C98" s="28">
        <v>44330.479166666664</v>
      </c>
      <c r="D98" s="23">
        <v>480</v>
      </c>
      <c r="E98" s="28">
        <v>44333.489583333336</v>
      </c>
      <c r="F98" s="23">
        <v>471.52499999999998</v>
      </c>
      <c r="G98" s="33">
        <v>-1.77E-2</v>
      </c>
      <c r="H98" s="23">
        <v>884.21</v>
      </c>
      <c r="I98" s="33">
        <v>1.77E-2</v>
      </c>
      <c r="J98" s="23">
        <v>104.3318</v>
      </c>
      <c r="K98" s="23">
        <v>50079.25</v>
      </c>
      <c r="L98" s="23">
        <v>16467.16</v>
      </c>
      <c r="M98" s="23">
        <v>30</v>
      </c>
      <c r="N98" s="23">
        <v>29.47</v>
      </c>
      <c r="O98" s="33">
        <v>-6.1999999999999998E-3</v>
      </c>
      <c r="P98" s="33">
        <v>3.2800000000000003E-2</v>
      </c>
      <c r="Q98" s="23" t="s">
        <v>24</v>
      </c>
      <c r="R98" s="23">
        <v>0</v>
      </c>
      <c r="S98" s="23">
        <v>486.6</v>
      </c>
      <c r="U98" s="47">
        <v>44343</v>
      </c>
      <c r="V98" s="23" t="s">
        <v>133</v>
      </c>
      <c r="W98" s="23" t="s">
        <v>23</v>
      </c>
      <c r="X98" s="28">
        <v>44330.479166666664</v>
      </c>
      <c r="Y98" s="23">
        <v>17.25</v>
      </c>
      <c r="Z98" s="28">
        <v>44333.489583333336</v>
      </c>
      <c r="AA98" s="23">
        <v>12</v>
      </c>
      <c r="AB98" s="33">
        <v>-0.30430000000000001</v>
      </c>
      <c r="AC98" s="23">
        <v>15468.68</v>
      </c>
      <c r="AD98" s="33">
        <v>0.30430000000000001</v>
      </c>
      <c r="AE98" s="23">
        <v>2946.4140000000002</v>
      </c>
      <c r="AF98" s="23">
        <v>50825.65</v>
      </c>
      <c r="AG98" s="23">
        <v>177846.96</v>
      </c>
      <c r="AH98" s="23">
        <v>30</v>
      </c>
      <c r="AI98" s="23">
        <v>515.62</v>
      </c>
      <c r="AJ98" s="33">
        <v>-7.0999999999999994E-2</v>
      </c>
      <c r="AK98" s="33">
        <v>0.48699999999999999</v>
      </c>
      <c r="AL98" s="23" t="s">
        <v>24</v>
      </c>
      <c r="AM98" s="23">
        <v>480</v>
      </c>
      <c r="AN98" s="23">
        <v>32238.5</v>
      </c>
      <c r="AO98" s="23">
        <v>486.6</v>
      </c>
      <c r="AQ98" s="50">
        <f t="shared" si="1"/>
        <v>3.5937499999999997E-2</v>
      </c>
      <c r="AR98" s="50"/>
      <c r="AS98" s="48"/>
      <c r="AT98" s="50"/>
      <c r="AV98" s="47">
        <v>44330</v>
      </c>
      <c r="AW98" s="51">
        <v>0.47916666666666669</v>
      </c>
      <c r="AX98" t="s">
        <v>162</v>
      </c>
    </row>
    <row r="99" spans="1:50">
      <c r="A99" s="23" t="s">
        <v>22</v>
      </c>
      <c r="B99" s="23" t="s">
        <v>25</v>
      </c>
      <c r="C99" s="28">
        <v>44333.489583333336</v>
      </c>
      <c r="D99" s="23">
        <v>471.52499999999998</v>
      </c>
      <c r="E99" s="28">
        <v>44333.520833333336</v>
      </c>
      <c r="F99" s="23">
        <v>468.15</v>
      </c>
      <c r="G99" s="33">
        <v>-7.1999999999999998E-3</v>
      </c>
      <c r="H99" s="23">
        <v>-358.48</v>
      </c>
      <c r="I99" s="33">
        <v>-7.1999999999999998E-3</v>
      </c>
      <c r="J99" s="23">
        <v>106.2149</v>
      </c>
      <c r="K99" s="23">
        <v>50082.96</v>
      </c>
      <c r="L99" s="23">
        <v>16108.69</v>
      </c>
      <c r="M99" s="23">
        <v>4</v>
      </c>
      <c r="N99" s="23">
        <v>-89.62</v>
      </c>
      <c r="O99" s="33">
        <v>-1.18E-2</v>
      </c>
      <c r="P99" s="33">
        <v>6.7000000000000002E-3</v>
      </c>
      <c r="Q99" s="23" t="s">
        <v>24</v>
      </c>
      <c r="R99" s="23">
        <v>0</v>
      </c>
      <c r="S99" s="23">
        <v>464.46</v>
      </c>
      <c r="U99" s="47">
        <v>44343</v>
      </c>
      <c r="V99" s="23" t="s">
        <v>128</v>
      </c>
      <c r="W99" s="23" t="s">
        <v>23</v>
      </c>
      <c r="X99" s="28">
        <v>44333.489583333336</v>
      </c>
      <c r="Y99" s="23">
        <v>12.55</v>
      </c>
      <c r="Z99" s="28">
        <v>44333.520833333336</v>
      </c>
      <c r="AA99" s="23">
        <v>14.3</v>
      </c>
      <c r="AB99" s="33">
        <v>0.1394</v>
      </c>
      <c r="AC99" s="23">
        <v>-7096.67</v>
      </c>
      <c r="AD99" s="33">
        <v>-0.1394</v>
      </c>
      <c r="AE99" s="23">
        <v>4055.2420000000002</v>
      </c>
      <c r="AF99" s="23">
        <v>50893.29</v>
      </c>
      <c r="AG99" s="23">
        <v>170750.29</v>
      </c>
      <c r="AH99" s="23">
        <v>4</v>
      </c>
      <c r="AI99" s="23">
        <v>-1774.17</v>
      </c>
      <c r="AJ99" s="33">
        <v>-0.24299999999999999</v>
      </c>
      <c r="AK99" s="33">
        <v>6.9699999999999998E-2</v>
      </c>
      <c r="AL99" s="23" t="s">
        <v>24</v>
      </c>
      <c r="AM99" s="23">
        <v>471.52</v>
      </c>
      <c r="AN99" s="23">
        <v>33077</v>
      </c>
      <c r="AO99" s="23">
        <v>464.46</v>
      </c>
      <c r="AQ99" s="50">
        <f t="shared" si="1"/>
        <v>2.6616050220563289E-2</v>
      </c>
      <c r="AR99" s="50"/>
      <c r="AS99" s="48"/>
      <c r="AT99" s="50"/>
      <c r="AV99" s="47">
        <v>44333</v>
      </c>
      <c r="AW99" s="51">
        <v>0.48958333333333331</v>
      </c>
      <c r="AX99" t="s">
        <v>162</v>
      </c>
    </row>
    <row r="100" spans="1:50">
      <c r="A100" s="23" t="s">
        <v>22</v>
      </c>
      <c r="B100" s="23" t="s">
        <v>23</v>
      </c>
      <c r="C100" s="28">
        <v>44333.520833333336</v>
      </c>
      <c r="D100" s="23">
        <v>468.15</v>
      </c>
      <c r="E100" s="28">
        <v>44333.583333333336</v>
      </c>
      <c r="F100" s="23">
        <v>472.5</v>
      </c>
      <c r="G100" s="33">
        <v>9.2999999999999992E-3</v>
      </c>
      <c r="H100" s="23">
        <v>-465.33</v>
      </c>
      <c r="I100" s="33">
        <v>-9.2999999999999992E-3</v>
      </c>
      <c r="J100" s="23">
        <v>106.97329999999999</v>
      </c>
      <c r="K100" s="23">
        <v>50079.56</v>
      </c>
      <c r="L100" s="23">
        <v>15643.35</v>
      </c>
      <c r="M100" s="23">
        <v>7</v>
      </c>
      <c r="N100" s="23">
        <v>-66.48</v>
      </c>
      <c r="O100" s="33">
        <v>-9.2999999999999992E-3</v>
      </c>
      <c r="P100" s="33">
        <v>5.5999999999999999E-3</v>
      </c>
      <c r="Q100" s="23" t="s">
        <v>24</v>
      </c>
      <c r="R100" s="23">
        <v>0</v>
      </c>
      <c r="S100" s="23">
        <v>474.34</v>
      </c>
      <c r="U100" s="47">
        <v>44343</v>
      </c>
      <c r="V100" s="23" t="s">
        <v>131</v>
      </c>
      <c r="W100" s="23" t="s">
        <v>23</v>
      </c>
      <c r="X100" s="28">
        <v>44333.520833333336</v>
      </c>
      <c r="Y100" s="23">
        <v>14.225</v>
      </c>
      <c r="Z100" s="28">
        <v>44333.583333333336</v>
      </c>
      <c r="AA100" s="23">
        <v>16.600000000000001</v>
      </c>
      <c r="AB100" s="33">
        <v>0.16700000000000001</v>
      </c>
      <c r="AC100" s="23">
        <v>-8486.2900000000009</v>
      </c>
      <c r="AD100" s="33">
        <v>-0.16700000000000001</v>
      </c>
      <c r="AE100" s="23">
        <v>3573.174</v>
      </c>
      <c r="AF100" s="23">
        <v>50828.41</v>
      </c>
      <c r="AG100" s="23">
        <v>162264</v>
      </c>
      <c r="AH100" s="23">
        <v>7</v>
      </c>
      <c r="AI100" s="23">
        <v>-1212.33</v>
      </c>
      <c r="AJ100" s="33">
        <v>-0.16700000000000001</v>
      </c>
      <c r="AK100" s="33">
        <v>5.0999999999999997E-2</v>
      </c>
      <c r="AL100" s="23" t="s">
        <v>24</v>
      </c>
      <c r="AM100" s="23">
        <v>468.15</v>
      </c>
      <c r="AN100" s="23">
        <v>33103.1</v>
      </c>
      <c r="AO100" s="23">
        <v>474.34</v>
      </c>
      <c r="AQ100" s="50">
        <f t="shared" si="1"/>
        <v>3.0385560183701806E-2</v>
      </c>
      <c r="AR100" s="50"/>
      <c r="AS100" s="48"/>
      <c r="AT100" s="50"/>
      <c r="AV100" s="47">
        <v>44333</v>
      </c>
      <c r="AW100" s="51">
        <v>0.52083333333333337</v>
      </c>
      <c r="AX100" t="s">
        <v>163</v>
      </c>
    </row>
    <row r="101" spans="1:50">
      <c r="A101" s="23" t="s">
        <v>22</v>
      </c>
      <c r="B101" s="23" t="s">
        <v>25</v>
      </c>
      <c r="C101" s="28">
        <v>44333.583333333336</v>
      </c>
      <c r="D101" s="23">
        <v>472.5</v>
      </c>
      <c r="E101" s="28">
        <v>44335.385416666664</v>
      </c>
      <c r="F101" s="23">
        <v>492.07499999999999</v>
      </c>
      <c r="G101" s="33">
        <v>4.1399999999999999E-2</v>
      </c>
      <c r="H101" s="23">
        <v>2074.7199999999998</v>
      </c>
      <c r="I101" s="33">
        <v>4.1399999999999999E-2</v>
      </c>
      <c r="J101" s="23">
        <v>105.9883</v>
      </c>
      <c r="K101" s="23">
        <v>50079.49</v>
      </c>
      <c r="L101" s="23">
        <v>17718.07</v>
      </c>
      <c r="M101" s="23">
        <v>38</v>
      </c>
      <c r="N101" s="23">
        <v>54.6</v>
      </c>
      <c r="O101" s="33">
        <v>-8.0999999999999996E-3</v>
      </c>
      <c r="P101" s="33">
        <v>4.82E-2</v>
      </c>
      <c r="Q101" s="23" t="s">
        <v>24</v>
      </c>
      <c r="R101" s="23">
        <v>0</v>
      </c>
      <c r="S101" s="23">
        <v>465.69</v>
      </c>
      <c r="U101" s="47">
        <v>44343</v>
      </c>
      <c r="V101" s="23" t="s">
        <v>128</v>
      </c>
      <c r="W101" s="23" t="s">
        <v>23</v>
      </c>
      <c r="X101" s="28">
        <v>44333.583333333336</v>
      </c>
      <c r="Y101" s="23">
        <v>12.45</v>
      </c>
      <c r="Z101" s="28">
        <v>44335.385416666664</v>
      </c>
      <c r="AA101" s="23">
        <v>5.1749999999999998</v>
      </c>
      <c r="AB101" s="33">
        <v>-0.58430000000000004</v>
      </c>
      <c r="AC101" s="23">
        <v>29696.69</v>
      </c>
      <c r="AD101" s="33">
        <v>0.58430000000000004</v>
      </c>
      <c r="AE101" s="23">
        <v>4082.02</v>
      </c>
      <c r="AF101" s="23">
        <v>50821.14</v>
      </c>
      <c r="AG101" s="23">
        <v>191960.69</v>
      </c>
      <c r="AH101" s="23">
        <v>38</v>
      </c>
      <c r="AI101" s="23">
        <v>781.49</v>
      </c>
      <c r="AJ101" s="33">
        <v>-0.1225</v>
      </c>
      <c r="AK101" s="33">
        <v>0.63649999999999995</v>
      </c>
      <c r="AL101" s="23" t="s">
        <v>24</v>
      </c>
      <c r="AM101" s="23">
        <v>472.5</v>
      </c>
      <c r="AN101" s="23">
        <v>33232.65</v>
      </c>
      <c r="AO101" s="23">
        <v>465.69</v>
      </c>
      <c r="AQ101" s="50">
        <f t="shared" si="1"/>
        <v>2.6349206349206348E-2</v>
      </c>
      <c r="AR101" s="50"/>
      <c r="AS101" s="48"/>
      <c r="AT101" s="50"/>
      <c r="AV101" s="47">
        <v>44333</v>
      </c>
      <c r="AW101" s="51">
        <v>8.3333333333333329E-2</v>
      </c>
      <c r="AX101" t="s">
        <v>163</v>
      </c>
    </row>
    <row r="102" spans="1:50">
      <c r="A102" s="23" t="s">
        <v>22</v>
      </c>
      <c r="B102" s="23" t="s">
        <v>23</v>
      </c>
      <c r="C102" s="28">
        <v>44335.385416666664</v>
      </c>
      <c r="D102" s="23">
        <v>492.07499999999999</v>
      </c>
      <c r="E102" s="28">
        <v>44335.395833333336</v>
      </c>
      <c r="F102" s="23">
        <v>491</v>
      </c>
      <c r="G102" s="33">
        <v>-2.2000000000000001E-3</v>
      </c>
      <c r="H102" s="23">
        <v>109.43</v>
      </c>
      <c r="I102" s="33">
        <v>2.2000000000000001E-3</v>
      </c>
      <c r="J102" s="23">
        <v>101.791</v>
      </c>
      <c r="K102" s="23">
        <v>50088.82</v>
      </c>
      <c r="L102" s="23">
        <v>17827.5</v>
      </c>
      <c r="M102" s="23">
        <v>2</v>
      </c>
      <c r="N102" s="23">
        <v>54.71</v>
      </c>
      <c r="O102" s="33">
        <v>-1.5E-3</v>
      </c>
      <c r="P102" s="33">
        <v>1.34E-2</v>
      </c>
      <c r="Q102" s="23" t="s">
        <v>24</v>
      </c>
      <c r="R102" s="23">
        <v>0</v>
      </c>
      <c r="S102" s="23">
        <v>494.89</v>
      </c>
      <c r="U102" s="47">
        <v>44343</v>
      </c>
      <c r="V102" s="23" t="s">
        <v>134</v>
      </c>
      <c r="W102" s="23" t="s">
        <v>23</v>
      </c>
      <c r="X102" s="28">
        <v>44335.385416666664</v>
      </c>
      <c r="Y102" s="23">
        <v>15.4</v>
      </c>
      <c r="Z102" s="28">
        <v>44335.395833333336</v>
      </c>
      <c r="AA102" s="23">
        <v>14.75</v>
      </c>
      <c r="AB102" s="33">
        <v>-4.2200000000000001E-2</v>
      </c>
      <c r="AC102" s="23">
        <v>2151.46</v>
      </c>
      <c r="AD102" s="33">
        <v>4.2200000000000001E-2</v>
      </c>
      <c r="AE102" s="23">
        <v>3309.94</v>
      </c>
      <c r="AF102" s="23">
        <v>50973.07</v>
      </c>
      <c r="AG102" s="23">
        <v>194112.15</v>
      </c>
      <c r="AH102" s="23">
        <v>2</v>
      </c>
      <c r="AI102" s="23">
        <v>1075.73</v>
      </c>
      <c r="AJ102" s="33">
        <v>0</v>
      </c>
      <c r="AK102" s="33">
        <v>0.2094</v>
      </c>
      <c r="AL102" s="23" t="s">
        <v>24</v>
      </c>
      <c r="AM102" s="23">
        <v>492.08</v>
      </c>
      <c r="AN102" s="23">
        <v>33869.699999999997</v>
      </c>
      <c r="AO102" s="23">
        <v>494.89</v>
      </c>
      <c r="AQ102" s="50">
        <f t="shared" si="1"/>
        <v>3.1295724272476025E-2</v>
      </c>
      <c r="AR102" s="50"/>
      <c r="AS102" s="48"/>
      <c r="AT102" s="50"/>
      <c r="AV102" s="47">
        <v>44335</v>
      </c>
      <c r="AW102" s="51">
        <v>0.38541666666666669</v>
      </c>
      <c r="AX102" t="s">
        <v>162</v>
      </c>
    </row>
    <row r="103" spans="1:50">
      <c r="A103" s="23" t="s">
        <v>22</v>
      </c>
      <c r="B103" s="23" t="s">
        <v>25</v>
      </c>
      <c r="C103" s="28">
        <v>44335.395833333336</v>
      </c>
      <c r="D103" s="23">
        <v>491</v>
      </c>
      <c r="E103" s="28">
        <v>44335.4375</v>
      </c>
      <c r="F103" s="23">
        <v>487.7</v>
      </c>
      <c r="G103" s="33">
        <v>-6.7000000000000002E-3</v>
      </c>
      <c r="H103" s="23">
        <v>-336.64</v>
      </c>
      <c r="I103" s="33">
        <v>-6.7000000000000002E-3</v>
      </c>
      <c r="J103" s="23">
        <v>102.0134</v>
      </c>
      <c r="K103" s="23">
        <v>50088.59</v>
      </c>
      <c r="L103" s="23">
        <v>17490.849999999999</v>
      </c>
      <c r="M103" s="23">
        <v>5</v>
      </c>
      <c r="N103" s="23">
        <v>-67.33</v>
      </c>
      <c r="O103" s="33">
        <v>-7.1000000000000004E-3</v>
      </c>
      <c r="P103" s="33">
        <v>1.12E-2</v>
      </c>
      <c r="Q103" s="23" t="s">
        <v>24</v>
      </c>
      <c r="R103" s="23">
        <v>0</v>
      </c>
      <c r="S103" s="23">
        <v>485.72</v>
      </c>
      <c r="U103" s="47">
        <v>44343</v>
      </c>
      <c r="V103" s="23" t="s">
        <v>121</v>
      </c>
      <c r="W103" s="23" t="s">
        <v>23</v>
      </c>
      <c r="X103" s="28">
        <v>44335.395833333336</v>
      </c>
      <c r="Y103" s="23">
        <v>14.1</v>
      </c>
      <c r="Z103" s="28">
        <v>44335.4375</v>
      </c>
      <c r="AA103" s="23">
        <v>15</v>
      </c>
      <c r="AB103" s="33">
        <v>6.3799999999999996E-2</v>
      </c>
      <c r="AC103" s="23">
        <v>-3252.75</v>
      </c>
      <c r="AD103" s="33">
        <v>-6.3799999999999996E-2</v>
      </c>
      <c r="AE103" s="23">
        <v>3614.17</v>
      </c>
      <c r="AF103" s="23">
        <v>50959.8</v>
      </c>
      <c r="AG103" s="23">
        <v>190859.4</v>
      </c>
      <c r="AH103" s="23">
        <v>5</v>
      </c>
      <c r="AI103" s="23">
        <v>-650.54999999999995</v>
      </c>
      <c r="AJ103" s="33">
        <v>-6.3799999999999996E-2</v>
      </c>
      <c r="AK103" s="33">
        <v>0.17380000000000001</v>
      </c>
      <c r="AL103" s="23" t="s">
        <v>24</v>
      </c>
      <c r="AM103" s="23">
        <v>491</v>
      </c>
      <c r="AN103" s="23">
        <v>33861.9</v>
      </c>
      <c r="AO103" s="23">
        <v>485.72</v>
      </c>
      <c r="AQ103" s="50">
        <f t="shared" si="1"/>
        <v>2.8716904276985741E-2</v>
      </c>
      <c r="AR103" s="50"/>
      <c r="AS103" s="48"/>
      <c r="AT103" s="50"/>
      <c r="AV103" s="47">
        <v>44335</v>
      </c>
      <c r="AW103" s="51">
        <v>0.39583333333333331</v>
      </c>
      <c r="AX103" t="s">
        <v>162</v>
      </c>
    </row>
    <row r="104" spans="1:50">
      <c r="A104" s="23" t="s">
        <v>22</v>
      </c>
      <c r="B104" s="23" t="s">
        <v>23</v>
      </c>
      <c r="C104" s="28">
        <v>44335.4375</v>
      </c>
      <c r="D104" s="23">
        <v>487.7</v>
      </c>
      <c r="E104" s="28">
        <v>44335.510416666664</v>
      </c>
      <c r="F104" s="23">
        <v>492</v>
      </c>
      <c r="G104" s="33">
        <v>8.8000000000000005E-3</v>
      </c>
      <c r="H104" s="23">
        <v>-441.62</v>
      </c>
      <c r="I104" s="33">
        <v>-8.8000000000000005E-3</v>
      </c>
      <c r="J104" s="23">
        <v>102.7022</v>
      </c>
      <c r="K104" s="23">
        <v>50087.86</v>
      </c>
      <c r="L104" s="23">
        <v>17049.23</v>
      </c>
      <c r="M104" s="23">
        <v>8</v>
      </c>
      <c r="N104" s="23">
        <v>-55.2</v>
      </c>
      <c r="O104" s="33">
        <v>-1.06E-2</v>
      </c>
      <c r="P104" s="33">
        <v>3.3E-3</v>
      </c>
      <c r="Q104" s="23" t="s">
        <v>24</v>
      </c>
      <c r="R104" s="23">
        <v>0</v>
      </c>
      <c r="S104" s="23">
        <v>496.1</v>
      </c>
      <c r="U104" s="47">
        <v>44343</v>
      </c>
      <c r="V104" s="23" t="s">
        <v>134</v>
      </c>
      <c r="W104" s="23" t="s">
        <v>23</v>
      </c>
      <c r="X104" s="28">
        <v>44335.4375</v>
      </c>
      <c r="Y104" s="23">
        <v>12.4</v>
      </c>
      <c r="Z104" s="28">
        <v>44335.510416666664</v>
      </c>
      <c r="AA104" s="23">
        <v>15</v>
      </c>
      <c r="AB104" s="33">
        <v>0.2097</v>
      </c>
      <c r="AC104" s="23">
        <v>-10685.77</v>
      </c>
      <c r="AD104" s="33">
        <v>-0.2097</v>
      </c>
      <c r="AE104" s="23">
        <v>4109.91</v>
      </c>
      <c r="AF104" s="23">
        <v>50962.879999999997</v>
      </c>
      <c r="AG104" s="23">
        <v>180173.63</v>
      </c>
      <c r="AH104" s="23">
        <v>8</v>
      </c>
      <c r="AI104" s="23">
        <v>-1335.72</v>
      </c>
      <c r="AJ104" s="33">
        <v>-0.2157</v>
      </c>
      <c r="AK104" s="33">
        <v>7.2599999999999998E-2</v>
      </c>
      <c r="AL104" s="23" t="s">
        <v>24</v>
      </c>
      <c r="AM104" s="23">
        <v>487.7</v>
      </c>
      <c r="AN104" s="23">
        <v>33693.199999999997</v>
      </c>
      <c r="AO104" s="23">
        <v>496.1</v>
      </c>
      <c r="AQ104" s="50">
        <f t="shared" si="1"/>
        <v>2.5425466475292188E-2</v>
      </c>
      <c r="AR104" s="50"/>
      <c r="AS104" s="48"/>
      <c r="AT104" s="50"/>
      <c r="AV104" s="47">
        <v>44335</v>
      </c>
      <c r="AW104" s="51">
        <v>0.4375</v>
      </c>
      <c r="AX104" t="s">
        <v>162</v>
      </c>
    </row>
    <row r="105" spans="1:50">
      <c r="A105" s="23" t="s">
        <v>22</v>
      </c>
      <c r="B105" s="23" t="s">
        <v>25</v>
      </c>
      <c r="C105" s="28">
        <v>44335.510416666664</v>
      </c>
      <c r="D105" s="23">
        <v>492</v>
      </c>
      <c r="E105" s="28">
        <v>44336.385416666664</v>
      </c>
      <c r="F105" s="23">
        <v>488.42500000000001</v>
      </c>
      <c r="G105" s="33">
        <v>-7.3000000000000001E-3</v>
      </c>
      <c r="H105" s="23">
        <v>-363.93</v>
      </c>
      <c r="I105" s="33">
        <v>-7.3000000000000001E-3</v>
      </c>
      <c r="J105" s="23">
        <v>101.7988</v>
      </c>
      <c r="K105" s="23">
        <v>50085.03</v>
      </c>
      <c r="L105" s="23">
        <v>16685.3</v>
      </c>
      <c r="M105" s="23">
        <v>17</v>
      </c>
      <c r="N105" s="23">
        <v>-21.41</v>
      </c>
      <c r="O105" s="33">
        <v>-7.3000000000000001E-3</v>
      </c>
      <c r="P105" s="33">
        <v>1.41E-2</v>
      </c>
      <c r="Q105" s="23" t="s">
        <v>24</v>
      </c>
      <c r="R105" s="23">
        <v>0</v>
      </c>
      <c r="S105" s="23">
        <v>486.1</v>
      </c>
      <c r="U105" s="47">
        <v>44343</v>
      </c>
      <c r="V105" s="23" t="s">
        <v>121</v>
      </c>
      <c r="W105" s="23" t="s">
        <v>23</v>
      </c>
      <c r="X105" s="28">
        <v>44335.510416666664</v>
      </c>
      <c r="Y105" s="23">
        <v>11.725</v>
      </c>
      <c r="Z105" s="28">
        <v>44336.385416666664</v>
      </c>
      <c r="AA105" s="23">
        <v>13.775</v>
      </c>
      <c r="AB105" s="33">
        <v>0.17480000000000001</v>
      </c>
      <c r="AC105" s="23">
        <v>-8899.24</v>
      </c>
      <c r="AD105" s="33">
        <v>-0.17480000000000001</v>
      </c>
      <c r="AE105" s="23">
        <v>4341.0940000000001</v>
      </c>
      <c r="AF105" s="23">
        <v>50899.32</v>
      </c>
      <c r="AG105" s="23">
        <v>171274.39</v>
      </c>
      <c r="AH105" s="23">
        <v>17</v>
      </c>
      <c r="AI105" s="23">
        <v>-523.48</v>
      </c>
      <c r="AJ105" s="33">
        <v>-0.17480000000000001</v>
      </c>
      <c r="AK105" s="33">
        <v>0.15140000000000001</v>
      </c>
      <c r="AL105" s="23" t="s">
        <v>24</v>
      </c>
      <c r="AM105" s="23">
        <v>492</v>
      </c>
      <c r="AN105" s="23">
        <v>33795</v>
      </c>
      <c r="AO105" s="23">
        <v>486.1</v>
      </c>
      <c r="AQ105" s="50">
        <f t="shared" si="1"/>
        <v>2.3831300813008129E-2</v>
      </c>
      <c r="AR105" s="50"/>
      <c r="AS105" s="48"/>
      <c r="AT105" s="50"/>
      <c r="AV105" s="47">
        <v>44335</v>
      </c>
      <c r="AW105" s="51">
        <v>0.51041666666666663</v>
      </c>
      <c r="AX105" t="s">
        <v>163</v>
      </c>
    </row>
    <row r="106" spans="1:50">
      <c r="A106" s="23" t="s">
        <v>22</v>
      </c>
      <c r="B106" s="23" t="s">
        <v>23</v>
      </c>
      <c r="C106" s="28">
        <v>44336.385416666664</v>
      </c>
      <c r="D106" s="23">
        <v>488.42500000000001</v>
      </c>
      <c r="E106" s="28">
        <v>44337.385416666664</v>
      </c>
      <c r="F106" s="23">
        <v>486.9</v>
      </c>
      <c r="G106" s="33">
        <v>-3.0999999999999999E-3</v>
      </c>
      <c r="H106" s="23">
        <v>156.38</v>
      </c>
      <c r="I106" s="33">
        <v>3.0999999999999999E-3</v>
      </c>
      <c r="J106" s="23">
        <v>102.5423</v>
      </c>
      <c r="K106" s="23">
        <v>50084.23</v>
      </c>
      <c r="L106" s="23">
        <v>16841.68</v>
      </c>
      <c r="M106" s="23">
        <v>29</v>
      </c>
      <c r="N106" s="23">
        <v>5.39</v>
      </c>
      <c r="O106" s="33">
        <v>-1.2800000000000001E-2</v>
      </c>
      <c r="P106" s="33">
        <v>1.8700000000000001E-2</v>
      </c>
      <c r="Q106" s="23" t="s">
        <v>24</v>
      </c>
      <c r="R106" s="23">
        <v>0</v>
      </c>
      <c r="S106" s="23">
        <v>498.35</v>
      </c>
      <c r="U106" s="47">
        <v>44343</v>
      </c>
      <c r="V106" s="23" t="s">
        <v>134</v>
      </c>
      <c r="W106" s="23" t="s">
        <v>23</v>
      </c>
      <c r="X106" s="28">
        <v>44336.385416666664</v>
      </c>
      <c r="Y106" s="23">
        <v>12.85</v>
      </c>
      <c r="Z106" s="28">
        <v>44337.385416666664</v>
      </c>
      <c r="AA106" s="23">
        <v>9.65</v>
      </c>
      <c r="AB106" s="33">
        <v>-0.249</v>
      </c>
      <c r="AC106" s="23">
        <v>12674.22</v>
      </c>
      <c r="AD106" s="33">
        <v>0.249</v>
      </c>
      <c r="AE106" s="23">
        <v>3960.692</v>
      </c>
      <c r="AF106" s="23">
        <v>50894.9</v>
      </c>
      <c r="AG106" s="23">
        <v>183948.61</v>
      </c>
      <c r="AH106" s="23">
        <v>29</v>
      </c>
      <c r="AI106" s="23">
        <v>437.04</v>
      </c>
      <c r="AJ106" s="33">
        <v>-0.16339999999999999</v>
      </c>
      <c r="AK106" s="33">
        <v>0.43190000000000001</v>
      </c>
      <c r="AL106" s="23" t="s">
        <v>24</v>
      </c>
      <c r="AM106" s="23">
        <v>488.42</v>
      </c>
      <c r="AN106" s="23">
        <v>33651.949999999997</v>
      </c>
      <c r="AO106" s="23">
        <v>498.35</v>
      </c>
      <c r="AQ106" s="50">
        <f t="shared" si="1"/>
        <v>2.6309323942508494E-2</v>
      </c>
      <c r="AR106" s="50"/>
      <c r="AS106" s="48"/>
      <c r="AT106" s="50"/>
      <c r="AV106" s="47">
        <v>44336</v>
      </c>
      <c r="AW106" s="51">
        <v>0.38541666666666669</v>
      </c>
      <c r="AX106" t="s">
        <v>162</v>
      </c>
    </row>
    <row r="107" spans="1:50">
      <c r="A107" s="23" t="s">
        <v>22</v>
      </c>
      <c r="B107" s="23" t="s">
        <v>25</v>
      </c>
      <c r="C107" s="28">
        <v>44337.385416666664</v>
      </c>
      <c r="D107" s="23">
        <v>486.9</v>
      </c>
      <c r="E107" s="28">
        <v>44337.572916666664</v>
      </c>
      <c r="F107" s="23">
        <v>488.7</v>
      </c>
      <c r="G107" s="33">
        <v>3.7000000000000002E-3</v>
      </c>
      <c r="H107" s="23">
        <v>185.17</v>
      </c>
      <c r="I107" s="33">
        <v>3.7000000000000002E-3</v>
      </c>
      <c r="J107" s="23">
        <v>102.8707</v>
      </c>
      <c r="K107" s="23">
        <v>50087.72</v>
      </c>
      <c r="L107" s="23">
        <v>17026.849999999999</v>
      </c>
      <c r="M107" s="23">
        <v>19</v>
      </c>
      <c r="N107" s="23">
        <v>9.75</v>
      </c>
      <c r="O107" s="33">
        <v>-1.41E-2</v>
      </c>
      <c r="P107" s="33">
        <v>1.5599999999999999E-2</v>
      </c>
      <c r="Q107" s="23" t="s">
        <v>24</v>
      </c>
      <c r="R107" s="23">
        <v>0</v>
      </c>
      <c r="S107" s="23">
        <v>479.6</v>
      </c>
      <c r="U107" s="47">
        <v>44343</v>
      </c>
      <c r="V107" s="23" t="s">
        <v>132</v>
      </c>
      <c r="W107" s="23" t="s">
        <v>23</v>
      </c>
      <c r="X107" s="28">
        <v>44337.385416666664</v>
      </c>
      <c r="Y107" s="23">
        <v>7.2750000000000004</v>
      </c>
      <c r="Z107" s="28">
        <v>44337.572916666664</v>
      </c>
      <c r="AA107" s="23">
        <v>4.9249999999999998</v>
      </c>
      <c r="AB107" s="33">
        <v>-0.32300000000000001</v>
      </c>
      <c r="AC107" s="23">
        <v>16458.22</v>
      </c>
      <c r="AD107" s="33">
        <v>0.32300000000000001</v>
      </c>
      <c r="AE107" s="23">
        <v>7003.4970000000003</v>
      </c>
      <c r="AF107" s="23">
        <v>50950.44</v>
      </c>
      <c r="AG107" s="23">
        <v>200406.82</v>
      </c>
      <c r="AH107" s="23">
        <v>19</v>
      </c>
      <c r="AI107" s="23">
        <v>866.22</v>
      </c>
      <c r="AJ107" s="33">
        <v>-0.24740000000000001</v>
      </c>
      <c r="AK107" s="33">
        <v>0.4158</v>
      </c>
      <c r="AL107" s="23" t="s">
        <v>24</v>
      </c>
      <c r="AM107" s="23">
        <v>486.9</v>
      </c>
      <c r="AN107" s="23">
        <v>33798.35</v>
      </c>
      <c r="AO107" s="23">
        <v>479.6</v>
      </c>
      <c r="AQ107" s="50">
        <f t="shared" si="1"/>
        <v>1.4941466420209489E-2</v>
      </c>
      <c r="AR107" s="50"/>
      <c r="AS107" s="48"/>
      <c r="AT107" s="50"/>
      <c r="AV107" s="47">
        <v>44337</v>
      </c>
      <c r="AW107" s="51">
        <v>0.38541666666666669</v>
      </c>
      <c r="AX107" t="s">
        <v>162</v>
      </c>
    </row>
    <row r="108" spans="1:50">
      <c r="A108" s="23" t="s">
        <v>22</v>
      </c>
      <c r="B108" s="23" t="s">
        <v>23</v>
      </c>
      <c r="C108" s="28">
        <v>44337.572916666664</v>
      </c>
      <c r="D108" s="23">
        <v>488.7</v>
      </c>
      <c r="E108" s="28">
        <v>44340.458333333336</v>
      </c>
      <c r="F108" s="23">
        <v>489.4</v>
      </c>
      <c r="G108" s="33">
        <v>1.4E-3</v>
      </c>
      <c r="H108" s="23">
        <v>-71.739999999999995</v>
      </c>
      <c r="I108" s="33">
        <v>-1.4E-3</v>
      </c>
      <c r="J108" s="23">
        <v>102.48779999999999</v>
      </c>
      <c r="K108" s="23">
        <v>50085.79</v>
      </c>
      <c r="L108" s="23">
        <v>16955.11</v>
      </c>
      <c r="M108" s="23">
        <v>18</v>
      </c>
      <c r="N108" s="23">
        <v>-3.99</v>
      </c>
      <c r="O108" s="33">
        <v>-1.2699999999999999E-2</v>
      </c>
      <c r="P108" s="33">
        <v>7.3000000000000001E-3</v>
      </c>
      <c r="Q108" s="23" t="s">
        <v>24</v>
      </c>
      <c r="R108" s="23">
        <v>0</v>
      </c>
      <c r="S108" s="23">
        <v>494.35</v>
      </c>
      <c r="U108" s="47">
        <v>44343</v>
      </c>
      <c r="V108" s="23" t="s">
        <v>134</v>
      </c>
      <c r="W108" s="23" t="s">
        <v>23</v>
      </c>
      <c r="X108" s="28">
        <v>44337.572916666664</v>
      </c>
      <c r="Y108" s="23">
        <v>10.025</v>
      </c>
      <c r="Z108" s="28">
        <v>44340.458333333336</v>
      </c>
      <c r="AA108" s="23">
        <v>8.5749999999999993</v>
      </c>
      <c r="AB108" s="33">
        <v>-0.14460000000000001</v>
      </c>
      <c r="AC108" s="23">
        <v>7377.74</v>
      </c>
      <c r="AD108" s="33">
        <v>0.14460000000000001</v>
      </c>
      <c r="AE108" s="23">
        <v>5088.0959999999995</v>
      </c>
      <c r="AF108" s="23">
        <v>51008.160000000003</v>
      </c>
      <c r="AG108" s="23">
        <v>207784.56</v>
      </c>
      <c r="AH108" s="23">
        <v>18</v>
      </c>
      <c r="AI108" s="23">
        <v>409.87</v>
      </c>
      <c r="AJ108" s="33">
        <v>-0.19950000000000001</v>
      </c>
      <c r="AK108" s="33">
        <v>0.38650000000000001</v>
      </c>
      <c r="AL108" s="23" t="s">
        <v>24</v>
      </c>
      <c r="AM108" s="23">
        <v>488.7</v>
      </c>
      <c r="AN108" s="23">
        <v>34070.699999999997</v>
      </c>
      <c r="AO108" s="23">
        <v>494.35</v>
      </c>
      <c r="AQ108" s="50">
        <f t="shared" si="1"/>
        <v>2.0513607530182117E-2</v>
      </c>
      <c r="AR108" s="50"/>
      <c r="AS108" s="48"/>
      <c r="AT108" s="50"/>
      <c r="AV108" s="47">
        <v>44337</v>
      </c>
      <c r="AW108" s="51">
        <v>7.2916666666666671E-2</v>
      </c>
      <c r="AX108" t="s">
        <v>163</v>
      </c>
    </row>
    <row r="109" spans="1:50">
      <c r="A109" s="23" t="s">
        <v>22</v>
      </c>
      <c r="B109" s="23" t="s">
        <v>25</v>
      </c>
      <c r="C109" s="28">
        <v>44340.458333333336</v>
      </c>
      <c r="D109" s="23">
        <v>489.4</v>
      </c>
      <c r="E109" s="28">
        <v>44340.59375</v>
      </c>
      <c r="F109" s="23">
        <v>491.45</v>
      </c>
      <c r="G109" s="33">
        <v>4.1999999999999997E-3</v>
      </c>
      <c r="H109" s="23">
        <v>209.79</v>
      </c>
      <c r="I109" s="33">
        <v>4.1999999999999997E-3</v>
      </c>
      <c r="J109" s="23">
        <v>102.3365</v>
      </c>
      <c r="K109" s="23">
        <v>50083.47</v>
      </c>
      <c r="L109" s="23">
        <v>17164.900000000001</v>
      </c>
      <c r="M109" s="23">
        <v>14</v>
      </c>
      <c r="N109" s="23">
        <v>14.98</v>
      </c>
      <c r="O109" s="33">
        <v>-2.5000000000000001E-3</v>
      </c>
      <c r="P109" s="33">
        <v>6.3E-3</v>
      </c>
      <c r="Q109" s="23" t="s">
        <v>24</v>
      </c>
      <c r="R109" s="23">
        <v>0</v>
      </c>
      <c r="S109" s="23">
        <v>485.4</v>
      </c>
      <c r="U109" s="47">
        <v>44343</v>
      </c>
      <c r="V109" s="23" t="s">
        <v>132</v>
      </c>
      <c r="W109" s="23" t="s">
        <v>23</v>
      </c>
      <c r="X109" s="28">
        <v>44340.458333333336</v>
      </c>
      <c r="Y109" s="23">
        <v>3.75</v>
      </c>
      <c r="Z109" s="28">
        <v>44340.59375</v>
      </c>
      <c r="AA109" s="23">
        <v>2.95</v>
      </c>
      <c r="AB109" s="33">
        <v>-0.21329999999999999</v>
      </c>
      <c r="AC109" s="23">
        <v>10886.27</v>
      </c>
      <c r="AD109" s="33">
        <v>0.21329999999999999</v>
      </c>
      <c r="AE109" s="23">
        <v>13607.83</v>
      </c>
      <c r="AF109" s="23">
        <v>51029.38</v>
      </c>
      <c r="AG109" s="23">
        <v>218670.83</v>
      </c>
      <c r="AH109" s="23">
        <v>14</v>
      </c>
      <c r="AI109" s="23">
        <v>777.59</v>
      </c>
      <c r="AJ109" s="33">
        <v>-7.3300000000000004E-2</v>
      </c>
      <c r="AK109" s="33">
        <v>0.21329999999999999</v>
      </c>
      <c r="AL109" s="23" t="s">
        <v>24</v>
      </c>
      <c r="AM109" s="23">
        <v>489.4</v>
      </c>
      <c r="AN109" s="23">
        <v>34888.1</v>
      </c>
      <c r="AO109" s="23">
        <v>485.4</v>
      </c>
      <c r="AQ109" s="50">
        <f t="shared" si="1"/>
        <v>7.6624438087454028E-3</v>
      </c>
      <c r="AR109" s="50"/>
      <c r="AS109" s="48"/>
      <c r="AT109" s="50"/>
      <c r="AV109" s="47">
        <v>44340</v>
      </c>
      <c r="AW109" s="51">
        <v>0.45833333333333331</v>
      </c>
      <c r="AX109" t="s">
        <v>162</v>
      </c>
    </row>
    <row r="110" spans="1:50">
      <c r="A110" s="23" t="s">
        <v>22</v>
      </c>
      <c r="B110" s="23" t="s">
        <v>23</v>
      </c>
      <c r="C110" s="28">
        <v>44340.59375</v>
      </c>
      <c r="D110" s="23">
        <v>491.45</v>
      </c>
      <c r="E110" s="28">
        <v>44340.604166666664</v>
      </c>
      <c r="F110" s="23">
        <v>492.22500000000002</v>
      </c>
      <c r="G110" s="33">
        <v>1.6000000000000001E-3</v>
      </c>
      <c r="H110" s="23">
        <v>-78.98</v>
      </c>
      <c r="I110" s="33">
        <v>-1.6000000000000001E-3</v>
      </c>
      <c r="J110" s="23">
        <v>101.9119</v>
      </c>
      <c r="K110" s="23">
        <v>50084.61</v>
      </c>
      <c r="L110" s="23">
        <v>17085.91</v>
      </c>
      <c r="M110" s="23">
        <v>2</v>
      </c>
      <c r="N110" s="23">
        <v>-39.49</v>
      </c>
      <c r="O110" s="33">
        <v>-1.6000000000000001E-3</v>
      </c>
      <c r="P110" s="33">
        <v>5.4000000000000003E-3</v>
      </c>
      <c r="Q110" s="23" t="s">
        <v>24</v>
      </c>
      <c r="R110" s="23">
        <v>0</v>
      </c>
      <c r="S110" s="23">
        <v>492.33</v>
      </c>
      <c r="U110" s="47">
        <v>44343</v>
      </c>
      <c r="V110" s="23" t="s">
        <v>134</v>
      </c>
      <c r="W110" s="23" t="s">
        <v>23</v>
      </c>
      <c r="X110" s="28">
        <v>44340.59375</v>
      </c>
      <c r="Y110" s="23">
        <v>8.9</v>
      </c>
      <c r="Z110" s="28">
        <v>44340.604166666664</v>
      </c>
      <c r="AA110" s="23">
        <v>9.2249999999999996</v>
      </c>
      <c r="AB110" s="33">
        <v>3.6499999999999998E-2</v>
      </c>
      <c r="AC110" s="23">
        <v>-1864.77</v>
      </c>
      <c r="AD110" s="33">
        <v>-3.6499999999999998E-2</v>
      </c>
      <c r="AE110" s="23">
        <v>5737.7690000000002</v>
      </c>
      <c r="AF110" s="23">
        <v>51066.14</v>
      </c>
      <c r="AG110" s="23">
        <v>216806.06</v>
      </c>
      <c r="AH110" s="23">
        <v>2</v>
      </c>
      <c r="AI110" s="23">
        <v>-932.39</v>
      </c>
      <c r="AJ110" s="33">
        <v>-3.6499999999999998E-2</v>
      </c>
      <c r="AK110" s="33">
        <v>0.1124</v>
      </c>
      <c r="AL110" s="23" t="s">
        <v>24</v>
      </c>
      <c r="AM110" s="23">
        <v>491.45</v>
      </c>
      <c r="AN110" s="23">
        <v>34815.65</v>
      </c>
      <c r="AO110" s="23">
        <v>492.33</v>
      </c>
      <c r="AQ110" s="50">
        <f t="shared" si="1"/>
        <v>1.8109675450198395E-2</v>
      </c>
      <c r="AR110" s="50"/>
      <c r="AS110" s="48"/>
      <c r="AT110" s="50"/>
      <c r="AV110" s="47">
        <v>44340</v>
      </c>
      <c r="AW110" s="51">
        <v>9.375E-2</v>
      </c>
      <c r="AX110" t="s">
        <v>163</v>
      </c>
    </row>
    <row r="111" spans="1:50">
      <c r="A111" s="23" t="s">
        <v>22</v>
      </c>
      <c r="B111" s="23" t="s">
        <v>25</v>
      </c>
      <c r="C111" s="28">
        <v>44340.604166666664</v>
      </c>
      <c r="D111" s="23">
        <v>492.22500000000002</v>
      </c>
      <c r="E111" s="28">
        <v>44340.625</v>
      </c>
      <c r="F111" s="23">
        <v>488.625</v>
      </c>
      <c r="G111" s="33">
        <v>-7.3000000000000001E-3</v>
      </c>
      <c r="H111" s="23">
        <v>-366.31</v>
      </c>
      <c r="I111" s="33">
        <v>-7.3000000000000001E-3</v>
      </c>
      <c r="J111" s="23">
        <v>101.7539</v>
      </c>
      <c r="K111" s="23">
        <v>50085.82</v>
      </c>
      <c r="L111" s="23">
        <v>16719.599999999999</v>
      </c>
      <c r="M111" s="23">
        <v>3</v>
      </c>
      <c r="N111" s="23">
        <v>-122.1</v>
      </c>
      <c r="O111" s="33">
        <v>-7.3000000000000001E-3</v>
      </c>
      <c r="P111" s="33">
        <v>4.5999999999999999E-3</v>
      </c>
      <c r="Q111" s="23" t="s">
        <v>24</v>
      </c>
      <c r="R111" s="23">
        <v>0</v>
      </c>
      <c r="S111" s="23">
        <v>488.8</v>
      </c>
      <c r="U111" s="47">
        <v>44343</v>
      </c>
      <c r="V111" s="23" t="s">
        <v>121</v>
      </c>
      <c r="W111" s="23" t="s">
        <v>23</v>
      </c>
      <c r="X111" s="28">
        <v>44340.604166666664</v>
      </c>
      <c r="Y111" s="23">
        <v>5.4</v>
      </c>
      <c r="Z111" s="28">
        <v>44340.625</v>
      </c>
      <c r="AA111" s="23">
        <v>7.5</v>
      </c>
      <c r="AB111" s="33">
        <v>0.38890000000000002</v>
      </c>
      <c r="AC111" s="23">
        <v>-19869.64</v>
      </c>
      <c r="AD111" s="33">
        <v>-0.38890000000000002</v>
      </c>
      <c r="AE111" s="23">
        <v>9461.732</v>
      </c>
      <c r="AF111" s="23">
        <v>51093.36</v>
      </c>
      <c r="AG111" s="23">
        <v>196936.42</v>
      </c>
      <c r="AH111" s="23">
        <v>3</v>
      </c>
      <c r="AI111" s="23">
        <v>-6623.21</v>
      </c>
      <c r="AJ111" s="33">
        <v>-0.43059999999999998</v>
      </c>
      <c r="AK111" s="33">
        <v>0.16669999999999999</v>
      </c>
      <c r="AL111" s="23" t="s">
        <v>24</v>
      </c>
      <c r="AM111" s="23">
        <v>492.23</v>
      </c>
      <c r="AN111" s="23">
        <v>35040.65</v>
      </c>
      <c r="AO111" s="23">
        <v>488.8</v>
      </c>
      <c r="AQ111" s="50">
        <f t="shared" si="1"/>
        <v>1.0970481279076854E-2</v>
      </c>
      <c r="AR111" s="50"/>
      <c r="AS111" s="48"/>
      <c r="AT111" s="50"/>
      <c r="AV111" s="47">
        <v>44340</v>
      </c>
      <c r="AW111" s="51">
        <v>0.10416666666666667</v>
      </c>
      <c r="AX111" t="s">
        <v>163</v>
      </c>
    </row>
    <row r="112" spans="1:50">
      <c r="A112" s="23" t="s">
        <v>22</v>
      </c>
      <c r="B112" s="23" t="s">
        <v>23</v>
      </c>
      <c r="C112" s="28">
        <v>44340.625</v>
      </c>
      <c r="D112" s="23">
        <v>488.625</v>
      </c>
      <c r="E112" s="28">
        <v>44342.510416666664</v>
      </c>
      <c r="F112" s="23">
        <v>481.35</v>
      </c>
      <c r="G112" s="33">
        <v>-1.49E-2</v>
      </c>
      <c r="H112" s="23">
        <v>745.71</v>
      </c>
      <c r="I112" s="33">
        <v>1.49E-2</v>
      </c>
      <c r="J112" s="23">
        <v>102.5033</v>
      </c>
      <c r="K112" s="23">
        <v>50085.7</v>
      </c>
      <c r="L112" s="23">
        <v>17465.310000000001</v>
      </c>
      <c r="M112" s="23">
        <v>46</v>
      </c>
      <c r="N112" s="23">
        <v>16.21</v>
      </c>
      <c r="O112" s="33">
        <v>-9.2999999999999992E-3</v>
      </c>
      <c r="P112" s="33">
        <v>2.58E-2</v>
      </c>
      <c r="Q112" s="23" t="s">
        <v>24</v>
      </c>
      <c r="R112" s="23">
        <v>0</v>
      </c>
      <c r="S112" s="23">
        <v>494.36</v>
      </c>
      <c r="U112" s="47">
        <v>44343</v>
      </c>
      <c r="V112" s="23" t="s">
        <v>133</v>
      </c>
      <c r="W112" s="23" t="s">
        <v>23</v>
      </c>
      <c r="X112" s="28">
        <v>44340.625</v>
      </c>
      <c r="Y112" s="23">
        <v>14</v>
      </c>
      <c r="Z112" s="28">
        <v>44342.510416666664</v>
      </c>
      <c r="AA112" s="23">
        <v>4.4000000000000004</v>
      </c>
      <c r="AB112" s="33">
        <v>-0.68569999999999998</v>
      </c>
      <c r="AC112" s="23">
        <v>35033.919999999998</v>
      </c>
      <c r="AD112" s="33">
        <v>0.68569999999999998</v>
      </c>
      <c r="AE112" s="23">
        <v>3649.366</v>
      </c>
      <c r="AF112" s="23">
        <v>51091.13</v>
      </c>
      <c r="AG112" s="23">
        <v>231970.33</v>
      </c>
      <c r="AH112" s="23">
        <v>46</v>
      </c>
      <c r="AI112" s="23">
        <v>761.61</v>
      </c>
      <c r="AJ112" s="33">
        <v>-0.28570000000000001</v>
      </c>
      <c r="AK112" s="33">
        <v>0.86429999999999996</v>
      </c>
      <c r="AL112" s="23" t="s">
        <v>24</v>
      </c>
      <c r="AM112" s="23">
        <v>488.63</v>
      </c>
      <c r="AN112" s="23">
        <v>34938.550000000003</v>
      </c>
      <c r="AO112" s="23">
        <v>494.36</v>
      </c>
      <c r="AQ112" s="50">
        <f t="shared" si="1"/>
        <v>2.8651535926979513E-2</v>
      </c>
      <c r="AR112" s="50"/>
      <c r="AS112" s="48"/>
      <c r="AT112" s="50"/>
      <c r="AV112" s="47">
        <v>44340</v>
      </c>
      <c r="AW112" s="51">
        <v>0.125</v>
      </c>
      <c r="AX112" t="s">
        <v>163</v>
      </c>
    </row>
    <row r="113" spans="1:50">
      <c r="A113" s="23" t="s">
        <v>22</v>
      </c>
      <c r="B113" s="23" t="s">
        <v>25</v>
      </c>
      <c r="C113" s="28">
        <v>44342.510416666664</v>
      </c>
      <c r="D113" s="23">
        <v>481.35</v>
      </c>
      <c r="E113" s="28">
        <v>44343.583333333336</v>
      </c>
      <c r="F113" s="23">
        <v>490.4</v>
      </c>
      <c r="G113" s="33">
        <v>1.8800000000000001E-2</v>
      </c>
      <c r="H113" s="23">
        <v>941.72</v>
      </c>
      <c r="I113" s="33">
        <v>1.8800000000000001E-2</v>
      </c>
      <c r="J113" s="23">
        <v>104.05710000000001</v>
      </c>
      <c r="K113" s="23">
        <v>50087.86</v>
      </c>
      <c r="L113" s="23">
        <v>18407.03</v>
      </c>
      <c r="M113" s="23">
        <v>36</v>
      </c>
      <c r="N113" s="23">
        <v>26.16</v>
      </c>
      <c r="O113" s="33">
        <v>-3.8E-3</v>
      </c>
      <c r="P113" s="33">
        <v>3.2500000000000001E-2</v>
      </c>
      <c r="Q113" s="23" t="s">
        <v>24</v>
      </c>
      <c r="R113" s="23">
        <v>0</v>
      </c>
      <c r="S113" s="23">
        <v>476</v>
      </c>
      <c r="U113" s="47">
        <v>44343</v>
      </c>
      <c r="V113" s="23" t="s">
        <v>105</v>
      </c>
      <c r="W113" s="23" t="s">
        <v>23</v>
      </c>
      <c r="X113" s="28">
        <v>44342.510416666664</v>
      </c>
      <c r="Y113" s="23">
        <v>21</v>
      </c>
      <c r="Z113" s="28">
        <v>44343.583333333336</v>
      </c>
      <c r="AA113" s="23">
        <v>7.6749999999999998</v>
      </c>
      <c r="AB113" s="33">
        <v>-0.63449999999999995</v>
      </c>
      <c r="AC113" s="23">
        <v>32462.14</v>
      </c>
      <c r="AD113" s="33">
        <v>0.63449999999999995</v>
      </c>
      <c r="AE113" s="23">
        <v>2436.183</v>
      </c>
      <c r="AF113" s="23">
        <v>51159.85</v>
      </c>
      <c r="AG113" s="23">
        <v>264432.48</v>
      </c>
      <c r="AH113" s="23">
        <v>36</v>
      </c>
      <c r="AI113" s="23">
        <v>901.73</v>
      </c>
      <c r="AJ113" s="33">
        <v>-6.0699999999999997E-2</v>
      </c>
      <c r="AK113" s="33">
        <v>0.6905</v>
      </c>
      <c r="AL113" s="23" t="s">
        <v>24</v>
      </c>
      <c r="AM113" s="23">
        <v>481.35</v>
      </c>
      <c r="AN113" s="23">
        <v>34846.35</v>
      </c>
      <c r="AO113" s="23">
        <v>476</v>
      </c>
      <c r="AQ113" s="50">
        <f t="shared" si="1"/>
        <v>4.3627298223745711E-2</v>
      </c>
      <c r="AR113" s="50"/>
      <c r="AS113" s="48"/>
      <c r="AT113" s="50"/>
      <c r="AV113" s="47">
        <v>44342</v>
      </c>
      <c r="AW113" s="51">
        <v>0.51041666666666663</v>
      </c>
      <c r="AX113" t="s">
        <v>163</v>
      </c>
    </row>
    <row r="114" spans="1:50">
      <c r="A114" s="23" t="s">
        <v>22</v>
      </c>
      <c r="B114" s="23" t="s">
        <v>23</v>
      </c>
      <c r="C114" s="28">
        <v>44343.583333333336</v>
      </c>
      <c r="D114" s="23">
        <v>490.4</v>
      </c>
      <c r="E114" s="28">
        <v>44343.697916666664</v>
      </c>
      <c r="F114" s="23">
        <v>491.15</v>
      </c>
      <c r="G114" s="33">
        <v>1.5E-3</v>
      </c>
      <c r="H114" s="23">
        <v>-76.61</v>
      </c>
      <c r="I114" s="33">
        <v>-1.5E-3</v>
      </c>
      <c r="J114" s="23">
        <v>102.14660000000001</v>
      </c>
      <c r="K114" s="23">
        <v>50092.67</v>
      </c>
      <c r="L114" s="23">
        <v>18330.419999999998</v>
      </c>
      <c r="M114" s="23">
        <v>8</v>
      </c>
      <c r="N114" s="23">
        <v>-9.58</v>
      </c>
      <c r="O114" s="33">
        <v>-3.8E-3</v>
      </c>
      <c r="P114" s="33">
        <v>1.8E-3</v>
      </c>
      <c r="Q114" s="23" t="s">
        <v>24</v>
      </c>
      <c r="R114" s="23">
        <v>0</v>
      </c>
      <c r="S114" s="23">
        <v>497</v>
      </c>
      <c r="U114" s="47">
        <v>44343</v>
      </c>
      <c r="V114" s="23" t="s">
        <v>134</v>
      </c>
      <c r="W114" s="23" t="s">
        <v>23</v>
      </c>
      <c r="X114" s="28">
        <v>44343.583333333336</v>
      </c>
      <c r="Y114" s="23">
        <v>4</v>
      </c>
      <c r="Z114" s="28">
        <v>44343.697916666664</v>
      </c>
      <c r="AA114" s="23">
        <v>1.35</v>
      </c>
      <c r="AB114" s="33">
        <v>-0.66249999999999998</v>
      </c>
      <c r="AC114" s="23">
        <v>34000.93</v>
      </c>
      <c r="AD114" s="33">
        <v>0.66249999999999998</v>
      </c>
      <c r="AE114" s="23">
        <v>12830.54</v>
      </c>
      <c r="AF114" s="23">
        <v>51322.16</v>
      </c>
      <c r="AG114" s="23">
        <v>298433.40999999997</v>
      </c>
      <c r="AH114" s="23">
        <v>8</v>
      </c>
      <c r="AI114" s="23">
        <v>4250.12</v>
      </c>
      <c r="AJ114" s="33">
        <v>-6.25E-2</v>
      </c>
      <c r="AK114" s="33">
        <v>0.75</v>
      </c>
      <c r="AL114" s="23" t="s">
        <v>24</v>
      </c>
      <c r="AM114" s="23">
        <v>490.4</v>
      </c>
      <c r="AN114" s="23">
        <v>34824.199999999997</v>
      </c>
      <c r="AO114" s="23">
        <v>497</v>
      </c>
      <c r="AQ114" s="50">
        <f t="shared" si="1"/>
        <v>8.1566068515497563E-3</v>
      </c>
      <c r="AR114" s="50"/>
      <c r="AS114" s="48"/>
      <c r="AT114" s="50"/>
      <c r="AV114" s="47">
        <v>44343</v>
      </c>
      <c r="AW114" s="51">
        <v>8.3333333333333329E-2</v>
      </c>
      <c r="AX114" t="s">
        <v>163</v>
      </c>
    </row>
    <row r="115" spans="1:50">
      <c r="A115" s="23" t="s">
        <v>22</v>
      </c>
      <c r="B115" s="23" t="s">
        <v>25</v>
      </c>
      <c r="C115" s="28">
        <v>44344.385416666664</v>
      </c>
      <c r="D115" s="23">
        <v>494.92500000000001</v>
      </c>
      <c r="E115" s="28">
        <v>44344.614583333336</v>
      </c>
      <c r="F115" s="23">
        <v>501.65</v>
      </c>
      <c r="G115" s="33">
        <v>1.3599999999999999E-2</v>
      </c>
      <c r="H115" s="23">
        <v>680.64</v>
      </c>
      <c r="I115" s="33">
        <v>1.3599999999999999E-2</v>
      </c>
      <c r="J115" s="23">
        <v>101.2106</v>
      </c>
      <c r="K115" s="23">
        <v>50091.65</v>
      </c>
      <c r="L115" s="23">
        <v>19011.060000000001</v>
      </c>
      <c r="M115" s="23">
        <v>23</v>
      </c>
      <c r="N115" s="23">
        <v>29.59</v>
      </c>
      <c r="O115" s="33">
        <v>-6.4999999999999997E-3</v>
      </c>
      <c r="P115" s="33">
        <v>1.83E-2</v>
      </c>
      <c r="Q115" s="23" t="s">
        <v>24</v>
      </c>
      <c r="R115" s="23">
        <v>0</v>
      </c>
      <c r="S115" s="23">
        <v>489.92</v>
      </c>
      <c r="U115" s="47">
        <v>44371</v>
      </c>
      <c r="V115" s="23" t="s">
        <v>121</v>
      </c>
      <c r="W115" s="23" t="s">
        <v>23</v>
      </c>
      <c r="X115" s="28">
        <v>44344.385416666664</v>
      </c>
      <c r="Y115" s="23">
        <v>21.65</v>
      </c>
      <c r="Z115" s="28">
        <v>44344.614583333336</v>
      </c>
      <c r="AA115" s="23">
        <v>16.225000000000001</v>
      </c>
      <c r="AB115" s="33">
        <v>-0.25059999999999999</v>
      </c>
      <c r="AC115" s="23">
        <v>12902.77</v>
      </c>
      <c r="AD115" s="33">
        <v>0.25059999999999999</v>
      </c>
      <c r="AE115" s="23">
        <v>2378.3910000000001</v>
      </c>
      <c r="AF115" s="23">
        <v>51492.17</v>
      </c>
      <c r="AG115" s="23">
        <v>311336.18</v>
      </c>
      <c r="AH115" s="23">
        <v>23</v>
      </c>
      <c r="AI115" s="23">
        <v>560.99</v>
      </c>
      <c r="AJ115" s="33">
        <v>0</v>
      </c>
      <c r="AK115" s="33">
        <v>0.25059999999999999</v>
      </c>
      <c r="AL115" s="23" t="s">
        <v>24</v>
      </c>
      <c r="AM115" s="23">
        <v>494.92</v>
      </c>
      <c r="AN115" s="23">
        <v>35350.25</v>
      </c>
      <c r="AO115" s="23">
        <v>489.92</v>
      </c>
      <c r="AQ115" s="50">
        <f t="shared" si="1"/>
        <v>4.3744443546431741E-2</v>
      </c>
      <c r="AR115" s="50"/>
      <c r="AS115" s="48"/>
      <c r="AT115" s="50"/>
      <c r="AV115" s="47">
        <v>44344</v>
      </c>
      <c r="AW115" s="51">
        <v>0.38541666666666669</v>
      </c>
      <c r="AX115" t="s">
        <v>162</v>
      </c>
    </row>
    <row r="116" spans="1:50">
      <c r="A116" s="23" t="s">
        <v>22</v>
      </c>
      <c r="B116" s="23" t="s">
        <v>23</v>
      </c>
      <c r="C116" s="28">
        <v>44344.614583333336</v>
      </c>
      <c r="D116" s="23">
        <v>501.65</v>
      </c>
      <c r="E116" s="28">
        <v>44347.5</v>
      </c>
      <c r="F116" s="23">
        <v>496.15</v>
      </c>
      <c r="G116" s="33">
        <v>-1.0999999999999999E-2</v>
      </c>
      <c r="H116" s="23">
        <v>549.22</v>
      </c>
      <c r="I116" s="33">
        <v>1.0999999999999999E-2</v>
      </c>
      <c r="J116" s="23">
        <v>99.858329999999995</v>
      </c>
      <c r="K116" s="23">
        <v>50093.93</v>
      </c>
      <c r="L116" s="23">
        <v>19560.28</v>
      </c>
      <c r="M116" s="23">
        <v>18</v>
      </c>
      <c r="N116" s="23">
        <v>30.51</v>
      </c>
      <c r="O116" s="33">
        <v>-4.1999999999999997E-3</v>
      </c>
      <c r="P116" s="33">
        <v>2.3599999999999999E-2</v>
      </c>
      <c r="Q116" s="23" t="s">
        <v>24</v>
      </c>
      <c r="R116" s="23">
        <v>0</v>
      </c>
      <c r="S116" s="23">
        <v>503.87</v>
      </c>
      <c r="U116" s="47">
        <v>44371</v>
      </c>
      <c r="V116" s="23" t="s">
        <v>135</v>
      </c>
      <c r="W116" s="23" t="s">
        <v>23</v>
      </c>
      <c r="X116" s="28">
        <v>44344.614583333336</v>
      </c>
      <c r="Y116" s="23">
        <v>24.925000000000001</v>
      </c>
      <c r="Z116" s="28">
        <v>44347.5</v>
      </c>
      <c r="AA116" s="23">
        <v>21.5</v>
      </c>
      <c r="AB116" s="33">
        <v>-0.13739999999999999</v>
      </c>
      <c r="AC116" s="23">
        <v>7084.52</v>
      </c>
      <c r="AD116" s="33">
        <v>0.13739999999999999</v>
      </c>
      <c r="AE116" s="23">
        <v>2068.473</v>
      </c>
      <c r="AF116" s="23">
        <v>51556.68</v>
      </c>
      <c r="AG116" s="23">
        <v>318420.7</v>
      </c>
      <c r="AH116" s="23">
        <v>18</v>
      </c>
      <c r="AI116" s="23">
        <v>393.58</v>
      </c>
      <c r="AJ116" s="33">
        <v>-6.2199999999999998E-2</v>
      </c>
      <c r="AK116" s="33">
        <v>0.1976</v>
      </c>
      <c r="AL116" s="23" t="s">
        <v>24</v>
      </c>
      <c r="AM116" s="23">
        <v>501.65</v>
      </c>
      <c r="AN116" s="23">
        <v>34980.449999999997</v>
      </c>
      <c r="AO116" s="23">
        <v>503.87</v>
      </c>
      <c r="AQ116" s="50">
        <f t="shared" si="1"/>
        <v>4.9686036080932923E-2</v>
      </c>
      <c r="AR116" s="50"/>
      <c r="AS116" s="48"/>
      <c r="AT116" s="50"/>
      <c r="AV116" s="47">
        <v>44344</v>
      </c>
      <c r="AW116" s="51">
        <v>0.11458333333333333</v>
      </c>
      <c r="AX116" t="s">
        <v>163</v>
      </c>
    </row>
    <row r="117" spans="1:50">
      <c r="A117" s="23" t="s">
        <v>22</v>
      </c>
      <c r="B117" s="23" t="s">
        <v>25</v>
      </c>
      <c r="C117" s="28">
        <v>44347.5</v>
      </c>
      <c r="D117" s="23">
        <v>496.15</v>
      </c>
      <c r="E117" s="28">
        <v>44347.59375</v>
      </c>
      <c r="F117" s="23">
        <v>492.625</v>
      </c>
      <c r="G117" s="33">
        <v>-7.1000000000000004E-3</v>
      </c>
      <c r="H117" s="23">
        <v>-355.94</v>
      </c>
      <c r="I117" s="33">
        <v>-7.1000000000000004E-3</v>
      </c>
      <c r="J117" s="23">
        <v>100.9746</v>
      </c>
      <c r="K117" s="23">
        <v>50098.54</v>
      </c>
      <c r="L117" s="23">
        <v>19204.349999999999</v>
      </c>
      <c r="M117" s="23">
        <v>10</v>
      </c>
      <c r="N117" s="23">
        <v>-35.590000000000003</v>
      </c>
      <c r="O117" s="33">
        <v>-8.0999999999999996E-3</v>
      </c>
      <c r="P117" s="33">
        <v>6.9999999999999999E-4</v>
      </c>
      <c r="Q117" s="23" t="s">
        <v>24</v>
      </c>
      <c r="R117" s="23">
        <v>0</v>
      </c>
      <c r="S117" s="23">
        <v>489.83</v>
      </c>
      <c r="U117" s="47">
        <v>44371</v>
      </c>
      <c r="V117" s="23" t="s">
        <v>132</v>
      </c>
      <c r="W117" s="23" t="s">
        <v>23</v>
      </c>
      <c r="X117" s="28">
        <v>44347.5</v>
      </c>
      <c r="Y117" s="23">
        <v>14.925000000000001</v>
      </c>
      <c r="Z117" s="28">
        <v>44347.59375</v>
      </c>
      <c r="AA117" s="23">
        <v>15</v>
      </c>
      <c r="AB117" s="33">
        <v>5.0000000000000001E-3</v>
      </c>
      <c r="AC117" s="23">
        <v>-259.27999999999997</v>
      </c>
      <c r="AD117" s="33">
        <v>-5.0000000000000001E-3</v>
      </c>
      <c r="AE117" s="23">
        <v>3457.1210000000001</v>
      </c>
      <c r="AF117" s="23">
        <v>51597.53</v>
      </c>
      <c r="AG117" s="23">
        <v>318161.42</v>
      </c>
      <c r="AH117" s="23">
        <v>10</v>
      </c>
      <c r="AI117" s="23">
        <v>-25.93</v>
      </c>
      <c r="AJ117" s="33">
        <v>-5.0000000000000001E-3</v>
      </c>
      <c r="AK117" s="33">
        <v>6.7000000000000002E-3</v>
      </c>
      <c r="AL117" s="23" t="s">
        <v>24</v>
      </c>
      <c r="AM117" s="23">
        <v>496.15</v>
      </c>
      <c r="AN117" s="23">
        <v>35332.199999999997</v>
      </c>
      <c r="AO117" s="23">
        <v>489.83</v>
      </c>
      <c r="AQ117" s="50">
        <f t="shared" si="1"/>
        <v>3.0081628539756124E-2</v>
      </c>
      <c r="AR117" s="50"/>
      <c r="AS117" s="48"/>
      <c r="AT117" s="50"/>
      <c r="AV117" s="47">
        <v>44347</v>
      </c>
      <c r="AW117" s="51">
        <v>0.5</v>
      </c>
      <c r="AX117" t="s">
        <v>163</v>
      </c>
    </row>
    <row r="118" spans="1:50">
      <c r="A118" s="23" t="s">
        <v>22</v>
      </c>
      <c r="B118" s="23" t="s">
        <v>23</v>
      </c>
      <c r="C118" s="28">
        <v>44347.59375</v>
      </c>
      <c r="D118" s="23">
        <v>492.625</v>
      </c>
      <c r="E118" s="28">
        <v>44347.635416666664</v>
      </c>
      <c r="F118" s="23">
        <v>494.7</v>
      </c>
      <c r="G118" s="33">
        <v>4.1999999999999997E-3</v>
      </c>
      <c r="H118" s="23">
        <v>-211.01</v>
      </c>
      <c r="I118" s="33">
        <v>-4.1999999999999997E-3</v>
      </c>
      <c r="J118" s="23">
        <v>101.6921</v>
      </c>
      <c r="K118" s="23">
        <v>50096.06</v>
      </c>
      <c r="L118" s="23">
        <v>18993.330000000002</v>
      </c>
      <c r="M118" s="23">
        <v>5</v>
      </c>
      <c r="N118" s="23">
        <v>-42.2</v>
      </c>
      <c r="O118" s="33">
        <v>-4.1999999999999997E-3</v>
      </c>
      <c r="P118" s="33">
        <v>1.1999999999999999E-3</v>
      </c>
      <c r="Q118" s="23" t="s">
        <v>24</v>
      </c>
      <c r="R118" s="23">
        <v>0</v>
      </c>
      <c r="S118" s="23">
        <v>496.31</v>
      </c>
      <c r="U118" s="47">
        <v>44371</v>
      </c>
      <c r="V118" s="23" t="s">
        <v>134</v>
      </c>
      <c r="W118" s="23" t="s">
        <v>23</v>
      </c>
      <c r="X118" s="28">
        <v>44347.59375</v>
      </c>
      <c r="Y118" s="23">
        <v>25</v>
      </c>
      <c r="Z118" s="28">
        <v>44347.635416666664</v>
      </c>
      <c r="AA118" s="23">
        <v>24.5</v>
      </c>
      <c r="AB118" s="33">
        <v>-0.02</v>
      </c>
      <c r="AC118" s="23">
        <v>1031.8800000000001</v>
      </c>
      <c r="AD118" s="33">
        <v>0.02</v>
      </c>
      <c r="AE118" s="23">
        <v>2063.7530000000002</v>
      </c>
      <c r="AF118" s="23">
        <v>51593.83</v>
      </c>
      <c r="AG118" s="23">
        <v>319193.28999999998</v>
      </c>
      <c r="AH118" s="23">
        <v>5</v>
      </c>
      <c r="AI118" s="23">
        <v>206.38</v>
      </c>
      <c r="AJ118" s="33">
        <v>0</v>
      </c>
      <c r="AK118" s="33">
        <v>0.02</v>
      </c>
      <c r="AL118" s="23" t="s">
        <v>24</v>
      </c>
      <c r="AM118" s="23">
        <v>492.63</v>
      </c>
      <c r="AN118" s="23">
        <v>35471.35</v>
      </c>
      <c r="AO118" s="23">
        <v>496.31</v>
      </c>
      <c r="AQ118" s="50">
        <f t="shared" si="1"/>
        <v>5.0748025901792421E-2</v>
      </c>
      <c r="AR118" s="50"/>
      <c r="AS118" s="48"/>
      <c r="AT118" s="50"/>
      <c r="AV118" s="47">
        <v>44347</v>
      </c>
      <c r="AW118" s="51">
        <v>9.375E-2</v>
      </c>
      <c r="AX118" t="s">
        <v>163</v>
      </c>
    </row>
    <row r="119" spans="1:50">
      <c r="A119" s="23" t="s">
        <v>22</v>
      </c>
      <c r="B119" s="23" t="s">
        <v>25</v>
      </c>
      <c r="C119" s="28">
        <v>44347.635416666664</v>
      </c>
      <c r="D119" s="23">
        <v>494.7</v>
      </c>
      <c r="E119" s="28">
        <v>44348.416666666664</v>
      </c>
      <c r="F119" s="23">
        <v>493.6</v>
      </c>
      <c r="G119" s="33">
        <v>-2.2000000000000001E-3</v>
      </c>
      <c r="H119" s="23">
        <v>-111.39</v>
      </c>
      <c r="I119" s="33">
        <v>-2.2000000000000001E-3</v>
      </c>
      <c r="J119" s="23">
        <v>101.2655</v>
      </c>
      <c r="K119" s="23">
        <v>50096.05</v>
      </c>
      <c r="L119" s="23">
        <v>18881.939999999999</v>
      </c>
      <c r="M119" s="23">
        <v>9</v>
      </c>
      <c r="N119" s="23">
        <v>-12.38</v>
      </c>
      <c r="O119" s="33">
        <v>-4.4000000000000003E-3</v>
      </c>
      <c r="P119" s="33">
        <v>5.4999999999999997E-3</v>
      </c>
      <c r="Q119" s="23" t="s">
        <v>24</v>
      </c>
      <c r="R119" s="23">
        <v>0</v>
      </c>
      <c r="S119" s="23">
        <v>492.09</v>
      </c>
      <c r="U119" s="47">
        <v>44371</v>
      </c>
      <c r="V119" s="23" t="s">
        <v>121</v>
      </c>
      <c r="W119" s="23" t="s">
        <v>23</v>
      </c>
      <c r="X119" s="28">
        <v>44347.635416666664</v>
      </c>
      <c r="Y119" s="23">
        <v>19.675000000000001</v>
      </c>
      <c r="Z119" s="28">
        <v>44348.416666666664</v>
      </c>
      <c r="AA119" s="23">
        <v>16.925000000000001</v>
      </c>
      <c r="AB119" s="33">
        <v>-0.13980000000000001</v>
      </c>
      <c r="AC119" s="23">
        <v>7211.63</v>
      </c>
      <c r="AD119" s="33">
        <v>0.13980000000000001</v>
      </c>
      <c r="AE119" s="23">
        <v>2622.413</v>
      </c>
      <c r="AF119" s="23">
        <v>51595.96</v>
      </c>
      <c r="AG119" s="23">
        <v>326404.93</v>
      </c>
      <c r="AH119" s="23">
        <v>9</v>
      </c>
      <c r="AI119" s="23">
        <v>801.29</v>
      </c>
      <c r="AJ119" s="33">
        <v>-2.5000000000000001E-3</v>
      </c>
      <c r="AK119" s="33">
        <v>0.17660000000000001</v>
      </c>
      <c r="AL119" s="23" t="s">
        <v>24</v>
      </c>
      <c r="AM119" s="23">
        <v>494.7</v>
      </c>
      <c r="AN119" s="23">
        <v>35484.550000000003</v>
      </c>
      <c r="AO119" s="23">
        <v>492.09</v>
      </c>
      <c r="AQ119" s="50">
        <f t="shared" si="1"/>
        <v>3.9771578734586623E-2</v>
      </c>
      <c r="AR119" s="50"/>
      <c r="AS119" s="48"/>
      <c r="AT119" s="50"/>
      <c r="AV119" s="47">
        <v>44347</v>
      </c>
      <c r="AW119" s="51">
        <v>0.13541666666666666</v>
      </c>
      <c r="AX119" t="s">
        <v>163</v>
      </c>
    </row>
    <row r="120" spans="1:50">
      <c r="A120" s="23" t="s">
        <v>22</v>
      </c>
      <c r="B120" s="23" t="s">
        <v>23</v>
      </c>
      <c r="C120" s="28">
        <v>44348.416666666664</v>
      </c>
      <c r="D120" s="23">
        <v>493.6</v>
      </c>
      <c r="E120" s="28">
        <v>44348.520833333336</v>
      </c>
      <c r="F120" s="23">
        <v>491.125</v>
      </c>
      <c r="G120" s="33">
        <v>-5.0000000000000001E-3</v>
      </c>
      <c r="H120" s="23">
        <v>251.18</v>
      </c>
      <c r="I120" s="33">
        <v>5.0000000000000001E-3</v>
      </c>
      <c r="J120" s="23">
        <v>101.4888</v>
      </c>
      <c r="K120" s="23">
        <v>50094.879999999997</v>
      </c>
      <c r="L120" s="23">
        <v>19133.13</v>
      </c>
      <c r="M120" s="23">
        <v>11</v>
      </c>
      <c r="N120" s="23">
        <v>22.83</v>
      </c>
      <c r="O120" s="33">
        <v>-4.1999999999999997E-3</v>
      </c>
      <c r="P120" s="33">
        <v>1.1299999999999999E-2</v>
      </c>
      <c r="Q120" s="23" t="s">
        <v>24</v>
      </c>
      <c r="R120" s="23">
        <v>0</v>
      </c>
      <c r="S120" s="23">
        <v>497.4</v>
      </c>
      <c r="U120" s="47">
        <v>44371</v>
      </c>
      <c r="V120" s="23" t="s">
        <v>135</v>
      </c>
      <c r="W120" s="23" t="s">
        <v>23</v>
      </c>
      <c r="X120" s="28">
        <v>44348.416666666664</v>
      </c>
      <c r="Y120" s="23">
        <v>19.7</v>
      </c>
      <c r="Z120" s="28">
        <v>44348.520833333336</v>
      </c>
      <c r="AA120" s="23">
        <v>18.8</v>
      </c>
      <c r="AB120" s="33">
        <v>-4.5699999999999998E-2</v>
      </c>
      <c r="AC120" s="23">
        <v>2358.8200000000002</v>
      </c>
      <c r="AD120" s="33">
        <v>4.5699999999999998E-2</v>
      </c>
      <c r="AE120" s="23">
        <v>2620.915</v>
      </c>
      <c r="AF120" s="23">
        <v>51632.02</v>
      </c>
      <c r="AG120" s="23">
        <v>328763.75</v>
      </c>
      <c r="AH120" s="23">
        <v>11</v>
      </c>
      <c r="AI120" s="23">
        <v>214.44</v>
      </c>
      <c r="AJ120" s="33">
        <v>-3.1699999999999999E-2</v>
      </c>
      <c r="AK120" s="33">
        <v>0.1371</v>
      </c>
      <c r="AL120" s="23" t="s">
        <v>24</v>
      </c>
      <c r="AM120" s="23">
        <v>493.6</v>
      </c>
      <c r="AN120" s="23">
        <v>35402.6</v>
      </c>
      <c r="AO120" s="23">
        <v>497.4</v>
      </c>
      <c r="AQ120" s="50">
        <f t="shared" si="1"/>
        <v>3.9910858995137757E-2</v>
      </c>
      <c r="AR120" s="50"/>
      <c r="AS120" s="48"/>
      <c r="AT120" s="50"/>
      <c r="AV120" s="47">
        <v>44348</v>
      </c>
      <c r="AW120" s="51">
        <v>0.41666666666666669</v>
      </c>
      <c r="AX120" t="s">
        <v>162</v>
      </c>
    </row>
    <row r="121" spans="1:50">
      <c r="A121" s="23" t="s">
        <v>22</v>
      </c>
      <c r="B121" s="23" t="s">
        <v>25</v>
      </c>
      <c r="C121" s="28">
        <v>44348.520833333336</v>
      </c>
      <c r="D121" s="23">
        <v>491.125</v>
      </c>
      <c r="E121" s="28">
        <v>44349.541666666664</v>
      </c>
      <c r="F121" s="23">
        <v>498</v>
      </c>
      <c r="G121" s="33">
        <v>1.4E-2</v>
      </c>
      <c r="H121" s="23">
        <v>701.26</v>
      </c>
      <c r="I121" s="33">
        <v>1.4E-2</v>
      </c>
      <c r="J121" s="23">
        <v>102.0017</v>
      </c>
      <c r="K121" s="23">
        <v>50095.56</v>
      </c>
      <c r="L121" s="23">
        <v>19834.39</v>
      </c>
      <c r="M121" s="23">
        <v>31</v>
      </c>
      <c r="N121" s="23">
        <v>22.62</v>
      </c>
      <c r="O121" s="33">
        <v>-8.9999999999999998E-4</v>
      </c>
      <c r="P121" s="33">
        <v>1.9699999999999999E-2</v>
      </c>
      <c r="Q121" s="23" t="s">
        <v>24</v>
      </c>
      <c r="R121" s="23">
        <v>0</v>
      </c>
      <c r="S121" s="23">
        <v>488.12</v>
      </c>
      <c r="U121" s="47">
        <v>44371</v>
      </c>
      <c r="V121" s="23" t="s">
        <v>118</v>
      </c>
      <c r="W121" s="23" t="s">
        <v>23</v>
      </c>
      <c r="X121" s="28">
        <v>44348.520833333336</v>
      </c>
      <c r="Y121" s="23">
        <v>5.7249999999999996</v>
      </c>
      <c r="Z121" s="28">
        <v>44349.541666666664</v>
      </c>
      <c r="AA121" s="23">
        <v>4.5</v>
      </c>
      <c r="AB121" s="33">
        <v>-0.214</v>
      </c>
      <c r="AC121" s="23">
        <v>11051.27</v>
      </c>
      <c r="AD121" s="33">
        <v>0.214</v>
      </c>
      <c r="AE121" s="23">
        <v>9021.4410000000007</v>
      </c>
      <c r="AF121" s="23">
        <v>51647.75</v>
      </c>
      <c r="AG121" s="23">
        <v>339815.02</v>
      </c>
      <c r="AH121" s="23">
        <v>31</v>
      </c>
      <c r="AI121" s="23">
        <v>356.49</v>
      </c>
      <c r="AJ121" s="33">
        <v>-5.6800000000000003E-2</v>
      </c>
      <c r="AK121" s="33">
        <v>0.26640000000000003</v>
      </c>
      <c r="AL121" s="23" t="s">
        <v>24</v>
      </c>
      <c r="AM121" s="23">
        <v>491.13</v>
      </c>
      <c r="AN121" s="23">
        <v>35368.400000000001</v>
      </c>
      <c r="AO121" s="23">
        <v>488.12</v>
      </c>
      <c r="AQ121" s="50">
        <f t="shared" si="1"/>
        <v>1.1656791480870645E-2</v>
      </c>
      <c r="AR121" s="50"/>
      <c r="AS121" s="48"/>
      <c r="AT121" s="50"/>
      <c r="AV121" s="47">
        <v>44348</v>
      </c>
      <c r="AW121" s="51">
        <v>0.52083333333333337</v>
      </c>
      <c r="AX121" t="s">
        <v>163</v>
      </c>
    </row>
    <row r="122" spans="1:50">
      <c r="A122" s="23" t="s">
        <v>22</v>
      </c>
      <c r="B122" s="23" t="s">
        <v>23</v>
      </c>
      <c r="C122" s="28">
        <v>44349.541666666664</v>
      </c>
      <c r="D122" s="23">
        <v>498</v>
      </c>
      <c r="E122" s="28">
        <v>44349.583333333336</v>
      </c>
      <c r="F122" s="23">
        <v>499.42500000000001</v>
      </c>
      <c r="G122" s="33">
        <v>2.8999999999999998E-3</v>
      </c>
      <c r="H122" s="23">
        <v>-143.35</v>
      </c>
      <c r="I122" s="33">
        <v>-2.8999999999999998E-3</v>
      </c>
      <c r="J122" s="23">
        <v>100.6</v>
      </c>
      <c r="K122" s="23">
        <v>50098.78</v>
      </c>
      <c r="L122" s="23">
        <v>19691.03</v>
      </c>
      <c r="M122" s="23">
        <v>5</v>
      </c>
      <c r="N122" s="23">
        <v>-28.67</v>
      </c>
      <c r="O122" s="33">
        <v>-3.8999999999999998E-3</v>
      </c>
      <c r="P122" s="33">
        <v>4.0000000000000001E-3</v>
      </c>
      <c r="Q122" s="23" t="s">
        <v>24</v>
      </c>
      <c r="R122" s="23">
        <v>0</v>
      </c>
      <c r="S122" s="23">
        <v>500.61</v>
      </c>
      <c r="U122" s="47">
        <v>44371</v>
      </c>
      <c r="V122" s="23" t="s">
        <v>135</v>
      </c>
      <c r="W122" s="23" t="s">
        <v>23</v>
      </c>
      <c r="X122" s="28">
        <v>44349.541666666664</v>
      </c>
      <c r="Y122" s="23">
        <v>20.3</v>
      </c>
      <c r="Z122" s="28">
        <v>44349.583333333336</v>
      </c>
      <c r="AA122" s="23">
        <v>21.625</v>
      </c>
      <c r="AB122" s="33">
        <v>6.5299999999999997E-2</v>
      </c>
      <c r="AC122" s="23">
        <v>-3373.78</v>
      </c>
      <c r="AD122" s="33">
        <v>-6.5299999999999997E-2</v>
      </c>
      <c r="AE122" s="23">
        <v>2546.2530000000002</v>
      </c>
      <c r="AF122" s="23">
        <v>51688.93</v>
      </c>
      <c r="AG122" s="23">
        <v>336441.23</v>
      </c>
      <c r="AH122" s="23">
        <v>5</v>
      </c>
      <c r="AI122" s="23">
        <v>-674.76</v>
      </c>
      <c r="AJ122" s="33">
        <v>-7.3899999999999993E-2</v>
      </c>
      <c r="AK122" s="33">
        <v>3.4500000000000003E-2</v>
      </c>
      <c r="AL122" s="23" t="s">
        <v>24</v>
      </c>
      <c r="AM122" s="23">
        <v>498</v>
      </c>
      <c r="AN122" s="23">
        <v>35142.5</v>
      </c>
      <c r="AO122" s="23">
        <v>500.61</v>
      </c>
      <c r="AQ122" s="50">
        <f t="shared" si="1"/>
        <v>4.0763052208835346E-2</v>
      </c>
      <c r="AR122" s="50"/>
      <c r="AS122" s="48"/>
      <c r="AT122" s="50"/>
      <c r="AV122" s="47">
        <v>44349</v>
      </c>
      <c r="AW122" s="51">
        <v>4.1666666666666664E-2</v>
      </c>
      <c r="AX122" t="s">
        <v>163</v>
      </c>
    </row>
    <row r="123" spans="1:50">
      <c r="A123" s="23" t="s">
        <v>22</v>
      </c>
      <c r="B123" s="23" t="s">
        <v>25</v>
      </c>
      <c r="C123" s="28">
        <v>44349.583333333336</v>
      </c>
      <c r="D123" s="23">
        <v>499.42500000000001</v>
      </c>
      <c r="E123" s="28">
        <v>44350.427083333336</v>
      </c>
      <c r="F123" s="23">
        <v>502.5</v>
      </c>
      <c r="G123" s="33">
        <v>6.1999999999999998E-3</v>
      </c>
      <c r="H123" s="23">
        <v>308.45999999999998</v>
      </c>
      <c r="I123" s="33">
        <v>6.1999999999999998E-3</v>
      </c>
      <c r="J123" s="23">
        <v>100.3124</v>
      </c>
      <c r="K123" s="23">
        <v>50098.52</v>
      </c>
      <c r="L123" s="23">
        <v>19999.490000000002</v>
      </c>
      <c r="M123" s="23">
        <v>14</v>
      </c>
      <c r="N123" s="23">
        <v>22.03</v>
      </c>
      <c r="O123" s="33">
        <v>-2.8E-3</v>
      </c>
      <c r="P123" s="33">
        <v>2.5600000000000001E-2</v>
      </c>
      <c r="Q123" s="23" t="s">
        <v>24</v>
      </c>
      <c r="R123" s="23">
        <v>0</v>
      </c>
      <c r="S123" s="23">
        <v>496.15</v>
      </c>
      <c r="U123" s="47">
        <v>44371</v>
      </c>
      <c r="V123" s="23" t="s">
        <v>121</v>
      </c>
      <c r="W123" s="23" t="s">
        <v>23</v>
      </c>
      <c r="X123" s="28">
        <v>44349.583333333336</v>
      </c>
      <c r="Y123" s="23">
        <v>14.125</v>
      </c>
      <c r="Z123" s="28">
        <v>44350.427083333336</v>
      </c>
      <c r="AA123" s="23">
        <v>13.324999999999999</v>
      </c>
      <c r="AB123" s="33">
        <v>-5.6599999999999998E-2</v>
      </c>
      <c r="AC123" s="23">
        <v>2927.57</v>
      </c>
      <c r="AD123" s="33">
        <v>5.6599999999999998E-2</v>
      </c>
      <c r="AE123" s="23">
        <v>3659.4580000000001</v>
      </c>
      <c r="AF123" s="23">
        <v>51689.84</v>
      </c>
      <c r="AG123" s="23">
        <v>339368.8</v>
      </c>
      <c r="AH123" s="23">
        <v>14</v>
      </c>
      <c r="AI123" s="23">
        <v>209.11</v>
      </c>
      <c r="AJ123" s="33">
        <v>-4.2500000000000003E-2</v>
      </c>
      <c r="AK123" s="33">
        <v>0.32390000000000002</v>
      </c>
      <c r="AL123" s="23" t="s">
        <v>24</v>
      </c>
      <c r="AM123" s="23">
        <v>499.42</v>
      </c>
      <c r="AN123" s="23">
        <v>35215.599999999999</v>
      </c>
      <c r="AO123" s="23">
        <v>496.15</v>
      </c>
      <c r="AQ123" s="50">
        <f t="shared" si="1"/>
        <v>2.8282808057346519E-2</v>
      </c>
      <c r="AR123" s="50"/>
      <c r="AS123" s="48"/>
      <c r="AT123" s="50"/>
      <c r="AV123" s="47">
        <v>44349</v>
      </c>
      <c r="AW123" s="51">
        <v>8.3333333333333329E-2</v>
      </c>
      <c r="AX123" t="s">
        <v>163</v>
      </c>
    </row>
    <row r="124" spans="1:50">
      <c r="A124" s="23" t="s">
        <v>22</v>
      </c>
      <c r="B124" s="23" t="s">
        <v>23</v>
      </c>
      <c r="C124" s="28">
        <v>44350.427083333336</v>
      </c>
      <c r="D124" s="23">
        <v>502.5</v>
      </c>
      <c r="E124" s="28">
        <v>44350.583333333336</v>
      </c>
      <c r="F124" s="23">
        <v>504.6</v>
      </c>
      <c r="G124" s="33">
        <v>4.1999999999999997E-3</v>
      </c>
      <c r="H124" s="23">
        <v>-209.37</v>
      </c>
      <c r="I124" s="33">
        <v>-4.1999999999999997E-3</v>
      </c>
      <c r="J124" s="23">
        <v>99.701070000000001</v>
      </c>
      <c r="K124" s="23">
        <v>50099.79</v>
      </c>
      <c r="L124" s="23">
        <v>19790.12</v>
      </c>
      <c r="M124" s="23">
        <v>16</v>
      </c>
      <c r="N124" s="23">
        <v>-13.09</v>
      </c>
      <c r="O124" s="33">
        <v>-4.1999999999999997E-3</v>
      </c>
      <c r="P124" s="33">
        <v>6.6E-3</v>
      </c>
      <c r="Q124" s="23" t="s">
        <v>24</v>
      </c>
      <c r="R124" s="23">
        <v>0</v>
      </c>
      <c r="S124" s="23">
        <v>511.69</v>
      </c>
      <c r="U124" s="47">
        <v>44371</v>
      </c>
      <c r="V124" s="23" t="s">
        <v>135</v>
      </c>
      <c r="W124" s="23" t="s">
        <v>23</v>
      </c>
      <c r="X124" s="28">
        <v>44350.427083333336</v>
      </c>
      <c r="Y124" s="23">
        <v>22.25</v>
      </c>
      <c r="Z124" s="28">
        <v>44350.583333333336</v>
      </c>
      <c r="AA124" s="23">
        <v>23.375</v>
      </c>
      <c r="AB124" s="33">
        <v>5.0599999999999999E-2</v>
      </c>
      <c r="AC124" s="23">
        <v>-2613.75</v>
      </c>
      <c r="AD124" s="33">
        <v>-5.0599999999999999E-2</v>
      </c>
      <c r="AE124" s="23">
        <v>2323.33</v>
      </c>
      <c r="AF124" s="23">
        <v>51694.1</v>
      </c>
      <c r="AG124" s="23">
        <v>336755.05</v>
      </c>
      <c r="AH124" s="23">
        <v>16</v>
      </c>
      <c r="AI124" s="23">
        <v>-163.36000000000001</v>
      </c>
      <c r="AJ124" s="33">
        <v>-5.3900000000000003E-2</v>
      </c>
      <c r="AK124" s="33">
        <v>4.8300000000000003E-2</v>
      </c>
      <c r="AL124" s="23" t="s">
        <v>24</v>
      </c>
      <c r="AM124" s="23">
        <v>502.5</v>
      </c>
      <c r="AN124" s="23">
        <v>35523.85</v>
      </c>
      <c r="AO124" s="23">
        <v>511.69</v>
      </c>
      <c r="AQ124" s="50">
        <f t="shared" si="1"/>
        <v>4.4278606965174126E-2</v>
      </c>
      <c r="AR124" s="50"/>
      <c r="AS124" s="48"/>
      <c r="AT124" s="50"/>
      <c r="AV124" s="47">
        <v>44350</v>
      </c>
      <c r="AW124" s="51">
        <v>0.42708333333333331</v>
      </c>
      <c r="AX124" t="s">
        <v>162</v>
      </c>
    </row>
    <row r="125" spans="1:50">
      <c r="A125" s="23" t="s">
        <v>22</v>
      </c>
      <c r="B125" s="23" t="s">
        <v>25</v>
      </c>
      <c r="C125" s="28">
        <v>44350.583333333336</v>
      </c>
      <c r="D125" s="23">
        <v>504.6</v>
      </c>
      <c r="E125" s="28">
        <v>44351.46875</v>
      </c>
      <c r="F125" s="23">
        <v>506.17500000000001</v>
      </c>
      <c r="G125" s="33">
        <v>3.0999999999999999E-3</v>
      </c>
      <c r="H125" s="23">
        <v>156.37</v>
      </c>
      <c r="I125" s="33">
        <v>3.0999999999999999E-3</v>
      </c>
      <c r="J125" s="23">
        <v>99.284880000000001</v>
      </c>
      <c r="K125" s="23">
        <v>50099.15</v>
      </c>
      <c r="L125" s="23">
        <v>19946.5</v>
      </c>
      <c r="M125" s="23">
        <v>18</v>
      </c>
      <c r="N125" s="23">
        <v>8.69</v>
      </c>
      <c r="O125" s="33">
        <v>-5.4999999999999997E-3</v>
      </c>
      <c r="P125" s="33">
        <v>1.0999999999999999E-2</v>
      </c>
      <c r="Q125" s="23" t="s">
        <v>24</v>
      </c>
      <c r="R125" s="23">
        <v>0</v>
      </c>
      <c r="S125" s="23">
        <v>499.42</v>
      </c>
      <c r="U125" s="47">
        <v>44371</v>
      </c>
      <c r="V125" s="23" t="s">
        <v>121</v>
      </c>
      <c r="W125" s="23" t="s">
        <v>23</v>
      </c>
      <c r="X125" s="28">
        <v>44350.583333333336</v>
      </c>
      <c r="Y125" s="23">
        <v>11.775</v>
      </c>
      <c r="Z125" s="28">
        <v>44351.46875</v>
      </c>
      <c r="AA125" s="23">
        <v>10.775</v>
      </c>
      <c r="AB125" s="33">
        <v>-8.4900000000000003E-2</v>
      </c>
      <c r="AC125" s="23">
        <v>4389.6499999999996</v>
      </c>
      <c r="AD125" s="33">
        <v>8.4900000000000003E-2</v>
      </c>
      <c r="AE125" s="23">
        <v>4389.6499999999996</v>
      </c>
      <c r="AF125" s="23">
        <v>51688.13</v>
      </c>
      <c r="AG125" s="23">
        <v>341144.7</v>
      </c>
      <c r="AH125" s="23">
        <v>18</v>
      </c>
      <c r="AI125" s="23">
        <v>243.87</v>
      </c>
      <c r="AJ125" s="33">
        <v>-1.9099999999999999E-2</v>
      </c>
      <c r="AK125" s="33">
        <v>0.1507</v>
      </c>
      <c r="AL125" s="23" t="s">
        <v>24</v>
      </c>
      <c r="AM125" s="23">
        <v>504.6</v>
      </c>
      <c r="AN125" s="23">
        <v>35694.6</v>
      </c>
      <c r="AO125" s="23">
        <v>499.42</v>
      </c>
      <c r="AQ125" s="50">
        <f t="shared" si="1"/>
        <v>2.3335315101070155E-2</v>
      </c>
      <c r="AR125" s="50"/>
      <c r="AS125" s="48"/>
      <c r="AT125" s="50"/>
      <c r="AV125" s="47">
        <v>44350</v>
      </c>
      <c r="AW125" s="51">
        <v>8.3333333333333329E-2</v>
      </c>
      <c r="AX125" t="s">
        <v>163</v>
      </c>
    </row>
    <row r="126" spans="1:50">
      <c r="A126" s="23" t="s">
        <v>22</v>
      </c>
      <c r="B126" s="23" t="s">
        <v>23</v>
      </c>
      <c r="C126" s="28">
        <v>44351.46875</v>
      </c>
      <c r="D126" s="23">
        <v>506.17500000000001</v>
      </c>
      <c r="E126" s="28">
        <v>44351.635416666664</v>
      </c>
      <c r="F126" s="23">
        <v>504.4</v>
      </c>
      <c r="G126" s="33">
        <v>-3.5000000000000001E-3</v>
      </c>
      <c r="H126" s="23">
        <v>175.68</v>
      </c>
      <c r="I126" s="33">
        <v>3.5000000000000001E-3</v>
      </c>
      <c r="J126" s="23">
        <v>98.975229999999996</v>
      </c>
      <c r="K126" s="23">
        <v>50098.79</v>
      </c>
      <c r="L126" s="23">
        <v>20122.18</v>
      </c>
      <c r="M126" s="23">
        <v>17</v>
      </c>
      <c r="N126" s="23">
        <v>10.33</v>
      </c>
      <c r="O126" s="33">
        <v>-2.5999999999999999E-3</v>
      </c>
      <c r="P126" s="33">
        <v>1.3899999999999999E-2</v>
      </c>
      <c r="Q126" s="23" t="s">
        <v>24</v>
      </c>
      <c r="R126" s="23">
        <v>0</v>
      </c>
      <c r="S126" s="23">
        <v>509.88</v>
      </c>
      <c r="U126" s="47">
        <v>44371</v>
      </c>
      <c r="V126" s="23" t="s">
        <v>136</v>
      </c>
      <c r="W126" s="23" t="s">
        <v>23</v>
      </c>
      <c r="X126" s="28">
        <v>44351.46875</v>
      </c>
      <c r="Y126" s="23">
        <v>18.024999999999999</v>
      </c>
      <c r="Z126" s="28">
        <v>44351.635416666664</v>
      </c>
      <c r="AA126" s="23">
        <v>15.625</v>
      </c>
      <c r="AB126" s="33">
        <v>-0.1331</v>
      </c>
      <c r="AC126" s="23">
        <v>6883.15</v>
      </c>
      <c r="AD126" s="33">
        <v>0.1331</v>
      </c>
      <c r="AE126" s="23">
        <v>2867.9780000000001</v>
      </c>
      <c r="AF126" s="23">
        <v>51695.3</v>
      </c>
      <c r="AG126" s="23">
        <v>348027.85</v>
      </c>
      <c r="AH126" s="23">
        <v>17</v>
      </c>
      <c r="AI126" s="23">
        <v>404.89</v>
      </c>
      <c r="AJ126" s="33">
        <v>0</v>
      </c>
      <c r="AK126" s="33">
        <v>0.15260000000000001</v>
      </c>
      <c r="AL126" s="23" t="s">
        <v>24</v>
      </c>
      <c r="AM126" s="23">
        <v>506.17</v>
      </c>
      <c r="AN126" s="23">
        <v>35403.15</v>
      </c>
      <c r="AO126" s="23">
        <v>509.88</v>
      </c>
      <c r="AQ126" s="50">
        <f t="shared" si="1"/>
        <v>3.5610565620246157E-2</v>
      </c>
      <c r="AR126" s="50"/>
      <c r="AS126" s="48"/>
      <c r="AT126" s="50"/>
      <c r="AV126" s="47">
        <v>44351</v>
      </c>
      <c r="AW126" s="51">
        <v>0.46875</v>
      </c>
      <c r="AX126" t="s">
        <v>162</v>
      </c>
    </row>
    <row r="127" spans="1:50">
      <c r="A127" s="23" t="s">
        <v>22</v>
      </c>
      <c r="B127" s="23" t="s">
        <v>25</v>
      </c>
      <c r="C127" s="28">
        <v>44351.635416666664</v>
      </c>
      <c r="D127" s="23">
        <v>504.4</v>
      </c>
      <c r="E127" s="28">
        <v>44354.541666666664</v>
      </c>
      <c r="F127" s="23">
        <v>505.25</v>
      </c>
      <c r="G127" s="33">
        <v>1.6999999999999999E-3</v>
      </c>
      <c r="H127" s="23">
        <v>84.43</v>
      </c>
      <c r="I127" s="33">
        <v>1.6999999999999999E-3</v>
      </c>
      <c r="J127" s="23">
        <v>99.33202</v>
      </c>
      <c r="K127" s="23">
        <v>50103.07</v>
      </c>
      <c r="L127" s="23">
        <v>20206.61</v>
      </c>
      <c r="M127" s="23">
        <v>20</v>
      </c>
      <c r="N127" s="23">
        <v>4.22</v>
      </c>
      <c r="O127" s="33">
        <v>-1.1299999999999999E-2</v>
      </c>
      <c r="P127" s="33">
        <v>1.21E-2</v>
      </c>
      <c r="Q127" s="23" t="s">
        <v>24</v>
      </c>
      <c r="R127" s="23">
        <v>0</v>
      </c>
      <c r="S127" s="23">
        <v>498.7</v>
      </c>
      <c r="U127" s="47">
        <v>44371</v>
      </c>
      <c r="V127" s="23" t="s">
        <v>105</v>
      </c>
      <c r="W127" s="23" t="s">
        <v>23</v>
      </c>
      <c r="X127" s="28">
        <v>44351.635416666664</v>
      </c>
      <c r="Y127" s="23">
        <v>14.225</v>
      </c>
      <c r="Z127" s="28">
        <v>44354.541666666664</v>
      </c>
      <c r="AA127" s="23">
        <v>13.8</v>
      </c>
      <c r="AB127" s="33">
        <v>-2.9899999999999999E-2</v>
      </c>
      <c r="AC127" s="23">
        <v>1545.85</v>
      </c>
      <c r="AD127" s="33">
        <v>2.9899999999999999E-2</v>
      </c>
      <c r="AE127" s="23">
        <v>3637.2930000000001</v>
      </c>
      <c r="AF127" s="23">
        <v>51740.5</v>
      </c>
      <c r="AG127" s="23">
        <v>349573.7</v>
      </c>
      <c r="AH127" s="23">
        <v>20</v>
      </c>
      <c r="AI127" s="23">
        <v>77.290000000000006</v>
      </c>
      <c r="AJ127" s="33">
        <v>-0.23019999999999999</v>
      </c>
      <c r="AK127" s="33">
        <v>0.14940000000000001</v>
      </c>
      <c r="AL127" s="23" t="s">
        <v>24</v>
      </c>
      <c r="AM127" s="23">
        <v>504.4</v>
      </c>
      <c r="AN127" s="23">
        <v>35345.1</v>
      </c>
      <c r="AO127" s="23">
        <v>498.7</v>
      </c>
      <c r="AQ127" s="50">
        <f t="shared" si="1"/>
        <v>2.820182394924663E-2</v>
      </c>
      <c r="AR127" s="50"/>
      <c r="AS127" s="48"/>
      <c r="AT127" s="50"/>
      <c r="AV127" s="47">
        <v>44351</v>
      </c>
      <c r="AW127" s="51">
        <v>0.13541666666666666</v>
      </c>
      <c r="AX127" t="s">
        <v>163</v>
      </c>
    </row>
    <row r="128" spans="1:50">
      <c r="A128" s="23" t="s">
        <v>22</v>
      </c>
      <c r="B128" s="23" t="s">
        <v>23</v>
      </c>
      <c r="C128" s="28">
        <v>44354.541666666664</v>
      </c>
      <c r="D128" s="23">
        <v>505.25</v>
      </c>
      <c r="E128" s="28">
        <v>44354.59375</v>
      </c>
      <c r="F128" s="23">
        <v>509</v>
      </c>
      <c r="G128" s="33">
        <v>7.4000000000000003E-3</v>
      </c>
      <c r="H128" s="23">
        <v>-371.86</v>
      </c>
      <c r="I128" s="33">
        <v>-7.4000000000000003E-3</v>
      </c>
      <c r="J128" s="23">
        <v>99.161510000000007</v>
      </c>
      <c r="K128" s="23">
        <v>50101.36</v>
      </c>
      <c r="L128" s="23">
        <v>19834.75</v>
      </c>
      <c r="M128" s="23">
        <v>6</v>
      </c>
      <c r="N128" s="23">
        <v>-61.98</v>
      </c>
      <c r="O128" s="33">
        <v>-7.4000000000000003E-3</v>
      </c>
      <c r="P128" s="33">
        <v>1.5E-3</v>
      </c>
      <c r="Q128" s="23" t="s">
        <v>24</v>
      </c>
      <c r="R128" s="23">
        <v>0</v>
      </c>
      <c r="S128" s="23">
        <v>510.38</v>
      </c>
      <c r="U128" s="47">
        <v>44371</v>
      </c>
      <c r="V128" s="23" t="s">
        <v>135</v>
      </c>
      <c r="W128" s="23" t="s">
        <v>23</v>
      </c>
      <c r="X128" s="28">
        <v>44354.541666666664</v>
      </c>
      <c r="Y128" s="23">
        <v>22.725000000000001</v>
      </c>
      <c r="Z128" s="28">
        <v>44354.59375</v>
      </c>
      <c r="AA128" s="23">
        <v>23.85</v>
      </c>
      <c r="AB128" s="33">
        <v>4.9500000000000002E-2</v>
      </c>
      <c r="AC128" s="23">
        <v>-2561.8200000000002</v>
      </c>
      <c r="AD128" s="33">
        <v>-4.9500000000000002E-2</v>
      </c>
      <c r="AE128" s="23">
        <v>2277.174</v>
      </c>
      <c r="AF128" s="23">
        <v>51748.78</v>
      </c>
      <c r="AG128" s="23">
        <v>347011.88</v>
      </c>
      <c r="AH128" s="23">
        <v>6</v>
      </c>
      <c r="AI128" s="23">
        <v>-426.97</v>
      </c>
      <c r="AJ128" s="33">
        <v>-7.3700000000000002E-2</v>
      </c>
      <c r="AK128" s="33">
        <v>9.9000000000000008E-3</v>
      </c>
      <c r="AL128" s="23" t="s">
        <v>24</v>
      </c>
      <c r="AM128" s="23">
        <v>505.25</v>
      </c>
      <c r="AN128" s="23">
        <v>35447.15</v>
      </c>
      <c r="AO128" s="23">
        <v>510.38</v>
      </c>
      <c r="AQ128" s="50">
        <f t="shared" si="1"/>
        <v>4.4977733795150916E-2</v>
      </c>
      <c r="AR128" s="50"/>
      <c r="AS128" s="48"/>
      <c r="AT128" s="50"/>
      <c r="AV128" s="47">
        <v>44354</v>
      </c>
      <c r="AW128" s="51">
        <v>4.1666666666666664E-2</v>
      </c>
      <c r="AX128" t="s">
        <v>163</v>
      </c>
    </row>
    <row r="129" spans="1:50">
      <c r="A129" s="23" t="s">
        <v>22</v>
      </c>
      <c r="B129" s="23" t="s">
        <v>25</v>
      </c>
      <c r="C129" s="28">
        <v>44354.59375</v>
      </c>
      <c r="D129" s="23">
        <v>509</v>
      </c>
      <c r="E129" s="28">
        <v>44355.385416666664</v>
      </c>
      <c r="F129" s="23">
        <v>506.92500000000001</v>
      </c>
      <c r="G129" s="33">
        <v>-4.1000000000000003E-3</v>
      </c>
      <c r="H129" s="23">
        <v>-204.24</v>
      </c>
      <c r="I129" s="33">
        <v>-4.1000000000000003E-3</v>
      </c>
      <c r="J129" s="23">
        <v>98.42801</v>
      </c>
      <c r="K129" s="23">
        <v>50099.86</v>
      </c>
      <c r="L129" s="23">
        <v>19630.52</v>
      </c>
      <c r="M129" s="23">
        <v>9</v>
      </c>
      <c r="N129" s="23">
        <v>-22.69</v>
      </c>
      <c r="O129" s="33">
        <v>-4.1000000000000003E-3</v>
      </c>
      <c r="P129" s="33">
        <v>1.1599999999999999E-2</v>
      </c>
      <c r="Q129" s="23" t="s">
        <v>24</v>
      </c>
      <c r="R129" s="23">
        <v>0</v>
      </c>
      <c r="S129" s="23">
        <v>504.69</v>
      </c>
      <c r="U129" s="47">
        <v>44371</v>
      </c>
      <c r="V129" s="23" t="s">
        <v>125</v>
      </c>
      <c r="W129" s="23" t="s">
        <v>23</v>
      </c>
      <c r="X129" s="28">
        <v>44354.59375</v>
      </c>
      <c r="Y129" s="23">
        <v>17.125</v>
      </c>
      <c r="Z129" s="28">
        <v>44355.385416666664</v>
      </c>
      <c r="AA129" s="23">
        <v>17.024999999999999</v>
      </c>
      <c r="AB129" s="33">
        <v>-5.7999999999999996E-3</v>
      </c>
      <c r="AC129" s="23">
        <v>302.10000000000002</v>
      </c>
      <c r="AD129" s="33">
        <v>5.7999999999999996E-3</v>
      </c>
      <c r="AE129" s="23">
        <v>3021.0250000000001</v>
      </c>
      <c r="AF129" s="23">
        <v>51735.06</v>
      </c>
      <c r="AG129" s="23">
        <v>347313.98</v>
      </c>
      <c r="AH129" s="23">
        <v>9</v>
      </c>
      <c r="AI129" s="23">
        <v>33.57</v>
      </c>
      <c r="AJ129" s="33">
        <v>-7.2999999999999995E-2</v>
      </c>
      <c r="AK129" s="33">
        <v>9.4899999999999998E-2</v>
      </c>
      <c r="AL129" s="23" t="s">
        <v>24</v>
      </c>
      <c r="AM129" s="23">
        <v>509</v>
      </c>
      <c r="AN129" s="23">
        <v>35499.5</v>
      </c>
      <c r="AO129" s="23">
        <v>504.69</v>
      </c>
      <c r="AQ129" s="50">
        <f t="shared" si="1"/>
        <v>3.3644400785854615E-2</v>
      </c>
      <c r="AR129" s="50"/>
      <c r="AS129" s="48"/>
      <c r="AT129" s="50"/>
      <c r="AV129" s="47">
        <v>44354</v>
      </c>
      <c r="AW129" s="51">
        <v>9.375E-2</v>
      </c>
      <c r="AX129" t="s">
        <v>163</v>
      </c>
    </row>
    <row r="130" spans="1:50">
      <c r="A130" s="23" t="s">
        <v>22</v>
      </c>
      <c r="B130" s="23" t="s">
        <v>23</v>
      </c>
      <c r="C130" s="28">
        <v>44355.385416666664</v>
      </c>
      <c r="D130" s="23">
        <v>506.92500000000001</v>
      </c>
      <c r="E130" s="28">
        <v>44356.395833333336</v>
      </c>
      <c r="F130" s="23">
        <v>505.47500000000002</v>
      </c>
      <c r="G130" s="33">
        <v>-2.8999999999999998E-3</v>
      </c>
      <c r="H130" s="23">
        <v>143.31</v>
      </c>
      <c r="I130" s="33">
        <v>2.8999999999999998E-3</v>
      </c>
      <c r="J130" s="23">
        <v>98.834900000000005</v>
      </c>
      <c r="K130" s="23">
        <v>50101.88</v>
      </c>
      <c r="L130" s="23">
        <v>19773.830000000002</v>
      </c>
      <c r="M130" s="23">
        <v>30</v>
      </c>
      <c r="N130" s="23">
        <v>4.78</v>
      </c>
      <c r="O130" s="33">
        <v>-1.4999999999999999E-2</v>
      </c>
      <c r="P130" s="33">
        <v>1.2699999999999999E-2</v>
      </c>
      <c r="Q130" s="23" t="s">
        <v>24</v>
      </c>
      <c r="R130" s="23">
        <v>0</v>
      </c>
      <c r="S130" s="23">
        <v>514.91999999999996</v>
      </c>
      <c r="U130" s="47">
        <v>44371</v>
      </c>
      <c r="V130" s="23" t="s">
        <v>136</v>
      </c>
      <c r="W130" s="23" t="s">
        <v>23</v>
      </c>
      <c r="X130" s="28">
        <v>44355.385416666664</v>
      </c>
      <c r="Y130" s="23">
        <v>17.55</v>
      </c>
      <c r="Z130" s="28">
        <v>44356.395833333336</v>
      </c>
      <c r="AA130" s="23">
        <v>15</v>
      </c>
      <c r="AB130" s="33">
        <v>-0.14530000000000001</v>
      </c>
      <c r="AC130" s="23">
        <v>7517.28</v>
      </c>
      <c r="AD130" s="33">
        <v>0.14530000000000001</v>
      </c>
      <c r="AE130" s="23">
        <v>2947.953</v>
      </c>
      <c r="AF130" s="23">
        <v>51736.57</v>
      </c>
      <c r="AG130" s="23">
        <v>354831.26</v>
      </c>
      <c r="AH130" s="23">
        <v>30</v>
      </c>
      <c r="AI130" s="23">
        <v>250.58</v>
      </c>
      <c r="AJ130" s="33">
        <v>-0.1111</v>
      </c>
      <c r="AK130" s="33">
        <v>0.25640000000000002</v>
      </c>
      <c r="AL130" s="23" t="s">
        <v>24</v>
      </c>
      <c r="AM130" s="23">
        <v>506.92</v>
      </c>
      <c r="AN130" s="23">
        <v>35265.15</v>
      </c>
      <c r="AO130" s="23">
        <v>514.91999999999996</v>
      </c>
      <c r="AQ130" s="50">
        <f t="shared" si="1"/>
        <v>3.4620847471001338E-2</v>
      </c>
      <c r="AR130" s="50"/>
      <c r="AS130" s="48"/>
      <c r="AT130" s="50"/>
      <c r="AV130" s="47">
        <v>44355</v>
      </c>
      <c r="AW130" s="51">
        <v>0.38541666666666669</v>
      </c>
      <c r="AX130" t="s">
        <v>162</v>
      </c>
    </row>
    <row r="131" spans="1:50">
      <c r="A131" s="23" t="s">
        <v>22</v>
      </c>
      <c r="B131" s="23" t="s">
        <v>25</v>
      </c>
      <c r="C131" s="28">
        <v>44356.395833333336</v>
      </c>
      <c r="D131" s="23">
        <v>505.47500000000002</v>
      </c>
      <c r="E131" s="28">
        <v>44356.53125</v>
      </c>
      <c r="F131" s="23">
        <v>506.625</v>
      </c>
      <c r="G131" s="33">
        <v>2.3E-3</v>
      </c>
      <c r="H131" s="23">
        <v>113.98</v>
      </c>
      <c r="I131" s="33">
        <v>2.3E-3</v>
      </c>
      <c r="J131" s="23">
        <v>99.114559999999997</v>
      </c>
      <c r="K131" s="23">
        <v>50099.93</v>
      </c>
      <c r="L131" s="23">
        <v>19887.810000000001</v>
      </c>
      <c r="M131" s="23">
        <v>14</v>
      </c>
      <c r="N131" s="23">
        <v>8.14</v>
      </c>
      <c r="O131" s="33">
        <v>-4.0000000000000001E-3</v>
      </c>
      <c r="P131" s="33">
        <v>8.9999999999999993E-3</v>
      </c>
      <c r="Q131" s="23" t="s">
        <v>24</v>
      </c>
      <c r="R131" s="23">
        <v>0</v>
      </c>
      <c r="S131" s="23">
        <v>500.7</v>
      </c>
      <c r="U131" s="47">
        <v>44371</v>
      </c>
      <c r="V131" s="23" t="s">
        <v>121</v>
      </c>
      <c r="W131" s="23" t="s">
        <v>23</v>
      </c>
      <c r="X131" s="28">
        <v>44356.395833333336</v>
      </c>
      <c r="Y131" s="23">
        <v>9.25</v>
      </c>
      <c r="Z131" s="28">
        <v>44356.53125</v>
      </c>
      <c r="AA131" s="23">
        <v>8.9</v>
      </c>
      <c r="AB131" s="33">
        <v>-3.78E-2</v>
      </c>
      <c r="AC131" s="23">
        <v>1960.11</v>
      </c>
      <c r="AD131" s="33">
        <v>3.78E-2</v>
      </c>
      <c r="AE131" s="23">
        <v>5600.3130000000001</v>
      </c>
      <c r="AF131" s="23">
        <v>51802.9</v>
      </c>
      <c r="AG131" s="23">
        <v>356791.37</v>
      </c>
      <c r="AH131" s="23">
        <v>14</v>
      </c>
      <c r="AI131" s="23">
        <v>140.01</v>
      </c>
      <c r="AJ131" s="33">
        <v>-0.1676</v>
      </c>
      <c r="AK131" s="33">
        <v>0.10539999999999999</v>
      </c>
      <c r="AL131" s="23" t="s">
        <v>24</v>
      </c>
      <c r="AM131" s="23">
        <v>505.48</v>
      </c>
      <c r="AN131" s="23">
        <v>35256.949999999997</v>
      </c>
      <c r="AO131" s="23">
        <v>500.7</v>
      </c>
      <c r="AQ131" s="50">
        <f t="shared" si="1"/>
        <v>1.8299438157790615E-2</v>
      </c>
      <c r="AR131" s="50"/>
      <c r="AS131" s="48"/>
      <c r="AT131" s="50"/>
      <c r="AV131" s="47">
        <v>44356</v>
      </c>
      <c r="AW131" s="51">
        <v>0.39583333333333331</v>
      </c>
      <c r="AX131" t="s">
        <v>162</v>
      </c>
    </row>
    <row r="132" spans="1:50">
      <c r="A132" s="23" t="s">
        <v>22</v>
      </c>
      <c r="B132" s="23" t="s">
        <v>23</v>
      </c>
      <c r="C132" s="28">
        <v>44356.53125</v>
      </c>
      <c r="D132" s="23">
        <v>506.625</v>
      </c>
      <c r="E132" s="28">
        <v>44357.385416666664</v>
      </c>
      <c r="F132" s="23">
        <v>496.82499999999999</v>
      </c>
      <c r="G132" s="33">
        <v>-1.9300000000000001E-2</v>
      </c>
      <c r="H132" s="23">
        <v>969.11</v>
      </c>
      <c r="I132" s="33">
        <v>1.9300000000000001E-2</v>
      </c>
      <c r="J132" s="23">
        <v>98.888869999999997</v>
      </c>
      <c r="K132" s="23">
        <v>50099.57</v>
      </c>
      <c r="L132" s="23">
        <v>20856.919999999998</v>
      </c>
      <c r="M132" s="23">
        <v>15</v>
      </c>
      <c r="N132" s="23">
        <v>64.61</v>
      </c>
      <c r="O132" s="33">
        <v>-1.5E-3</v>
      </c>
      <c r="P132" s="33">
        <v>3.1600000000000003E-2</v>
      </c>
      <c r="Q132" s="23" t="s">
        <v>24</v>
      </c>
      <c r="R132" s="23">
        <v>0</v>
      </c>
      <c r="S132" s="23">
        <v>510</v>
      </c>
      <c r="U132" s="47">
        <v>44371</v>
      </c>
      <c r="V132" s="23" t="s">
        <v>136</v>
      </c>
      <c r="W132" s="23" t="s">
        <v>23</v>
      </c>
      <c r="X132" s="28">
        <v>44356.53125</v>
      </c>
      <c r="Y132" s="23">
        <v>17</v>
      </c>
      <c r="Z132" s="28">
        <v>44357.385416666664</v>
      </c>
      <c r="AA132" s="23">
        <v>11.75</v>
      </c>
      <c r="AB132" s="33">
        <v>-0.30880000000000002</v>
      </c>
      <c r="AC132" s="23">
        <v>15992.1</v>
      </c>
      <c r="AD132" s="33">
        <v>0.30880000000000002</v>
      </c>
      <c r="AE132" s="23">
        <v>3046.1149999999998</v>
      </c>
      <c r="AF132" s="23">
        <v>51783.95</v>
      </c>
      <c r="AG132" s="23">
        <v>372783.47</v>
      </c>
      <c r="AH132" s="23">
        <v>15</v>
      </c>
      <c r="AI132" s="23">
        <v>1066.1400000000001</v>
      </c>
      <c r="AJ132" s="33">
        <v>-2.35E-2</v>
      </c>
      <c r="AK132" s="33">
        <v>0.30880000000000002</v>
      </c>
      <c r="AL132" s="23" t="s">
        <v>24</v>
      </c>
      <c r="AM132" s="23">
        <v>506.63</v>
      </c>
      <c r="AN132" s="23">
        <v>35215.65</v>
      </c>
      <c r="AO132" s="23">
        <v>510</v>
      </c>
      <c r="AQ132" s="50">
        <f t="shared" si="1"/>
        <v>3.3555059905651066E-2</v>
      </c>
      <c r="AR132" s="50"/>
      <c r="AS132" s="48"/>
      <c r="AT132" s="50"/>
      <c r="AV132" s="47">
        <v>44356</v>
      </c>
      <c r="AW132" s="51">
        <v>0.53125</v>
      </c>
      <c r="AX132" t="s">
        <v>163</v>
      </c>
    </row>
    <row r="133" spans="1:50">
      <c r="A133" s="23" t="s">
        <v>22</v>
      </c>
      <c r="B133" s="23" t="s">
        <v>25</v>
      </c>
      <c r="C133" s="28">
        <v>44357.385416666664</v>
      </c>
      <c r="D133" s="23">
        <v>496.82499999999999</v>
      </c>
      <c r="E133" s="28">
        <v>44357.416666666664</v>
      </c>
      <c r="F133" s="23">
        <v>494</v>
      </c>
      <c r="G133" s="33">
        <v>-5.7000000000000002E-3</v>
      </c>
      <c r="H133" s="23">
        <v>-284.89</v>
      </c>
      <c r="I133" s="33">
        <v>-5.7000000000000002E-3</v>
      </c>
      <c r="J133" s="23">
        <v>100.8458</v>
      </c>
      <c r="K133" s="23">
        <v>50102.71</v>
      </c>
      <c r="L133" s="23">
        <v>20572.03</v>
      </c>
      <c r="M133" s="23">
        <v>4</v>
      </c>
      <c r="N133" s="23">
        <v>-71.22</v>
      </c>
      <c r="O133" s="33">
        <v>-5.7000000000000002E-3</v>
      </c>
      <c r="P133" s="33">
        <v>7.6E-3</v>
      </c>
      <c r="Q133" s="23" t="s">
        <v>24</v>
      </c>
      <c r="R133" s="23">
        <v>0</v>
      </c>
      <c r="S133" s="23">
        <v>490.83</v>
      </c>
      <c r="U133" s="47">
        <v>44371</v>
      </c>
      <c r="V133" s="23" t="s">
        <v>105</v>
      </c>
      <c r="W133" s="23" t="s">
        <v>23</v>
      </c>
      <c r="X133" s="28">
        <v>44357.385416666664</v>
      </c>
      <c r="Y133" s="23">
        <v>16.95</v>
      </c>
      <c r="Z133" s="28">
        <v>44357.416666666664</v>
      </c>
      <c r="AA133" s="23">
        <v>20.5</v>
      </c>
      <c r="AB133" s="33">
        <v>0.2094</v>
      </c>
      <c r="AC133" s="23">
        <v>-10860.2</v>
      </c>
      <c r="AD133" s="33">
        <v>-0.2094</v>
      </c>
      <c r="AE133" s="23">
        <v>3059.2109999999998</v>
      </c>
      <c r="AF133" s="23">
        <v>51853.64</v>
      </c>
      <c r="AG133" s="23">
        <v>361923.27</v>
      </c>
      <c r="AH133" s="23">
        <v>4</v>
      </c>
      <c r="AI133" s="23">
        <v>-2715.05</v>
      </c>
      <c r="AJ133" s="33">
        <v>-0.2094</v>
      </c>
      <c r="AK133" s="33">
        <v>0</v>
      </c>
      <c r="AL133" s="23" t="s">
        <v>24</v>
      </c>
      <c r="AM133" s="23">
        <v>496.83</v>
      </c>
      <c r="AN133" s="23">
        <v>34835.699999999997</v>
      </c>
      <c r="AO133" s="23">
        <v>490.83</v>
      </c>
      <c r="AQ133" s="50">
        <f t="shared" si="1"/>
        <v>3.4116297325040755E-2</v>
      </c>
      <c r="AR133" s="50"/>
      <c r="AS133" s="48"/>
      <c r="AT133" s="50"/>
      <c r="AV133" s="47">
        <v>44357</v>
      </c>
      <c r="AW133" s="51">
        <v>0.38541666666666669</v>
      </c>
      <c r="AX133" t="s">
        <v>162</v>
      </c>
    </row>
    <row r="134" spans="1:50">
      <c r="A134" s="23" t="s">
        <v>22</v>
      </c>
      <c r="B134" s="23" t="s">
        <v>23</v>
      </c>
      <c r="C134" s="28">
        <v>44357.416666666664</v>
      </c>
      <c r="D134" s="23">
        <v>494</v>
      </c>
      <c r="E134" s="28">
        <v>44357.5625</v>
      </c>
      <c r="F134" s="23">
        <v>495.27499999999998</v>
      </c>
      <c r="G134" s="33">
        <v>2.5999999999999999E-3</v>
      </c>
      <c r="H134" s="23">
        <v>-129.31</v>
      </c>
      <c r="I134" s="33">
        <v>-2.5999999999999999E-3</v>
      </c>
      <c r="J134" s="23">
        <v>101.4235</v>
      </c>
      <c r="K134" s="23">
        <v>50103.21</v>
      </c>
      <c r="L134" s="23">
        <v>20442.71</v>
      </c>
      <c r="M134" s="23">
        <v>15</v>
      </c>
      <c r="N134" s="23">
        <v>-8.6199999999999992</v>
      </c>
      <c r="O134" s="33">
        <v>-4.5999999999999999E-3</v>
      </c>
      <c r="P134" s="33">
        <v>8.0999999999999996E-3</v>
      </c>
      <c r="Q134" s="23" t="s">
        <v>24</v>
      </c>
      <c r="R134" s="23">
        <v>0</v>
      </c>
      <c r="S134" s="23">
        <v>500.46</v>
      </c>
      <c r="U134" s="47">
        <v>44371</v>
      </c>
      <c r="V134" s="23" t="s">
        <v>134</v>
      </c>
      <c r="W134" s="23" t="s">
        <v>23</v>
      </c>
      <c r="X134" s="28">
        <v>44357.416666666664</v>
      </c>
      <c r="Y134" s="23">
        <v>19</v>
      </c>
      <c r="Z134" s="28">
        <v>44357.5625</v>
      </c>
      <c r="AA134" s="23">
        <v>20</v>
      </c>
      <c r="AB134" s="33">
        <v>5.2600000000000001E-2</v>
      </c>
      <c r="AC134" s="23">
        <v>-2727.87</v>
      </c>
      <c r="AD134" s="33">
        <v>-5.2600000000000001E-2</v>
      </c>
      <c r="AE134" s="23">
        <v>2727.8679999999999</v>
      </c>
      <c r="AF134" s="23">
        <v>51829.5</v>
      </c>
      <c r="AG134" s="23">
        <v>359195.41</v>
      </c>
      <c r="AH134" s="23">
        <v>15</v>
      </c>
      <c r="AI134" s="23">
        <v>-181.86</v>
      </c>
      <c r="AJ134" s="33">
        <v>-0.13159999999999999</v>
      </c>
      <c r="AK134" s="33">
        <v>0.1053</v>
      </c>
      <c r="AL134" s="23" t="s">
        <v>24</v>
      </c>
      <c r="AM134" s="23">
        <v>494</v>
      </c>
      <c r="AN134" s="23">
        <v>34832.400000000001</v>
      </c>
      <c r="AO134" s="23">
        <v>500.46</v>
      </c>
      <c r="AQ134" s="50">
        <f t="shared" si="1"/>
        <v>3.8461538461538464E-2</v>
      </c>
      <c r="AR134" s="50"/>
      <c r="AS134" s="48"/>
      <c r="AT134" s="50"/>
      <c r="AV134" s="47">
        <v>44357</v>
      </c>
      <c r="AW134" s="51">
        <v>0.41666666666666669</v>
      </c>
      <c r="AX134" t="s">
        <v>162</v>
      </c>
    </row>
    <row r="135" spans="1:50">
      <c r="A135" s="23" t="s">
        <v>22</v>
      </c>
      <c r="B135" s="23" t="s">
        <v>25</v>
      </c>
      <c r="C135" s="28">
        <v>44357.5625</v>
      </c>
      <c r="D135" s="23">
        <v>495.27499999999998</v>
      </c>
      <c r="E135" s="28">
        <v>44358.604166666664</v>
      </c>
      <c r="F135" s="23">
        <v>521.29999999999995</v>
      </c>
      <c r="G135" s="33">
        <v>5.2499999999999998E-2</v>
      </c>
      <c r="H135" s="23">
        <v>2632.73</v>
      </c>
      <c r="I135" s="33">
        <v>5.2499999999999998E-2</v>
      </c>
      <c r="J135" s="23">
        <v>101.16160000000001</v>
      </c>
      <c r="K135" s="23">
        <v>50102.8</v>
      </c>
      <c r="L135" s="23">
        <v>23075.439999999999</v>
      </c>
      <c r="M135" s="23">
        <v>33</v>
      </c>
      <c r="N135" s="23">
        <v>79.78</v>
      </c>
      <c r="O135" s="33">
        <v>-3.0999999999999999E-3</v>
      </c>
      <c r="P135" s="33">
        <v>7.3800000000000004E-2</v>
      </c>
      <c r="Q135" s="23" t="s">
        <v>24</v>
      </c>
      <c r="R135" s="23">
        <v>0</v>
      </c>
      <c r="S135" s="23">
        <v>490.21</v>
      </c>
      <c r="U135" s="47">
        <v>44371</v>
      </c>
      <c r="V135" s="23" t="s">
        <v>118</v>
      </c>
      <c r="W135" s="23" t="s">
        <v>23</v>
      </c>
      <c r="X135" s="28">
        <v>44357.5625</v>
      </c>
      <c r="Y135" s="23">
        <v>3.0750000000000002</v>
      </c>
      <c r="Z135" s="28">
        <v>44358.604166666664</v>
      </c>
      <c r="AA135" s="23">
        <v>2.5</v>
      </c>
      <c r="AB135" s="33">
        <v>-0.187</v>
      </c>
      <c r="AC135" s="23">
        <v>9687.34</v>
      </c>
      <c r="AD135" s="33">
        <v>0.187</v>
      </c>
      <c r="AE135" s="23">
        <v>16847.55</v>
      </c>
      <c r="AF135" s="23">
        <v>51806.21</v>
      </c>
      <c r="AG135" s="23">
        <v>368882.74</v>
      </c>
      <c r="AH135" s="23">
        <v>33</v>
      </c>
      <c r="AI135" s="23">
        <v>293.56</v>
      </c>
      <c r="AJ135" s="33">
        <v>-7.3200000000000001E-2</v>
      </c>
      <c r="AK135" s="33">
        <v>0.58540000000000003</v>
      </c>
      <c r="AL135" s="23" t="s">
        <v>24</v>
      </c>
      <c r="AM135" s="23">
        <v>495.27</v>
      </c>
      <c r="AN135" s="23">
        <v>34951.4</v>
      </c>
      <c r="AO135" s="23">
        <v>490.21</v>
      </c>
      <c r="AQ135" s="50">
        <f t="shared" si="1"/>
        <v>6.2087346295959783E-3</v>
      </c>
      <c r="AR135" s="50"/>
      <c r="AS135" s="48"/>
      <c r="AT135" s="50"/>
      <c r="AV135" s="47">
        <v>44357</v>
      </c>
      <c r="AW135" s="51">
        <v>6.25E-2</v>
      </c>
      <c r="AX135" t="s">
        <v>163</v>
      </c>
    </row>
    <row r="136" spans="1:50">
      <c r="A136" s="23" t="s">
        <v>22</v>
      </c>
      <c r="B136" s="23" t="s">
        <v>23</v>
      </c>
      <c r="C136" s="28">
        <v>44358.604166666664</v>
      </c>
      <c r="D136" s="23">
        <v>521.29999999999995</v>
      </c>
      <c r="E136" s="28">
        <v>44361.447916666664</v>
      </c>
      <c r="F136" s="23">
        <v>523.52499999999998</v>
      </c>
      <c r="G136" s="33">
        <v>4.3E-3</v>
      </c>
      <c r="H136" s="23">
        <v>-213.9</v>
      </c>
      <c r="I136" s="33">
        <v>-4.3E-3</v>
      </c>
      <c r="J136" s="23">
        <v>96.136189999999999</v>
      </c>
      <c r="K136" s="23">
        <v>50115.8</v>
      </c>
      <c r="L136" s="23">
        <v>22861.54</v>
      </c>
      <c r="M136" s="23">
        <v>14</v>
      </c>
      <c r="N136" s="23">
        <v>-15.28</v>
      </c>
      <c r="O136" s="33">
        <v>-8.2000000000000007E-3</v>
      </c>
      <c r="P136" s="33">
        <v>2.98E-2</v>
      </c>
      <c r="Q136" s="23" t="s">
        <v>24</v>
      </c>
      <c r="R136" s="23">
        <v>0</v>
      </c>
      <c r="S136" s="23">
        <v>531.85</v>
      </c>
      <c r="U136" s="47">
        <v>44371</v>
      </c>
      <c r="V136" s="23" t="s">
        <v>124</v>
      </c>
      <c r="W136" s="23" t="s">
        <v>23</v>
      </c>
      <c r="X136" s="28">
        <v>44358.604166666664</v>
      </c>
      <c r="Y136" s="23">
        <v>21.524999999999999</v>
      </c>
      <c r="Z136" s="28">
        <v>44361.447916666664</v>
      </c>
      <c r="AA136" s="23">
        <v>21</v>
      </c>
      <c r="AB136" s="33">
        <v>-2.4400000000000002E-2</v>
      </c>
      <c r="AC136" s="23">
        <v>1264.96</v>
      </c>
      <c r="AD136" s="33">
        <v>2.4400000000000002E-2</v>
      </c>
      <c r="AE136" s="23">
        <v>2409.4479999999999</v>
      </c>
      <c r="AF136" s="23">
        <v>51863.37</v>
      </c>
      <c r="AG136" s="23">
        <v>370147.7</v>
      </c>
      <c r="AH136" s="23">
        <v>14</v>
      </c>
      <c r="AI136" s="23">
        <v>90.35</v>
      </c>
      <c r="AJ136" s="33">
        <v>-0.50990000000000002</v>
      </c>
      <c r="AK136" s="33">
        <v>0.51570000000000005</v>
      </c>
      <c r="AL136" s="23" t="s">
        <v>24</v>
      </c>
      <c r="AM136" s="23">
        <v>521.29999999999995</v>
      </c>
      <c r="AN136" s="23">
        <v>35077.949999999997</v>
      </c>
      <c r="AO136" s="23">
        <v>531.85</v>
      </c>
      <c r="AQ136" s="50">
        <f t="shared" ref="AQ136:AQ199" si="2">Y136/AM136</f>
        <v>4.1291003261078076E-2</v>
      </c>
      <c r="AR136" s="50"/>
      <c r="AS136" s="48"/>
      <c r="AT136" s="50"/>
      <c r="AV136" s="47">
        <v>44358</v>
      </c>
      <c r="AW136" s="51">
        <v>0.10416666666666667</v>
      </c>
      <c r="AX136" t="s">
        <v>163</v>
      </c>
    </row>
    <row r="137" spans="1:50">
      <c r="A137" s="23" t="s">
        <v>22</v>
      </c>
      <c r="B137" s="23" t="s">
        <v>25</v>
      </c>
      <c r="C137" s="28">
        <v>44361.447916666664</v>
      </c>
      <c r="D137" s="23">
        <v>523.52499999999998</v>
      </c>
      <c r="E137" s="28">
        <v>44362.458333333336</v>
      </c>
      <c r="F137" s="23">
        <v>534.4</v>
      </c>
      <c r="G137" s="33">
        <v>2.0799999999999999E-2</v>
      </c>
      <c r="H137" s="23">
        <v>1041.03</v>
      </c>
      <c r="I137" s="33">
        <v>2.0799999999999999E-2</v>
      </c>
      <c r="J137" s="23">
        <v>95.727329999999995</v>
      </c>
      <c r="K137" s="23">
        <v>50115.66</v>
      </c>
      <c r="L137" s="23">
        <v>23902.58</v>
      </c>
      <c r="M137" s="23">
        <v>30</v>
      </c>
      <c r="N137" s="23">
        <v>34.700000000000003</v>
      </c>
      <c r="O137" s="33">
        <v>-6.1999999999999998E-3</v>
      </c>
      <c r="P137" s="33">
        <v>3.8699999999999998E-2</v>
      </c>
      <c r="Q137" s="23" t="s">
        <v>24</v>
      </c>
      <c r="R137" s="23">
        <v>0</v>
      </c>
      <c r="S137" s="23">
        <v>506.11</v>
      </c>
      <c r="U137" s="47">
        <v>44371</v>
      </c>
      <c r="V137" s="23" t="s">
        <v>117</v>
      </c>
      <c r="W137" s="23" t="s">
        <v>23</v>
      </c>
      <c r="X137" s="28">
        <v>44361.447916666664</v>
      </c>
      <c r="Y137" s="23">
        <v>17.5</v>
      </c>
      <c r="Z137" s="28">
        <v>44362.458333333336</v>
      </c>
      <c r="AA137" s="23">
        <v>10.875</v>
      </c>
      <c r="AB137" s="33">
        <v>-0.37859999999999999</v>
      </c>
      <c r="AC137" s="23">
        <v>19637.990000000002</v>
      </c>
      <c r="AD137" s="33">
        <v>0.37859999999999999</v>
      </c>
      <c r="AE137" s="23">
        <v>2964.2249999999999</v>
      </c>
      <c r="AF137" s="23">
        <v>51873.93</v>
      </c>
      <c r="AG137" s="23">
        <v>389785.69</v>
      </c>
      <c r="AH137" s="23">
        <v>30</v>
      </c>
      <c r="AI137" s="23">
        <v>654.6</v>
      </c>
      <c r="AJ137" s="33">
        <v>-8.5699999999999998E-2</v>
      </c>
      <c r="AK137" s="33">
        <v>0.45710000000000001</v>
      </c>
      <c r="AL137" s="23" t="s">
        <v>24</v>
      </c>
      <c r="AM137" s="23">
        <v>523.53</v>
      </c>
      <c r="AN137" s="23">
        <v>34642.699999999997</v>
      </c>
      <c r="AO137" s="23">
        <v>506.11</v>
      </c>
      <c r="AQ137" s="50">
        <f t="shared" si="2"/>
        <v>3.3426928733787942E-2</v>
      </c>
      <c r="AR137" s="50"/>
      <c r="AS137" s="48"/>
      <c r="AT137" s="50"/>
      <c r="AV137" s="47">
        <v>44361</v>
      </c>
      <c r="AW137" s="51">
        <v>0.44791666666666669</v>
      </c>
      <c r="AX137" t="s">
        <v>162</v>
      </c>
    </row>
    <row r="138" spans="1:50">
      <c r="A138" s="23" t="s">
        <v>22</v>
      </c>
      <c r="B138" s="23" t="s">
        <v>23</v>
      </c>
      <c r="C138" s="28">
        <v>44362.458333333336</v>
      </c>
      <c r="D138" s="23">
        <v>534.4</v>
      </c>
      <c r="E138" s="28">
        <v>44364.40625</v>
      </c>
      <c r="F138" s="23">
        <v>521.65</v>
      </c>
      <c r="G138" s="33">
        <v>-2.3900000000000001E-2</v>
      </c>
      <c r="H138" s="23">
        <v>1195.78</v>
      </c>
      <c r="I138" s="33">
        <v>2.3900000000000001E-2</v>
      </c>
      <c r="J138" s="23">
        <v>93.787030000000001</v>
      </c>
      <c r="K138" s="23">
        <v>50119.79</v>
      </c>
      <c r="L138" s="23">
        <v>25098.36</v>
      </c>
      <c r="M138" s="23">
        <v>52</v>
      </c>
      <c r="N138" s="23">
        <v>23</v>
      </c>
      <c r="O138" s="33">
        <v>-3.8999999999999998E-3</v>
      </c>
      <c r="P138" s="33">
        <v>5.7500000000000002E-2</v>
      </c>
      <c r="Q138" s="23" t="s">
        <v>24</v>
      </c>
      <c r="R138" s="23">
        <v>0</v>
      </c>
      <c r="S138" s="23">
        <v>543.59</v>
      </c>
      <c r="U138" s="47">
        <v>44371</v>
      </c>
      <c r="V138" s="23" t="s">
        <v>127</v>
      </c>
      <c r="W138" s="23" t="s">
        <v>23</v>
      </c>
      <c r="X138" s="28">
        <v>44362.458333333336</v>
      </c>
      <c r="Y138" s="23">
        <v>19.975000000000001</v>
      </c>
      <c r="Z138" s="28">
        <v>44364.40625</v>
      </c>
      <c r="AA138" s="23">
        <v>10.9</v>
      </c>
      <c r="AB138" s="33">
        <v>-0.45429999999999998</v>
      </c>
      <c r="AC138" s="23">
        <v>23601.33</v>
      </c>
      <c r="AD138" s="33">
        <v>0.45429999999999998</v>
      </c>
      <c r="AE138" s="23">
        <v>2600.6970000000001</v>
      </c>
      <c r="AF138" s="23">
        <v>51948.93</v>
      </c>
      <c r="AG138" s="23">
        <v>413387.02</v>
      </c>
      <c r="AH138" s="23">
        <v>52</v>
      </c>
      <c r="AI138" s="23">
        <v>453.87</v>
      </c>
      <c r="AJ138" s="33">
        <v>-4.2599999999999999E-2</v>
      </c>
      <c r="AK138" s="33">
        <v>0.64710000000000001</v>
      </c>
      <c r="AL138" s="23" t="s">
        <v>24</v>
      </c>
      <c r="AM138" s="23">
        <v>534.4</v>
      </c>
      <c r="AN138" s="23">
        <v>35196.9</v>
      </c>
      <c r="AO138" s="23">
        <v>543.59</v>
      </c>
      <c r="AQ138" s="50">
        <f t="shared" si="2"/>
        <v>3.7378368263473058E-2</v>
      </c>
      <c r="AR138" s="50"/>
      <c r="AS138" s="48"/>
      <c r="AT138" s="50"/>
      <c r="AV138" s="47">
        <v>44362</v>
      </c>
      <c r="AW138" s="51">
        <v>0.45833333333333331</v>
      </c>
      <c r="AX138" t="s">
        <v>162</v>
      </c>
    </row>
    <row r="139" spans="1:50">
      <c r="A139" s="23" t="s">
        <v>22</v>
      </c>
      <c r="B139" s="23" t="s">
        <v>25</v>
      </c>
      <c r="C139" s="28">
        <v>44364.40625</v>
      </c>
      <c r="D139" s="23">
        <v>521.65</v>
      </c>
      <c r="E139" s="28">
        <v>44364.5625</v>
      </c>
      <c r="F139" s="23">
        <v>518.27499999999998</v>
      </c>
      <c r="G139" s="33">
        <v>-6.4999999999999997E-3</v>
      </c>
      <c r="H139" s="23">
        <v>-324.32</v>
      </c>
      <c r="I139" s="33">
        <v>-6.4999999999999997E-3</v>
      </c>
      <c r="J139" s="23">
        <v>96.093909999999994</v>
      </c>
      <c r="K139" s="23">
        <v>50127.39</v>
      </c>
      <c r="L139" s="23">
        <v>24774.04</v>
      </c>
      <c r="M139" s="23">
        <v>16</v>
      </c>
      <c r="N139" s="23">
        <v>-20.27</v>
      </c>
      <c r="O139" s="33">
        <v>-7.9000000000000008E-3</v>
      </c>
      <c r="P139" s="33">
        <v>1.2500000000000001E-2</v>
      </c>
      <c r="Q139" s="23" t="s">
        <v>24</v>
      </c>
      <c r="R139" s="23">
        <v>0</v>
      </c>
      <c r="S139" s="23">
        <v>504.05</v>
      </c>
      <c r="U139" s="47">
        <v>44371</v>
      </c>
      <c r="V139" s="23" t="s">
        <v>117</v>
      </c>
      <c r="W139" s="23" t="s">
        <v>23</v>
      </c>
      <c r="X139" s="28">
        <v>44364.40625</v>
      </c>
      <c r="Y139" s="23">
        <v>14.175000000000001</v>
      </c>
      <c r="Z139" s="28">
        <v>44364.5625</v>
      </c>
      <c r="AA139" s="23">
        <v>13.025</v>
      </c>
      <c r="AB139" s="33">
        <v>-8.1100000000000005E-2</v>
      </c>
      <c r="AC139" s="23">
        <v>4225.5200000000004</v>
      </c>
      <c r="AD139" s="33">
        <v>8.1100000000000005E-2</v>
      </c>
      <c r="AE139" s="23">
        <v>3674.3679999999999</v>
      </c>
      <c r="AF139" s="23">
        <v>52084.160000000003</v>
      </c>
      <c r="AG139" s="23">
        <v>417612.54</v>
      </c>
      <c r="AH139" s="23">
        <v>16</v>
      </c>
      <c r="AI139" s="23">
        <v>264.10000000000002</v>
      </c>
      <c r="AJ139" s="33">
        <v>-8.4699999999999998E-2</v>
      </c>
      <c r="AK139" s="33">
        <v>0.25040000000000001</v>
      </c>
      <c r="AL139" s="23" t="s">
        <v>24</v>
      </c>
      <c r="AM139" s="23">
        <v>521.65</v>
      </c>
      <c r="AN139" s="23">
        <v>34799.35</v>
      </c>
      <c r="AO139" s="23">
        <v>504.05</v>
      </c>
      <c r="AQ139" s="50">
        <f t="shared" si="2"/>
        <v>2.7173392121154032E-2</v>
      </c>
      <c r="AR139" s="50"/>
      <c r="AS139" s="48"/>
      <c r="AT139" s="50"/>
      <c r="AV139" s="47">
        <v>44364</v>
      </c>
      <c r="AW139" s="51">
        <v>0.40625</v>
      </c>
      <c r="AX139" t="s">
        <v>162</v>
      </c>
    </row>
    <row r="140" spans="1:50">
      <c r="A140" s="23" t="s">
        <v>22</v>
      </c>
      <c r="B140" s="23" t="s">
        <v>23</v>
      </c>
      <c r="C140" s="28">
        <v>44364.5625</v>
      </c>
      <c r="D140" s="23">
        <v>518.27499999999998</v>
      </c>
      <c r="E140" s="28">
        <v>44365.447916666664</v>
      </c>
      <c r="F140" s="23">
        <v>508.375</v>
      </c>
      <c r="G140" s="33">
        <v>-1.9099999999999999E-2</v>
      </c>
      <c r="H140" s="23">
        <v>957.47</v>
      </c>
      <c r="I140" s="33">
        <v>1.9099999999999999E-2</v>
      </c>
      <c r="J140" s="23">
        <v>96.71378</v>
      </c>
      <c r="K140" s="23">
        <v>50124.34</v>
      </c>
      <c r="L140" s="23">
        <v>25731.51</v>
      </c>
      <c r="M140" s="23">
        <v>18</v>
      </c>
      <c r="N140" s="23">
        <v>53.19</v>
      </c>
      <c r="O140" s="33">
        <v>-3.0999999999999999E-3</v>
      </c>
      <c r="P140" s="33">
        <v>2.47E-2</v>
      </c>
      <c r="Q140" s="23" t="s">
        <v>24</v>
      </c>
      <c r="R140" s="23">
        <v>0</v>
      </c>
      <c r="S140" s="23">
        <v>528.16999999999996</v>
      </c>
      <c r="U140" s="47">
        <v>44371</v>
      </c>
      <c r="V140" s="23" t="s">
        <v>124</v>
      </c>
      <c r="W140" s="23" t="s">
        <v>23</v>
      </c>
      <c r="X140" s="28">
        <v>44364.5625</v>
      </c>
      <c r="Y140" s="23">
        <v>12.525</v>
      </c>
      <c r="Z140" s="28">
        <v>44365.447916666664</v>
      </c>
      <c r="AA140" s="23">
        <v>7.15</v>
      </c>
      <c r="AB140" s="33">
        <v>-0.42909999999999998</v>
      </c>
      <c r="AC140" s="23">
        <v>22353.16</v>
      </c>
      <c r="AD140" s="33">
        <v>0.42909999999999998</v>
      </c>
      <c r="AE140" s="23">
        <v>4158.7280000000001</v>
      </c>
      <c r="AF140" s="23">
        <v>52088.06</v>
      </c>
      <c r="AG140" s="23">
        <v>439965.7</v>
      </c>
      <c r="AH140" s="23">
        <v>18</v>
      </c>
      <c r="AI140" s="23">
        <v>1241.8399999999999</v>
      </c>
      <c r="AJ140" s="33">
        <v>-1.2E-2</v>
      </c>
      <c r="AK140" s="33">
        <v>0.48899999999999999</v>
      </c>
      <c r="AL140" s="23" t="s">
        <v>24</v>
      </c>
      <c r="AM140" s="23">
        <v>518.28</v>
      </c>
      <c r="AN140" s="23">
        <v>34754.699999999997</v>
      </c>
      <c r="AO140" s="23">
        <v>528.16999999999996</v>
      </c>
      <c r="AQ140" s="50">
        <f t="shared" si="2"/>
        <v>2.4166473720768699E-2</v>
      </c>
      <c r="AR140" s="50"/>
      <c r="AS140" s="48"/>
      <c r="AT140" s="50"/>
      <c r="AV140" s="47">
        <v>44364</v>
      </c>
      <c r="AW140" s="51">
        <v>6.25E-2</v>
      </c>
      <c r="AX140" t="s">
        <v>163</v>
      </c>
    </row>
    <row r="141" spans="1:50">
      <c r="A141" s="23" t="s">
        <v>22</v>
      </c>
      <c r="B141" s="23" t="s">
        <v>25</v>
      </c>
      <c r="C141" s="28">
        <v>44365.447916666664</v>
      </c>
      <c r="D141" s="23">
        <v>508.375</v>
      </c>
      <c r="E141" s="28">
        <v>44365.458333333336</v>
      </c>
      <c r="F141" s="23">
        <v>510.9</v>
      </c>
      <c r="G141" s="33">
        <v>5.0000000000000001E-3</v>
      </c>
      <c r="H141" s="23">
        <v>248.97</v>
      </c>
      <c r="I141" s="33">
        <v>5.0000000000000001E-3</v>
      </c>
      <c r="J141" s="23">
        <v>98.601650000000006</v>
      </c>
      <c r="K141" s="23">
        <v>50126.62</v>
      </c>
      <c r="L141" s="23">
        <v>25980.48</v>
      </c>
      <c r="M141" s="23">
        <v>2</v>
      </c>
      <c r="N141" s="23">
        <v>124.48</v>
      </c>
      <c r="O141" s="33">
        <v>-1.5E-3</v>
      </c>
      <c r="P141" s="33">
        <v>1.67E-2</v>
      </c>
      <c r="Q141" s="23" t="s">
        <v>24</v>
      </c>
      <c r="R141" s="23">
        <v>0</v>
      </c>
      <c r="S141" s="23">
        <v>505.68</v>
      </c>
      <c r="U141" s="47">
        <v>44371</v>
      </c>
      <c r="V141" s="23" t="s">
        <v>105</v>
      </c>
      <c r="W141" s="23" t="s">
        <v>23</v>
      </c>
      <c r="X141" s="28">
        <v>44365.447916666664</v>
      </c>
      <c r="Y141" s="23">
        <v>9.5500000000000007</v>
      </c>
      <c r="Z141" s="28">
        <v>44365.458333333336</v>
      </c>
      <c r="AA141" s="23">
        <v>10.175000000000001</v>
      </c>
      <c r="AB141" s="33">
        <v>6.54E-2</v>
      </c>
      <c r="AC141" s="23">
        <v>-3414.59</v>
      </c>
      <c r="AD141" s="33">
        <v>-6.54E-2</v>
      </c>
      <c r="AE141" s="23">
        <v>5463.3379999999997</v>
      </c>
      <c r="AF141" s="23">
        <v>52174.879999999997</v>
      </c>
      <c r="AG141" s="23">
        <v>436551.12</v>
      </c>
      <c r="AH141" s="23">
        <v>2</v>
      </c>
      <c r="AI141" s="23">
        <v>-1707.29</v>
      </c>
      <c r="AJ141" s="33">
        <v>-6.54E-2</v>
      </c>
      <c r="AK141" s="33">
        <v>0.29060000000000002</v>
      </c>
      <c r="AL141" s="23" t="s">
        <v>24</v>
      </c>
      <c r="AM141" s="23">
        <v>508.38</v>
      </c>
      <c r="AN141" s="23">
        <v>33963.15</v>
      </c>
      <c r="AO141" s="23">
        <v>505.68</v>
      </c>
      <c r="AQ141" s="50">
        <f t="shared" si="2"/>
        <v>1.8785160706558088E-2</v>
      </c>
      <c r="AR141" s="50"/>
      <c r="AS141" s="48"/>
      <c r="AT141" s="50"/>
      <c r="AV141" s="47">
        <v>44365</v>
      </c>
      <c r="AW141" s="51">
        <v>0.44791666666666669</v>
      </c>
      <c r="AX141" t="s">
        <v>162</v>
      </c>
    </row>
    <row r="142" spans="1:50">
      <c r="A142" s="23" t="s">
        <v>22</v>
      </c>
      <c r="B142" s="23" t="s">
        <v>23</v>
      </c>
      <c r="C142" s="28">
        <v>44365.458333333336</v>
      </c>
      <c r="D142" s="23">
        <v>510.9</v>
      </c>
      <c r="E142" s="28">
        <v>44365.510416666664</v>
      </c>
      <c r="F142" s="23">
        <v>513.29999999999995</v>
      </c>
      <c r="G142" s="33">
        <v>4.7000000000000002E-3</v>
      </c>
      <c r="H142" s="23">
        <v>-235.48</v>
      </c>
      <c r="I142" s="33">
        <v>-4.7000000000000002E-3</v>
      </c>
      <c r="J142" s="23">
        <v>98.118340000000003</v>
      </c>
      <c r="K142" s="23">
        <v>50128.66</v>
      </c>
      <c r="L142" s="23">
        <v>25745</v>
      </c>
      <c r="M142" s="23">
        <v>6</v>
      </c>
      <c r="N142" s="23">
        <v>-39.25</v>
      </c>
      <c r="O142" s="33">
        <v>-4.8999999999999998E-3</v>
      </c>
      <c r="P142" s="33">
        <v>1.38E-2</v>
      </c>
      <c r="Q142" s="23" t="s">
        <v>24</v>
      </c>
      <c r="R142" s="23">
        <v>0</v>
      </c>
      <c r="S142" s="23">
        <v>516.33000000000004</v>
      </c>
      <c r="U142" s="47">
        <v>44371</v>
      </c>
      <c r="V142" s="23" t="s">
        <v>136</v>
      </c>
      <c r="W142" s="23" t="s">
        <v>23</v>
      </c>
      <c r="X142" s="28">
        <v>44365.458333333336</v>
      </c>
      <c r="Y142" s="23">
        <v>10.525</v>
      </c>
      <c r="Z142" s="28">
        <v>44365.510416666664</v>
      </c>
      <c r="AA142" s="23">
        <v>12.2</v>
      </c>
      <c r="AB142" s="33">
        <v>0.15909999999999999</v>
      </c>
      <c r="AC142" s="23">
        <v>-8307.34</v>
      </c>
      <c r="AD142" s="33">
        <v>-0.15909999999999999</v>
      </c>
      <c r="AE142" s="23">
        <v>4959.6040000000003</v>
      </c>
      <c r="AF142" s="23">
        <v>52199.83</v>
      </c>
      <c r="AG142" s="23">
        <v>428243.78</v>
      </c>
      <c r="AH142" s="23">
        <v>6</v>
      </c>
      <c r="AI142" s="23">
        <v>-1384.56</v>
      </c>
      <c r="AJ142" s="33">
        <v>-0.16389999999999999</v>
      </c>
      <c r="AK142" s="33">
        <v>2.3999999999999998E-3</v>
      </c>
      <c r="AL142" s="23" t="s">
        <v>24</v>
      </c>
      <c r="AM142" s="23">
        <v>510.9</v>
      </c>
      <c r="AN142" s="23">
        <v>34127.85</v>
      </c>
      <c r="AO142" s="23">
        <v>516.33000000000004</v>
      </c>
      <c r="AQ142" s="50">
        <f t="shared" si="2"/>
        <v>2.0600900371892741E-2</v>
      </c>
      <c r="AR142" s="50"/>
      <c r="AS142" s="48"/>
      <c r="AT142" s="50"/>
      <c r="AV142" s="47">
        <v>44365</v>
      </c>
      <c r="AW142" s="51">
        <v>0.45833333333333331</v>
      </c>
      <c r="AX142" t="s">
        <v>162</v>
      </c>
    </row>
    <row r="143" spans="1:50">
      <c r="A143" s="23" t="s">
        <v>22</v>
      </c>
      <c r="B143" s="23" t="s">
        <v>25</v>
      </c>
      <c r="C143" s="28">
        <v>44365.510416666664</v>
      </c>
      <c r="D143" s="23">
        <v>513.29999999999995</v>
      </c>
      <c r="E143" s="28">
        <v>44365.625</v>
      </c>
      <c r="F143" s="23">
        <v>509.375</v>
      </c>
      <c r="G143" s="33">
        <v>-7.6E-3</v>
      </c>
      <c r="H143" s="23">
        <v>-383.32</v>
      </c>
      <c r="I143" s="33">
        <v>-7.6E-3</v>
      </c>
      <c r="J143" s="23">
        <v>97.662090000000006</v>
      </c>
      <c r="K143" s="23">
        <v>50129.95</v>
      </c>
      <c r="L143" s="23">
        <v>25361.67</v>
      </c>
      <c r="M143" s="23">
        <v>12</v>
      </c>
      <c r="N143" s="23">
        <v>-31.94</v>
      </c>
      <c r="O143" s="33">
        <v>-7.9000000000000008E-3</v>
      </c>
      <c r="P143" s="33">
        <v>2.2700000000000001E-2</v>
      </c>
      <c r="Q143" s="23" t="s">
        <v>24</v>
      </c>
      <c r="R143" s="23">
        <v>0</v>
      </c>
      <c r="S143" s="23">
        <v>503.83</v>
      </c>
      <c r="U143" s="47">
        <v>44371</v>
      </c>
      <c r="V143" s="23" t="s">
        <v>125</v>
      </c>
      <c r="W143" s="23" t="s">
        <v>23</v>
      </c>
      <c r="X143" s="28">
        <v>44365.510416666664</v>
      </c>
      <c r="Y143" s="23">
        <v>11.7</v>
      </c>
      <c r="Z143" s="28">
        <v>44365.625</v>
      </c>
      <c r="AA143" s="23">
        <v>10.5</v>
      </c>
      <c r="AB143" s="33">
        <v>-0.1026</v>
      </c>
      <c r="AC143" s="23">
        <v>5347.82</v>
      </c>
      <c r="AD143" s="33">
        <v>0.1026</v>
      </c>
      <c r="AE143" s="23">
        <v>4456.5150000000003</v>
      </c>
      <c r="AF143" s="23">
        <v>52141.22</v>
      </c>
      <c r="AG143" s="23">
        <v>433591.6</v>
      </c>
      <c r="AH143" s="23">
        <v>12</v>
      </c>
      <c r="AI143" s="23">
        <v>445.65</v>
      </c>
      <c r="AJ143" s="33">
        <v>-0.15379999999999999</v>
      </c>
      <c r="AK143" s="33">
        <v>0.74570000000000003</v>
      </c>
      <c r="AL143" s="23" t="s">
        <v>24</v>
      </c>
      <c r="AM143" s="23">
        <v>513.29999999999995</v>
      </c>
      <c r="AN143" s="23">
        <v>34178.5</v>
      </c>
      <c r="AO143" s="23">
        <v>503.83</v>
      </c>
      <c r="AQ143" s="50">
        <f t="shared" si="2"/>
        <v>2.2793687901811806E-2</v>
      </c>
      <c r="AR143" s="50"/>
      <c r="AS143" s="48"/>
      <c r="AT143" s="50"/>
      <c r="AV143" s="47">
        <v>44365</v>
      </c>
      <c r="AW143" s="51">
        <v>0.51041666666666663</v>
      </c>
      <c r="AX143" t="s">
        <v>163</v>
      </c>
    </row>
    <row r="144" spans="1:50">
      <c r="A144" s="23" t="s">
        <v>22</v>
      </c>
      <c r="B144" s="23" t="s">
        <v>23</v>
      </c>
      <c r="C144" s="28">
        <v>44365.625</v>
      </c>
      <c r="D144" s="23">
        <v>509.375</v>
      </c>
      <c r="E144" s="28">
        <v>44368.416666666664</v>
      </c>
      <c r="F144" s="23">
        <v>522.5</v>
      </c>
      <c r="G144" s="33">
        <v>2.58E-2</v>
      </c>
      <c r="H144" s="23">
        <v>-1291.77</v>
      </c>
      <c r="I144" s="33">
        <v>-2.58E-2</v>
      </c>
      <c r="J144" s="23">
        <v>98.420630000000003</v>
      </c>
      <c r="K144" s="23">
        <v>50133.01</v>
      </c>
      <c r="L144" s="23">
        <v>24069.9</v>
      </c>
      <c r="M144" s="23">
        <v>9</v>
      </c>
      <c r="N144" s="23">
        <v>-143.53</v>
      </c>
      <c r="O144" s="33">
        <v>-2.58E-2</v>
      </c>
      <c r="P144" s="33">
        <v>1.37E-2</v>
      </c>
      <c r="Q144" s="23" t="s">
        <v>24</v>
      </c>
      <c r="R144" s="23">
        <v>0</v>
      </c>
      <c r="S144" s="23">
        <v>524.97</v>
      </c>
      <c r="U144" s="47">
        <v>44371</v>
      </c>
      <c r="V144" s="23" t="s">
        <v>136</v>
      </c>
      <c r="W144" s="23" t="s">
        <v>23</v>
      </c>
      <c r="X144" s="28">
        <v>44365.625</v>
      </c>
      <c r="Y144" s="23">
        <v>10.95</v>
      </c>
      <c r="Z144" s="28">
        <v>44368.416666666664</v>
      </c>
      <c r="AA144" s="23">
        <v>15.275</v>
      </c>
      <c r="AB144" s="33">
        <v>0.39500000000000002</v>
      </c>
      <c r="AC144" s="23">
        <v>-20640.36</v>
      </c>
      <c r="AD144" s="33">
        <v>-0.39500000000000002</v>
      </c>
      <c r="AE144" s="23">
        <v>4772.3370000000004</v>
      </c>
      <c r="AF144" s="23">
        <v>52257.09</v>
      </c>
      <c r="AG144" s="23">
        <v>412951.24</v>
      </c>
      <c r="AH144" s="23">
        <v>9</v>
      </c>
      <c r="AI144" s="23">
        <v>-2293.37</v>
      </c>
      <c r="AJ144" s="33">
        <v>-0.59819999999999995</v>
      </c>
      <c r="AK144" s="33">
        <v>2.2800000000000001E-2</v>
      </c>
      <c r="AL144" s="23" t="s">
        <v>24</v>
      </c>
      <c r="AM144" s="23">
        <v>509.38</v>
      </c>
      <c r="AN144" s="23">
        <v>34545.25</v>
      </c>
      <c r="AO144" s="23">
        <v>524.97</v>
      </c>
      <c r="AQ144" s="50">
        <f t="shared" si="2"/>
        <v>2.1496721504574188E-2</v>
      </c>
      <c r="AR144" s="50"/>
      <c r="AS144" s="48"/>
      <c r="AT144" s="50"/>
      <c r="AV144" s="47">
        <v>44365</v>
      </c>
      <c r="AW144" s="51">
        <v>0.125</v>
      </c>
      <c r="AX144" t="s">
        <v>163</v>
      </c>
    </row>
    <row r="145" spans="1:50">
      <c r="A145" s="23" t="s">
        <v>22</v>
      </c>
      <c r="B145" s="23" t="s">
        <v>25</v>
      </c>
      <c r="C145" s="28">
        <v>44368.416666666664</v>
      </c>
      <c r="D145" s="23">
        <v>522.5</v>
      </c>
      <c r="E145" s="28">
        <v>44369.40625</v>
      </c>
      <c r="F145" s="23">
        <v>522.5</v>
      </c>
      <c r="G145" s="33">
        <v>0</v>
      </c>
      <c r="H145" s="23">
        <v>0</v>
      </c>
      <c r="I145" s="33">
        <v>0</v>
      </c>
      <c r="J145" s="23">
        <v>95.929500000000004</v>
      </c>
      <c r="K145" s="23">
        <v>50123.17</v>
      </c>
      <c r="L145" s="23">
        <v>24069.9</v>
      </c>
      <c r="M145" s="23">
        <v>28</v>
      </c>
      <c r="N145" s="23">
        <v>0</v>
      </c>
      <c r="O145" s="33">
        <v>-1.09E-2</v>
      </c>
      <c r="P145" s="33">
        <v>2.7099999999999999E-2</v>
      </c>
      <c r="Q145" s="23" t="s">
        <v>24</v>
      </c>
      <c r="R145" s="23">
        <v>0</v>
      </c>
      <c r="S145" s="23">
        <v>503.11</v>
      </c>
      <c r="U145" s="47">
        <v>44371</v>
      </c>
      <c r="V145" s="23" t="s">
        <v>125</v>
      </c>
      <c r="W145" s="23" t="s">
        <v>23</v>
      </c>
      <c r="X145" s="28">
        <v>44368.416666666664</v>
      </c>
      <c r="Y145" s="23">
        <v>5</v>
      </c>
      <c r="Z145" s="28">
        <v>44369.40625</v>
      </c>
      <c r="AA145" s="23">
        <v>4.05</v>
      </c>
      <c r="AB145" s="33">
        <v>-0.19</v>
      </c>
      <c r="AC145" s="23">
        <v>9904.8799999999992</v>
      </c>
      <c r="AD145" s="33">
        <v>0.19</v>
      </c>
      <c r="AE145" s="23">
        <v>10426.19</v>
      </c>
      <c r="AF145" s="23">
        <v>52130.97</v>
      </c>
      <c r="AG145" s="23">
        <v>422856.13</v>
      </c>
      <c r="AH145" s="23">
        <v>28</v>
      </c>
      <c r="AI145" s="23">
        <v>353.75</v>
      </c>
      <c r="AJ145" s="33">
        <v>-0.5</v>
      </c>
      <c r="AK145" s="33">
        <v>0.42499999999999999</v>
      </c>
      <c r="AL145" s="23" t="s">
        <v>24</v>
      </c>
      <c r="AM145" s="23">
        <v>522.5</v>
      </c>
      <c r="AN145" s="23">
        <v>34294.85</v>
      </c>
      <c r="AO145" s="23">
        <v>503.11</v>
      </c>
      <c r="AQ145" s="50">
        <f t="shared" si="2"/>
        <v>9.5693779904306216E-3</v>
      </c>
      <c r="AR145" s="50"/>
      <c r="AS145" s="48"/>
      <c r="AT145" s="50"/>
      <c r="AV145" s="47">
        <v>44368</v>
      </c>
      <c r="AW145" s="51">
        <v>0.41666666666666669</v>
      </c>
      <c r="AX145" t="s">
        <v>162</v>
      </c>
    </row>
    <row r="146" spans="1:50">
      <c r="A146" s="23" t="s">
        <v>22</v>
      </c>
      <c r="B146" s="23" t="s">
        <v>23</v>
      </c>
      <c r="C146" s="28">
        <v>44369.40625</v>
      </c>
      <c r="D146" s="23">
        <v>522.5</v>
      </c>
      <c r="E146" s="28">
        <v>44370.385416666664</v>
      </c>
      <c r="F146" s="23">
        <v>518.22500000000002</v>
      </c>
      <c r="G146" s="33">
        <v>-8.2000000000000007E-3</v>
      </c>
      <c r="H146" s="23">
        <v>410.09</v>
      </c>
      <c r="I146" s="33">
        <v>8.2000000000000007E-3</v>
      </c>
      <c r="J146" s="23">
        <v>95.928020000000004</v>
      </c>
      <c r="K146" s="23">
        <v>50122.39</v>
      </c>
      <c r="L146" s="23">
        <v>24479.99</v>
      </c>
      <c r="M146" s="23">
        <v>27</v>
      </c>
      <c r="N146" s="23">
        <v>15.19</v>
      </c>
      <c r="O146" s="33">
        <v>-9.7999999999999997E-3</v>
      </c>
      <c r="P146" s="33">
        <v>1.9099999999999999E-2</v>
      </c>
      <c r="Q146" s="23" t="s">
        <v>24</v>
      </c>
      <c r="R146" s="23">
        <v>0</v>
      </c>
      <c r="S146" s="23">
        <v>536.36</v>
      </c>
      <c r="U146" s="47">
        <v>44371</v>
      </c>
      <c r="V146" s="23" t="s">
        <v>124</v>
      </c>
      <c r="W146" s="23" t="s">
        <v>23</v>
      </c>
      <c r="X146" s="28">
        <v>44369.40625</v>
      </c>
      <c r="Y146" s="23">
        <v>10</v>
      </c>
      <c r="Z146" s="28">
        <v>44370.385416666664</v>
      </c>
      <c r="AA146" s="23">
        <v>5.4249999999999998</v>
      </c>
      <c r="AB146" s="33">
        <v>-0.45750000000000002</v>
      </c>
      <c r="AC146" s="23">
        <v>23855.4</v>
      </c>
      <c r="AD146" s="33">
        <v>0.45750000000000002</v>
      </c>
      <c r="AE146" s="23">
        <v>5214.2950000000001</v>
      </c>
      <c r="AF146" s="23">
        <v>52142.95</v>
      </c>
      <c r="AG146" s="23">
        <v>446711.53</v>
      </c>
      <c r="AH146" s="23">
        <v>27</v>
      </c>
      <c r="AI146" s="23">
        <v>883.53</v>
      </c>
      <c r="AJ146" s="33">
        <v>-0.27</v>
      </c>
      <c r="AK146" s="33">
        <v>0.5</v>
      </c>
      <c r="AL146" s="23" t="s">
        <v>24</v>
      </c>
      <c r="AM146" s="23">
        <v>522.5</v>
      </c>
      <c r="AN146" s="23">
        <v>35150.199999999997</v>
      </c>
      <c r="AO146" s="23">
        <v>536.36</v>
      </c>
      <c r="AQ146" s="50">
        <f t="shared" si="2"/>
        <v>1.9138755980861243E-2</v>
      </c>
      <c r="AR146" s="50"/>
      <c r="AS146" s="48"/>
      <c r="AT146" s="50"/>
      <c r="AV146" s="47">
        <v>44369</v>
      </c>
      <c r="AW146" s="51">
        <v>0.40625</v>
      </c>
      <c r="AX146" t="s">
        <v>162</v>
      </c>
    </row>
    <row r="147" spans="1:50">
      <c r="A147" s="23" t="s">
        <v>22</v>
      </c>
      <c r="B147" s="23" t="s">
        <v>25</v>
      </c>
      <c r="C147" s="28">
        <v>44370.385416666664</v>
      </c>
      <c r="D147" s="23">
        <v>518.22500000000002</v>
      </c>
      <c r="E147" s="28">
        <v>44370.416666666664</v>
      </c>
      <c r="F147" s="23">
        <v>515.625</v>
      </c>
      <c r="G147" s="33">
        <v>-5.0000000000000001E-3</v>
      </c>
      <c r="H147" s="23">
        <v>-251.47</v>
      </c>
      <c r="I147" s="33">
        <v>-5.0000000000000001E-3</v>
      </c>
      <c r="J147" s="23">
        <v>96.720910000000003</v>
      </c>
      <c r="K147" s="23">
        <v>50123.19</v>
      </c>
      <c r="L147" s="23">
        <v>24228.52</v>
      </c>
      <c r="M147" s="23">
        <v>4</v>
      </c>
      <c r="N147" s="23">
        <v>-62.87</v>
      </c>
      <c r="O147" s="33">
        <v>-5.0000000000000001E-3</v>
      </c>
      <c r="P147" s="33">
        <v>1.03E-2</v>
      </c>
      <c r="Q147" s="23" t="s">
        <v>24</v>
      </c>
      <c r="R147" s="23">
        <v>0</v>
      </c>
      <c r="S147" s="23">
        <v>512.94000000000005</v>
      </c>
      <c r="U147" s="47">
        <v>44371</v>
      </c>
      <c r="V147" s="23" t="s">
        <v>118</v>
      </c>
      <c r="W147" s="23" t="s">
        <v>23</v>
      </c>
      <c r="X147" s="28">
        <v>44370.385416666664</v>
      </c>
      <c r="Y147" s="23">
        <v>0.2</v>
      </c>
      <c r="Z147" s="28">
        <v>44370.416666666664</v>
      </c>
      <c r="AA147" s="23">
        <v>0.17499999999999999</v>
      </c>
      <c r="AB147" s="33">
        <v>-0.125</v>
      </c>
      <c r="AC147" s="23">
        <v>6528.95</v>
      </c>
      <c r="AD147" s="33">
        <v>0.125</v>
      </c>
      <c r="AE147" s="23">
        <v>261158</v>
      </c>
      <c r="AF147" s="23">
        <v>52231.6</v>
      </c>
      <c r="AG147" s="23">
        <v>453240.48</v>
      </c>
      <c r="AH147" s="23">
        <v>4</v>
      </c>
      <c r="AI147" s="23">
        <v>1632.24</v>
      </c>
      <c r="AJ147" s="33">
        <v>0</v>
      </c>
      <c r="AK147" s="33">
        <v>0.125</v>
      </c>
      <c r="AL147" s="23" t="s">
        <v>24</v>
      </c>
      <c r="AM147" s="23">
        <v>518.22</v>
      </c>
      <c r="AN147" s="23">
        <v>34805.9</v>
      </c>
      <c r="AO147" s="23">
        <v>512.94000000000005</v>
      </c>
      <c r="AQ147" s="50">
        <f t="shared" si="2"/>
        <v>3.8593647485623867E-4</v>
      </c>
      <c r="AR147" s="50"/>
      <c r="AS147" s="48"/>
      <c r="AT147" s="50"/>
      <c r="AV147" s="47">
        <v>44370</v>
      </c>
      <c r="AW147" s="51">
        <v>0.38541666666666669</v>
      </c>
      <c r="AX147" t="s">
        <v>162</v>
      </c>
    </row>
    <row r="148" spans="1:50">
      <c r="A148" s="23" t="s">
        <v>22</v>
      </c>
      <c r="B148" s="23" t="s">
        <v>23</v>
      </c>
      <c r="C148" s="28">
        <v>44370.416666666664</v>
      </c>
      <c r="D148" s="23">
        <v>515.625</v>
      </c>
      <c r="E148" s="28">
        <v>44371.385416666664</v>
      </c>
      <c r="F148" s="23">
        <v>516.52499999999998</v>
      </c>
      <c r="G148" s="33">
        <v>1.6999999999999999E-3</v>
      </c>
      <c r="H148" s="23">
        <v>-87.49</v>
      </c>
      <c r="I148" s="33">
        <v>-1.6999999999999999E-3</v>
      </c>
      <c r="J148" s="23">
        <v>97.207759999999993</v>
      </c>
      <c r="K148" s="23">
        <v>50122.75</v>
      </c>
      <c r="L148" s="23">
        <v>24141.03</v>
      </c>
      <c r="M148" s="23">
        <v>26</v>
      </c>
      <c r="N148" s="23">
        <v>-3.36</v>
      </c>
      <c r="O148" s="33">
        <v>-8.5000000000000006E-3</v>
      </c>
      <c r="P148" s="33">
        <v>1.6199999999999999E-2</v>
      </c>
      <c r="Q148" s="23" t="s">
        <v>24</v>
      </c>
      <c r="R148" s="23">
        <v>0</v>
      </c>
      <c r="S148" s="23">
        <v>523.58000000000004</v>
      </c>
      <c r="U148" s="47">
        <v>44371</v>
      </c>
      <c r="V148" s="23" t="s">
        <v>124</v>
      </c>
      <c r="W148" s="23" t="s">
        <v>23</v>
      </c>
      <c r="X148" s="28">
        <v>44370.416666666664</v>
      </c>
      <c r="Y148" s="23">
        <v>3.8</v>
      </c>
      <c r="Z148" s="28">
        <v>44371.385416666664</v>
      </c>
      <c r="AA148" s="23">
        <v>3</v>
      </c>
      <c r="AB148" s="33">
        <v>-0.21049999999999999</v>
      </c>
      <c r="AC148" s="23">
        <v>11003.41</v>
      </c>
      <c r="AD148" s="33">
        <v>0.21049999999999999</v>
      </c>
      <c r="AE148" s="23">
        <v>13754.26</v>
      </c>
      <c r="AF148" s="23">
        <v>52266.2</v>
      </c>
      <c r="AG148" s="23">
        <v>464243.89</v>
      </c>
      <c r="AH148" s="23">
        <v>26</v>
      </c>
      <c r="AI148" s="23">
        <v>423.21</v>
      </c>
      <c r="AJ148" s="33">
        <v>-0.54610000000000003</v>
      </c>
      <c r="AK148" s="33">
        <v>0.66449999999999998</v>
      </c>
      <c r="AL148" s="23" t="s">
        <v>24</v>
      </c>
      <c r="AM148" s="23">
        <v>515.63</v>
      </c>
      <c r="AN148" s="23">
        <v>34692.949999999997</v>
      </c>
      <c r="AO148" s="23">
        <v>523.58000000000004</v>
      </c>
      <c r="AQ148" s="50">
        <f t="shared" si="2"/>
        <v>7.3696255066617537E-3</v>
      </c>
      <c r="AR148" s="50"/>
      <c r="AS148" s="48"/>
      <c r="AT148" s="50"/>
      <c r="AV148" s="47">
        <v>44370</v>
      </c>
      <c r="AW148" s="51">
        <v>0.41666666666666669</v>
      </c>
      <c r="AX148" t="s">
        <v>162</v>
      </c>
    </row>
    <row r="149" spans="1:50">
      <c r="A149" s="23" t="s">
        <v>22</v>
      </c>
      <c r="B149" s="23" t="s">
        <v>25</v>
      </c>
      <c r="C149" s="28">
        <v>44371.385416666664</v>
      </c>
      <c r="D149" s="23">
        <v>516.52499999999998</v>
      </c>
      <c r="E149" s="28">
        <v>44371.4375</v>
      </c>
      <c r="F149" s="23">
        <v>510.625</v>
      </c>
      <c r="G149" s="33">
        <v>-1.14E-2</v>
      </c>
      <c r="H149" s="23">
        <v>-572.53</v>
      </c>
      <c r="I149" s="33">
        <v>-1.14E-2</v>
      </c>
      <c r="J149" s="23">
        <v>97.038210000000007</v>
      </c>
      <c r="K149" s="23">
        <v>50122.66</v>
      </c>
      <c r="L149" s="23">
        <v>23568.51</v>
      </c>
      <c r="M149" s="23">
        <v>6</v>
      </c>
      <c r="N149" s="23">
        <v>-95.42</v>
      </c>
      <c r="O149" s="33">
        <v>-1.2699999999999999E-2</v>
      </c>
      <c r="P149" s="33">
        <v>1.9E-3</v>
      </c>
      <c r="Q149" s="23" t="s">
        <v>24</v>
      </c>
      <c r="R149" s="23">
        <v>0</v>
      </c>
      <c r="S149" s="23">
        <v>507.6</v>
      </c>
      <c r="U149" s="47">
        <v>44371</v>
      </c>
      <c r="V149" s="23" t="s">
        <v>105</v>
      </c>
      <c r="W149" s="23" t="s">
        <v>23</v>
      </c>
      <c r="X149" s="28">
        <v>44371.385416666664</v>
      </c>
      <c r="Y149" s="23">
        <v>0.3</v>
      </c>
      <c r="Z149" s="28">
        <v>44371.4375</v>
      </c>
      <c r="AA149" s="23">
        <v>0.57499999999999996</v>
      </c>
      <c r="AB149" s="33">
        <v>0.91669999999999996</v>
      </c>
      <c r="AC149" s="23">
        <v>-48027.31</v>
      </c>
      <c r="AD149" s="33">
        <v>-0.91669999999999996</v>
      </c>
      <c r="AE149" s="23">
        <v>174644.8</v>
      </c>
      <c r="AF149" s="23">
        <v>52393.43</v>
      </c>
      <c r="AG149" s="23">
        <v>416216.58</v>
      </c>
      <c r="AH149" s="23">
        <v>6</v>
      </c>
      <c r="AI149" s="23">
        <v>-8004.55</v>
      </c>
      <c r="AJ149" s="33">
        <v>-1</v>
      </c>
      <c r="AK149" s="33">
        <v>0.16669999999999999</v>
      </c>
      <c r="AL149" s="23" t="s">
        <v>24</v>
      </c>
      <c r="AM149" s="23">
        <v>516.53</v>
      </c>
      <c r="AN149" s="23">
        <v>34741.75</v>
      </c>
      <c r="AO149" s="23">
        <v>507.6</v>
      </c>
      <c r="AQ149" s="50">
        <f t="shared" si="2"/>
        <v>5.8079879193851281E-4</v>
      </c>
      <c r="AR149" s="50"/>
      <c r="AS149" s="48"/>
      <c r="AT149" s="50"/>
      <c r="AV149" s="47">
        <v>44371</v>
      </c>
      <c r="AW149" s="51">
        <v>0.38541666666666669</v>
      </c>
      <c r="AX149" t="s">
        <v>162</v>
      </c>
    </row>
    <row r="150" spans="1:50">
      <c r="A150" s="23" t="s">
        <v>22</v>
      </c>
      <c r="B150" s="23" t="s">
        <v>23</v>
      </c>
      <c r="C150" s="28">
        <v>44371.4375</v>
      </c>
      <c r="D150" s="23">
        <v>510.625</v>
      </c>
      <c r="E150" s="28">
        <v>44371.697916666664</v>
      </c>
      <c r="F150" s="23">
        <v>505.07499999999999</v>
      </c>
      <c r="G150" s="33">
        <v>-1.09E-2</v>
      </c>
      <c r="H150" s="23">
        <v>544.73</v>
      </c>
      <c r="I150" s="33">
        <v>1.09E-2</v>
      </c>
      <c r="J150" s="23">
        <v>98.150329999999997</v>
      </c>
      <c r="K150" s="23">
        <v>50118.01</v>
      </c>
      <c r="L150" s="23">
        <v>24113.24</v>
      </c>
      <c r="M150" s="23">
        <v>22</v>
      </c>
      <c r="N150" s="23">
        <v>24.76</v>
      </c>
      <c r="O150" s="33">
        <v>-4.5999999999999999E-3</v>
      </c>
      <c r="P150" s="33">
        <v>1.43E-2</v>
      </c>
      <c r="Q150" s="23" t="s">
        <v>24</v>
      </c>
      <c r="R150" s="23">
        <v>0</v>
      </c>
      <c r="S150" s="23">
        <v>517.15</v>
      </c>
      <c r="U150" s="47">
        <v>44371</v>
      </c>
      <c r="V150" s="23" t="s">
        <v>136</v>
      </c>
      <c r="W150" s="23" t="s">
        <v>23</v>
      </c>
      <c r="X150" s="28">
        <v>44371.4375</v>
      </c>
      <c r="Y150" s="23">
        <v>2.5</v>
      </c>
      <c r="Z150" s="28">
        <v>44371.697916666664</v>
      </c>
      <c r="AA150" s="23">
        <v>0.05</v>
      </c>
      <c r="AB150" s="33">
        <v>-0.98</v>
      </c>
      <c r="AC150" s="23">
        <v>51018.07</v>
      </c>
      <c r="AD150" s="33">
        <v>0.98</v>
      </c>
      <c r="AE150" s="23">
        <v>20823.7</v>
      </c>
      <c r="AF150" s="23">
        <v>52059.25</v>
      </c>
      <c r="AG150" s="23">
        <v>467234.65</v>
      </c>
      <c r="AH150" s="23">
        <v>22</v>
      </c>
      <c r="AI150" s="23">
        <v>2319</v>
      </c>
      <c r="AJ150" s="33">
        <v>-1.6</v>
      </c>
      <c r="AK150" s="33">
        <v>0.98</v>
      </c>
      <c r="AL150" s="23" t="s">
        <v>24</v>
      </c>
      <c r="AM150" s="23">
        <v>510.63</v>
      </c>
      <c r="AN150" s="23">
        <v>34754.6</v>
      </c>
      <c r="AO150" s="23">
        <v>517.15</v>
      </c>
      <c r="AQ150" s="50">
        <f t="shared" si="2"/>
        <v>4.8959128919178274E-3</v>
      </c>
      <c r="AR150" s="50"/>
      <c r="AS150" s="48"/>
      <c r="AT150" s="50"/>
      <c r="AV150" s="47">
        <v>44371</v>
      </c>
      <c r="AW150" s="51">
        <v>0.4375</v>
      </c>
      <c r="AX150" t="s">
        <v>162</v>
      </c>
    </row>
    <row r="151" spans="1:50">
      <c r="A151" s="23" t="s">
        <v>22</v>
      </c>
      <c r="B151" s="23" t="s">
        <v>25</v>
      </c>
      <c r="C151" s="28">
        <v>44372.385416666664</v>
      </c>
      <c r="D151" s="23">
        <v>510</v>
      </c>
      <c r="E151" s="28">
        <v>44375.385416666664</v>
      </c>
      <c r="F151" s="23">
        <v>519.5</v>
      </c>
      <c r="G151" s="33">
        <v>1.8599999999999998E-2</v>
      </c>
      <c r="H151" s="23">
        <v>933.62</v>
      </c>
      <c r="I151" s="33">
        <v>1.8599999999999998E-2</v>
      </c>
      <c r="J151" s="23">
        <v>98.275620000000004</v>
      </c>
      <c r="K151" s="23">
        <v>50120.57</v>
      </c>
      <c r="L151" s="23">
        <v>25046.86</v>
      </c>
      <c r="M151" s="23">
        <v>29</v>
      </c>
      <c r="N151" s="23">
        <v>32.19</v>
      </c>
      <c r="O151" s="33">
        <v>-3.7000000000000002E-3</v>
      </c>
      <c r="P151" s="33">
        <v>1.9900000000000001E-2</v>
      </c>
      <c r="Q151" s="23" t="s">
        <v>24</v>
      </c>
      <c r="R151" s="23">
        <v>0</v>
      </c>
      <c r="S151" s="23">
        <v>503.78</v>
      </c>
      <c r="U151" s="47">
        <v>44406</v>
      </c>
      <c r="V151" s="23" t="s">
        <v>132</v>
      </c>
      <c r="W151" s="23" t="s">
        <v>23</v>
      </c>
      <c r="X151" s="28">
        <v>44372.385416666664</v>
      </c>
      <c r="Y151" s="23">
        <v>9.5</v>
      </c>
      <c r="Z151" s="28">
        <v>44375.385416666664</v>
      </c>
      <c r="AA151" s="23">
        <v>8.5</v>
      </c>
      <c r="AB151" s="33">
        <v>-0.1053</v>
      </c>
      <c r="AC151" s="23">
        <v>5509.07</v>
      </c>
      <c r="AD151" s="33">
        <v>0.1053</v>
      </c>
      <c r="AE151" s="23">
        <v>5509.0709999999999</v>
      </c>
      <c r="AF151" s="23">
        <v>52336.17</v>
      </c>
      <c r="AG151" s="23">
        <v>472743.72</v>
      </c>
      <c r="AH151" s="23">
        <v>29</v>
      </c>
      <c r="AI151" s="23">
        <v>189.97</v>
      </c>
      <c r="AJ151" s="33">
        <v>-0.21049999999999999</v>
      </c>
      <c r="AK151" s="33">
        <v>0.15790000000000001</v>
      </c>
      <c r="AL151" s="23" t="s">
        <v>24</v>
      </c>
      <c r="AM151" s="23">
        <v>510</v>
      </c>
      <c r="AN151" s="23">
        <v>34999.1</v>
      </c>
      <c r="AO151" s="23">
        <v>503.78</v>
      </c>
      <c r="AQ151" s="50">
        <f t="shared" si="2"/>
        <v>1.8627450980392157E-2</v>
      </c>
      <c r="AR151" s="50"/>
      <c r="AS151" s="48"/>
      <c r="AT151" s="50"/>
      <c r="AV151" s="47">
        <v>44372</v>
      </c>
      <c r="AW151" s="51">
        <v>0.38541666666666669</v>
      </c>
      <c r="AX151" t="s">
        <v>162</v>
      </c>
    </row>
    <row r="152" spans="1:50">
      <c r="A152" s="23" t="s">
        <v>22</v>
      </c>
      <c r="B152" s="23" t="s">
        <v>23</v>
      </c>
      <c r="C152" s="28">
        <v>44375.385416666664</v>
      </c>
      <c r="D152" s="23">
        <v>519.5</v>
      </c>
      <c r="E152" s="28">
        <v>44375.40625</v>
      </c>
      <c r="F152" s="23">
        <v>520.95000000000005</v>
      </c>
      <c r="G152" s="33">
        <v>2.8E-3</v>
      </c>
      <c r="H152" s="23">
        <v>-139.91</v>
      </c>
      <c r="I152" s="33">
        <v>-2.8E-3</v>
      </c>
      <c r="J152" s="23">
        <v>96.487930000000006</v>
      </c>
      <c r="K152" s="23">
        <v>50125.48</v>
      </c>
      <c r="L152" s="23">
        <v>24906.95</v>
      </c>
      <c r="M152" s="23">
        <v>3</v>
      </c>
      <c r="N152" s="23">
        <v>-46.64</v>
      </c>
      <c r="O152" s="33">
        <v>-2.8E-3</v>
      </c>
      <c r="P152" s="33">
        <v>9.5999999999999992E-3</v>
      </c>
      <c r="Q152" s="23" t="s">
        <v>24</v>
      </c>
      <c r="R152" s="23">
        <v>0</v>
      </c>
      <c r="S152" s="23">
        <v>520.91999999999996</v>
      </c>
      <c r="U152" s="47">
        <v>44406</v>
      </c>
      <c r="V152" s="23" t="s">
        <v>124</v>
      </c>
      <c r="W152" s="23" t="s">
        <v>23</v>
      </c>
      <c r="X152" s="28">
        <v>44375.385416666664</v>
      </c>
      <c r="Y152" s="23">
        <v>24.725000000000001</v>
      </c>
      <c r="Z152" s="28">
        <v>44375.40625</v>
      </c>
      <c r="AA152" s="23">
        <v>25.5</v>
      </c>
      <c r="AB152" s="33">
        <v>3.1300000000000001E-2</v>
      </c>
      <c r="AC152" s="23">
        <v>-1641.33</v>
      </c>
      <c r="AD152" s="33">
        <v>-3.1300000000000001E-2</v>
      </c>
      <c r="AE152" s="23">
        <v>2117.8449999999998</v>
      </c>
      <c r="AF152" s="23">
        <v>52363.72</v>
      </c>
      <c r="AG152" s="23">
        <v>471102.39</v>
      </c>
      <c r="AH152" s="23">
        <v>3</v>
      </c>
      <c r="AI152" s="23">
        <v>-547.11</v>
      </c>
      <c r="AJ152" s="33">
        <v>-3.1300000000000001E-2</v>
      </c>
      <c r="AK152" s="33">
        <v>4.2500000000000003E-2</v>
      </c>
      <c r="AL152" s="23" t="s">
        <v>24</v>
      </c>
      <c r="AM152" s="23">
        <v>519.5</v>
      </c>
      <c r="AN152" s="23">
        <v>35497.85</v>
      </c>
      <c r="AO152" s="23">
        <v>520.91999999999996</v>
      </c>
      <c r="AQ152" s="50">
        <f t="shared" si="2"/>
        <v>4.7593840230991342E-2</v>
      </c>
      <c r="AR152" s="50"/>
      <c r="AS152" s="48"/>
      <c r="AT152" s="50"/>
      <c r="AV152" s="47">
        <v>44375</v>
      </c>
      <c r="AW152" s="51">
        <v>0.38541666666666669</v>
      </c>
      <c r="AX152" t="s">
        <v>162</v>
      </c>
    </row>
    <row r="153" spans="1:50">
      <c r="A153" s="23" t="s">
        <v>22</v>
      </c>
      <c r="B153" s="23" t="s">
        <v>25</v>
      </c>
      <c r="C153" s="28">
        <v>44375.40625</v>
      </c>
      <c r="D153" s="23">
        <v>520.95000000000005</v>
      </c>
      <c r="E153" s="28">
        <v>44375.614583333336</v>
      </c>
      <c r="F153" s="23">
        <v>521.29999999999995</v>
      </c>
      <c r="G153" s="33">
        <v>6.9999999999999999E-4</v>
      </c>
      <c r="H153" s="23">
        <v>33.68</v>
      </c>
      <c r="I153" s="33">
        <v>6.9999999999999999E-4</v>
      </c>
      <c r="J153" s="23">
        <v>96.218890000000002</v>
      </c>
      <c r="K153" s="23">
        <v>50125.23</v>
      </c>
      <c r="L153" s="23">
        <v>24940.63</v>
      </c>
      <c r="M153" s="23">
        <v>21</v>
      </c>
      <c r="N153" s="23">
        <v>1.6</v>
      </c>
      <c r="O153" s="33">
        <v>-7.4000000000000003E-3</v>
      </c>
      <c r="P153" s="33">
        <v>1.04E-2</v>
      </c>
      <c r="Q153" s="23" t="s">
        <v>24</v>
      </c>
      <c r="R153" s="23">
        <v>0</v>
      </c>
      <c r="S153" s="23">
        <v>514.62</v>
      </c>
      <c r="U153" s="47">
        <v>44406</v>
      </c>
      <c r="V153" s="23" t="s">
        <v>105</v>
      </c>
      <c r="W153" s="23" t="s">
        <v>23</v>
      </c>
      <c r="X153" s="28">
        <v>44375.40625</v>
      </c>
      <c r="Y153" s="23">
        <v>13</v>
      </c>
      <c r="Z153" s="28">
        <v>44375.614583333336</v>
      </c>
      <c r="AA153" s="23">
        <v>11.4</v>
      </c>
      <c r="AB153" s="33">
        <v>-0.1231</v>
      </c>
      <c r="AC153" s="23">
        <v>6444.41</v>
      </c>
      <c r="AD153" s="33">
        <v>0.1231</v>
      </c>
      <c r="AE153" s="23">
        <v>4027.7539999999999</v>
      </c>
      <c r="AF153" s="23">
        <v>52360.81</v>
      </c>
      <c r="AG153" s="23">
        <v>477546.8</v>
      </c>
      <c r="AH153" s="23">
        <v>21</v>
      </c>
      <c r="AI153" s="23">
        <v>306.88</v>
      </c>
      <c r="AJ153" s="33">
        <v>-0.125</v>
      </c>
      <c r="AK153" s="33">
        <v>0.23080000000000001</v>
      </c>
      <c r="AL153" s="23" t="s">
        <v>24</v>
      </c>
      <c r="AM153" s="23">
        <v>520.95000000000005</v>
      </c>
      <c r="AN153" s="23">
        <v>35351.9</v>
      </c>
      <c r="AO153" s="23">
        <v>514.62</v>
      </c>
      <c r="AQ153" s="50">
        <f t="shared" si="2"/>
        <v>2.4954410212112484E-2</v>
      </c>
      <c r="AR153" s="50"/>
      <c r="AS153" s="48"/>
      <c r="AT153" s="50"/>
      <c r="AV153" s="47">
        <v>44375</v>
      </c>
      <c r="AW153" s="51">
        <v>0.40625</v>
      </c>
      <c r="AX153" t="s">
        <v>162</v>
      </c>
    </row>
    <row r="154" spans="1:50">
      <c r="A154" s="23" t="s">
        <v>22</v>
      </c>
      <c r="B154" s="23" t="s">
        <v>23</v>
      </c>
      <c r="C154" s="28">
        <v>44375.614583333336</v>
      </c>
      <c r="D154" s="23">
        <v>521.29999999999995</v>
      </c>
      <c r="E154" s="28">
        <v>44375.635416666664</v>
      </c>
      <c r="F154" s="23">
        <v>527.97500000000002</v>
      </c>
      <c r="G154" s="33">
        <v>1.2800000000000001E-2</v>
      </c>
      <c r="H154" s="23">
        <v>-641.83000000000004</v>
      </c>
      <c r="I154" s="33">
        <v>-1.2800000000000001E-2</v>
      </c>
      <c r="J154" s="23">
        <v>96.154889999999995</v>
      </c>
      <c r="K154" s="23">
        <v>50125.54</v>
      </c>
      <c r="L154" s="23">
        <v>24298.79</v>
      </c>
      <c r="M154" s="23">
        <v>3</v>
      </c>
      <c r="N154" s="23">
        <v>-213.94</v>
      </c>
      <c r="O154" s="33">
        <v>-1.2800000000000001E-2</v>
      </c>
      <c r="P154" s="33">
        <v>2.0000000000000001E-4</v>
      </c>
      <c r="Q154" s="23" t="s">
        <v>24</v>
      </c>
      <c r="R154" s="23">
        <v>0</v>
      </c>
      <c r="S154" s="23">
        <v>526.38</v>
      </c>
      <c r="U154" s="47">
        <v>44406</v>
      </c>
      <c r="V154" s="23" t="s">
        <v>124</v>
      </c>
      <c r="W154" s="23" t="s">
        <v>23</v>
      </c>
      <c r="X154" s="28">
        <v>44375.614583333336</v>
      </c>
      <c r="Y154" s="23">
        <v>24.25</v>
      </c>
      <c r="Z154" s="28">
        <v>44375.635416666664</v>
      </c>
      <c r="AA154" s="23">
        <v>27.5</v>
      </c>
      <c r="AB154" s="33">
        <v>0.13400000000000001</v>
      </c>
      <c r="AC154" s="23">
        <v>-7021.04</v>
      </c>
      <c r="AD154" s="33">
        <v>-0.13400000000000001</v>
      </c>
      <c r="AE154" s="23">
        <v>2160.319</v>
      </c>
      <c r="AF154" s="23">
        <v>52387.73</v>
      </c>
      <c r="AG154" s="23">
        <v>470525.76</v>
      </c>
      <c r="AH154" s="23">
        <v>3</v>
      </c>
      <c r="AI154" s="23">
        <v>-2340.35</v>
      </c>
      <c r="AJ154" s="33">
        <v>-0.13400000000000001</v>
      </c>
      <c r="AK154" s="33">
        <v>0</v>
      </c>
      <c r="AL154" s="23" t="s">
        <v>24</v>
      </c>
      <c r="AM154" s="23">
        <v>521.29999999999995</v>
      </c>
      <c r="AN154" s="23">
        <v>35372.85</v>
      </c>
      <c r="AO154" s="23">
        <v>526.38</v>
      </c>
      <c r="AQ154" s="50">
        <f t="shared" si="2"/>
        <v>4.6518319585651259E-2</v>
      </c>
      <c r="AR154" s="50"/>
      <c r="AS154" s="48"/>
      <c r="AT154" s="50"/>
      <c r="AV154" s="47">
        <v>44375</v>
      </c>
      <c r="AW154" s="51">
        <v>0.11458333333333333</v>
      </c>
      <c r="AX154" t="s">
        <v>163</v>
      </c>
    </row>
    <row r="155" spans="1:50">
      <c r="A155" s="23" t="s">
        <v>22</v>
      </c>
      <c r="B155" s="23" t="s">
        <v>25</v>
      </c>
      <c r="C155" s="28">
        <v>44375.635416666664</v>
      </c>
      <c r="D155" s="23">
        <v>527.97500000000002</v>
      </c>
      <c r="E155" s="28">
        <v>44376.416666666664</v>
      </c>
      <c r="F155" s="23">
        <v>523.54999999999995</v>
      </c>
      <c r="G155" s="33">
        <v>-8.3999999999999995E-3</v>
      </c>
      <c r="H155" s="23">
        <v>-420.09</v>
      </c>
      <c r="I155" s="33">
        <v>-8.3999999999999995E-3</v>
      </c>
      <c r="J155" s="23">
        <v>94.934920000000005</v>
      </c>
      <c r="K155" s="23">
        <v>50123.26</v>
      </c>
      <c r="L155" s="23">
        <v>23878.71</v>
      </c>
      <c r="M155" s="23">
        <v>8</v>
      </c>
      <c r="N155" s="23">
        <v>-52.51</v>
      </c>
      <c r="O155" s="33">
        <v>-8.9999999999999993E-3</v>
      </c>
      <c r="P155" s="33">
        <v>5.7000000000000002E-3</v>
      </c>
      <c r="Q155" s="23" t="s">
        <v>24</v>
      </c>
      <c r="R155" s="23">
        <v>0</v>
      </c>
      <c r="S155" s="23">
        <v>521.29999999999995</v>
      </c>
      <c r="U155" s="47">
        <v>44406</v>
      </c>
      <c r="V155" s="23" t="s">
        <v>117</v>
      </c>
      <c r="W155" s="23" t="s">
        <v>23</v>
      </c>
      <c r="X155" s="28">
        <v>44375.635416666664</v>
      </c>
      <c r="Y155" s="23">
        <v>17.824999999999999</v>
      </c>
      <c r="Z155" s="28">
        <v>44376.416666666664</v>
      </c>
      <c r="AA155" s="23">
        <v>18.024999999999999</v>
      </c>
      <c r="AB155" s="33">
        <v>1.12E-2</v>
      </c>
      <c r="AC155" s="23">
        <v>-587.62</v>
      </c>
      <c r="AD155" s="33">
        <v>-1.12E-2</v>
      </c>
      <c r="AE155" s="23">
        <v>2938.125</v>
      </c>
      <c r="AF155" s="23">
        <v>52372.07</v>
      </c>
      <c r="AG155" s="23">
        <v>469938.14</v>
      </c>
      <c r="AH155" s="23">
        <v>8</v>
      </c>
      <c r="AI155" s="23">
        <v>-73.45</v>
      </c>
      <c r="AJ155" s="33">
        <v>-2.3800000000000002E-2</v>
      </c>
      <c r="AK155" s="33">
        <v>7.1499999999999994E-2</v>
      </c>
      <c r="AL155" s="23" t="s">
        <v>24</v>
      </c>
      <c r="AM155" s="23">
        <v>527.97</v>
      </c>
      <c r="AN155" s="23">
        <v>35401.4</v>
      </c>
      <c r="AO155" s="23">
        <v>521.29999999999995</v>
      </c>
      <c r="AQ155" s="50">
        <f t="shared" si="2"/>
        <v>3.3761387957649103E-2</v>
      </c>
      <c r="AR155" s="50"/>
      <c r="AS155" s="48"/>
      <c r="AT155" s="50"/>
      <c r="AV155" s="47">
        <v>44375</v>
      </c>
      <c r="AW155" s="51">
        <v>0.13541666666666666</v>
      </c>
      <c r="AX155" t="s">
        <v>163</v>
      </c>
    </row>
    <row r="156" spans="1:50">
      <c r="A156" s="23" t="s">
        <v>22</v>
      </c>
      <c r="B156" s="23" t="s">
        <v>23</v>
      </c>
      <c r="C156" s="28">
        <v>44376.416666666664</v>
      </c>
      <c r="D156" s="23">
        <v>523.54999999999995</v>
      </c>
      <c r="E156" s="28">
        <v>44376.489583333336</v>
      </c>
      <c r="F156" s="23">
        <v>526.72500000000002</v>
      </c>
      <c r="G156" s="33">
        <v>6.1000000000000004E-3</v>
      </c>
      <c r="H156" s="23">
        <v>-303.94</v>
      </c>
      <c r="I156" s="33">
        <v>-6.1000000000000004E-3</v>
      </c>
      <c r="J156" s="23">
        <v>95.730180000000004</v>
      </c>
      <c r="K156" s="23">
        <v>50119.54</v>
      </c>
      <c r="L156" s="23">
        <v>23574.76</v>
      </c>
      <c r="M156" s="23">
        <v>8</v>
      </c>
      <c r="N156" s="23">
        <v>-37.99</v>
      </c>
      <c r="O156" s="33">
        <v>-6.1000000000000004E-3</v>
      </c>
      <c r="P156" s="33">
        <v>6.7999999999999996E-3</v>
      </c>
      <c r="Q156" s="23" t="s">
        <v>24</v>
      </c>
      <c r="R156" s="23">
        <v>0</v>
      </c>
      <c r="S156" s="23">
        <v>530.69000000000005</v>
      </c>
      <c r="U156" s="47">
        <v>44406</v>
      </c>
      <c r="V156" s="23" t="s">
        <v>124</v>
      </c>
      <c r="W156" s="23" t="s">
        <v>23</v>
      </c>
      <c r="X156" s="28">
        <v>44376.416666666664</v>
      </c>
      <c r="Y156" s="23">
        <v>24.95</v>
      </c>
      <c r="Z156" s="28">
        <v>44376.489583333336</v>
      </c>
      <c r="AA156" s="23">
        <v>26.9</v>
      </c>
      <c r="AB156" s="33">
        <v>7.8200000000000006E-2</v>
      </c>
      <c r="AC156" s="23">
        <v>-4091.46</v>
      </c>
      <c r="AD156" s="33">
        <v>-7.8200000000000006E-2</v>
      </c>
      <c r="AE156" s="23">
        <v>2098.1840000000002</v>
      </c>
      <c r="AF156" s="23">
        <v>52349.69</v>
      </c>
      <c r="AG156" s="23">
        <v>465846.68</v>
      </c>
      <c r="AH156" s="23">
        <v>8</v>
      </c>
      <c r="AI156" s="23">
        <v>-511.43</v>
      </c>
      <c r="AJ156" s="33">
        <v>-7.8200000000000006E-2</v>
      </c>
      <c r="AK156" s="33">
        <v>9.7199999999999995E-2</v>
      </c>
      <c r="AL156" s="23" t="s">
        <v>24</v>
      </c>
      <c r="AM156" s="23">
        <v>523.54999999999995</v>
      </c>
      <c r="AN156" s="23">
        <v>35103.550000000003</v>
      </c>
      <c r="AO156" s="23">
        <v>530.69000000000005</v>
      </c>
      <c r="AQ156" s="50">
        <f t="shared" si="2"/>
        <v>4.7655429280870978E-2</v>
      </c>
      <c r="AR156" s="50"/>
      <c r="AS156" s="48"/>
      <c r="AT156" s="50"/>
      <c r="AV156" s="47">
        <v>44376</v>
      </c>
      <c r="AW156" s="51">
        <v>0.41666666666666669</v>
      </c>
      <c r="AX156" t="s">
        <v>162</v>
      </c>
    </row>
    <row r="157" spans="1:50">
      <c r="A157" s="23" t="s">
        <v>22</v>
      </c>
      <c r="B157" s="23" t="s">
        <v>25</v>
      </c>
      <c r="C157" s="28">
        <v>44376.489583333336</v>
      </c>
      <c r="D157" s="23">
        <v>526.72500000000002</v>
      </c>
      <c r="E157" s="28">
        <v>44377.385416666664</v>
      </c>
      <c r="F157" s="23">
        <v>533</v>
      </c>
      <c r="G157" s="33">
        <v>1.1900000000000001E-2</v>
      </c>
      <c r="H157" s="23">
        <v>597.08000000000004</v>
      </c>
      <c r="I157" s="33">
        <v>1.1900000000000001E-2</v>
      </c>
      <c r="J157" s="23">
        <v>95.15164</v>
      </c>
      <c r="K157" s="23">
        <v>50118.75</v>
      </c>
      <c r="L157" s="23">
        <v>24171.84</v>
      </c>
      <c r="M157" s="23">
        <v>19</v>
      </c>
      <c r="N157" s="23">
        <v>31.43</v>
      </c>
      <c r="O157" s="33">
        <v>-4.7000000000000002E-3</v>
      </c>
      <c r="P157" s="33">
        <v>3.0499999999999999E-2</v>
      </c>
      <c r="Q157" s="23" t="s">
        <v>24</v>
      </c>
      <c r="R157" s="23">
        <v>0</v>
      </c>
      <c r="S157" s="23">
        <v>520</v>
      </c>
      <c r="U157" s="47">
        <v>44406</v>
      </c>
      <c r="V157" s="23" t="s">
        <v>105</v>
      </c>
      <c r="W157" s="23" t="s">
        <v>23</v>
      </c>
      <c r="X157" s="28">
        <v>44376.489583333336</v>
      </c>
      <c r="Y157" s="23">
        <v>10</v>
      </c>
      <c r="Z157" s="28">
        <v>44377.385416666664</v>
      </c>
      <c r="AA157" s="23">
        <v>8.9499999999999993</v>
      </c>
      <c r="AB157" s="33">
        <v>-0.105</v>
      </c>
      <c r="AC157" s="23">
        <v>5497.21</v>
      </c>
      <c r="AD157" s="33">
        <v>0.105</v>
      </c>
      <c r="AE157" s="23">
        <v>5235.4409999999998</v>
      </c>
      <c r="AF157" s="23">
        <v>52354.41</v>
      </c>
      <c r="AG157" s="23">
        <v>471343.89</v>
      </c>
      <c r="AH157" s="23">
        <v>19</v>
      </c>
      <c r="AI157" s="23">
        <v>289.33</v>
      </c>
      <c r="AJ157" s="33">
        <v>-2.75E-2</v>
      </c>
      <c r="AK157" s="33">
        <v>0.32500000000000001</v>
      </c>
      <c r="AL157" s="23" t="s">
        <v>24</v>
      </c>
      <c r="AM157" s="23">
        <v>526.72</v>
      </c>
      <c r="AN157" s="23">
        <v>35061.550000000003</v>
      </c>
      <c r="AO157" s="23">
        <v>520</v>
      </c>
      <c r="AQ157" s="50">
        <f t="shared" si="2"/>
        <v>1.8985419198055891E-2</v>
      </c>
      <c r="AR157" s="50"/>
      <c r="AS157" s="48"/>
      <c r="AT157" s="50"/>
      <c r="AV157" s="47">
        <v>44376</v>
      </c>
      <c r="AW157" s="51">
        <v>0.48958333333333331</v>
      </c>
      <c r="AX157" t="s">
        <v>162</v>
      </c>
    </row>
    <row r="158" spans="1:50">
      <c r="A158" s="23" t="s">
        <v>22</v>
      </c>
      <c r="B158" s="23" t="s">
        <v>23</v>
      </c>
      <c r="C158" s="28">
        <v>44377.385416666664</v>
      </c>
      <c r="D158" s="23">
        <v>533</v>
      </c>
      <c r="E158" s="28">
        <v>44378.583333333336</v>
      </c>
      <c r="F158" s="23">
        <v>516</v>
      </c>
      <c r="G158" s="33">
        <v>-3.1899999999999998E-2</v>
      </c>
      <c r="H158" s="23">
        <v>1598.71</v>
      </c>
      <c r="I158" s="33">
        <v>3.1899999999999998E-2</v>
      </c>
      <c r="J158" s="23">
        <v>94.041719999999998</v>
      </c>
      <c r="K158" s="23">
        <v>50124.23</v>
      </c>
      <c r="L158" s="23">
        <v>25770.55</v>
      </c>
      <c r="M158" s="23">
        <v>48</v>
      </c>
      <c r="N158" s="23">
        <v>33.31</v>
      </c>
      <c r="O158" s="33">
        <v>-1.6400000000000001E-2</v>
      </c>
      <c r="P158" s="33">
        <v>3.8300000000000001E-2</v>
      </c>
      <c r="Q158" s="23" t="s">
        <v>24</v>
      </c>
      <c r="R158" s="23">
        <v>0</v>
      </c>
      <c r="S158" s="23">
        <v>542.53</v>
      </c>
      <c r="U158" s="47">
        <v>44406</v>
      </c>
      <c r="V158" s="23" t="s">
        <v>127</v>
      </c>
      <c r="W158" s="23" t="s">
        <v>23</v>
      </c>
      <c r="X158" s="28">
        <v>44377.385416666664</v>
      </c>
      <c r="Y158" s="23">
        <v>26.3</v>
      </c>
      <c r="Z158" s="28">
        <v>44378.583333333336</v>
      </c>
      <c r="AA158" s="23">
        <v>17.274999999999999</v>
      </c>
      <c r="AB158" s="33">
        <v>-0.34320000000000001</v>
      </c>
      <c r="AC158" s="23">
        <v>17975.05</v>
      </c>
      <c r="AD158" s="33">
        <v>0.34320000000000001</v>
      </c>
      <c r="AE158" s="23">
        <v>1991.6949999999999</v>
      </c>
      <c r="AF158" s="23">
        <v>52381.59</v>
      </c>
      <c r="AG158" s="23">
        <v>489318.94</v>
      </c>
      <c r="AH158" s="23">
        <v>48</v>
      </c>
      <c r="AI158" s="23">
        <v>374.48</v>
      </c>
      <c r="AJ158" s="33">
        <v>-8.3699999999999997E-2</v>
      </c>
      <c r="AK158" s="33">
        <v>0.39069999999999999</v>
      </c>
      <c r="AL158" s="23" t="s">
        <v>24</v>
      </c>
      <c r="AM158" s="23">
        <v>533</v>
      </c>
      <c r="AN158" s="23">
        <v>34955.65</v>
      </c>
      <c r="AO158" s="23">
        <v>542.53</v>
      </c>
      <c r="AQ158" s="50">
        <f t="shared" si="2"/>
        <v>4.9343339587242026E-2</v>
      </c>
      <c r="AR158" s="50"/>
      <c r="AS158" s="48"/>
      <c r="AT158" s="50"/>
      <c r="AV158" s="47">
        <v>44377</v>
      </c>
      <c r="AW158" s="51">
        <v>0.38541666666666669</v>
      </c>
      <c r="AX158" t="s">
        <v>162</v>
      </c>
    </row>
    <row r="159" spans="1:50">
      <c r="A159" s="23" t="s">
        <v>22</v>
      </c>
      <c r="B159" s="23" t="s">
        <v>25</v>
      </c>
      <c r="C159" s="28">
        <v>44378.583333333336</v>
      </c>
      <c r="D159" s="23">
        <v>516</v>
      </c>
      <c r="E159" s="28">
        <v>44378.614583333336</v>
      </c>
      <c r="F159" s="23">
        <v>511.875</v>
      </c>
      <c r="G159" s="33">
        <v>-8.0000000000000002E-3</v>
      </c>
      <c r="H159" s="23">
        <v>-400.74</v>
      </c>
      <c r="I159" s="33">
        <v>-8.0000000000000002E-3</v>
      </c>
      <c r="J159" s="23">
        <v>97.148740000000004</v>
      </c>
      <c r="K159" s="23">
        <v>50128.75</v>
      </c>
      <c r="L159" s="23">
        <v>25369.81</v>
      </c>
      <c r="M159" s="23">
        <v>4</v>
      </c>
      <c r="N159" s="23">
        <v>-100.18</v>
      </c>
      <c r="O159" s="33">
        <v>-8.0000000000000002E-3</v>
      </c>
      <c r="P159" s="33">
        <v>1.9E-3</v>
      </c>
      <c r="Q159" s="23" t="s">
        <v>24</v>
      </c>
      <c r="R159" s="23">
        <v>0</v>
      </c>
      <c r="S159" s="23">
        <v>512.58000000000004</v>
      </c>
      <c r="U159" s="47">
        <v>44406</v>
      </c>
      <c r="V159" s="23" t="s">
        <v>103</v>
      </c>
      <c r="W159" s="23" t="s">
        <v>23</v>
      </c>
      <c r="X159" s="28">
        <v>44378.583333333336</v>
      </c>
      <c r="Y159" s="23">
        <v>3.3</v>
      </c>
      <c r="Z159" s="28">
        <v>44378.614583333336</v>
      </c>
      <c r="AA159" s="23">
        <v>3.3</v>
      </c>
      <c r="AB159" s="33">
        <v>0</v>
      </c>
      <c r="AC159" s="23">
        <v>0</v>
      </c>
      <c r="AD159" s="33">
        <v>0</v>
      </c>
      <c r="AE159" s="23">
        <v>15893.36</v>
      </c>
      <c r="AF159" s="23">
        <v>52448.09</v>
      </c>
      <c r="AG159" s="23">
        <v>489318.94</v>
      </c>
      <c r="AH159" s="23">
        <v>4</v>
      </c>
      <c r="AI159" s="23">
        <v>0</v>
      </c>
      <c r="AJ159" s="33">
        <v>0</v>
      </c>
      <c r="AK159" s="33">
        <v>0</v>
      </c>
      <c r="AL159" s="23" t="s">
        <v>24</v>
      </c>
      <c r="AM159" s="23">
        <v>516</v>
      </c>
      <c r="AN159" s="23">
        <v>34810.5</v>
      </c>
      <c r="AO159" s="23">
        <v>512.58000000000004</v>
      </c>
      <c r="AQ159" s="50">
        <f t="shared" si="2"/>
        <v>6.3953488372093022E-3</v>
      </c>
      <c r="AR159" s="50"/>
      <c r="AS159" s="48"/>
      <c r="AT159" s="50"/>
      <c r="AV159" s="47">
        <v>44378</v>
      </c>
      <c r="AW159" s="51">
        <v>8.3333333333333329E-2</v>
      </c>
      <c r="AX159" t="s">
        <v>163</v>
      </c>
    </row>
    <row r="160" spans="1:50">
      <c r="A160" s="23" t="s">
        <v>22</v>
      </c>
      <c r="B160" s="23" t="s">
        <v>23</v>
      </c>
      <c r="C160" s="28">
        <v>44378.614583333336</v>
      </c>
      <c r="D160" s="23">
        <v>511.875</v>
      </c>
      <c r="E160" s="28">
        <v>44379.385416666664</v>
      </c>
      <c r="F160" s="23">
        <v>514.17499999999995</v>
      </c>
      <c r="G160" s="33">
        <v>4.4999999999999997E-3</v>
      </c>
      <c r="H160" s="23">
        <v>-225.24</v>
      </c>
      <c r="I160" s="33">
        <v>-4.4999999999999997E-3</v>
      </c>
      <c r="J160" s="23">
        <v>97.929550000000006</v>
      </c>
      <c r="K160" s="23">
        <v>50127.69</v>
      </c>
      <c r="L160" s="23">
        <v>25144.57</v>
      </c>
      <c r="M160" s="23">
        <v>7</v>
      </c>
      <c r="N160" s="23">
        <v>-32.18</v>
      </c>
      <c r="O160" s="33">
        <v>-4.7999999999999996E-3</v>
      </c>
      <c r="P160" s="33">
        <v>3.5999999999999999E-3</v>
      </c>
      <c r="Q160" s="23" t="s">
        <v>24</v>
      </c>
      <c r="R160" s="23">
        <v>0</v>
      </c>
      <c r="S160" s="23">
        <v>516.80999999999995</v>
      </c>
      <c r="U160" s="47">
        <v>44406</v>
      </c>
      <c r="V160" s="23" t="s">
        <v>136</v>
      </c>
      <c r="W160" s="23" t="s">
        <v>23</v>
      </c>
      <c r="X160" s="28">
        <v>44378.614583333336</v>
      </c>
      <c r="Y160" s="23">
        <v>23.5</v>
      </c>
      <c r="Z160" s="28">
        <v>44379.385416666664</v>
      </c>
      <c r="AA160" s="23">
        <v>23.05</v>
      </c>
      <c r="AB160" s="33">
        <v>-1.9099999999999999E-2</v>
      </c>
      <c r="AC160" s="23">
        <v>1004.3</v>
      </c>
      <c r="AD160" s="33">
        <v>1.9099999999999999E-2</v>
      </c>
      <c r="AE160" s="23">
        <v>2231.77</v>
      </c>
      <c r="AF160" s="23">
        <v>52446.59</v>
      </c>
      <c r="AG160" s="23">
        <v>490323.24</v>
      </c>
      <c r="AH160" s="23">
        <v>7</v>
      </c>
      <c r="AI160" s="23">
        <v>143.47</v>
      </c>
      <c r="AJ160" s="33">
        <v>-3.1899999999999998E-2</v>
      </c>
      <c r="AK160" s="33">
        <v>1.9099999999999999E-2</v>
      </c>
      <c r="AL160" s="23" t="s">
        <v>24</v>
      </c>
      <c r="AM160" s="23">
        <v>511.88</v>
      </c>
      <c r="AN160" s="23">
        <v>34705.85</v>
      </c>
      <c r="AO160" s="23">
        <v>516.80999999999995</v>
      </c>
      <c r="AQ160" s="50">
        <f t="shared" si="2"/>
        <v>4.5909197468156603E-2</v>
      </c>
      <c r="AR160" s="50"/>
      <c r="AS160" s="48"/>
      <c r="AT160" s="50"/>
      <c r="AV160" s="47">
        <v>44378</v>
      </c>
      <c r="AW160" s="51">
        <v>0.11458333333333333</v>
      </c>
      <c r="AX160" t="s">
        <v>163</v>
      </c>
    </row>
    <row r="161" spans="1:50">
      <c r="A161" s="23" t="s">
        <v>22</v>
      </c>
      <c r="B161" s="23" t="s">
        <v>25</v>
      </c>
      <c r="C161" s="28">
        <v>44379.385416666664</v>
      </c>
      <c r="D161" s="23">
        <v>514.17499999999995</v>
      </c>
      <c r="E161" s="28">
        <v>44379.614583333336</v>
      </c>
      <c r="F161" s="23">
        <v>517.70000000000005</v>
      </c>
      <c r="G161" s="33">
        <v>6.8999999999999999E-3</v>
      </c>
      <c r="H161" s="23">
        <v>343.65</v>
      </c>
      <c r="I161" s="33">
        <v>6.8999999999999999E-3</v>
      </c>
      <c r="J161" s="23">
        <v>97.489750000000001</v>
      </c>
      <c r="K161" s="23">
        <v>50126.79</v>
      </c>
      <c r="L161" s="23">
        <v>25488.22</v>
      </c>
      <c r="M161" s="23">
        <v>23</v>
      </c>
      <c r="N161" s="23">
        <v>14.94</v>
      </c>
      <c r="O161" s="33">
        <v>-3.3E-3</v>
      </c>
      <c r="P161" s="33">
        <v>1.35E-2</v>
      </c>
      <c r="Q161" s="23" t="s">
        <v>24</v>
      </c>
      <c r="R161" s="23">
        <v>0</v>
      </c>
      <c r="S161" s="23">
        <v>510.32</v>
      </c>
      <c r="U161" s="47">
        <v>44406</v>
      </c>
      <c r="V161" s="23" t="s">
        <v>117</v>
      </c>
      <c r="W161" s="23" t="s">
        <v>23</v>
      </c>
      <c r="X161" s="28">
        <v>44379.385416666664</v>
      </c>
      <c r="Y161" s="23">
        <v>24.175000000000001</v>
      </c>
      <c r="Z161" s="28">
        <v>44379.614583333336</v>
      </c>
      <c r="AA161" s="23">
        <v>21.125</v>
      </c>
      <c r="AB161" s="33">
        <v>-0.12620000000000001</v>
      </c>
      <c r="AC161" s="23">
        <v>6617.47</v>
      </c>
      <c r="AD161" s="33">
        <v>0.12620000000000001</v>
      </c>
      <c r="AE161" s="23">
        <v>2169.6640000000002</v>
      </c>
      <c r="AF161" s="23">
        <v>52451.62</v>
      </c>
      <c r="AG161" s="23">
        <v>496940.71</v>
      </c>
      <c r="AH161" s="23">
        <v>23</v>
      </c>
      <c r="AI161" s="23">
        <v>287.72000000000003</v>
      </c>
      <c r="AJ161" s="33">
        <v>0</v>
      </c>
      <c r="AK161" s="33">
        <v>0.183</v>
      </c>
      <c r="AL161" s="23" t="s">
        <v>24</v>
      </c>
      <c r="AM161" s="23">
        <v>514.16999999999996</v>
      </c>
      <c r="AN161" s="23">
        <v>34689.050000000003</v>
      </c>
      <c r="AO161" s="23">
        <v>510.32</v>
      </c>
      <c r="AQ161" s="50">
        <f t="shared" si="2"/>
        <v>4.7017523387206571E-2</v>
      </c>
      <c r="AR161" s="50"/>
      <c r="AS161" s="48"/>
      <c r="AT161" s="50"/>
      <c r="AV161" s="47">
        <v>44379</v>
      </c>
      <c r="AW161" s="51">
        <v>0.38541666666666669</v>
      </c>
      <c r="AX161" t="s">
        <v>162</v>
      </c>
    </row>
    <row r="162" spans="1:50">
      <c r="A162" s="23" t="s">
        <v>22</v>
      </c>
      <c r="B162" s="23" t="s">
        <v>23</v>
      </c>
      <c r="C162" s="28">
        <v>44379.614583333336</v>
      </c>
      <c r="D162" s="23">
        <v>517.70000000000005</v>
      </c>
      <c r="E162" s="28">
        <v>44379.635416666664</v>
      </c>
      <c r="F162" s="23">
        <v>519.5</v>
      </c>
      <c r="G162" s="33">
        <v>3.5000000000000001E-3</v>
      </c>
      <c r="H162" s="23">
        <v>-174.29</v>
      </c>
      <c r="I162" s="33">
        <v>-3.5000000000000001E-3</v>
      </c>
      <c r="J162" s="23">
        <v>96.827740000000006</v>
      </c>
      <c r="K162" s="23">
        <v>50127.72</v>
      </c>
      <c r="L162" s="23">
        <v>25313.93</v>
      </c>
      <c r="M162" s="23">
        <v>3</v>
      </c>
      <c r="N162" s="23">
        <v>-58.1</v>
      </c>
      <c r="O162" s="33">
        <v>-4.4000000000000003E-3</v>
      </c>
      <c r="P162" s="33">
        <v>8.9999999999999998E-4</v>
      </c>
      <c r="Q162" s="23" t="s">
        <v>24</v>
      </c>
      <c r="R162" s="23">
        <v>0</v>
      </c>
      <c r="S162" s="23">
        <v>520.96</v>
      </c>
      <c r="U162" s="47">
        <v>44406</v>
      </c>
      <c r="V162" s="23" t="s">
        <v>124</v>
      </c>
      <c r="W162" s="23" t="s">
        <v>23</v>
      </c>
      <c r="X162" s="28">
        <v>44379.614583333336</v>
      </c>
      <c r="Y162" s="23">
        <v>20.55</v>
      </c>
      <c r="Z162" s="28">
        <v>44379.635416666664</v>
      </c>
      <c r="AA162" s="23">
        <v>21</v>
      </c>
      <c r="AB162" s="33">
        <v>2.1899999999999999E-2</v>
      </c>
      <c r="AC162" s="23">
        <v>-1149.5</v>
      </c>
      <c r="AD162" s="33">
        <v>-2.1899999999999999E-2</v>
      </c>
      <c r="AE162" s="23">
        <v>2554.4360000000001</v>
      </c>
      <c r="AF162" s="23">
        <v>52493.65</v>
      </c>
      <c r="AG162" s="23">
        <v>495791.22</v>
      </c>
      <c r="AH162" s="23">
        <v>3</v>
      </c>
      <c r="AI162" s="23">
        <v>-383.17</v>
      </c>
      <c r="AJ162" s="33">
        <v>-3.8899999999999997E-2</v>
      </c>
      <c r="AK162" s="33">
        <v>2.3999999999999998E-3</v>
      </c>
      <c r="AL162" s="23" t="s">
        <v>24</v>
      </c>
      <c r="AM162" s="23">
        <v>517.70000000000005</v>
      </c>
      <c r="AN162" s="23">
        <v>34763.550000000003</v>
      </c>
      <c r="AO162" s="23">
        <v>520.96</v>
      </c>
      <c r="AQ162" s="50">
        <f t="shared" si="2"/>
        <v>3.9694803940506083E-2</v>
      </c>
      <c r="AR162" s="50"/>
      <c r="AS162" s="48"/>
      <c r="AT162" s="50"/>
      <c r="AV162" s="47">
        <v>44379</v>
      </c>
      <c r="AW162" s="51">
        <v>0.11458333333333333</v>
      </c>
      <c r="AX162" t="s">
        <v>163</v>
      </c>
    </row>
    <row r="163" spans="1:50">
      <c r="A163" s="23" t="s">
        <v>22</v>
      </c>
      <c r="B163" s="23" t="s">
        <v>25</v>
      </c>
      <c r="C163" s="28">
        <v>44379.635416666664</v>
      </c>
      <c r="D163" s="23">
        <v>519.5</v>
      </c>
      <c r="E163" s="28">
        <v>44382.395833333336</v>
      </c>
      <c r="F163" s="23">
        <v>516.75</v>
      </c>
      <c r="G163" s="33">
        <v>-5.3E-3</v>
      </c>
      <c r="H163" s="23">
        <v>-265.35000000000002</v>
      </c>
      <c r="I163" s="33">
        <v>-5.3E-3</v>
      </c>
      <c r="J163" s="23">
        <v>96.490210000000005</v>
      </c>
      <c r="K163" s="23">
        <v>50126.66</v>
      </c>
      <c r="L163" s="23">
        <v>25048.59</v>
      </c>
      <c r="M163" s="23">
        <v>6</v>
      </c>
      <c r="N163" s="23">
        <v>-44.22</v>
      </c>
      <c r="O163" s="33">
        <v>-5.3E-3</v>
      </c>
      <c r="P163" s="33">
        <v>8.2000000000000007E-3</v>
      </c>
      <c r="Q163" s="23" t="s">
        <v>24</v>
      </c>
      <c r="R163" s="23">
        <v>0</v>
      </c>
      <c r="S163" s="23">
        <v>517.32000000000005</v>
      </c>
      <c r="U163" s="47">
        <v>44406</v>
      </c>
      <c r="V163" s="23" t="s">
        <v>125</v>
      </c>
      <c r="W163" s="23" t="s">
        <v>23</v>
      </c>
      <c r="X163" s="28">
        <v>44379.635416666664</v>
      </c>
      <c r="Y163" s="23">
        <v>15.35</v>
      </c>
      <c r="Z163" s="28">
        <v>44382.395833333336</v>
      </c>
      <c r="AA163" s="23">
        <v>15.75</v>
      </c>
      <c r="AB163" s="33">
        <v>2.6100000000000002E-2</v>
      </c>
      <c r="AC163" s="23">
        <v>-1367.44</v>
      </c>
      <c r="AD163" s="33">
        <v>-2.6100000000000002E-2</v>
      </c>
      <c r="AE163" s="23">
        <v>3418.596</v>
      </c>
      <c r="AF163" s="23">
        <v>52475.45</v>
      </c>
      <c r="AG163" s="23">
        <v>494423.78</v>
      </c>
      <c r="AH163" s="23">
        <v>6</v>
      </c>
      <c r="AI163" s="23">
        <v>-227.91</v>
      </c>
      <c r="AJ163" s="33">
        <v>-2.6100000000000002E-2</v>
      </c>
      <c r="AK163" s="33">
        <v>9.7999999999999997E-3</v>
      </c>
      <c r="AL163" s="23" t="s">
        <v>24</v>
      </c>
      <c r="AM163" s="23">
        <v>519.5</v>
      </c>
      <c r="AN163" s="23">
        <v>34829.15</v>
      </c>
      <c r="AO163" s="23">
        <v>517.32000000000005</v>
      </c>
      <c r="AQ163" s="50">
        <f t="shared" si="2"/>
        <v>2.9547641963426369E-2</v>
      </c>
      <c r="AR163" s="50"/>
      <c r="AS163" s="48"/>
      <c r="AT163" s="50"/>
      <c r="AV163" s="47">
        <v>44379</v>
      </c>
      <c r="AW163" s="51">
        <v>0.13541666666666666</v>
      </c>
      <c r="AX163" t="s">
        <v>163</v>
      </c>
    </row>
    <row r="164" spans="1:50">
      <c r="A164" s="23" t="s">
        <v>22</v>
      </c>
      <c r="B164" s="23" t="s">
        <v>23</v>
      </c>
      <c r="C164" s="28">
        <v>44382.395833333336</v>
      </c>
      <c r="D164" s="23">
        <v>516.75</v>
      </c>
      <c r="E164" s="28">
        <v>44382.5625</v>
      </c>
      <c r="F164" s="23">
        <v>517.70000000000005</v>
      </c>
      <c r="G164" s="33">
        <v>1.8E-3</v>
      </c>
      <c r="H164" s="23">
        <v>-92.15</v>
      </c>
      <c r="I164" s="33">
        <v>-1.8E-3</v>
      </c>
      <c r="J164" s="23">
        <v>97.002470000000002</v>
      </c>
      <c r="K164" s="23">
        <v>50126.03</v>
      </c>
      <c r="L164" s="23">
        <v>24956.43</v>
      </c>
      <c r="M164" s="23">
        <v>17</v>
      </c>
      <c r="N164" s="23">
        <v>-5.42</v>
      </c>
      <c r="O164" s="33">
        <v>-6.3E-3</v>
      </c>
      <c r="P164" s="33">
        <v>1.14E-2</v>
      </c>
      <c r="Q164" s="23" t="s">
        <v>24</v>
      </c>
      <c r="R164" s="23">
        <v>0</v>
      </c>
      <c r="S164" s="23">
        <v>523.49</v>
      </c>
      <c r="U164" s="47">
        <v>44406</v>
      </c>
      <c r="V164" s="23" t="s">
        <v>124</v>
      </c>
      <c r="W164" s="23" t="s">
        <v>23</v>
      </c>
      <c r="X164" s="28">
        <v>44382.395833333336</v>
      </c>
      <c r="Y164" s="23">
        <v>19.824999999999999</v>
      </c>
      <c r="Z164" s="28">
        <v>44382.5625</v>
      </c>
      <c r="AA164" s="23">
        <v>20.5</v>
      </c>
      <c r="AB164" s="33">
        <v>3.4000000000000002E-2</v>
      </c>
      <c r="AC164" s="23">
        <v>-1786.8</v>
      </c>
      <c r="AD164" s="33">
        <v>-3.4000000000000002E-2</v>
      </c>
      <c r="AE164" s="23">
        <v>2647.11</v>
      </c>
      <c r="AF164" s="23">
        <v>52478.95</v>
      </c>
      <c r="AG164" s="23">
        <v>492636.98</v>
      </c>
      <c r="AH164" s="23">
        <v>17</v>
      </c>
      <c r="AI164" s="23">
        <v>-105.11</v>
      </c>
      <c r="AJ164" s="33">
        <v>-4.0399999999999998E-2</v>
      </c>
      <c r="AK164" s="33">
        <v>0.1173</v>
      </c>
      <c r="AL164" s="23" t="s">
        <v>24</v>
      </c>
      <c r="AM164" s="23">
        <v>516.75</v>
      </c>
      <c r="AN164" s="23">
        <v>35080.35</v>
      </c>
      <c r="AO164" s="23">
        <v>523.49</v>
      </c>
      <c r="AQ164" s="50">
        <f t="shared" si="2"/>
        <v>3.8364779874213835E-2</v>
      </c>
      <c r="AR164" s="50"/>
      <c r="AS164" s="48"/>
      <c r="AT164" s="50"/>
      <c r="AV164" s="47">
        <v>44382</v>
      </c>
      <c r="AW164" s="51">
        <v>0.39583333333333331</v>
      </c>
      <c r="AX164" t="s">
        <v>162</v>
      </c>
    </row>
    <row r="165" spans="1:50">
      <c r="A165" s="23" t="s">
        <v>22</v>
      </c>
      <c r="B165" s="23" t="s">
        <v>25</v>
      </c>
      <c r="C165" s="28">
        <v>44382.5625</v>
      </c>
      <c r="D165" s="23">
        <v>517.70000000000005</v>
      </c>
      <c r="E165" s="28">
        <v>44383.59375</v>
      </c>
      <c r="F165" s="23">
        <v>549.02499999999998</v>
      </c>
      <c r="G165" s="33">
        <v>6.0499999999999998E-2</v>
      </c>
      <c r="H165" s="23">
        <v>3033</v>
      </c>
      <c r="I165" s="33">
        <v>6.0499999999999998E-2</v>
      </c>
      <c r="J165" s="23">
        <v>96.823539999999994</v>
      </c>
      <c r="K165" s="23">
        <v>50125.55</v>
      </c>
      <c r="L165" s="23">
        <v>27989.43</v>
      </c>
      <c r="M165" s="23">
        <v>32</v>
      </c>
      <c r="N165" s="23">
        <v>94.78</v>
      </c>
      <c r="O165" s="33">
        <v>-8.0000000000000002E-3</v>
      </c>
      <c r="P165" s="33">
        <v>0.1037</v>
      </c>
      <c r="Q165" s="23" t="s">
        <v>24</v>
      </c>
      <c r="R165" s="23">
        <v>0</v>
      </c>
      <c r="S165" s="23">
        <v>510.88</v>
      </c>
      <c r="U165" s="47">
        <v>44406</v>
      </c>
      <c r="V165" s="23" t="s">
        <v>105</v>
      </c>
      <c r="W165" s="23" t="s">
        <v>23</v>
      </c>
      <c r="X165" s="28">
        <v>44382.5625</v>
      </c>
      <c r="Y165" s="23">
        <v>10.9</v>
      </c>
      <c r="Z165" s="28">
        <v>44383.59375</v>
      </c>
      <c r="AA165" s="23">
        <v>4.5</v>
      </c>
      <c r="AB165" s="33">
        <v>-0.58720000000000006</v>
      </c>
      <c r="AC165" s="23">
        <v>30815.53</v>
      </c>
      <c r="AD165" s="33">
        <v>0.58720000000000006</v>
      </c>
      <c r="AE165" s="23">
        <v>4814.9269999999997</v>
      </c>
      <c r="AF165" s="23">
        <v>52482.71</v>
      </c>
      <c r="AG165" s="23">
        <v>523452.51</v>
      </c>
      <c r="AH165" s="23">
        <v>32</v>
      </c>
      <c r="AI165" s="23">
        <v>962.99</v>
      </c>
      <c r="AJ165" s="33">
        <v>-0.1009</v>
      </c>
      <c r="AK165" s="33">
        <v>0.63759999999999994</v>
      </c>
      <c r="AL165" s="23" t="s">
        <v>24</v>
      </c>
      <c r="AM165" s="23">
        <v>517.70000000000005</v>
      </c>
      <c r="AN165" s="23">
        <v>35155.300000000003</v>
      </c>
      <c r="AO165" s="23">
        <v>510.88</v>
      </c>
      <c r="AQ165" s="50">
        <f t="shared" si="2"/>
        <v>2.1054664863820745E-2</v>
      </c>
      <c r="AR165" s="50"/>
      <c r="AS165" s="48"/>
      <c r="AT165" s="50"/>
      <c r="AV165" s="47">
        <v>44382</v>
      </c>
      <c r="AW165" s="51">
        <v>6.25E-2</v>
      </c>
      <c r="AX165" t="s">
        <v>163</v>
      </c>
    </row>
    <row r="166" spans="1:50">
      <c r="A166" s="23" t="s">
        <v>22</v>
      </c>
      <c r="B166" s="23" t="s">
        <v>23</v>
      </c>
      <c r="C166" s="28">
        <v>44383.59375</v>
      </c>
      <c r="D166" s="23">
        <v>549.02499999999998</v>
      </c>
      <c r="E166" s="28">
        <v>44384.489583333336</v>
      </c>
      <c r="F166" s="23">
        <v>556.4</v>
      </c>
      <c r="G166" s="33">
        <v>1.34E-2</v>
      </c>
      <c r="H166" s="23">
        <v>-673.58</v>
      </c>
      <c r="I166" s="33">
        <v>-1.34E-2</v>
      </c>
      <c r="J166" s="23">
        <v>91.332989999999995</v>
      </c>
      <c r="K166" s="23">
        <v>50144.1</v>
      </c>
      <c r="L166" s="23">
        <v>27315.85</v>
      </c>
      <c r="M166" s="23">
        <v>19</v>
      </c>
      <c r="N166" s="23">
        <v>-35.450000000000003</v>
      </c>
      <c r="O166" s="33">
        <v>-1.9099999999999999E-2</v>
      </c>
      <c r="P166" s="33">
        <v>6.4000000000000003E-3</v>
      </c>
      <c r="Q166" s="23" t="s">
        <v>24</v>
      </c>
      <c r="R166" s="23">
        <v>0</v>
      </c>
      <c r="S166" s="23">
        <v>571.38</v>
      </c>
      <c r="U166" s="47">
        <v>44406</v>
      </c>
      <c r="V166" s="23" t="s">
        <v>120</v>
      </c>
      <c r="W166" s="23" t="s">
        <v>23</v>
      </c>
      <c r="X166" s="28">
        <v>44383.59375</v>
      </c>
      <c r="Y166" s="23">
        <v>20.75</v>
      </c>
      <c r="Z166" s="28">
        <v>44384.489583333336</v>
      </c>
      <c r="AA166" s="23">
        <v>24.475000000000001</v>
      </c>
      <c r="AB166" s="33">
        <v>0.17949999999999999</v>
      </c>
      <c r="AC166" s="23">
        <v>-9446.83</v>
      </c>
      <c r="AD166" s="33">
        <v>-0.17949999999999999</v>
      </c>
      <c r="AE166" s="23">
        <v>2536.0619999999999</v>
      </c>
      <c r="AF166" s="23">
        <v>52623.28</v>
      </c>
      <c r="AG166" s="23">
        <v>514005.68</v>
      </c>
      <c r="AH166" s="23">
        <v>19</v>
      </c>
      <c r="AI166" s="23">
        <v>-497.2</v>
      </c>
      <c r="AJ166" s="33">
        <v>-0.31330000000000002</v>
      </c>
      <c r="AK166" s="33">
        <v>8.0699999999999994E-2</v>
      </c>
      <c r="AL166" s="23" t="s">
        <v>24</v>
      </c>
      <c r="AM166" s="23">
        <v>549.03</v>
      </c>
      <c r="AN166" s="23">
        <v>35670.400000000001</v>
      </c>
      <c r="AO166" s="23">
        <v>571.38</v>
      </c>
      <c r="AQ166" s="50">
        <f t="shared" si="2"/>
        <v>3.7793927472087138E-2</v>
      </c>
      <c r="AR166" s="50"/>
      <c r="AS166" s="48"/>
      <c r="AT166" s="50"/>
      <c r="AV166" s="47">
        <v>44383</v>
      </c>
      <c r="AW166" s="51">
        <v>9.375E-2</v>
      </c>
      <c r="AX166" t="s">
        <v>163</v>
      </c>
    </row>
    <row r="167" spans="1:50">
      <c r="A167" s="23" t="s">
        <v>22</v>
      </c>
      <c r="B167" s="23" t="s">
        <v>25</v>
      </c>
      <c r="C167" s="28">
        <v>44384.489583333336</v>
      </c>
      <c r="D167" s="23">
        <v>556.4</v>
      </c>
      <c r="E167" s="28">
        <v>44385.583333333336</v>
      </c>
      <c r="F167" s="23">
        <v>568.52499999999998</v>
      </c>
      <c r="G167" s="33">
        <v>2.18E-2</v>
      </c>
      <c r="H167" s="23">
        <v>1092.58</v>
      </c>
      <c r="I167" s="33">
        <v>2.18E-2</v>
      </c>
      <c r="J167" s="23">
        <v>90.109920000000002</v>
      </c>
      <c r="K167" s="23">
        <v>50137.16</v>
      </c>
      <c r="L167" s="23">
        <v>28408.43</v>
      </c>
      <c r="M167" s="23">
        <v>38</v>
      </c>
      <c r="N167" s="23">
        <v>28.75</v>
      </c>
      <c r="O167" s="33">
        <v>-6.3E-3</v>
      </c>
      <c r="P167" s="33">
        <v>3.6499999999999998E-2</v>
      </c>
      <c r="Q167" s="23" t="s">
        <v>24</v>
      </c>
      <c r="R167" s="23">
        <v>0</v>
      </c>
      <c r="S167" s="23">
        <v>545.95000000000005</v>
      </c>
      <c r="U167" s="47">
        <v>44406</v>
      </c>
      <c r="V167" s="23" t="s">
        <v>106</v>
      </c>
      <c r="W167" s="23" t="s">
        <v>23</v>
      </c>
      <c r="X167" s="28">
        <v>44384.489583333336</v>
      </c>
      <c r="Y167" s="23">
        <v>15.574999999999999</v>
      </c>
      <c r="Z167" s="28">
        <v>44385.583333333336</v>
      </c>
      <c r="AA167" s="23">
        <v>11.5</v>
      </c>
      <c r="AB167" s="33">
        <v>-0.2616</v>
      </c>
      <c r="AC167" s="23">
        <v>13757.35</v>
      </c>
      <c r="AD167" s="33">
        <v>0.2616</v>
      </c>
      <c r="AE167" s="23">
        <v>3376.0360000000001</v>
      </c>
      <c r="AF167" s="23">
        <v>52581.760000000002</v>
      </c>
      <c r="AG167" s="23">
        <v>527763.03</v>
      </c>
      <c r="AH167" s="23">
        <v>38</v>
      </c>
      <c r="AI167" s="23">
        <v>362.04</v>
      </c>
      <c r="AJ167" s="33">
        <v>-9.7900000000000001E-2</v>
      </c>
      <c r="AK167" s="33">
        <v>0.39</v>
      </c>
      <c r="AL167" s="23" t="s">
        <v>24</v>
      </c>
      <c r="AM167" s="23">
        <v>556.4</v>
      </c>
      <c r="AN167" s="23">
        <v>35667</v>
      </c>
      <c r="AO167" s="23">
        <v>545.95000000000005</v>
      </c>
      <c r="AQ167" s="50">
        <f t="shared" si="2"/>
        <v>2.7992451473759884E-2</v>
      </c>
      <c r="AR167" s="50"/>
      <c r="AS167" s="48"/>
      <c r="AT167" s="50"/>
      <c r="AV167" s="47">
        <v>44384</v>
      </c>
      <c r="AW167" s="51">
        <v>0.48958333333333331</v>
      </c>
      <c r="AX167" t="s">
        <v>162</v>
      </c>
    </row>
    <row r="168" spans="1:50">
      <c r="A168" s="23" t="s">
        <v>22</v>
      </c>
      <c r="B168" s="23" t="s">
        <v>23</v>
      </c>
      <c r="C168" s="28">
        <v>44385.583333333336</v>
      </c>
      <c r="D168" s="23">
        <v>568.52499999999998</v>
      </c>
      <c r="E168" s="28">
        <v>44385.635416666664</v>
      </c>
      <c r="F168" s="23">
        <v>571.17499999999995</v>
      </c>
      <c r="G168" s="33">
        <v>4.7000000000000002E-3</v>
      </c>
      <c r="H168" s="23">
        <v>-233.72</v>
      </c>
      <c r="I168" s="33">
        <v>-4.7000000000000002E-3</v>
      </c>
      <c r="J168" s="23">
        <v>88.196700000000007</v>
      </c>
      <c r="K168" s="23">
        <v>50142.03</v>
      </c>
      <c r="L168" s="23">
        <v>28174.71</v>
      </c>
      <c r="M168" s="23">
        <v>6</v>
      </c>
      <c r="N168" s="23">
        <v>-38.950000000000003</v>
      </c>
      <c r="O168" s="33">
        <v>-4.7999999999999996E-3</v>
      </c>
      <c r="P168" s="33">
        <v>4.0000000000000001E-3</v>
      </c>
      <c r="Q168" s="23" t="s">
        <v>24</v>
      </c>
      <c r="R168" s="23">
        <v>0</v>
      </c>
      <c r="S168" s="23">
        <v>576.33000000000004</v>
      </c>
      <c r="U168" s="47">
        <v>44406</v>
      </c>
      <c r="V168" s="23" t="s">
        <v>137</v>
      </c>
      <c r="W168" s="23" t="s">
        <v>23</v>
      </c>
      <c r="X168" s="28">
        <v>44385.583333333336</v>
      </c>
      <c r="Y168" s="23">
        <v>19.425000000000001</v>
      </c>
      <c r="Z168" s="28">
        <v>44385.635416666664</v>
      </c>
      <c r="AA168" s="23">
        <v>20.75</v>
      </c>
      <c r="AB168" s="33">
        <v>6.8199999999999997E-2</v>
      </c>
      <c r="AC168" s="23">
        <v>-3590.61</v>
      </c>
      <c r="AD168" s="33">
        <v>-6.8199999999999997E-2</v>
      </c>
      <c r="AE168" s="23">
        <v>2709.893</v>
      </c>
      <c r="AF168" s="23">
        <v>52639.66</v>
      </c>
      <c r="AG168" s="23">
        <v>524172.42</v>
      </c>
      <c r="AH168" s="23">
        <v>6</v>
      </c>
      <c r="AI168" s="23">
        <v>-598.42999999999995</v>
      </c>
      <c r="AJ168" s="33">
        <v>-6.8199999999999997E-2</v>
      </c>
      <c r="AK168" s="33">
        <v>5.6599999999999998E-2</v>
      </c>
      <c r="AL168" s="23" t="s">
        <v>24</v>
      </c>
      <c r="AM168" s="23">
        <v>568.53</v>
      </c>
      <c r="AN168" s="23">
        <v>35284.949999999997</v>
      </c>
      <c r="AO168" s="23">
        <v>576.33000000000004</v>
      </c>
      <c r="AQ168" s="50">
        <f t="shared" si="2"/>
        <v>3.4167062424146487E-2</v>
      </c>
      <c r="AR168" s="50"/>
      <c r="AS168" s="48"/>
      <c r="AT168" s="50"/>
      <c r="AV168" s="47">
        <v>44385</v>
      </c>
      <c r="AW168" s="51">
        <v>8.3333333333333329E-2</v>
      </c>
      <c r="AX168" t="s">
        <v>163</v>
      </c>
    </row>
    <row r="169" spans="1:50">
      <c r="A169" s="23" t="s">
        <v>22</v>
      </c>
      <c r="B169" s="23" t="s">
        <v>25</v>
      </c>
      <c r="C169" s="28">
        <v>44385.635416666664</v>
      </c>
      <c r="D169" s="23">
        <v>571.17499999999995</v>
      </c>
      <c r="E169" s="28">
        <v>44386.385416666664</v>
      </c>
      <c r="F169" s="23">
        <v>572.07500000000005</v>
      </c>
      <c r="G169" s="33">
        <v>1.6000000000000001E-3</v>
      </c>
      <c r="H169" s="23">
        <v>79.010000000000005</v>
      </c>
      <c r="I169" s="33">
        <v>1.6000000000000001E-3</v>
      </c>
      <c r="J169" s="23">
        <v>87.78734</v>
      </c>
      <c r="K169" s="23">
        <v>50141.93</v>
      </c>
      <c r="L169" s="23">
        <v>28253.72</v>
      </c>
      <c r="M169" s="23">
        <v>5</v>
      </c>
      <c r="N169" s="23">
        <v>15.8</v>
      </c>
      <c r="O169" s="33">
        <v>-4.1999999999999997E-3</v>
      </c>
      <c r="P169" s="33">
        <v>6.4000000000000003E-3</v>
      </c>
      <c r="Q169" s="23" t="s">
        <v>24</v>
      </c>
      <c r="R169" s="23">
        <v>0</v>
      </c>
      <c r="S169" s="23">
        <v>566.4</v>
      </c>
      <c r="U169" s="47">
        <v>44406</v>
      </c>
      <c r="V169" s="23" t="s">
        <v>138</v>
      </c>
      <c r="W169" s="23" t="s">
        <v>23</v>
      </c>
      <c r="X169" s="28">
        <v>44385.635416666664</v>
      </c>
      <c r="Y169" s="23">
        <v>20.9</v>
      </c>
      <c r="Z169" s="28">
        <v>44386.385416666664</v>
      </c>
      <c r="AA169" s="23">
        <v>20</v>
      </c>
      <c r="AB169" s="33">
        <v>-4.3099999999999999E-2</v>
      </c>
      <c r="AC169" s="23">
        <v>2266.98</v>
      </c>
      <c r="AD169" s="33">
        <v>4.3099999999999999E-2</v>
      </c>
      <c r="AE169" s="23">
        <v>2518.8629999999998</v>
      </c>
      <c r="AF169" s="23">
        <v>52644.24</v>
      </c>
      <c r="AG169" s="23">
        <v>526439.4</v>
      </c>
      <c r="AH169" s="23">
        <v>5</v>
      </c>
      <c r="AI169" s="23">
        <v>453.4</v>
      </c>
      <c r="AJ169" s="33">
        <v>0</v>
      </c>
      <c r="AK169" s="33">
        <v>6.8199999999999997E-2</v>
      </c>
      <c r="AL169" s="23" t="s">
        <v>24</v>
      </c>
      <c r="AM169" s="23">
        <v>571.16999999999996</v>
      </c>
      <c r="AN169" s="23">
        <v>35282.949999999997</v>
      </c>
      <c r="AO169" s="23">
        <v>566.4</v>
      </c>
      <c r="AQ169" s="50">
        <f t="shared" si="2"/>
        <v>3.6591557679850131E-2</v>
      </c>
      <c r="AR169" s="50"/>
      <c r="AS169" s="48"/>
      <c r="AT169" s="50"/>
      <c r="AV169" s="47">
        <v>44385</v>
      </c>
      <c r="AW169" s="51">
        <v>0.13541666666666666</v>
      </c>
      <c r="AX169" t="s">
        <v>163</v>
      </c>
    </row>
    <row r="170" spans="1:50">
      <c r="A170" s="23" t="s">
        <v>22</v>
      </c>
      <c r="B170" s="23" t="s">
        <v>23</v>
      </c>
      <c r="C170" s="28">
        <v>44386.385416666664</v>
      </c>
      <c r="D170" s="23">
        <v>572.07500000000005</v>
      </c>
      <c r="E170" s="28">
        <v>44386.416666666664</v>
      </c>
      <c r="F170" s="23">
        <v>573.9</v>
      </c>
      <c r="G170" s="33">
        <v>3.2000000000000002E-3</v>
      </c>
      <c r="H170" s="23">
        <v>-159.96</v>
      </c>
      <c r="I170" s="33">
        <v>-3.2000000000000002E-3</v>
      </c>
      <c r="J170" s="23">
        <v>87.646860000000004</v>
      </c>
      <c r="K170" s="23">
        <v>50140.58</v>
      </c>
      <c r="L170" s="23">
        <v>28093.77</v>
      </c>
      <c r="M170" s="23">
        <v>4</v>
      </c>
      <c r="N170" s="23">
        <v>-39.99</v>
      </c>
      <c r="O170" s="33">
        <v>-3.3999999999999998E-3</v>
      </c>
      <c r="P170" s="33">
        <v>1.11E-2</v>
      </c>
      <c r="Q170" s="23" t="s">
        <v>24</v>
      </c>
      <c r="R170" s="23">
        <v>0</v>
      </c>
      <c r="S170" s="23">
        <v>574.46</v>
      </c>
      <c r="U170" s="47">
        <v>44406</v>
      </c>
      <c r="V170" s="23" t="s">
        <v>137</v>
      </c>
      <c r="W170" s="23" t="s">
        <v>23</v>
      </c>
      <c r="X170" s="28">
        <v>44386.385416666664</v>
      </c>
      <c r="Y170" s="23">
        <v>21.5</v>
      </c>
      <c r="Z170" s="28">
        <v>44386.416666666664</v>
      </c>
      <c r="AA170" s="23">
        <v>22</v>
      </c>
      <c r="AB170" s="33">
        <v>2.3300000000000001E-2</v>
      </c>
      <c r="AC170" s="23">
        <v>-1223.74</v>
      </c>
      <c r="AD170" s="33">
        <v>-2.3300000000000001E-2</v>
      </c>
      <c r="AE170" s="23">
        <v>2447.482</v>
      </c>
      <c r="AF170" s="23">
        <v>52620.86</v>
      </c>
      <c r="AG170" s="23">
        <v>525215.66</v>
      </c>
      <c r="AH170" s="23">
        <v>4</v>
      </c>
      <c r="AI170" s="23">
        <v>-305.94</v>
      </c>
      <c r="AJ170" s="33">
        <v>-4.65E-2</v>
      </c>
      <c r="AK170" s="33">
        <v>0.15229999999999999</v>
      </c>
      <c r="AL170" s="23" t="s">
        <v>24</v>
      </c>
      <c r="AM170" s="23">
        <v>572.08000000000004</v>
      </c>
      <c r="AN170" s="23">
        <v>34981.25</v>
      </c>
      <c r="AO170" s="23">
        <v>574.46</v>
      </c>
      <c r="AQ170" s="50">
        <f t="shared" si="2"/>
        <v>3.7582156341770381E-2</v>
      </c>
      <c r="AR170" s="50"/>
      <c r="AS170" s="48"/>
      <c r="AT170" s="50"/>
      <c r="AV170" s="47">
        <v>44386</v>
      </c>
      <c r="AW170" s="51">
        <v>0.38541666666666669</v>
      </c>
      <c r="AX170" t="s">
        <v>162</v>
      </c>
    </row>
    <row r="171" spans="1:50">
      <c r="A171" s="23" t="s">
        <v>22</v>
      </c>
      <c r="B171" s="23" t="s">
        <v>25</v>
      </c>
      <c r="C171" s="28">
        <v>44386.416666666664</v>
      </c>
      <c r="D171" s="23">
        <v>573.9</v>
      </c>
      <c r="E171" s="28">
        <v>44389.541666666664</v>
      </c>
      <c r="F171" s="23">
        <v>593.27499999999998</v>
      </c>
      <c r="G171" s="33">
        <v>3.3799999999999997E-2</v>
      </c>
      <c r="H171" s="23">
        <v>1692.79</v>
      </c>
      <c r="I171" s="33">
        <v>3.3799999999999997E-2</v>
      </c>
      <c r="J171" s="23">
        <v>87.369730000000004</v>
      </c>
      <c r="K171" s="23">
        <v>50141.49</v>
      </c>
      <c r="L171" s="23">
        <v>29786.55</v>
      </c>
      <c r="M171" s="23">
        <v>41</v>
      </c>
      <c r="N171" s="23">
        <v>41.29</v>
      </c>
      <c r="O171" s="33">
        <v>-4.1000000000000003E-3</v>
      </c>
      <c r="P171" s="33">
        <v>5.11E-2</v>
      </c>
      <c r="Q171" s="23" t="s">
        <v>24</v>
      </c>
      <c r="R171" s="23">
        <v>0</v>
      </c>
      <c r="S171" s="23">
        <v>566.09</v>
      </c>
      <c r="U171" s="47">
        <v>44406</v>
      </c>
      <c r="V171" s="23" t="s">
        <v>138</v>
      </c>
      <c r="W171" s="23" t="s">
        <v>23</v>
      </c>
      <c r="X171" s="28">
        <v>44386.416666666664</v>
      </c>
      <c r="Y171" s="23">
        <v>18.5</v>
      </c>
      <c r="Z171" s="28">
        <v>44389.541666666664</v>
      </c>
      <c r="AA171" s="23">
        <v>10.45</v>
      </c>
      <c r="AB171" s="33">
        <v>-0.43509999999999999</v>
      </c>
      <c r="AC171" s="23">
        <v>22905.58</v>
      </c>
      <c r="AD171" s="33">
        <v>0.43509999999999999</v>
      </c>
      <c r="AE171" s="23">
        <v>2845.4140000000002</v>
      </c>
      <c r="AF171" s="23">
        <v>52640.15</v>
      </c>
      <c r="AG171" s="23">
        <v>548121.24</v>
      </c>
      <c r="AH171" s="23">
        <v>41</v>
      </c>
      <c r="AI171" s="23">
        <v>558.66999999999996</v>
      </c>
      <c r="AJ171" s="33">
        <v>-0.1351</v>
      </c>
      <c r="AK171" s="33">
        <v>0.55410000000000004</v>
      </c>
      <c r="AL171" s="23" t="s">
        <v>24</v>
      </c>
      <c r="AM171" s="23">
        <v>573.9</v>
      </c>
      <c r="AN171" s="23">
        <v>35000.6</v>
      </c>
      <c r="AO171" s="23">
        <v>566.09</v>
      </c>
      <c r="AQ171" s="50">
        <f t="shared" si="2"/>
        <v>3.2235581111691933E-2</v>
      </c>
      <c r="AR171" s="50"/>
      <c r="AS171" s="48"/>
      <c r="AT171" s="50"/>
      <c r="AV171" s="47">
        <v>44386</v>
      </c>
      <c r="AW171" s="51">
        <v>0.41666666666666669</v>
      </c>
      <c r="AX171" t="s">
        <v>162</v>
      </c>
    </row>
    <row r="172" spans="1:50">
      <c r="A172" s="23" t="s">
        <v>22</v>
      </c>
      <c r="B172" s="23" t="s">
        <v>23</v>
      </c>
      <c r="C172" s="28">
        <v>44389.541666666664</v>
      </c>
      <c r="D172" s="23">
        <v>593.27499999999998</v>
      </c>
      <c r="E172" s="28">
        <v>44390.385416666664</v>
      </c>
      <c r="F172" s="23">
        <v>594.75</v>
      </c>
      <c r="G172" s="33">
        <v>2.5000000000000001E-3</v>
      </c>
      <c r="H172" s="23">
        <v>-124.68</v>
      </c>
      <c r="I172" s="33">
        <v>-2.5000000000000001E-3</v>
      </c>
      <c r="J172" s="23">
        <v>84.531679999999994</v>
      </c>
      <c r="K172" s="23">
        <v>50150.54</v>
      </c>
      <c r="L172" s="23">
        <v>29661.87</v>
      </c>
      <c r="M172" s="23">
        <v>14</v>
      </c>
      <c r="N172" s="23">
        <v>-8.91</v>
      </c>
      <c r="O172" s="33">
        <v>-8.0000000000000002E-3</v>
      </c>
      <c r="P172" s="33">
        <v>8.8999999999999999E-3</v>
      </c>
      <c r="Q172" s="23" t="s">
        <v>24</v>
      </c>
      <c r="R172" s="23">
        <v>0</v>
      </c>
      <c r="S172" s="23">
        <v>603.25</v>
      </c>
      <c r="U172" s="47">
        <v>44406</v>
      </c>
      <c r="V172" s="23" t="s">
        <v>115</v>
      </c>
      <c r="W172" s="23" t="s">
        <v>23</v>
      </c>
      <c r="X172" s="28">
        <v>44389.541666666664</v>
      </c>
      <c r="Y172" s="23">
        <v>23.024999999999999</v>
      </c>
      <c r="Z172" s="28">
        <v>44390.385416666664</v>
      </c>
      <c r="AA172" s="23">
        <v>21.85</v>
      </c>
      <c r="AB172" s="33">
        <v>-5.0999999999999997E-2</v>
      </c>
      <c r="AC172" s="23">
        <v>2691.54</v>
      </c>
      <c r="AD172" s="33">
        <v>5.0999999999999997E-2</v>
      </c>
      <c r="AE172" s="23">
        <v>2290.6729999999998</v>
      </c>
      <c r="AF172" s="23">
        <v>52742.74</v>
      </c>
      <c r="AG172" s="23">
        <v>550812.78</v>
      </c>
      <c r="AH172" s="23">
        <v>14</v>
      </c>
      <c r="AI172" s="23">
        <v>192.25</v>
      </c>
      <c r="AJ172" s="33">
        <v>-0.1401</v>
      </c>
      <c r="AK172" s="33">
        <v>0.12379999999999999</v>
      </c>
      <c r="AL172" s="23" t="s">
        <v>24</v>
      </c>
      <c r="AM172" s="23">
        <v>593.28</v>
      </c>
      <c r="AN172" s="23">
        <v>35188.75</v>
      </c>
      <c r="AO172" s="23">
        <v>603.25</v>
      </c>
      <c r="AQ172" s="50">
        <f t="shared" si="2"/>
        <v>3.8809668284789642E-2</v>
      </c>
      <c r="AR172" s="50"/>
      <c r="AS172" s="48"/>
      <c r="AT172" s="50"/>
      <c r="AV172" s="47">
        <v>44389</v>
      </c>
      <c r="AW172" s="51">
        <v>4.1666666666666664E-2</v>
      </c>
      <c r="AX172" t="s">
        <v>163</v>
      </c>
    </row>
    <row r="173" spans="1:50">
      <c r="A173" s="23" t="s">
        <v>22</v>
      </c>
      <c r="B173" s="23" t="s">
        <v>25</v>
      </c>
      <c r="C173" s="28">
        <v>44390.385416666664</v>
      </c>
      <c r="D173" s="23">
        <v>594.75</v>
      </c>
      <c r="E173" s="28">
        <v>44390.416666666664</v>
      </c>
      <c r="F173" s="23">
        <v>592.875</v>
      </c>
      <c r="G173" s="33">
        <v>-3.2000000000000002E-3</v>
      </c>
      <c r="H173" s="23">
        <v>-158.09</v>
      </c>
      <c r="I173" s="33">
        <v>-3.2000000000000002E-3</v>
      </c>
      <c r="J173" s="23">
        <v>84.315989999999999</v>
      </c>
      <c r="K173" s="23">
        <v>50146.94</v>
      </c>
      <c r="L173" s="23">
        <v>29503.78</v>
      </c>
      <c r="M173" s="23">
        <v>4</v>
      </c>
      <c r="N173" s="23">
        <v>-39.520000000000003</v>
      </c>
      <c r="O173" s="33">
        <v>-8.0000000000000002E-3</v>
      </c>
      <c r="P173" s="33">
        <v>1.0500000000000001E-2</v>
      </c>
      <c r="Q173" s="23" t="s">
        <v>24</v>
      </c>
      <c r="R173" s="23">
        <v>0</v>
      </c>
      <c r="S173" s="23">
        <v>588.71</v>
      </c>
      <c r="U173" s="47">
        <v>44406</v>
      </c>
      <c r="V173" s="23" t="s">
        <v>116</v>
      </c>
      <c r="W173" s="23" t="s">
        <v>23</v>
      </c>
      <c r="X173" s="28">
        <v>44390.385416666664</v>
      </c>
      <c r="Y173" s="23">
        <v>16.75</v>
      </c>
      <c r="Z173" s="28">
        <v>44390.416666666664</v>
      </c>
      <c r="AA173" s="23">
        <v>19</v>
      </c>
      <c r="AB173" s="33">
        <v>0.1343</v>
      </c>
      <c r="AC173" s="23">
        <v>-7085.1</v>
      </c>
      <c r="AD173" s="33">
        <v>-0.1343</v>
      </c>
      <c r="AE173" s="23">
        <v>3148.9319999999998</v>
      </c>
      <c r="AF173" s="23">
        <v>52744.61</v>
      </c>
      <c r="AG173" s="23">
        <v>543727.68000000005</v>
      </c>
      <c r="AH173" s="23">
        <v>4</v>
      </c>
      <c r="AI173" s="23">
        <v>-1771.27</v>
      </c>
      <c r="AJ173" s="33">
        <v>-0.1343</v>
      </c>
      <c r="AK173" s="33">
        <v>0.1313</v>
      </c>
      <c r="AL173" s="23" t="s">
        <v>24</v>
      </c>
      <c r="AM173" s="23">
        <v>594.75</v>
      </c>
      <c r="AN173" s="23">
        <v>35411.800000000003</v>
      </c>
      <c r="AO173" s="23">
        <v>588.71</v>
      </c>
      <c r="AQ173" s="50">
        <f t="shared" si="2"/>
        <v>2.816309373686423E-2</v>
      </c>
      <c r="AR173" s="50"/>
      <c r="AS173" s="48"/>
      <c r="AT173" s="50"/>
      <c r="AV173" s="47">
        <v>44390</v>
      </c>
      <c r="AW173" s="51">
        <v>0.38541666666666669</v>
      </c>
      <c r="AX173" t="s">
        <v>162</v>
      </c>
    </row>
    <row r="174" spans="1:50">
      <c r="A174" s="23" t="s">
        <v>22</v>
      </c>
      <c r="B174" s="23" t="s">
        <v>23</v>
      </c>
      <c r="C174" s="28">
        <v>44390.416666666664</v>
      </c>
      <c r="D174" s="23">
        <v>592.875</v>
      </c>
      <c r="E174" s="28">
        <v>44390.59375</v>
      </c>
      <c r="F174" s="23">
        <v>591.97500000000002</v>
      </c>
      <c r="G174" s="33">
        <v>-1.5E-3</v>
      </c>
      <c r="H174" s="23">
        <v>76.12</v>
      </c>
      <c r="I174" s="33">
        <v>1.5E-3</v>
      </c>
      <c r="J174" s="23">
        <v>84.582890000000006</v>
      </c>
      <c r="K174" s="23">
        <v>50147.08</v>
      </c>
      <c r="L174" s="23">
        <v>29579.9</v>
      </c>
      <c r="M174" s="23">
        <v>18</v>
      </c>
      <c r="N174" s="23">
        <v>4.2300000000000004</v>
      </c>
      <c r="O174" s="33">
        <v>-7.6E-3</v>
      </c>
      <c r="P174" s="33">
        <v>4.3E-3</v>
      </c>
      <c r="Q174" s="23" t="s">
        <v>24</v>
      </c>
      <c r="R174" s="23">
        <v>0</v>
      </c>
      <c r="S174" s="23">
        <v>600.79</v>
      </c>
      <c r="U174" s="47">
        <v>44406</v>
      </c>
      <c r="V174" s="23" t="s">
        <v>115</v>
      </c>
      <c r="W174" s="23" t="s">
        <v>23</v>
      </c>
      <c r="X174" s="28">
        <v>44390.416666666664</v>
      </c>
      <c r="Y174" s="23">
        <v>21.975000000000001</v>
      </c>
      <c r="Z174" s="28">
        <v>44390.59375</v>
      </c>
      <c r="AA174" s="23">
        <v>20.8</v>
      </c>
      <c r="AB174" s="33">
        <v>-5.3499999999999999E-2</v>
      </c>
      <c r="AC174" s="23">
        <v>2819.24</v>
      </c>
      <c r="AD174" s="33">
        <v>5.3499999999999999E-2</v>
      </c>
      <c r="AE174" s="23">
        <v>2399.35</v>
      </c>
      <c r="AF174" s="23">
        <v>52725.73</v>
      </c>
      <c r="AG174" s="23">
        <v>546546.92000000004</v>
      </c>
      <c r="AH174" s="23">
        <v>18</v>
      </c>
      <c r="AI174" s="23">
        <v>156.62</v>
      </c>
      <c r="AJ174" s="33">
        <v>-7.7399999999999997E-2</v>
      </c>
      <c r="AK174" s="33">
        <v>0.10009999999999999</v>
      </c>
      <c r="AL174" s="23" t="s">
        <v>24</v>
      </c>
      <c r="AM174" s="23">
        <v>592.88</v>
      </c>
      <c r="AN174" s="23">
        <v>35393.550000000003</v>
      </c>
      <c r="AO174" s="23">
        <v>600.79</v>
      </c>
      <c r="AQ174" s="50">
        <f t="shared" si="2"/>
        <v>3.7064836054513564E-2</v>
      </c>
      <c r="AR174" s="50"/>
      <c r="AS174" s="48"/>
      <c r="AT174" s="50"/>
      <c r="AV174" s="47">
        <v>44390</v>
      </c>
      <c r="AW174" s="51">
        <v>0.41666666666666669</v>
      </c>
      <c r="AX174" t="s">
        <v>162</v>
      </c>
    </row>
    <row r="175" spans="1:50">
      <c r="A175" s="23" t="s">
        <v>22</v>
      </c>
      <c r="B175" s="23" t="s">
        <v>25</v>
      </c>
      <c r="C175" s="28">
        <v>44390.59375</v>
      </c>
      <c r="D175" s="23">
        <v>591.97500000000002</v>
      </c>
      <c r="E175" s="28">
        <v>44390.625</v>
      </c>
      <c r="F175" s="23">
        <v>590.35</v>
      </c>
      <c r="G175" s="33">
        <v>-2.7000000000000001E-3</v>
      </c>
      <c r="H175" s="23">
        <v>-137.66</v>
      </c>
      <c r="I175" s="33">
        <v>-2.7000000000000001E-3</v>
      </c>
      <c r="J175" s="23">
        <v>84.711780000000005</v>
      </c>
      <c r="K175" s="23">
        <v>50147.26</v>
      </c>
      <c r="L175" s="23">
        <v>29442.240000000002</v>
      </c>
      <c r="M175" s="23">
        <v>4</v>
      </c>
      <c r="N175" s="23">
        <v>-34.409999999999997</v>
      </c>
      <c r="O175" s="33">
        <v>-2.7000000000000001E-3</v>
      </c>
      <c r="P175" s="33">
        <v>4.8999999999999998E-3</v>
      </c>
      <c r="Q175" s="23" t="s">
        <v>24</v>
      </c>
      <c r="R175" s="23">
        <v>0</v>
      </c>
      <c r="S175" s="23">
        <v>590.48</v>
      </c>
      <c r="U175" s="47">
        <v>44406</v>
      </c>
      <c r="V175" s="23" t="s">
        <v>139</v>
      </c>
      <c r="W175" s="23" t="s">
        <v>23</v>
      </c>
      <c r="X175" s="28">
        <v>44390.59375</v>
      </c>
      <c r="Y175" s="23">
        <v>2.4750000000000001</v>
      </c>
      <c r="Z175" s="28">
        <v>44390.625</v>
      </c>
      <c r="AA175" s="23">
        <v>2.4750000000000001</v>
      </c>
      <c r="AB175" s="33">
        <v>0</v>
      </c>
      <c r="AC175" s="23">
        <v>0</v>
      </c>
      <c r="AD175" s="33">
        <v>0</v>
      </c>
      <c r="AE175" s="23">
        <v>21304.82</v>
      </c>
      <c r="AF175" s="23">
        <v>52729.43</v>
      </c>
      <c r="AG175" s="23">
        <v>546546.92000000004</v>
      </c>
      <c r="AH175" s="23">
        <v>4</v>
      </c>
      <c r="AI175" s="23">
        <v>0</v>
      </c>
      <c r="AJ175" s="33">
        <v>-0.29289999999999999</v>
      </c>
      <c r="AK175" s="33">
        <v>0</v>
      </c>
      <c r="AL175" s="23" t="s">
        <v>24</v>
      </c>
      <c r="AM175" s="23">
        <v>591.97</v>
      </c>
      <c r="AN175" s="23">
        <v>35675.65</v>
      </c>
      <c r="AO175" s="23">
        <v>590.48</v>
      </c>
      <c r="AQ175" s="50">
        <f t="shared" si="2"/>
        <v>4.1809551159687148E-3</v>
      </c>
      <c r="AR175" s="50"/>
      <c r="AS175" s="48"/>
      <c r="AT175" s="50"/>
      <c r="AV175" s="47">
        <v>44390</v>
      </c>
      <c r="AW175" s="51">
        <v>9.375E-2</v>
      </c>
      <c r="AX175" t="s">
        <v>163</v>
      </c>
    </row>
    <row r="176" spans="1:50">
      <c r="A176" s="23" t="s">
        <v>22</v>
      </c>
      <c r="B176" s="23" t="s">
        <v>23</v>
      </c>
      <c r="C176" s="28">
        <v>44390.625</v>
      </c>
      <c r="D176" s="23">
        <v>590.35</v>
      </c>
      <c r="E176" s="28">
        <v>44391.385416666664</v>
      </c>
      <c r="F176" s="23">
        <v>591.92499999999995</v>
      </c>
      <c r="G176" s="33">
        <v>2.7000000000000001E-3</v>
      </c>
      <c r="H176" s="23">
        <v>-133.79</v>
      </c>
      <c r="I176" s="33">
        <v>-2.7000000000000001E-3</v>
      </c>
      <c r="J176" s="23">
        <v>84.945599999999999</v>
      </c>
      <c r="K176" s="23">
        <v>50147.63</v>
      </c>
      <c r="L176" s="23">
        <v>29308.46</v>
      </c>
      <c r="M176" s="23">
        <v>6</v>
      </c>
      <c r="N176" s="23">
        <v>-22.3</v>
      </c>
      <c r="O176" s="33">
        <v>-2.8E-3</v>
      </c>
      <c r="P176" s="33">
        <v>2.2000000000000001E-3</v>
      </c>
      <c r="Q176" s="23" t="s">
        <v>24</v>
      </c>
      <c r="R176" s="23">
        <v>0</v>
      </c>
      <c r="S176" s="23">
        <v>594.70000000000005</v>
      </c>
      <c r="U176" s="47">
        <v>44406</v>
      </c>
      <c r="V176" s="23" t="s">
        <v>115</v>
      </c>
      <c r="W176" s="23" t="s">
        <v>23</v>
      </c>
      <c r="X176" s="28">
        <v>44390.625</v>
      </c>
      <c r="Y176" s="23">
        <v>19.274999999999999</v>
      </c>
      <c r="Z176" s="28">
        <v>44391.385416666664</v>
      </c>
      <c r="AA176" s="23">
        <v>20.149999999999999</v>
      </c>
      <c r="AB176" s="33">
        <v>4.5400000000000003E-2</v>
      </c>
      <c r="AC176" s="23">
        <v>-2393.83</v>
      </c>
      <c r="AD176" s="33">
        <v>-4.5400000000000003E-2</v>
      </c>
      <c r="AE176" s="23">
        <v>2735.81</v>
      </c>
      <c r="AF176" s="23">
        <v>52732.73</v>
      </c>
      <c r="AG176" s="23">
        <v>544153.07999999996</v>
      </c>
      <c r="AH176" s="23">
        <v>6</v>
      </c>
      <c r="AI176" s="23">
        <v>-398.97</v>
      </c>
      <c r="AJ176" s="33">
        <v>-8.9499999999999996E-2</v>
      </c>
      <c r="AK176" s="33">
        <v>1.43E-2</v>
      </c>
      <c r="AL176" s="23" t="s">
        <v>24</v>
      </c>
      <c r="AM176" s="23">
        <v>590.35</v>
      </c>
      <c r="AN176" s="23">
        <v>35682.300000000003</v>
      </c>
      <c r="AO176" s="23">
        <v>594.70000000000005</v>
      </c>
      <c r="AQ176" s="50">
        <f t="shared" si="2"/>
        <v>3.2650122808503428E-2</v>
      </c>
      <c r="AR176" s="50"/>
      <c r="AS176" s="48"/>
      <c r="AT176" s="50"/>
      <c r="AV176" s="47">
        <v>44390</v>
      </c>
      <c r="AW176" s="51">
        <v>0.125</v>
      </c>
      <c r="AX176" t="s">
        <v>163</v>
      </c>
    </row>
    <row r="177" spans="1:50">
      <c r="A177" s="23" t="s">
        <v>22</v>
      </c>
      <c r="B177" s="23" t="s">
        <v>25</v>
      </c>
      <c r="C177" s="28">
        <v>44391.385416666664</v>
      </c>
      <c r="D177" s="23">
        <v>591.92499999999995</v>
      </c>
      <c r="E177" s="28">
        <v>44391.5625</v>
      </c>
      <c r="F177" s="23">
        <v>595</v>
      </c>
      <c r="G177" s="33">
        <v>5.1999999999999998E-3</v>
      </c>
      <c r="H177" s="23">
        <v>260.51</v>
      </c>
      <c r="I177" s="33">
        <v>5.1999999999999998E-3</v>
      </c>
      <c r="J177" s="23">
        <v>84.718760000000003</v>
      </c>
      <c r="K177" s="23">
        <v>50147.15</v>
      </c>
      <c r="L177" s="23">
        <v>29568.97</v>
      </c>
      <c r="M177" s="23">
        <v>18</v>
      </c>
      <c r="N177" s="23">
        <v>14.47</v>
      </c>
      <c r="O177" s="33">
        <v>-3.3E-3</v>
      </c>
      <c r="P177" s="33">
        <v>8.6E-3</v>
      </c>
      <c r="Q177" s="23" t="s">
        <v>24</v>
      </c>
      <c r="R177" s="23">
        <v>0</v>
      </c>
      <c r="S177" s="23">
        <v>589.30999999999995</v>
      </c>
      <c r="U177" s="47">
        <v>44406</v>
      </c>
      <c r="V177" s="23" t="s">
        <v>116</v>
      </c>
      <c r="W177" s="23" t="s">
        <v>23</v>
      </c>
      <c r="X177" s="28">
        <v>44391.385416666664</v>
      </c>
      <c r="Y177" s="23">
        <v>16.350000000000001</v>
      </c>
      <c r="Z177" s="28">
        <v>44391.5625</v>
      </c>
      <c r="AA177" s="23">
        <v>14.5</v>
      </c>
      <c r="AB177" s="33">
        <v>-0.11310000000000001</v>
      </c>
      <c r="AC177" s="23">
        <v>5965.15</v>
      </c>
      <c r="AD177" s="33">
        <v>0.11310000000000001</v>
      </c>
      <c r="AE177" s="23">
        <v>3224.4070000000002</v>
      </c>
      <c r="AF177" s="23">
        <v>52719.05</v>
      </c>
      <c r="AG177" s="23">
        <v>550118.24</v>
      </c>
      <c r="AH177" s="23">
        <v>18</v>
      </c>
      <c r="AI177" s="23">
        <v>331.4</v>
      </c>
      <c r="AJ177" s="33">
        <v>-0.1101</v>
      </c>
      <c r="AK177" s="33">
        <v>0.1651</v>
      </c>
      <c r="AL177" s="23" t="s">
        <v>24</v>
      </c>
      <c r="AM177" s="23">
        <v>591.91999999999996</v>
      </c>
      <c r="AN177" s="23">
        <v>35472.449999999997</v>
      </c>
      <c r="AO177" s="23">
        <v>589.30999999999995</v>
      </c>
      <c r="AQ177" s="50">
        <f t="shared" si="2"/>
        <v>2.7621975942694964E-2</v>
      </c>
      <c r="AR177" s="50"/>
      <c r="AS177" s="48"/>
      <c r="AT177" s="50"/>
      <c r="AV177" s="47">
        <v>44391</v>
      </c>
      <c r="AW177" s="51">
        <v>0.38541666666666669</v>
      </c>
      <c r="AX177" t="s">
        <v>162</v>
      </c>
    </row>
    <row r="178" spans="1:50">
      <c r="A178" s="23" t="s">
        <v>22</v>
      </c>
      <c r="B178" s="23" t="s">
        <v>23</v>
      </c>
      <c r="C178" s="28">
        <v>44391.5625</v>
      </c>
      <c r="D178" s="23">
        <v>595</v>
      </c>
      <c r="E178" s="28">
        <v>44391.572916666664</v>
      </c>
      <c r="F178" s="23">
        <v>598.29999999999995</v>
      </c>
      <c r="G178" s="33">
        <v>5.4999999999999997E-3</v>
      </c>
      <c r="H178" s="23">
        <v>-278.13</v>
      </c>
      <c r="I178" s="33">
        <v>-5.4999999999999997E-3</v>
      </c>
      <c r="J178" s="23">
        <v>84.281970000000001</v>
      </c>
      <c r="K178" s="23">
        <v>50147.77</v>
      </c>
      <c r="L178" s="23">
        <v>29290.84</v>
      </c>
      <c r="M178" s="23">
        <v>2</v>
      </c>
      <c r="N178" s="23">
        <v>-139.07</v>
      </c>
      <c r="O178" s="33">
        <v>-5.4999999999999997E-3</v>
      </c>
      <c r="P178" s="33">
        <v>1.6999999999999999E-3</v>
      </c>
      <c r="Q178" s="23" t="s">
        <v>24</v>
      </c>
      <c r="R178" s="23">
        <v>0</v>
      </c>
      <c r="S178" s="23">
        <v>596.94000000000005</v>
      </c>
      <c r="U178" s="47">
        <v>44406</v>
      </c>
      <c r="V178" s="23" t="s">
        <v>107</v>
      </c>
      <c r="W178" s="23" t="s">
        <v>23</v>
      </c>
      <c r="X178" s="28">
        <v>44391.5625</v>
      </c>
      <c r="Y178" s="23">
        <v>16.100000000000001</v>
      </c>
      <c r="Z178" s="28">
        <v>44391.572916666664</v>
      </c>
      <c r="AA178" s="23">
        <v>18</v>
      </c>
      <c r="AB178" s="33">
        <v>0.11799999999999999</v>
      </c>
      <c r="AC178" s="23">
        <v>-6226.32</v>
      </c>
      <c r="AD178" s="33">
        <v>-0.11799999999999999</v>
      </c>
      <c r="AE178" s="23">
        <v>3277.01</v>
      </c>
      <c r="AF178" s="23">
        <v>52759.86</v>
      </c>
      <c r="AG178" s="23">
        <v>543891.92000000004</v>
      </c>
      <c r="AH178" s="23">
        <v>2</v>
      </c>
      <c r="AI178" s="23">
        <v>-3113.16</v>
      </c>
      <c r="AJ178" s="33">
        <v>-0.11799999999999999</v>
      </c>
      <c r="AK178" s="33">
        <v>1.8599999999999998E-2</v>
      </c>
      <c r="AL178" s="23" t="s">
        <v>24</v>
      </c>
      <c r="AM178" s="23">
        <v>595</v>
      </c>
      <c r="AN178" s="23">
        <v>35719.050000000003</v>
      </c>
      <c r="AO178" s="23">
        <v>596.94000000000005</v>
      </c>
      <c r="AQ178" s="50">
        <f t="shared" si="2"/>
        <v>2.7058823529411767E-2</v>
      </c>
      <c r="AR178" s="50"/>
      <c r="AS178" s="48"/>
      <c r="AT178" s="50"/>
      <c r="AV178" s="47">
        <v>44391</v>
      </c>
      <c r="AW178" s="51">
        <v>6.25E-2</v>
      </c>
      <c r="AX178" t="s">
        <v>163</v>
      </c>
    </row>
    <row r="179" spans="1:50">
      <c r="A179" s="23" t="s">
        <v>22</v>
      </c>
      <c r="B179" s="23" t="s">
        <v>25</v>
      </c>
      <c r="C179" s="28">
        <v>44391.572916666664</v>
      </c>
      <c r="D179" s="23">
        <v>598.29999999999995</v>
      </c>
      <c r="E179" s="28">
        <v>44391.635416666664</v>
      </c>
      <c r="F179" s="23">
        <v>594.5</v>
      </c>
      <c r="G179" s="33">
        <v>-6.4000000000000003E-3</v>
      </c>
      <c r="H179" s="23">
        <v>-318.51</v>
      </c>
      <c r="I179" s="33">
        <v>-6.4000000000000003E-3</v>
      </c>
      <c r="J179" s="23">
        <v>83.817220000000006</v>
      </c>
      <c r="K179" s="23">
        <v>50147.839999999997</v>
      </c>
      <c r="L179" s="23">
        <v>28972.33</v>
      </c>
      <c r="M179" s="23">
        <v>7</v>
      </c>
      <c r="N179" s="23">
        <v>-45.5</v>
      </c>
      <c r="O179" s="33">
        <v>-6.4000000000000003E-3</v>
      </c>
      <c r="P179" s="33">
        <v>5.9999999999999995E-4</v>
      </c>
      <c r="Q179" s="23" t="s">
        <v>24</v>
      </c>
      <c r="R179" s="23">
        <v>0</v>
      </c>
      <c r="S179" s="23">
        <v>594</v>
      </c>
      <c r="U179" s="47">
        <v>44406</v>
      </c>
      <c r="V179" s="23" t="s">
        <v>138</v>
      </c>
      <c r="W179" s="23" t="s">
        <v>23</v>
      </c>
      <c r="X179" s="28">
        <v>44391.572916666664</v>
      </c>
      <c r="Y179" s="23">
        <v>6.3</v>
      </c>
      <c r="Z179" s="28">
        <v>44391.635416666664</v>
      </c>
      <c r="AA179" s="23">
        <v>6.95</v>
      </c>
      <c r="AB179" s="33">
        <v>0.1032</v>
      </c>
      <c r="AC179" s="23">
        <v>-5442.52</v>
      </c>
      <c r="AD179" s="33">
        <v>-0.1032</v>
      </c>
      <c r="AE179" s="23">
        <v>8373.1090000000004</v>
      </c>
      <c r="AF179" s="23">
        <v>52750.59</v>
      </c>
      <c r="AG179" s="23">
        <v>538449.4</v>
      </c>
      <c r="AH179" s="23">
        <v>7</v>
      </c>
      <c r="AI179" s="23">
        <v>-777.5</v>
      </c>
      <c r="AJ179" s="33">
        <v>-0.1111</v>
      </c>
      <c r="AK179" s="33">
        <v>0</v>
      </c>
      <c r="AL179" s="23" t="s">
        <v>24</v>
      </c>
      <c r="AM179" s="23">
        <v>598.29999999999995</v>
      </c>
      <c r="AN179" s="23">
        <v>35716.35</v>
      </c>
      <c r="AO179" s="23">
        <v>594</v>
      </c>
      <c r="AQ179" s="50">
        <f t="shared" si="2"/>
        <v>1.0529834531171654E-2</v>
      </c>
      <c r="AR179" s="50"/>
      <c r="AS179" s="48"/>
      <c r="AT179" s="50"/>
      <c r="AV179" s="47">
        <v>44391</v>
      </c>
      <c r="AW179" s="51">
        <v>7.2916666666666671E-2</v>
      </c>
      <c r="AX179" t="s">
        <v>163</v>
      </c>
    </row>
    <row r="180" spans="1:50">
      <c r="A180" s="23" t="s">
        <v>22</v>
      </c>
      <c r="B180" s="23" t="s">
        <v>23</v>
      </c>
      <c r="C180" s="28">
        <v>44391.635416666664</v>
      </c>
      <c r="D180" s="23">
        <v>594.5</v>
      </c>
      <c r="E180" s="28">
        <v>44392.385416666664</v>
      </c>
      <c r="F180" s="23">
        <v>600.54999999999995</v>
      </c>
      <c r="G180" s="33">
        <v>1.0200000000000001E-2</v>
      </c>
      <c r="H180" s="23">
        <v>-510.31</v>
      </c>
      <c r="I180" s="33">
        <v>-1.0200000000000001E-2</v>
      </c>
      <c r="J180" s="23">
        <v>84.349509999999995</v>
      </c>
      <c r="K180" s="23">
        <v>50145.79</v>
      </c>
      <c r="L180" s="23">
        <v>28462.02</v>
      </c>
      <c r="M180" s="23">
        <v>5</v>
      </c>
      <c r="N180" s="23">
        <v>-102.06</v>
      </c>
      <c r="O180" s="33">
        <v>-1.0200000000000001E-2</v>
      </c>
      <c r="P180" s="33">
        <v>6.9999999999999999E-4</v>
      </c>
      <c r="Q180" s="23" t="s">
        <v>24</v>
      </c>
      <c r="R180" s="23">
        <v>0</v>
      </c>
      <c r="S180" s="23">
        <v>598.55999999999995</v>
      </c>
      <c r="U180" s="47">
        <v>44406</v>
      </c>
      <c r="V180" s="23" t="s">
        <v>115</v>
      </c>
      <c r="W180" s="23" t="s">
        <v>23</v>
      </c>
      <c r="X180" s="28">
        <v>44391.635416666664</v>
      </c>
      <c r="Y180" s="23">
        <v>20.5</v>
      </c>
      <c r="Z180" s="28">
        <v>44392.385416666664</v>
      </c>
      <c r="AA180" s="23">
        <v>22.6</v>
      </c>
      <c r="AB180" s="33">
        <v>0.1024</v>
      </c>
      <c r="AC180" s="23">
        <v>-5397.85</v>
      </c>
      <c r="AD180" s="33">
        <v>-0.1024</v>
      </c>
      <c r="AE180" s="23">
        <v>2570.4050000000002</v>
      </c>
      <c r="AF180" s="23">
        <v>52693.29</v>
      </c>
      <c r="AG180" s="23">
        <v>533051.55000000005</v>
      </c>
      <c r="AH180" s="23">
        <v>5</v>
      </c>
      <c r="AI180" s="23">
        <v>-1079.57</v>
      </c>
      <c r="AJ180" s="33">
        <v>-0.1024</v>
      </c>
      <c r="AK180" s="33">
        <v>1.7100000000000001E-2</v>
      </c>
      <c r="AL180" s="23" t="s">
        <v>24</v>
      </c>
      <c r="AM180" s="23">
        <v>594.5</v>
      </c>
      <c r="AN180" s="23">
        <v>35643.1</v>
      </c>
      <c r="AO180" s="23">
        <v>598.55999999999995</v>
      </c>
      <c r="AQ180" s="50">
        <f t="shared" si="2"/>
        <v>3.4482758620689655E-2</v>
      </c>
      <c r="AR180" s="50"/>
      <c r="AS180" s="48"/>
      <c r="AT180" s="50"/>
      <c r="AV180" s="47">
        <v>44391</v>
      </c>
      <c r="AW180" s="51">
        <v>0.13541666666666666</v>
      </c>
      <c r="AX180" t="s">
        <v>163</v>
      </c>
    </row>
    <row r="181" spans="1:50">
      <c r="A181" s="23" t="s">
        <v>22</v>
      </c>
      <c r="B181" s="23" t="s">
        <v>25</v>
      </c>
      <c r="C181" s="28">
        <v>44392.385416666664</v>
      </c>
      <c r="D181" s="23">
        <v>600.54999999999995</v>
      </c>
      <c r="E181" s="28">
        <v>44393.395833333336</v>
      </c>
      <c r="F181" s="23">
        <v>617.75</v>
      </c>
      <c r="G181" s="33">
        <v>2.86E-2</v>
      </c>
      <c r="H181" s="23">
        <v>1436.15</v>
      </c>
      <c r="I181" s="33">
        <v>2.86E-2</v>
      </c>
      <c r="J181" s="23">
        <v>83.49718</v>
      </c>
      <c r="K181" s="23">
        <v>50144.23</v>
      </c>
      <c r="L181" s="23">
        <v>29898.17</v>
      </c>
      <c r="M181" s="23">
        <v>30</v>
      </c>
      <c r="N181" s="23">
        <v>47.87</v>
      </c>
      <c r="O181" s="33">
        <v>-8.8000000000000005E-3</v>
      </c>
      <c r="P181" s="33">
        <v>4.9000000000000002E-2</v>
      </c>
      <c r="Q181" s="23" t="s">
        <v>24</v>
      </c>
      <c r="R181" s="23">
        <v>0</v>
      </c>
      <c r="S181" s="23">
        <v>594.41</v>
      </c>
      <c r="U181" s="47">
        <v>44406</v>
      </c>
      <c r="V181" s="23" t="s">
        <v>109</v>
      </c>
      <c r="W181" s="23" t="s">
        <v>23</v>
      </c>
      <c r="X181" s="28">
        <v>44392.385416666664</v>
      </c>
      <c r="Y181" s="23">
        <v>17.25</v>
      </c>
      <c r="Z181" s="28">
        <v>44393.395833333336</v>
      </c>
      <c r="AA181" s="23">
        <v>8.25</v>
      </c>
      <c r="AB181" s="33">
        <v>-0.52170000000000005</v>
      </c>
      <c r="AC181" s="23">
        <v>27491.61</v>
      </c>
      <c r="AD181" s="33">
        <v>0.52170000000000005</v>
      </c>
      <c r="AE181" s="23">
        <v>3054.623</v>
      </c>
      <c r="AF181" s="23">
        <v>52692.25</v>
      </c>
      <c r="AG181" s="23">
        <v>560543.15</v>
      </c>
      <c r="AH181" s="23">
        <v>30</v>
      </c>
      <c r="AI181" s="23">
        <v>916.39</v>
      </c>
      <c r="AJ181" s="33">
        <v>-5.3600000000000002E-2</v>
      </c>
      <c r="AK181" s="33">
        <v>0.60719999999999996</v>
      </c>
      <c r="AL181" s="23" t="s">
        <v>24</v>
      </c>
      <c r="AM181" s="23">
        <v>600.54999999999995</v>
      </c>
      <c r="AN181" s="23">
        <v>35740.65</v>
      </c>
      <c r="AO181" s="23">
        <v>594.41</v>
      </c>
      <c r="AQ181" s="50">
        <f t="shared" si="2"/>
        <v>2.8723669969194905E-2</v>
      </c>
      <c r="AR181" s="50"/>
      <c r="AS181" s="48"/>
      <c r="AT181" s="50"/>
      <c r="AV181" s="47">
        <v>44392</v>
      </c>
      <c r="AW181" s="51">
        <v>0.38541666666666669</v>
      </c>
      <c r="AX181" t="s">
        <v>162</v>
      </c>
    </row>
    <row r="182" spans="1:50">
      <c r="A182" s="23" t="s">
        <v>22</v>
      </c>
      <c r="B182" s="23" t="s">
        <v>23</v>
      </c>
      <c r="C182" s="28">
        <v>44393.395833333336</v>
      </c>
      <c r="D182" s="23">
        <v>617.75</v>
      </c>
      <c r="E182" s="28">
        <v>44393.614583333336</v>
      </c>
      <c r="F182" s="23">
        <v>616</v>
      </c>
      <c r="G182" s="33">
        <v>-2.8E-3</v>
      </c>
      <c r="H182" s="23">
        <v>142.07</v>
      </c>
      <c r="I182" s="33">
        <v>2.8E-3</v>
      </c>
      <c r="J182" s="23">
        <v>81.181209999999993</v>
      </c>
      <c r="K182" s="23">
        <v>50149.69</v>
      </c>
      <c r="L182" s="23">
        <v>30040.23</v>
      </c>
      <c r="M182" s="23">
        <v>22</v>
      </c>
      <c r="N182" s="23">
        <v>6.46</v>
      </c>
      <c r="O182" s="33">
        <v>-2.5000000000000001E-3</v>
      </c>
      <c r="P182" s="33">
        <v>1.0800000000000001E-2</v>
      </c>
      <c r="Q182" s="23" t="s">
        <v>24</v>
      </c>
      <c r="R182" s="23">
        <v>0</v>
      </c>
      <c r="S182" s="23">
        <v>629.72</v>
      </c>
      <c r="U182" s="47">
        <v>44406</v>
      </c>
      <c r="V182" s="23" t="s">
        <v>113</v>
      </c>
      <c r="W182" s="23" t="s">
        <v>23</v>
      </c>
      <c r="X182" s="28">
        <v>44393.395833333336</v>
      </c>
      <c r="Y182" s="23">
        <v>17.024999999999999</v>
      </c>
      <c r="Z182" s="28">
        <v>44393.614583333336</v>
      </c>
      <c r="AA182" s="23">
        <v>15.75</v>
      </c>
      <c r="AB182" s="33">
        <v>-7.4899999999999994E-2</v>
      </c>
      <c r="AC182" s="23">
        <v>3954.45</v>
      </c>
      <c r="AD182" s="33">
        <v>7.4899999999999994E-2</v>
      </c>
      <c r="AE182" s="23">
        <v>3101.5259999999998</v>
      </c>
      <c r="AF182" s="23">
        <v>52803.48</v>
      </c>
      <c r="AG182" s="23">
        <v>564497.6</v>
      </c>
      <c r="AH182" s="23">
        <v>22</v>
      </c>
      <c r="AI182" s="23">
        <v>179.75</v>
      </c>
      <c r="AJ182" s="33">
        <v>-3.8199999999999998E-2</v>
      </c>
      <c r="AK182" s="33">
        <v>0.21149999999999999</v>
      </c>
      <c r="AL182" s="23" t="s">
        <v>24</v>
      </c>
      <c r="AM182" s="23">
        <v>617.75</v>
      </c>
      <c r="AN182" s="23">
        <v>35873.25</v>
      </c>
      <c r="AO182" s="23">
        <v>629.72</v>
      </c>
      <c r="AQ182" s="50">
        <f t="shared" si="2"/>
        <v>2.7559692432213675E-2</v>
      </c>
      <c r="AR182" s="50"/>
      <c r="AS182" s="48"/>
      <c r="AT182" s="50"/>
      <c r="AV182" s="47">
        <v>44393</v>
      </c>
      <c r="AW182" s="51">
        <v>0.39583333333333331</v>
      </c>
      <c r="AX182" t="s">
        <v>162</v>
      </c>
    </row>
    <row r="183" spans="1:50">
      <c r="A183" s="23" t="s">
        <v>22</v>
      </c>
      <c r="B183" s="23" t="s">
        <v>25</v>
      </c>
      <c r="C183" s="28">
        <v>44393.614583333336</v>
      </c>
      <c r="D183" s="23">
        <v>616</v>
      </c>
      <c r="E183" s="28">
        <v>44396.46875</v>
      </c>
      <c r="F183" s="23">
        <v>604.92499999999995</v>
      </c>
      <c r="G183" s="33">
        <v>-1.7999999999999999E-2</v>
      </c>
      <c r="H183" s="23">
        <v>-901.65</v>
      </c>
      <c r="I183" s="33">
        <v>-1.7999999999999999E-2</v>
      </c>
      <c r="J183" s="23">
        <v>81.413079999999994</v>
      </c>
      <c r="K183" s="23">
        <v>50150.46</v>
      </c>
      <c r="L183" s="23">
        <v>29138.58</v>
      </c>
      <c r="M183" s="23">
        <v>15</v>
      </c>
      <c r="N183" s="23">
        <v>-60.11</v>
      </c>
      <c r="O183" s="33">
        <v>-2.4400000000000002E-2</v>
      </c>
      <c r="P183" s="33">
        <v>2.8E-3</v>
      </c>
      <c r="Q183" s="23" t="s">
        <v>24</v>
      </c>
      <c r="R183" s="23">
        <v>0</v>
      </c>
      <c r="S183" s="23">
        <v>611.20000000000005</v>
      </c>
      <c r="U183" s="47">
        <v>44406</v>
      </c>
      <c r="V183" s="23" t="s">
        <v>119</v>
      </c>
      <c r="W183" s="23" t="s">
        <v>23</v>
      </c>
      <c r="X183" s="28">
        <v>44393.614583333336</v>
      </c>
      <c r="Y183" s="23">
        <v>12.1</v>
      </c>
      <c r="Z183" s="28">
        <v>44396.46875</v>
      </c>
      <c r="AA183" s="23">
        <v>17.975000000000001</v>
      </c>
      <c r="AB183" s="33">
        <v>0.48549999999999999</v>
      </c>
      <c r="AC183" s="23">
        <v>-25650.86</v>
      </c>
      <c r="AD183" s="33">
        <v>-0.48549999999999999</v>
      </c>
      <c r="AE183" s="23">
        <v>4366.1040000000003</v>
      </c>
      <c r="AF183" s="23">
        <v>52829.86</v>
      </c>
      <c r="AG183" s="23">
        <v>538846.74</v>
      </c>
      <c r="AH183" s="23">
        <v>15</v>
      </c>
      <c r="AI183" s="23">
        <v>-1710.06</v>
      </c>
      <c r="AJ183" s="33">
        <v>-0.48549999999999999</v>
      </c>
      <c r="AK183" s="33">
        <v>3.5099999999999999E-2</v>
      </c>
      <c r="AL183" s="23" t="s">
        <v>24</v>
      </c>
      <c r="AM183" s="23">
        <v>616</v>
      </c>
      <c r="AN183" s="23">
        <v>35780.15</v>
      </c>
      <c r="AO183" s="23">
        <v>611.20000000000005</v>
      </c>
      <c r="AQ183" s="50">
        <f t="shared" si="2"/>
        <v>1.9642857142857142E-2</v>
      </c>
      <c r="AR183" s="50"/>
      <c r="AS183" s="48"/>
      <c r="AT183" s="50"/>
      <c r="AV183" s="47">
        <v>44393</v>
      </c>
      <c r="AW183" s="51">
        <v>0.11458333333333333</v>
      </c>
      <c r="AX183" t="s">
        <v>163</v>
      </c>
    </row>
    <row r="184" spans="1:50">
      <c r="A184" s="23" t="s">
        <v>22</v>
      </c>
      <c r="B184" s="23" t="s">
        <v>23</v>
      </c>
      <c r="C184" s="28">
        <v>44396.46875</v>
      </c>
      <c r="D184" s="23">
        <v>604.92499999999995</v>
      </c>
      <c r="E184" s="28">
        <v>44396.625</v>
      </c>
      <c r="F184" s="23">
        <v>604.27499999999998</v>
      </c>
      <c r="G184" s="33">
        <v>-1.1000000000000001E-3</v>
      </c>
      <c r="H184" s="23">
        <v>53.88</v>
      </c>
      <c r="I184" s="33">
        <v>1.1000000000000001E-3</v>
      </c>
      <c r="J184" s="23">
        <v>82.897859999999994</v>
      </c>
      <c r="K184" s="23">
        <v>50146.98</v>
      </c>
      <c r="L184" s="23">
        <v>29192.47</v>
      </c>
      <c r="M184" s="23">
        <v>16</v>
      </c>
      <c r="N184" s="23">
        <v>3.37</v>
      </c>
      <c r="O184" s="33">
        <v>-5.1999999999999998E-3</v>
      </c>
      <c r="P184" s="33">
        <v>2.8000000000000001E-2</v>
      </c>
      <c r="Q184" s="23" t="s">
        <v>24</v>
      </c>
      <c r="R184" s="23">
        <v>0</v>
      </c>
      <c r="S184" s="23">
        <v>617.25</v>
      </c>
      <c r="U184" s="47">
        <v>44406</v>
      </c>
      <c r="V184" s="23" t="s">
        <v>107</v>
      </c>
      <c r="W184" s="23" t="s">
        <v>23</v>
      </c>
      <c r="X184" s="28">
        <v>44396.46875</v>
      </c>
      <c r="Y184" s="23">
        <v>18.8</v>
      </c>
      <c r="Z184" s="28">
        <v>44396.625</v>
      </c>
      <c r="AA184" s="23">
        <v>17.7</v>
      </c>
      <c r="AB184" s="33">
        <v>-5.8500000000000003E-2</v>
      </c>
      <c r="AC184" s="23">
        <v>3087.48</v>
      </c>
      <c r="AD184" s="33">
        <v>5.8500000000000003E-2</v>
      </c>
      <c r="AE184" s="23">
        <v>2806.8040000000001</v>
      </c>
      <c r="AF184" s="23">
        <v>52767.91</v>
      </c>
      <c r="AG184" s="23">
        <v>541934.23</v>
      </c>
      <c r="AH184" s="23">
        <v>16</v>
      </c>
      <c r="AI184" s="23">
        <v>192.97</v>
      </c>
      <c r="AJ184" s="33">
        <v>-9.9699999999999997E-2</v>
      </c>
      <c r="AK184" s="33">
        <v>0.43880000000000002</v>
      </c>
      <c r="AL184" s="23" t="s">
        <v>24</v>
      </c>
      <c r="AM184" s="23">
        <v>604.91999999999996</v>
      </c>
      <c r="AN184" s="23">
        <v>35216.199999999997</v>
      </c>
      <c r="AO184" s="23">
        <v>617.25</v>
      </c>
      <c r="AQ184" s="50">
        <f t="shared" si="2"/>
        <v>3.1078489717648618E-2</v>
      </c>
      <c r="AR184" s="50"/>
      <c r="AS184" s="48"/>
      <c r="AT184" s="50"/>
      <c r="AV184" s="47">
        <v>44396</v>
      </c>
      <c r="AW184" s="51">
        <v>0.46875</v>
      </c>
      <c r="AX184" t="s">
        <v>162</v>
      </c>
    </row>
    <row r="185" spans="1:50">
      <c r="A185" s="23" t="s">
        <v>22</v>
      </c>
      <c r="B185" s="23" t="s">
        <v>25</v>
      </c>
      <c r="C185" s="28">
        <v>44396.625</v>
      </c>
      <c r="D185" s="23">
        <v>604.27499999999998</v>
      </c>
      <c r="E185" s="28">
        <v>44397.4375</v>
      </c>
      <c r="F185" s="23">
        <v>593.79999999999995</v>
      </c>
      <c r="G185" s="33">
        <v>-1.7299999999999999E-2</v>
      </c>
      <c r="H185" s="23">
        <v>-869.29</v>
      </c>
      <c r="I185" s="33">
        <v>-1.7299999999999999E-2</v>
      </c>
      <c r="J185" s="23">
        <v>82.98724</v>
      </c>
      <c r="K185" s="23">
        <v>50147.11</v>
      </c>
      <c r="L185" s="23">
        <v>28323.18</v>
      </c>
      <c r="M185" s="23">
        <v>11</v>
      </c>
      <c r="N185" s="23">
        <v>-79.03</v>
      </c>
      <c r="O185" s="33">
        <v>-1.7299999999999999E-2</v>
      </c>
      <c r="P185" s="33">
        <v>1.5299999999999999E-2</v>
      </c>
      <c r="Q185" s="23" t="s">
        <v>24</v>
      </c>
      <c r="R185" s="23">
        <v>0</v>
      </c>
      <c r="S185" s="23">
        <v>588.62</v>
      </c>
      <c r="U185" s="47">
        <v>44406</v>
      </c>
      <c r="V185" s="23" t="s">
        <v>109</v>
      </c>
      <c r="W185" s="23" t="s">
        <v>23</v>
      </c>
      <c r="X185" s="28">
        <v>44396.625</v>
      </c>
      <c r="Y185" s="23">
        <v>11.775</v>
      </c>
      <c r="Z185" s="28">
        <v>44397.4375</v>
      </c>
      <c r="AA185" s="23">
        <v>16.024999999999999</v>
      </c>
      <c r="AB185" s="33">
        <v>0.3609</v>
      </c>
      <c r="AC185" s="23">
        <v>-19030.04</v>
      </c>
      <c r="AD185" s="33">
        <v>-0.3609</v>
      </c>
      <c r="AE185" s="23">
        <v>4477.6570000000002</v>
      </c>
      <c r="AF185" s="23">
        <v>52724.41</v>
      </c>
      <c r="AG185" s="23">
        <v>522904.19</v>
      </c>
      <c r="AH185" s="23">
        <v>11</v>
      </c>
      <c r="AI185" s="23">
        <v>-1730</v>
      </c>
      <c r="AJ185" s="33">
        <v>-0.3609</v>
      </c>
      <c r="AK185" s="33">
        <v>0.17199999999999999</v>
      </c>
      <c r="AL185" s="23" t="s">
        <v>24</v>
      </c>
      <c r="AM185" s="23">
        <v>604.28</v>
      </c>
      <c r="AN185" s="23">
        <v>35092.949999999997</v>
      </c>
      <c r="AO185" s="23">
        <v>588.62</v>
      </c>
      <c r="AQ185" s="50">
        <f t="shared" si="2"/>
        <v>1.9485999867611042E-2</v>
      </c>
      <c r="AR185" s="50"/>
      <c r="AS185" s="48"/>
      <c r="AT185" s="50"/>
      <c r="AV185" s="47">
        <v>44396</v>
      </c>
      <c r="AW185" s="51">
        <v>0.125</v>
      </c>
      <c r="AX185" t="s">
        <v>163</v>
      </c>
    </row>
    <row r="186" spans="1:50">
      <c r="A186" s="23" t="s">
        <v>22</v>
      </c>
      <c r="B186" s="23" t="s">
        <v>23</v>
      </c>
      <c r="C186" s="28">
        <v>44397.4375</v>
      </c>
      <c r="D186" s="23">
        <v>593.79999999999995</v>
      </c>
      <c r="E186" s="28">
        <v>44399.385416666664</v>
      </c>
      <c r="F186" s="23">
        <v>602.75</v>
      </c>
      <c r="G186" s="33">
        <v>1.5100000000000001E-2</v>
      </c>
      <c r="H186" s="23">
        <v>-755.78</v>
      </c>
      <c r="I186" s="33">
        <v>-1.5100000000000001E-2</v>
      </c>
      <c r="J186" s="23">
        <v>84.444339999999997</v>
      </c>
      <c r="K186" s="23">
        <v>50143.05</v>
      </c>
      <c r="L186" s="23">
        <v>27567.4</v>
      </c>
      <c r="M186" s="23">
        <v>24</v>
      </c>
      <c r="N186" s="23">
        <v>-31.49</v>
      </c>
      <c r="O186" s="33">
        <v>-1.5100000000000001E-2</v>
      </c>
      <c r="P186" s="33">
        <v>2.5700000000000001E-2</v>
      </c>
      <c r="Q186" s="23" t="s">
        <v>24</v>
      </c>
      <c r="R186" s="23">
        <v>0</v>
      </c>
      <c r="S186" s="23">
        <v>612.69000000000005</v>
      </c>
      <c r="U186" s="47">
        <v>44406</v>
      </c>
      <c r="V186" s="23" t="s">
        <v>107</v>
      </c>
      <c r="W186" s="23" t="s">
        <v>23</v>
      </c>
      <c r="X186" s="28">
        <v>44397.4375</v>
      </c>
      <c r="Y186" s="23">
        <v>12.45</v>
      </c>
      <c r="Z186" s="28">
        <v>44399.385416666664</v>
      </c>
      <c r="AA186" s="23">
        <v>16</v>
      </c>
      <c r="AB186" s="33">
        <v>0.28510000000000002</v>
      </c>
      <c r="AC186" s="23">
        <v>-15010.51</v>
      </c>
      <c r="AD186" s="33">
        <v>-0.28510000000000002</v>
      </c>
      <c r="AE186" s="23">
        <v>4228.3140000000003</v>
      </c>
      <c r="AF186" s="23">
        <v>52642.51</v>
      </c>
      <c r="AG186" s="23">
        <v>507893.67</v>
      </c>
      <c r="AH186" s="23">
        <v>24</v>
      </c>
      <c r="AI186" s="23">
        <v>-625.44000000000005</v>
      </c>
      <c r="AJ186" s="33">
        <v>-0.28510000000000002</v>
      </c>
      <c r="AK186" s="33">
        <v>0.44979999999999998</v>
      </c>
      <c r="AL186" s="23" t="s">
        <v>24</v>
      </c>
      <c r="AM186" s="23">
        <v>593.79999999999995</v>
      </c>
      <c r="AN186" s="23">
        <v>34475.699999999997</v>
      </c>
      <c r="AO186" s="23">
        <v>612.69000000000005</v>
      </c>
      <c r="AQ186" s="50">
        <f t="shared" si="2"/>
        <v>2.0966655439541935E-2</v>
      </c>
      <c r="AR186" s="50"/>
      <c r="AS186" s="48"/>
      <c r="AT186" s="50"/>
      <c r="AV186" s="47">
        <v>44397</v>
      </c>
      <c r="AW186" s="51">
        <v>0.4375</v>
      </c>
      <c r="AX186" t="s">
        <v>162</v>
      </c>
    </row>
    <row r="187" spans="1:50">
      <c r="A187" s="23" t="s">
        <v>22</v>
      </c>
      <c r="B187" s="23" t="s">
        <v>25</v>
      </c>
      <c r="C187" s="28">
        <v>44399.385416666664</v>
      </c>
      <c r="D187" s="23">
        <v>602.75</v>
      </c>
      <c r="E187" s="28">
        <v>44399.479166666664</v>
      </c>
      <c r="F187" s="23">
        <v>584.75</v>
      </c>
      <c r="G187" s="33">
        <v>-2.9899999999999999E-2</v>
      </c>
      <c r="H187" s="23">
        <v>-1497.49</v>
      </c>
      <c r="I187" s="33">
        <v>-2.9899999999999999E-2</v>
      </c>
      <c r="J187" s="23">
        <v>83.193719999999999</v>
      </c>
      <c r="K187" s="23">
        <v>50145.01</v>
      </c>
      <c r="L187" s="23">
        <v>26069.91</v>
      </c>
      <c r="M187" s="23">
        <v>10</v>
      </c>
      <c r="N187" s="23">
        <v>-149.75</v>
      </c>
      <c r="O187" s="33">
        <v>-2.9899999999999999E-2</v>
      </c>
      <c r="P187" s="33">
        <v>1.18E-2</v>
      </c>
      <c r="Q187" s="23" t="s">
        <v>24</v>
      </c>
      <c r="R187" s="23">
        <v>0</v>
      </c>
      <c r="S187" s="23">
        <v>579.26</v>
      </c>
      <c r="U187" s="47">
        <v>44406</v>
      </c>
      <c r="V187" s="23" t="s">
        <v>109</v>
      </c>
      <c r="W187" s="23" t="s">
        <v>23</v>
      </c>
      <c r="X187" s="28">
        <v>44399.385416666664</v>
      </c>
      <c r="Y187" s="23">
        <v>13.725</v>
      </c>
      <c r="Z187" s="28">
        <v>44399.479166666664</v>
      </c>
      <c r="AA187" s="23">
        <v>21.5</v>
      </c>
      <c r="AB187" s="33">
        <v>0.5665</v>
      </c>
      <c r="AC187" s="23">
        <v>-29870.58</v>
      </c>
      <c r="AD187" s="33">
        <v>-0.5665</v>
      </c>
      <c r="AE187" s="23">
        <v>3841.875</v>
      </c>
      <c r="AF187" s="23">
        <v>52729.74</v>
      </c>
      <c r="AG187" s="23">
        <v>478023.09</v>
      </c>
      <c r="AH187" s="23">
        <v>10</v>
      </c>
      <c r="AI187" s="23">
        <v>-2987.06</v>
      </c>
      <c r="AJ187" s="33">
        <v>-0.5665</v>
      </c>
      <c r="AK187" s="33">
        <v>0.27139999999999997</v>
      </c>
      <c r="AL187" s="23" t="s">
        <v>24</v>
      </c>
      <c r="AM187" s="23">
        <v>602.75</v>
      </c>
      <c r="AN187" s="23">
        <v>34824.949999999997</v>
      </c>
      <c r="AO187" s="23">
        <v>579.26</v>
      </c>
      <c r="AQ187" s="50">
        <f t="shared" si="2"/>
        <v>2.2770634591455827E-2</v>
      </c>
      <c r="AR187" s="50"/>
      <c r="AS187" s="48"/>
      <c r="AT187" s="50"/>
      <c r="AV187" s="47">
        <v>44399</v>
      </c>
      <c r="AW187" s="51">
        <v>0.38541666666666669</v>
      </c>
      <c r="AX187" t="s">
        <v>162</v>
      </c>
    </row>
    <row r="188" spans="1:50">
      <c r="A188" s="23" t="s">
        <v>22</v>
      </c>
      <c r="B188" s="23" t="s">
        <v>23</v>
      </c>
      <c r="C188" s="28">
        <v>44399.479166666664</v>
      </c>
      <c r="D188" s="23">
        <v>584.75</v>
      </c>
      <c r="E188" s="28">
        <v>44400.5625</v>
      </c>
      <c r="F188" s="23">
        <v>579.125</v>
      </c>
      <c r="G188" s="33">
        <v>-9.5999999999999992E-3</v>
      </c>
      <c r="H188" s="23">
        <v>482.26</v>
      </c>
      <c r="I188" s="33">
        <v>9.5999999999999992E-3</v>
      </c>
      <c r="J188" s="23">
        <v>85.734560000000002</v>
      </c>
      <c r="K188" s="23">
        <v>50133.279999999999</v>
      </c>
      <c r="L188" s="23">
        <v>26552.17</v>
      </c>
      <c r="M188" s="23">
        <v>37</v>
      </c>
      <c r="N188" s="23">
        <v>13.03</v>
      </c>
      <c r="O188" s="33">
        <v>-1.24E-2</v>
      </c>
      <c r="P188" s="33">
        <v>2.01E-2</v>
      </c>
      <c r="Q188" s="23" t="s">
        <v>24</v>
      </c>
      <c r="R188" s="23">
        <v>0</v>
      </c>
      <c r="S188" s="23">
        <v>608.91</v>
      </c>
      <c r="U188" s="47">
        <v>44406</v>
      </c>
      <c r="V188" s="23" t="s">
        <v>104</v>
      </c>
      <c r="W188" s="23" t="s">
        <v>23</v>
      </c>
      <c r="X188" s="28">
        <v>44399.479166666664</v>
      </c>
      <c r="Y188" s="23">
        <v>17.5</v>
      </c>
      <c r="Z188" s="28">
        <v>44400.5625</v>
      </c>
      <c r="AA188" s="23">
        <v>11.05</v>
      </c>
      <c r="AB188" s="33">
        <v>-0.36859999999999998</v>
      </c>
      <c r="AC188" s="23">
        <v>19335.7</v>
      </c>
      <c r="AD188" s="33">
        <v>0.36859999999999998</v>
      </c>
      <c r="AE188" s="23">
        <v>2997.7820000000002</v>
      </c>
      <c r="AF188" s="23">
        <v>52461.19</v>
      </c>
      <c r="AG188" s="23">
        <v>497358.78</v>
      </c>
      <c r="AH188" s="23">
        <v>37</v>
      </c>
      <c r="AI188" s="23">
        <v>522.59</v>
      </c>
      <c r="AJ188" s="33">
        <v>-0.1714</v>
      </c>
      <c r="AK188" s="33">
        <v>0.46429999999999999</v>
      </c>
      <c r="AL188" s="23" t="s">
        <v>24</v>
      </c>
      <c r="AM188" s="23">
        <v>584.75</v>
      </c>
      <c r="AN188" s="23">
        <v>34919.550000000003</v>
      </c>
      <c r="AO188" s="23">
        <v>608.91</v>
      </c>
      <c r="AQ188" s="50">
        <f t="shared" si="2"/>
        <v>2.9927319367250963E-2</v>
      </c>
      <c r="AR188" s="50"/>
      <c r="AS188" s="48"/>
      <c r="AT188" s="50"/>
      <c r="AV188" s="47">
        <v>44399</v>
      </c>
      <c r="AW188" s="51">
        <v>0.47916666666666669</v>
      </c>
      <c r="AX188" t="s">
        <v>162</v>
      </c>
    </row>
    <row r="189" spans="1:50">
      <c r="A189" s="23" t="s">
        <v>22</v>
      </c>
      <c r="B189" s="23" t="s">
        <v>25</v>
      </c>
      <c r="C189" s="28">
        <v>44400.5625</v>
      </c>
      <c r="D189" s="23">
        <v>579.125</v>
      </c>
      <c r="E189" s="28">
        <v>44403.625</v>
      </c>
      <c r="F189" s="23">
        <v>584.82500000000005</v>
      </c>
      <c r="G189" s="33">
        <v>9.7999999999999997E-3</v>
      </c>
      <c r="H189" s="23">
        <v>493.44</v>
      </c>
      <c r="I189" s="33">
        <v>9.7999999999999997E-3</v>
      </c>
      <c r="J189" s="23">
        <v>86.567999999999998</v>
      </c>
      <c r="K189" s="23">
        <v>50133.7</v>
      </c>
      <c r="L189" s="23">
        <v>27045.61</v>
      </c>
      <c r="M189" s="23">
        <v>35</v>
      </c>
      <c r="N189" s="23">
        <v>14.1</v>
      </c>
      <c r="O189" s="33">
        <v>-7.1000000000000004E-3</v>
      </c>
      <c r="P189" s="33">
        <v>2.7099999999999999E-2</v>
      </c>
      <c r="Q189" s="23" t="s">
        <v>24</v>
      </c>
      <c r="R189" s="23">
        <v>0</v>
      </c>
      <c r="S189" s="23">
        <v>573.29999999999995</v>
      </c>
      <c r="U189" s="47">
        <v>44406</v>
      </c>
      <c r="V189" s="23" t="s">
        <v>140</v>
      </c>
      <c r="W189" s="23" t="s">
        <v>23</v>
      </c>
      <c r="X189" s="28">
        <v>44400.5625</v>
      </c>
      <c r="Y189" s="23">
        <v>3.6</v>
      </c>
      <c r="Z189" s="28">
        <v>44403.625</v>
      </c>
      <c r="AA189" s="23">
        <v>1.7250000000000001</v>
      </c>
      <c r="AB189" s="33">
        <v>-0.52080000000000004</v>
      </c>
      <c r="AC189" s="23">
        <v>27340</v>
      </c>
      <c r="AD189" s="33">
        <v>0.52080000000000004</v>
      </c>
      <c r="AE189" s="23">
        <v>14581.33</v>
      </c>
      <c r="AF189" s="23">
        <v>52492.79</v>
      </c>
      <c r="AG189" s="23">
        <v>524698.78</v>
      </c>
      <c r="AH189" s="23">
        <v>35</v>
      </c>
      <c r="AI189" s="23">
        <v>781.14</v>
      </c>
      <c r="AJ189" s="33">
        <v>-0.16669999999999999</v>
      </c>
      <c r="AK189" s="33">
        <v>0.77780000000000005</v>
      </c>
      <c r="AL189" s="23" t="s">
        <v>24</v>
      </c>
      <c r="AM189" s="23">
        <v>579.13</v>
      </c>
      <c r="AN189" s="23">
        <v>34951.1</v>
      </c>
      <c r="AO189" s="23">
        <v>573.29999999999995</v>
      </c>
      <c r="AQ189" s="50">
        <f t="shared" si="2"/>
        <v>6.2162208830487111E-3</v>
      </c>
      <c r="AR189" s="50"/>
      <c r="AS189" s="48"/>
      <c r="AT189" s="50"/>
      <c r="AV189" s="47">
        <v>44400</v>
      </c>
      <c r="AW189" s="51">
        <v>6.25E-2</v>
      </c>
      <c r="AX189" t="s">
        <v>163</v>
      </c>
    </row>
    <row r="190" spans="1:50">
      <c r="A190" s="23" t="s">
        <v>22</v>
      </c>
      <c r="B190" s="23" t="s">
        <v>23</v>
      </c>
      <c r="C190" s="28">
        <v>44403.625</v>
      </c>
      <c r="D190" s="23">
        <v>584.82500000000005</v>
      </c>
      <c r="E190" s="28">
        <v>44404.385416666664</v>
      </c>
      <c r="F190" s="23">
        <v>597.92499999999995</v>
      </c>
      <c r="G190" s="33">
        <v>2.24E-2</v>
      </c>
      <c r="H190" s="23">
        <v>-1123.1099999999999</v>
      </c>
      <c r="I190" s="33">
        <v>-2.24E-2</v>
      </c>
      <c r="J190" s="23">
        <v>85.733310000000003</v>
      </c>
      <c r="K190" s="23">
        <v>50138.98</v>
      </c>
      <c r="L190" s="23">
        <v>25922.5</v>
      </c>
      <c r="M190" s="23">
        <v>7</v>
      </c>
      <c r="N190" s="23">
        <v>-160.44</v>
      </c>
      <c r="O190" s="33">
        <v>-2.24E-2</v>
      </c>
      <c r="P190" s="33">
        <v>2.7000000000000001E-3</v>
      </c>
      <c r="Q190" s="23" t="s">
        <v>24</v>
      </c>
      <c r="R190" s="23">
        <v>0</v>
      </c>
      <c r="S190" s="23">
        <v>595.5</v>
      </c>
      <c r="U190" s="47">
        <v>44406</v>
      </c>
      <c r="V190" s="23" t="s">
        <v>104</v>
      </c>
      <c r="W190" s="23" t="s">
        <v>23</v>
      </c>
      <c r="X190" s="28">
        <v>44403.625</v>
      </c>
      <c r="Y190" s="23">
        <v>10.65</v>
      </c>
      <c r="Z190" s="28">
        <v>44404.385416666664</v>
      </c>
      <c r="AA190" s="23">
        <v>18.324999999999999</v>
      </c>
      <c r="AB190" s="33">
        <v>0.72070000000000001</v>
      </c>
      <c r="AC190" s="23">
        <v>-37961.599999999999</v>
      </c>
      <c r="AD190" s="33">
        <v>-0.72070000000000001</v>
      </c>
      <c r="AE190" s="23">
        <v>4946.1360000000004</v>
      </c>
      <c r="AF190" s="23">
        <v>52676.35</v>
      </c>
      <c r="AG190" s="23">
        <v>486737.18</v>
      </c>
      <c r="AH190" s="23">
        <v>7</v>
      </c>
      <c r="AI190" s="23">
        <v>-5423.09</v>
      </c>
      <c r="AJ190" s="33">
        <v>-0.72070000000000001</v>
      </c>
      <c r="AK190" s="33">
        <v>0</v>
      </c>
      <c r="AL190" s="23" t="s">
        <v>24</v>
      </c>
      <c r="AM190" s="23">
        <v>584.83000000000004</v>
      </c>
      <c r="AN190" s="23">
        <v>34955.9</v>
      </c>
      <c r="AO190" s="23">
        <v>595.5</v>
      </c>
      <c r="AQ190" s="50">
        <f t="shared" si="2"/>
        <v>1.8210420122086759E-2</v>
      </c>
      <c r="AR190" s="50"/>
      <c r="AS190" s="48"/>
      <c r="AT190" s="50"/>
      <c r="AV190" s="47">
        <v>44403</v>
      </c>
      <c r="AW190" s="51">
        <v>0.125</v>
      </c>
      <c r="AX190" t="s">
        <v>163</v>
      </c>
    </row>
    <row r="191" spans="1:50">
      <c r="A191" s="23" t="s">
        <v>22</v>
      </c>
      <c r="B191" s="23" t="s">
        <v>25</v>
      </c>
      <c r="C191" s="28">
        <v>44404.385416666664</v>
      </c>
      <c r="D191" s="23">
        <v>597.92499999999995</v>
      </c>
      <c r="E191" s="28">
        <v>44404.520833333336</v>
      </c>
      <c r="F191" s="23">
        <v>593.4</v>
      </c>
      <c r="G191" s="33">
        <v>-7.6E-3</v>
      </c>
      <c r="H191" s="23">
        <v>-379.4</v>
      </c>
      <c r="I191" s="33">
        <v>-7.6E-3</v>
      </c>
      <c r="J191" s="23">
        <v>83.845339999999993</v>
      </c>
      <c r="K191" s="23">
        <v>50133.22</v>
      </c>
      <c r="L191" s="23">
        <v>25543.1</v>
      </c>
      <c r="M191" s="23">
        <v>14</v>
      </c>
      <c r="N191" s="23">
        <v>-27.1</v>
      </c>
      <c r="O191" s="33">
        <v>-1.66E-2</v>
      </c>
      <c r="P191" s="33">
        <v>5.1000000000000004E-3</v>
      </c>
      <c r="Q191" s="23" t="s">
        <v>24</v>
      </c>
      <c r="R191" s="23">
        <v>0</v>
      </c>
      <c r="S191" s="23">
        <v>583.9</v>
      </c>
      <c r="U191" s="47">
        <v>44406</v>
      </c>
      <c r="V191" s="23" t="s">
        <v>109</v>
      </c>
      <c r="W191" s="23" t="s">
        <v>23</v>
      </c>
      <c r="X191" s="28">
        <v>44404.385416666664</v>
      </c>
      <c r="Y191" s="23">
        <v>10.4</v>
      </c>
      <c r="Z191" s="28">
        <v>44404.520833333336</v>
      </c>
      <c r="AA191" s="23">
        <v>11.15</v>
      </c>
      <c r="AB191" s="33">
        <v>7.2099999999999997E-2</v>
      </c>
      <c r="AC191" s="23">
        <v>-3789.88</v>
      </c>
      <c r="AD191" s="33">
        <v>-7.2099999999999997E-2</v>
      </c>
      <c r="AE191" s="23">
        <v>5053.174</v>
      </c>
      <c r="AF191" s="23">
        <v>52553.01</v>
      </c>
      <c r="AG191" s="23">
        <v>482947.3</v>
      </c>
      <c r="AH191" s="23">
        <v>14</v>
      </c>
      <c r="AI191" s="23">
        <v>-270.70999999999998</v>
      </c>
      <c r="AJ191" s="33">
        <v>-7.2099999999999997E-2</v>
      </c>
      <c r="AK191" s="33">
        <v>0.25480000000000003</v>
      </c>
      <c r="AL191" s="23" t="s">
        <v>24</v>
      </c>
      <c r="AM191" s="23">
        <v>597.91999999999996</v>
      </c>
      <c r="AN191" s="23">
        <v>35113.1</v>
      </c>
      <c r="AO191" s="23">
        <v>583.9</v>
      </c>
      <c r="AQ191" s="50">
        <f t="shared" si="2"/>
        <v>1.7393631255017396E-2</v>
      </c>
      <c r="AR191" s="50"/>
      <c r="AS191" s="48"/>
      <c r="AT191" s="50"/>
      <c r="AV191" s="47">
        <v>44404</v>
      </c>
      <c r="AW191" s="51">
        <v>0.38541666666666669</v>
      </c>
      <c r="AX191" t="s">
        <v>162</v>
      </c>
    </row>
    <row r="192" spans="1:50">
      <c r="A192" s="23" t="s">
        <v>22</v>
      </c>
      <c r="B192" s="23" t="s">
        <v>23</v>
      </c>
      <c r="C192" s="28">
        <v>44404.520833333336</v>
      </c>
      <c r="D192" s="23">
        <v>593.4</v>
      </c>
      <c r="E192" s="28">
        <v>44404.583333333336</v>
      </c>
      <c r="F192" s="23">
        <v>597.17499999999995</v>
      </c>
      <c r="G192" s="33">
        <v>6.4000000000000003E-3</v>
      </c>
      <c r="H192" s="23">
        <v>-318.91000000000003</v>
      </c>
      <c r="I192" s="33">
        <v>-6.4000000000000003E-3</v>
      </c>
      <c r="J192" s="23">
        <v>84.47824</v>
      </c>
      <c r="K192" s="23">
        <v>50129.39</v>
      </c>
      <c r="L192" s="23">
        <v>25224.2</v>
      </c>
      <c r="M192" s="23">
        <v>7</v>
      </c>
      <c r="N192" s="23">
        <v>-45.56</v>
      </c>
      <c r="O192" s="33">
        <v>-8.5000000000000006E-3</v>
      </c>
      <c r="P192" s="33">
        <v>6.4000000000000003E-3</v>
      </c>
      <c r="Q192" s="23" t="s">
        <v>24</v>
      </c>
      <c r="R192" s="23">
        <v>0</v>
      </c>
      <c r="S192" s="23">
        <v>600.97</v>
      </c>
      <c r="U192" s="47">
        <v>44406</v>
      </c>
      <c r="V192" s="23" t="s">
        <v>115</v>
      </c>
      <c r="W192" s="23" t="s">
        <v>23</v>
      </c>
      <c r="X192" s="28">
        <v>44404.520833333336</v>
      </c>
      <c r="Y192" s="23">
        <v>7.55</v>
      </c>
      <c r="Z192" s="28">
        <v>44404.583333333336</v>
      </c>
      <c r="AA192" s="23">
        <v>10.574999999999999</v>
      </c>
      <c r="AB192" s="33">
        <v>0.4007</v>
      </c>
      <c r="AC192" s="23">
        <v>-21014.27</v>
      </c>
      <c r="AD192" s="33">
        <v>-0.4007</v>
      </c>
      <c r="AE192" s="23">
        <v>6946.8670000000002</v>
      </c>
      <c r="AF192" s="23">
        <v>52448.84</v>
      </c>
      <c r="AG192" s="23">
        <v>461933.03</v>
      </c>
      <c r="AH192" s="23">
        <v>7</v>
      </c>
      <c r="AI192" s="23">
        <v>-3002.04</v>
      </c>
      <c r="AJ192" s="33">
        <v>-0.63249999999999995</v>
      </c>
      <c r="AK192" s="33">
        <v>4.9700000000000001E-2</v>
      </c>
      <c r="AL192" s="23" t="s">
        <v>24</v>
      </c>
      <c r="AM192" s="23">
        <v>593.4</v>
      </c>
      <c r="AN192" s="23">
        <v>34902.199999999997</v>
      </c>
      <c r="AO192" s="23">
        <v>600.97</v>
      </c>
      <c r="AQ192" s="50">
        <f t="shared" si="2"/>
        <v>1.2723289518031682E-2</v>
      </c>
      <c r="AR192" s="50"/>
      <c r="AS192" s="48"/>
      <c r="AT192" s="50"/>
      <c r="AV192" s="47">
        <v>44404</v>
      </c>
      <c r="AW192" s="51">
        <v>0.52083333333333337</v>
      </c>
      <c r="AX192" t="s">
        <v>163</v>
      </c>
    </row>
    <row r="193" spans="1:50">
      <c r="A193" s="23" t="s">
        <v>22</v>
      </c>
      <c r="B193" s="23" t="s">
        <v>25</v>
      </c>
      <c r="C193" s="28">
        <v>44404.583333333336</v>
      </c>
      <c r="D193" s="23">
        <v>597.17499999999995</v>
      </c>
      <c r="E193" s="28">
        <v>44405.385416666664</v>
      </c>
      <c r="F193" s="23">
        <v>592.22500000000002</v>
      </c>
      <c r="G193" s="33">
        <v>-8.3000000000000001E-3</v>
      </c>
      <c r="H193" s="23">
        <v>-415.5</v>
      </c>
      <c r="I193" s="33">
        <v>-8.3000000000000001E-3</v>
      </c>
      <c r="J193" s="23">
        <v>83.938860000000005</v>
      </c>
      <c r="K193" s="23">
        <v>50126.19</v>
      </c>
      <c r="L193" s="23">
        <v>24808.7</v>
      </c>
      <c r="M193" s="23">
        <v>10</v>
      </c>
      <c r="N193" s="23">
        <v>-41.55</v>
      </c>
      <c r="O193" s="33">
        <v>-8.3000000000000001E-3</v>
      </c>
      <c r="P193" s="33">
        <v>3.7000000000000002E-3</v>
      </c>
      <c r="Q193" s="23" t="s">
        <v>24</v>
      </c>
      <c r="R193" s="23">
        <v>0</v>
      </c>
      <c r="S193" s="23">
        <v>589.77</v>
      </c>
      <c r="U193" s="47">
        <v>44406</v>
      </c>
      <c r="V193" s="23" t="s">
        <v>109</v>
      </c>
      <c r="W193" s="23" t="s">
        <v>23</v>
      </c>
      <c r="X193" s="28">
        <v>44404.583333333336</v>
      </c>
      <c r="Y193" s="23">
        <v>8.7750000000000004</v>
      </c>
      <c r="Z193" s="28">
        <v>44405.385416666664</v>
      </c>
      <c r="AA193" s="23">
        <v>13.5</v>
      </c>
      <c r="AB193" s="33">
        <v>0.53849999999999998</v>
      </c>
      <c r="AC193" s="23">
        <v>-28158.79</v>
      </c>
      <c r="AD193" s="33">
        <v>-0.53849999999999998</v>
      </c>
      <c r="AE193" s="23">
        <v>5959.5330000000004</v>
      </c>
      <c r="AF193" s="23">
        <v>52294.9</v>
      </c>
      <c r="AG193" s="23">
        <v>433774.24</v>
      </c>
      <c r="AH193" s="23">
        <v>10</v>
      </c>
      <c r="AI193" s="23">
        <v>-2815.88</v>
      </c>
      <c r="AJ193" s="33">
        <v>-0.53849999999999998</v>
      </c>
      <c r="AK193" s="33">
        <v>8.8300000000000003E-2</v>
      </c>
      <c r="AL193" s="23" t="s">
        <v>24</v>
      </c>
      <c r="AM193" s="23">
        <v>597.16999999999996</v>
      </c>
      <c r="AN193" s="23">
        <v>34809.35</v>
      </c>
      <c r="AO193" s="23">
        <v>589.77</v>
      </c>
      <c r="AQ193" s="50">
        <f t="shared" si="2"/>
        <v>1.4694308153457141E-2</v>
      </c>
      <c r="AR193" s="50"/>
      <c r="AS193" s="48"/>
      <c r="AT193" s="50"/>
      <c r="AV193" s="47">
        <v>44404</v>
      </c>
      <c r="AW193" s="51">
        <v>8.3333333333333329E-2</v>
      </c>
      <c r="AX193" t="s">
        <v>163</v>
      </c>
    </row>
    <row r="194" spans="1:50">
      <c r="A194" s="23" t="s">
        <v>22</v>
      </c>
      <c r="B194" s="23" t="s">
        <v>23</v>
      </c>
      <c r="C194" s="28">
        <v>44405.385416666664</v>
      </c>
      <c r="D194" s="23">
        <v>592.22500000000002</v>
      </c>
      <c r="E194" s="28">
        <v>44405.583333333336</v>
      </c>
      <c r="F194" s="23">
        <v>579.47500000000002</v>
      </c>
      <c r="G194" s="33">
        <v>-2.1499999999999998E-2</v>
      </c>
      <c r="H194" s="23">
        <v>1079.17</v>
      </c>
      <c r="I194" s="33">
        <v>2.1499999999999998E-2</v>
      </c>
      <c r="J194" s="23">
        <v>84.640559999999994</v>
      </c>
      <c r="K194" s="23">
        <v>50126.26</v>
      </c>
      <c r="L194" s="23">
        <v>25887.86</v>
      </c>
      <c r="M194" s="23">
        <v>20</v>
      </c>
      <c r="N194" s="23">
        <v>53.96</v>
      </c>
      <c r="O194" s="33">
        <v>-8.8999999999999999E-3</v>
      </c>
      <c r="P194" s="33">
        <v>4.3400000000000001E-2</v>
      </c>
      <c r="Q194" s="23" t="s">
        <v>24</v>
      </c>
      <c r="R194" s="23">
        <v>0</v>
      </c>
      <c r="S194" s="23">
        <v>598.99</v>
      </c>
      <c r="U194" s="47">
        <v>44406</v>
      </c>
      <c r="V194" s="23" t="s">
        <v>115</v>
      </c>
      <c r="W194" s="23" t="s">
        <v>23</v>
      </c>
      <c r="X194" s="28">
        <v>44405.385416666664</v>
      </c>
      <c r="Y194" s="23">
        <v>6</v>
      </c>
      <c r="Z194" s="28">
        <v>44405.583333333336</v>
      </c>
      <c r="AA194" s="23">
        <v>1.4</v>
      </c>
      <c r="AB194" s="33">
        <v>-0.76670000000000005</v>
      </c>
      <c r="AC194" s="23">
        <v>40105.22</v>
      </c>
      <c r="AD194" s="33">
        <v>0.76670000000000005</v>
      </c>
      <c r="AE194" s="23">
        <v>8718.5249999999996</v>
      </c>
      <c r="AF194" s="23">
        <v>52311.15</v>
      </c>
      <c r="AG194" s="23">
        <v>473879.45</v>
      </c>
      <c r="AH194" s="23">
        <v>20</v>
      </c>
      <c r="AI194" s="23">
        <v>2005.26</v>
      </c>
      <c r="AJ194" s="33">
        <v>0</v>
      </c>
      <c r="AK194" s="33">
        <v>0.8417</v>
      </c>
      <c r="AL194" s="23" t="s">
        <v>24</v>
      </c>
      <c r="AM194" s="23">
        <v>592.22</v>
      </c>
      <c r="AN194" s="23">
        <v>34635.199999999997</v>
      </c>
      <c r="AO194" s="23">
        <v>598.99</v>
      </c>
      <c r="AQ194" s="50">
        <f t="shared" si="2"/>
        <v>1.0131370098949714E-2</v>
      </c>
      <c r="AR194" s="50"/>
      <c r="AS194" s="48"/>
      <c r="AT194" s="50"/>
      <c r="AV194" s="47">
        <v>44405</v>
      </c>
      <c r="AW194" s="51">
        <v>0.38541666666666669</v>
      </c>
      <c r="AX194" t="s">
        <v>162</v>
      </c>
    </row>
    <row r="195" spans="1:50">
      <c r="A195" s="23" t="s">
        <v>22</v>
      </c>
      <c r="B195" s="23" t="s">
        <v>25</v>
      </c>
      <c r="C195" s="28">
        <v>44405.583333333336</v>
      </c>
      <c r="D195" s="23">
        <v>579.47500000000002</v>
      </c>
      <c r="E195" s="28">
        <v>44406.697916666664</v>
      </c>
      <c r="F195" s="23">
        <v>596.82500000000005</v>
      </c>
      <c r="G195" s="33">
        <v>2.9899999999999999E-2</v>
      </c>
      <c r="H195" s="23">
        <v>1500.93</v>
      </c>
      <c r="I195" s="33">
        <v>2.9899999999999999E-2</v>
      </c>
      <c r="J195" s="23">
        <v>86.509200000000007</v>
      </c>
      <c r="K195" s="23">
        <v>50129.919999999998</v>
      </c>
      <c r="L195" s="23">
        <v>27388.799999999999</v>
      </c>
      <c r="M195" s="23">
        <v>36</v>
      </c>
      <c r="N195" s="23">
        <v>41.69</v>
      </c>
      <c r="O195" s="33">
        <v>-4.1000000000000003E-3</v>
      </c>
      <c r="P195" s="33">
        <v>3.6299999999999999E-2</v>
      </c>
      <c r="Q195" s="23" t="s">
        <v>24</v>
      </c>
      <c r="R195" s="23">
        <v>0</v>
      </c>
      <c r="S195" s="23">
        <v>567.05999999999995</v>
      </c>
      <c r="U195" s="47">
        <v>44406</v>
      </c>
      <c r="V195" s="23" t="s">
        <v>138</v>
      </c>
      <c r="W195" s="23" t="s">
        <v>23</v>
      </c>
      <c r="X195" s="28">
        <v>44405.583333333336</v>
      </c>
      <c r="Y195" s="23">
        <v>2.25</v>
      </c>
      <c r="Z195" s="28">
        <v>44406.697916666664</v>
      </c>
      <c r="AA195" s="23">
        <v>7.4999999999999997E-2</v>
      </c>
      <c r="AB195" s="33">
        <v>-0.9667</v>
      </c>
      <c r="AC195" s="23">
        <v>50616.37</v>
      </c>
      <c r="AD195" s="33">
        <v>0.9667</v>
      </c>
      <c r="AE195" s="23">
        <v>23271.9</v>
      </c>
      <c r="AF195" s="23">
        <v>52361.77</v>
      </c>
      <c r="AG195" s="23">
        <v>524495.82999999996</v>
      </c>
      <c r="AH195" s="23">
        <v>36</v>
      </c>
      <c r="AI195" s="23">
        <v>1406.01</v>
      </c>
      <c r="AJ195" s="33">
        <v>-5.5599999999999997E-2</v>
      </c>
      <c r="AK195" s="33">
        <v>0.9667</v>
      </c>
      <c r="AL195" s="23" t="s">
        <v>24</v>
      </c>
      <c r="AM195" s="23">
        <v>579.47</v>
      </c>
      <c r="AN195" s="23">
        <v>34510.35</v>
      </c>
      <c r="AO195" s="23">
        <v>567.05999999999995</v>
      </c>
      <c r="AQ195" s="50">
        <f t="shared" si="2"/>
        <v>3.8828584741229053E-3</v>
      </c>
      <c r="AR195" s="50"/>
      <c r="AS195" s="48"/>
      <c r="AT195" s="50"/>
      <c r="AV195" s="47">
        <v>44405</v>
      </c>
      <c r="AW195" s="51">
        <v>8.3333333333333329E-2</v>
      </c>
      <c r="AX195" t="s">
        <v>163</v>
      </c>
    </row>
    <row r="196" spans="1:50">
      <c r="A196" s="23" t="s">
        <v>22</v>
      </c>
      <c r="B196" s="23" t="s">
        <v>25</v>
      </c>
      <c r="C196" s="28">
        <v>44407.385416666664</v>
      </c>
      <c r="D196" s="23">
        <v>601.22500000000002</v>
      </c>
      <c r="E196" s="28">
        <v>44410.385416666664</v>
      </c>
      <c r="F196" s="23">
        <v>608.97500000000002</v>
      </c>
      <c r="G196" s="33">
        <v>1.29E-2</v>
      </c>
      <c r="H196" s="23">
        <v>646.28</v>
      </c>
      <c r="I196" s="33">
        <v>1.29E-2</v>
      </c>
      <c r="J196" s="23">
        <v>83.391319999999993</v>
      </c>
      <c r="K196" s="23">
        <v>50136.95</v>
      </c>
      <c r="L196" s="23">
        <v>28035.08</v>
      </c>
      <c r="M196" s="23">
        <v>29</v>
      </c>
      <c r="N196" s="23">
        <v>22.29</v>
      </c>
      <c r="O196" s="33">
        <v>-2.5999999999999999E-2</v>
      </c>
      <c r="P196" s="33">
        <v>2.2100000000000002E-2</v>
      </c>
      <c r="Q196" s="23" t="s">
        <v>24</v>
      </c>
      <c r="R196" s="23">
        <v>0</v>
      </c>
      <c r="S196" s="23">
        <v>585.6</v>
      </c>
      <c r="U196" s="47">
        <v>44434</v>
      </c>
      <c r="V196" s="23" t="s">
        <v>138</v>
      </c>
      <c r="W196" s="23" t="s">
        <v>23</v>
      </c>
      <c r="X196" s="28">
        <v>44407.385416666664</v>
      </c>
      <c r="Y196" s="23">
        <v>14.475</v>
      </c>
      <c r="Z196" s="28">
        <v>44410.385416666664</v>
      </c>
      <c r="AA196" s="23">
        <v>10.5</v>
      </c>
      <c r="AB196" s="33">
        <v>-0.27460000000000001</v>
      </c>
      <c r="AC196" s="23">
        <v>14450.73</v>
      </c>
      <c r="AD196" s="33">
        <v>0.27460000000000001</v>
      </c>
      <c r="AE196" s="23">
        <v>3635.404</v>
      </c>
      <c r="AF196" s="23">
        <v>52622.48</v>
      </c>
      <c r="AG196" s="23">
        <v>538946.56000000006</v>
      </c>
      <c r="AH196" s="23">
        <v>29</v>
      </c>
      <c r="AI196" s="23">
        <v>498.3</v>
      </c>
      <c r="AJ196" s="33">
        <v>-8.8099999999999998E-2</v>
      </c>
      <c r="AK196" s="33">
        <v>0.27460000000000001</v>
      </c>
      <c r="AL196" s="23" t="s">
        <v>24</v>
      </c>
      <c r="AM196" s="23">
        <v>601.22</v>
      </c>
      <c r="AN196" s="23">
        <v>34642.400000000001</v>
      </c>
      <c r="AO196" s="23">
        <v>585.6</v>
      </c>
      <c r="AQ196" s="50">
        <f t="shared" si="2"/>
        <v>2.4076045374405376E-2</v>
      </c>
      <c r="AR196" s="50"/>
      <c r="AS196" s="48"/>
      <c r="AT196" s="50"/>
      <c r="AV196" s="47">
        <v>44407</v>
      </c>
      <c r="AW196" s="51">
        <v>0.38541666666666669</v>
      </c>
      <c r="AX196" t="s">
        <v>162</v>
      </c>
    </row>
    <row r="197" spans="1:50">
      <c r="A197" s="23" t="s">
        <v>22</v>
      </c>
      <c r="B197" s="23" t="s">
        <v>23</v>
      </c>
      <c r="C197" s="28">
        <v>44410.385416666664</v>
      </c>
      <c r="D197" s="23">
        <v>608.97500000000002</v>
      </c>
      <c r="E197" s="28">
        <v>44410.395833333336</v>
      </c>
      <c r="F197" s="23">
        <v>611.29999999999995</v>
      </c>
      <c r="G197" s="33">
        <v>3.8E-3</v>
      </c>
      <c r="H197" s="23">
        <v>-191.44</v>
      </c>
      <c r="I197" s="33">
        <v>-3.8E-3</v>
      </c>
      <c r="J197" s="23">
        <v>82.33914</v>
      </c>
      <c r="K197" s="23">
        <v>50142.48</v>
      </c>
      <c r="L197" s="23">
        <v>27843.64</v>
      </c>
      <c r="M197" s="23">
        <v>2</v>
      </c>
      <c r="N197" s="23">
        <v>-95.72</v>
      </c>
      <c r="O197" s="33">
        <v>-9.1000000000000004E-3</v>
      </c>
      <c r="P197" s="33">
        <v>9.5999999999999992E-3</v>
      </c>
      <c r="Q197" s="23" t="s">
        <v>24</v>
      </c>
      <c r="R197" s="23">
        <v>0</v>
      </c>
      <c r="S197" s="23">
        <v>614.5</v>
      </c>
      <c r="U197" s="47">
        <v>44434</v>
      </c>
      <c r="V197" s="23" t="s">
        <v>114</v>
      </c>
      <c r="W197" s="23" t="s">
        <v>23</v>
      </c>
      <c r="X197" s="28">
        <v>44410.385416666664</v>
      </c>
      <c r="Y197" s="23">
        <v>25.05</v>
      </c>
      <c r="Z197" s="28">
        <v>44410.395833333336</v>
      </c>
      <c r="AA197" s="23">
        <v>27.25</v>
      </c>
      <c r="AB197" s="33">
        <v>8.7800000000000003E-2</v>
      </c>
      <c r="AC197" s="23">
        <v>-4627.88</v>
      </c>
      <c r="AD197" s="33">
        <v>-8.7800000000000003E-2</v>
      </c>
      <c r="AE197" s="23">
        <v>2103.5819999999999</v>
      </c>
      <c r="AF197" s="23">
        <v>52694.73</v>
      </c>
      <c r="AG197" s="23">
        <v>534318.68000000005</v>
      </c>
      <c r="AH197" s="23">
        <v>2</v>
      </c>
      <c r="AI197" s="23">
        <v>-2313.94</v>
      </c>
      <c r="AJ197" s="33">
        <v>-9.6799999999999997E-2</v>
      </c>
      <c r="AK197" s="33">
        <v>8.1799999999999998E-2</v>
      </c>
      <c r="AL197" s="23" t="s">
        <v>24</v>
      </c>
      <c r="AM197" s="23">
        <v>608.97</v>
      </c>
      <c r="AN197" s="23">
        <v>34800.85</v>
      </c>
      <c r="AO197" s="23">
        <v>614.5</v>
      </c>
      <c r="AQ197" s="50">
        <f t="shared" si="2"/>
        <v>4.1135031282329176E-2</v>
      </c>
      <c r="AR197" s="50"/>
      <c r="AS197" s="48"/>
      <c r="AT197" s="50"/>
      <c r="AV197" s="47">
        <v>44410</v>
      </c>
      <c r="AW197" s="51">
        <v>0.38541666666666669</v>
      </c>
      <c r="AX197" t="s">
        <v>162</v>
      </c>
    </row>
    <row r="198" spans="1:50">
      <c r="A198" s="23" t="s">
        <v>22</v>
      </c>
      <c r="B198" s="23" t="s">
        <v>25</v>
      </c>
      <c r="C198" s="28">
        <v>44410.395833333336</v>
      </c>
      <c r="D198" s="23">
        <v>611.29999999999995</v>
      </c>
      <c r="E198" s="28">
        <v>44410.46875</v>
      </c>
      <c r="F198" s="23">
        <v>606.25</v>
      </c>
      <c r="G198" s="33">
        <v>-8.3000000000000001E-3</v>
      </c>
      <c r="H198" s="23">
        <v>-414.21</v>
      </c>
      <c r="I198" s="33">
        <v>-8.3000000000000001E-3</v>
      </c>
      <c r="J198" s="23">
        <v>82.022210000000001</v>
      </c>
      <c r="K198" s="23">
        <v>50140.18</v>
      </c>
      <c r="L198" s="23">
        <v>27429.43</v>
      </c>
      <c r="M198" s="23">
        <v>8</v>
      </c>
      <c r="N198" s="23">
        <v>-51.78</v>
      </c>
      <c r="O198" s="33">
        <v>-8.3000000000000001E-3</v>
      </c>
      <c r="P198" s="33">
        <v>5.7999999999999996E-3</v>
      </c>
      <c r="Q198" s="23" t="s">
        <v>24</v>
      </c>
      <c r="R198" s="23">
        <v>0</v>
      </c>
      <c r="S198" s="23">
        <v>603.38</v>
      </c>
      <c r="U198" s="47">
        <v>44434</v>
      </c>
      <c r="V198" s="23" t="s">
        <v>109</v>
      </c>
      <c r="W198" s="23" t="s">
        <v>23</v>
      </c>
      <c r="X198" s="28">
        <v>44410.395833333336</v>
      </c>
      <c r="Y198" s="23">
        <v>23.225000000000001</v>
      </c>
      <c r="Z198" s="28">
        <v>44410.46875</v>
      </c>
      <c r="AA198" s="23">
        <v>23.975000000000001</v>
      </c>
      <c r="AB198" s="33">
        <v>3.2300000000000002E-2</v>
      </c>
      <c r="AC198" s="23">
        <v>-1701.66</v>
      </c>
      <c r="AD198" s="33">
        <v>-3.2300000000000002E-2</v>
      </c>
      <c r="AE198" s="23">
        <v>2268.88</v>
      </c>
      <c r="AF198" s="23">
        <v>52694.73</v>
      </c>
      <c r="AG198" s="23">
        <v>532617.02</v>
      </c>
      <c r="AH198" s="23">
        <v>8</v>
      </c>
      <c r="AI198" s="23">
        <v>-212.71</v>
      </c>
      <c r="AJ198" s="33">
        <v>-6.0299999999999999E-2</v>
      </c>
      <c r="AK198" s="33">
        <v>0.10009999999999999</v>
      </c>
      <c r="AL198" s="23" t="s">
        <v>24</v>
      </c>
      <c r="AM198" s="23">
        <v>611.29999999999995</v>
      </c>
      <c r="AN198" s="23">
        <v>34768.199999999997</v>
      </c>
      <c r="AO198" s="23">
        <v>603.38</v>
      </c>
      <c r="AQ198" s="50">
        <f t="shared" si="2"/>
        <v>3.7992802224766899E-2</v>
      </c>
      <c r="AR198" s="50"/>
      <c r="AS198" s="48"/>
      <c r="AT198" s="50"/>
      <c r="AV198" s="47">
        <v>44410</v>
      </c>
      <c r="AW198" s="51">
        <v>0.39583333333333331</v>
      </c>
      <c r="AX198" t="s">
        <v>162</v>
      </c>
    </row>
    <row r="199" spans="1:50">
      <c r="A199" s="23" t="s">
        <v>22</v>
      </c>
      <c r="B199" s="23" t="s">
        <v>23</v>
      </c>
      <c r="C199" s="28">
        <v>44410.46875</v>
      </c>
      <c r="D199" s="23">
        <v>606.25</v>
      </c>
      <c r="E199" s="28">
        <v>44410.614583333336</v>
      </c>
      <c r="F199" s="23">
        <v>609.02499999999998</v>
      </c>
      <c r="G199" s="33">
        <v>4.5999999999999999E-3</v>
      </c>
      <c r="H199" s="23">
        <v>-229.5</v>
      </c>
      <c r="I199" s="33">
        <v>-4.5999999999999999E-3</v>
      </c>
      <c r="J199" s="23">
        <v>82.701599999999999</v>
      </c>
      <c r="K199" s="23">
        <v>50137.84</v>
      </c>
      <c r="L199" s="23">
        <v>27199.93</v>
      </c>
      <c r="M199" s="23">
        <v>15</v>
      </c>
      <c r="N199" s="23">
        <v>-15.3</v>
      </c>
      <c r="O199" s="33">
        <v>-8.2000000000000007E-3</v>
      </c>
      <c r="P199" s="33">
        <v>1.1000000000000001E-3</v>
      </c>
      <c r="Q199" s="23" t="s">
        <v>24</v>
      </c>
      <c r="R199" s="23">
        <v>0</v>
      </c>
      <c r="S199" s="23">
        <v>614.67999999999995</v>
      </c>
      <c r="U199" s="47">
        <v>44434</v>
      </c>
      <c r="V199" s="23" t="s">
        <v>114</v>
      </c>
      <c r="W199" s="23" t="s">
        <v>23</v>
      </c>
      <c r="X199" s="28">
        <v>44410.46875</v>
      </c>
      <c r="Y199" s="23">
        <v>24.824999999999999</v>
      </c>
      <c r="Z199" s="28">
        <v>44410.614583333336</v>
      </c>
      <c r="AA199" s="23">
        <v>24.55</v>
      </c>
      <c r="AB199" s="33">
        <v>-1.11E-2</v>
      </c>
      <c r="AC199" s="23">
        <v>583.42999999999995</v>
      </c>
      <c r="AD199" s="33">
        <v>1.11E-2</v>
      </c>
      <c r="AE199" s="23">
        <v>2121.5790000000002</v>
      </c>
      <c r="AF199" s="23">
        <v>52668.19</v>
      </c>
      <c r="AG199" s="23">
        <v>533200.44999999995</v>
      </c>
      <c r="AH199" s="23">
        <v>15</v>
      </c>
      <c r="AI199" s="23">
        <v>38.9</v>
      </c>
      <c r="AJ199" s="33">
        <v>-5.74E-2</v>
      </c>
      <c r="AK199" s="33">
        <v>5.04E-2</v>
      </c>
      <c r="AL199" s="23" t="s">
        <v>24</v>
      </c>
      <c r="AM199" s="23">
        <v>606.25</v>
      </c>
      <c r="AN199" s="23">
        <v>34832.65</v>
      </c>
      <c r="AO199" s="23">
        <v>614.67999999999995</v>
      </c>
      <c r="AQ199" s="50">
        <f t="shared" si="2"/>
        <v>4.094845360824742E-2</v>
      </c>
      <c r="AR199" s="50"/>
      <c r="AS199" s="48"/>
      <c r="AT199" s="50"/>
      <c r="AV199" s="47">
        <v>44410</v>
      </c>
      <c r="AW199" s="51">
        <v>0.46875</v>
      </c>
      <c r="AX199" t="s">
        <v>162</v>
      </c>
    </row>
    <row r="200" spans="1:50">
      <c r="A200" s="23" t="s">
        <v>22</v>
      </c>
      <c r="B200" s="23" t="s">
        <v>25</v>
      </c>
      <c r="C200" s="28">
        <v>44410.614583333336</v>
      </c>
      <c r="D200" s="23">
        <v>609.02499999999998</v>
      </c>
      <c r="E200" s="28">
        <v>44411.46875</v>
      </c>
      <c r="F200" s="23">
        <v>610.65</v>
      </c>
      <c r="G200" s="33">
        <v>2.7000000000000001E-3</v>
      </c>
      <c r="H200" s="23">
        <v>133.78</v>
      </c>
      <c r="I200" s="33">
        <v>2.7000000000000001E-3</v>
      </c>
      <c r="J200" s="23">
        <v>82.323269999999994</v>
      </c>
      <c r="K200" s="23">
        <v>50136.93</v>
      </c>
      <c r="L200" s="23">
        <v>27333.71</v>
      </c>
      <c r="M200" s="23">
        <v>15</v>
      </c>
      <c r="N200" s="23">
        <v>8.92</v>
      </c>
      <c r="O200" s="33">
        <v>-3.8999999999999998E-3</v>
      </c>
      <c r="P200" s="33">
        <v>1.7999999999999999E-2</v>
      </c>
      <c r="Q200" s="23" t="s">
        <v>24</v>
      </c>
      <c r="R200" s="23">
        <v>0</v>
      </c>
      <c r="S200" s="23">
        <v>605.70000000000005</v>
      </c>
      <c r="U200" s="47">
        <v>44434</v>
      </c>
      <c r="V200" s="23" t="s">
        <v>109</v>
      </c>
      <c r="W200" s="23" t="s">
        <v>23</v>
      </c>
      <c r="X200" s="28">
        <v>44410.614583333336</v>
      </c>
      <c r="Y200" s="23">
        <v>22.75</v>
      </c>
      <c r="Z200" s="28">
        <v>44411.46875</v>
      </c>
      <c r="AA200" s="23">
        <v>21.3</v>
      </c>
      <c r="AB200" s="33">
        <v>-6.3700000000000007E-2</v>
      </c>
      <c r="AC200" s="23">
        <v>3357.39</v>
      </c>
      <c r="AD200" s="33">
        <v>6.3700000000000007E-2</v>
      </c>
      <c r="AE200" s="23">
        <v>2315.444</v>
      </c>
      <c r="AF200" s="23">
        <v>52676.35</v>
      </c>
      <c r="AG200" s="23">
        <v>536557.85</v>
      </c>
      <c r="AH200" s="23">
        <v>15</v>
      </c>
      <c r="AI200" s="23">
        <v>223.83</v>
      </c>
      <c r="AJ200" s="33">
        <v>0</v>
      </c>
      <c r="AK200" s="33">
        <v>0.20880000000000001</v>
      </c>
      <c r="AL200" s="23" t="s">
        <v>24</v>
      </c>
      <c r="AM200" s="23">
        <v>609.03</v>
      </c>
      <c r="AN200" s="23">
        <v>34672.800000000003</v>
      </c>
      <c r="AO200" s="23">
        <v>605.70000000000005</v>
      </c>
      <c r="AQ200" s="50">
        <f t="shared" ref="AQ200:AQ263" si="3">Y200/AM200</f>
        <v>3.7354481716828404E-2</v>
      </c>
      <c r="AR200" s="50"/>
      <c r="AS200" s="48"/>
      <c r="AT200" s="50"/>
      <c r="AV200" s="47">
        <v>44410</v>
      </c>
      <c r="AW200" s="51">
        <v>0.11458333333333333</v>
      </c>
      <c r="AX200" t="s">
        <v>163</v>
      </c>
    </row>
    <row r="201" spans="1:50">
      <c r="A201" s="23" t="s">
        <v>22</v>
      </c>
      <c r="B201" s="23" t="s">
        <v>23</v>
      </c>
      <c r="C201" s="28">
        <v>44411.46875</v>
      </c>
      <c r="D201" s="23">
        <v>610.65</v>
      </c>
      <c r="E201" s="28">
        <v>44412.385416666664</v>
      </c>
      <c r="F201" s="23">
        <v>612.5</v>
      </c>
      <c r="G201" s="33">
        <v>3.0000000000000001E-3</v>
      </c>
      <c r="H201" s="23">
        <v>-151.88999999999999</v>
      </c>
      <c r="I201" s="33">
        <v>-3.0000000000000001E-3</v>
      </c>
      <c r="J201" s="23">
        <v>82.105099999999993</v>
      </c>
      <c r="K201" s="23">
        <v>50137.48</v>
      </c>
      <c r="L201" s="23">
        <v>27181.82</v>
      </c>
      <c r="M201" s="23">
        <v>21</v>
      </c>
      <c r="N201" s="23">
        <v>-7.23</v>
      </c>
      <c r="O201" s="33">
        <v>-3.8E-3</v>
      </c>
      <c r="P201" s="33">
        <v>2.2599999999999999E-2</v>
      </c>
      <c r="Q201" s="23" t="s">
        <v>24</v>
      </c>
      <c r="R201" s="23">
        <v>0</v>
      </c>
      <c r="S201" s="23">
        <v>619.82000000000005</v>
      </c>
      <c r="U201" s="47">
        <v>44434</v>
      </c>
      <c r="V201" s="23" t="s">
        <v>114</v>
      </c>
      <c r="W201" s="23" t="s">
        <v>23</v>
      </c>
      <c r="X201" s="28">
        <v>44411.46875</v>
      </c>
      <c r="Y201" s="23">
        <v>25.2</v>
      </c>
      <c r="Z201" s="28">
        <v>44412.385416666664</v>
      </c>
      <c r="AA201" s="23">
        <v>28.25</v>
      </c>
      <c r="AB201" s="33">
        <v>0.121</v>
      </c>
      <c r="AC201" s="23">
        <v>-6378.11</v>
      </c>
      <c r="AD201" s="33">
        <v>-0.121</v>
      </c>
      <c r="AE201" s="23">
        <v>2091.1840000000002</v>
      </c>
      <c r="AF201" s="23">
        <v>52697.84</v>
      </c>
      <c r="AG201" s="23">
        <v>530179.74</v>
      </c>
      <c r="AH201" s="23">
        <v>21</v>
      </c>
      <c r="AI201" s="23">
        <v>-303.72000000000003</v>
      </c>
      <c r="AJ201" s="33">
        <v>-0.121</v>
      </c>
      <c r="AK201" s="33">
        <v>0.20630000000000001</v>
      </c>
      <c r="AL201" s="23" t="s">
        <v>24</v>
      </c>
      <c r="AM201" s="23">
        <v>610.65</v>
      </c>
      <c r="AN201" s="23">
        <v>34847.599999999999</v>
      </c>
      <c r="AO201" s="23">
        <v>619.82000000000005</v>
      </c>
      <c r="AQ201" s="50">
        <f t="shared" si="3"/>
        <v>4.1267501842299187E-2</v>
      </c>
      <c r="AR201" s="50"/>
      <c r="AS201" s="48"/>
      <c r="AT201" s="50"/>
      <c r="AV201" s="47">
        <v>44411</v>
      </c>
      <c r="AW201" s="51">
        <v>0.46875</v>
      </c>
      <c r="AX201" t="s">
        <v>162</v>
      </c>
    </row>
    <row r="202" spans="1:50">
      <c r="A202" s="23" t="s">
        <v>22</v>
      </c>
      <c r="B202" s="23" t="s">
        <v>25</v>
      </c>
      <c r="C202" s="28">
        <v>44412.385416666664</v>
      </c>
      <c r="D202" s="23">
        <v>612.5</v>
      </c>
      <c r="E202" s="28">
        <v>44413.385416666664</v>
      </c>
      <c r="F202" s="23">
        <v>612.97500000000002</v>
      </c>
      <c r="G202" s="33">
        <v>8.0000000000000004E-4</v>
      </c>
      <c r="H202" s="23">
        <v>38.880000000000003</v>
      </c>
      <c r="I202" s="33">
        <v>8.0000000000000004E-4</v>
      </c>
      <c r="J202" s="23">
        <v>81.857219999999998</v>
      </c>
      <c r="K202" s="23">
        <v>50137.55</v>
      </c>
      <c r="L202" s="23">
        <v>27220.7</v>
      </c>
      <c r="M202" s="23">
        <v>29</v>
      </c>
      <c r="N202" s="23">
        <v>1.34</v>
      </c>
      <c r="O202" s="33">
        <v>-1.7999999999999999E-2</v>
      </c>
      <c r="P202" s="33">
        <v>2.2200000000000001E-2</v>
      </c>
      <c r="Q202" s="23" t="s">
        <v>24</v>
      </c>
      <c r="R202" s="23">
        <v>0</v>
      </c>
      <c r="S202" s="23">
        <v>597.74</v>
      </c>
      <c r="U202" s="47">
        <v>44434</v>
      </c>
      <c r="V202" s="23" t="s">
        <v>119</v>
      </c>
      <c r="W202" s="23" t="s">
        <v>23</v>
      </c>
      <c r="X202" s="28">
        <v>44412.385416666664</v>
      </c>
      <c r="Y202" s="23">
        <v>26.274999999999999</v>
      </c>
      <c r="Z202" s="28">
        <v>44413.385416666664</v>
      </c>
      <c r="AA202" s="23">
        <v>24</v>
      </c>
      <c r="AB202" s="33">
        <v>-8.6599999999999996E-2</v>
      </c>
      <c r="AC202" s="23">
        <v>4565.07</v>
      </c>
      <c r="AD202" s="33">
        <v>8.6599999999999996E-2</v>
      </c>
      <c r="AE202" s="23">
        <v>2006.626</v>
      </c>
      <c r="AF202" s="23">
        <v>52724.09</v>
      </c>
      <c r="AG202" s="23">
        <v>534744.81000000006</v>
      </c>
      <c r="AH202" s="23">
        <v>29</v>
      </c>
      <c r="AI202" s="23">
        <v>157.41999999999999</v>
      </c>
      <c r="AJ202" s="33">
        <v>-0.1123</v>
      </c>
      <c r="AK202" s="33">
        <v>0.27689999999999998</v>
      </c>
      <c r="AL202" s="23" t="s">
        <v>24</v>
      </c>
      <c r="AM202" s="23">
        <v>612.5</v>
      </c>
      <c r="AN202" s="23">
        <v>35445.5</v>
      </c>
      <c r="AO202" s="23">
        <v>597.74</v>
      </c>
      <c r="AQ202" s="50">
        <f t="shared" si="3"/>
        <v>4.2897959183673465E-2</v>
      </c>
      <c r="AR202" s="50"/>
      <c r="AS202" s="48"/>
      <c r="AT202" s="50"/>
      <c r="AV202" s="47">
        <v>44412</v>
      </c>
      <c r="AW202" s="51">
        <v>0.38541666666666669</v>
      </c>
      <c r="AX202" t="s">
        <v>162</v>
      </c>
    </row>
    <row r="203" spans="1:50">
      <c r="A203" s="23" t="s">
        <v>22</v>
      </c>
      <c r="B203" s="23" t="s">
        <v>23</v>
      </c>
      <c r="C203" s="28">
        <v>44413.385416666664</v>
      </c>
      <c r="D203" s="23">
        <v>612.97500000000002</v>
      </c>
      <c r="E203" s="28">
        <v>44413.4375</v>
      </c>
      <c r="F203" s="23">
        <v>620.95000000000005</v>
      </c>
      <c r="G203" s="33">
        <v>1.2999999999999999E-2</v>
      </c>
      <c r="H203" s="23">
        <v>-652.34</v>
      </c>
      <c r="I203" s="33">
        <v>-1.2999999999999999E-2</v>
      </c>
      <c r="J203" s="23">
        <v>81.79813</v>
      </c>
      <c r="K203" s="23">
        <v>50140.2</v>
      </c>
      <c r="L203" s="23">
        <v>26568.36</v>
      </c>
      <c r="M203" s="23">
        <v>6</v>
      </c>
      <c r="N203" s="23">
        <v>-108.72</v>
      </c>
      <c r="O203" s="33">
        <v>-1.9199999999999998E-2</v>
      </c>
      <c r="P203" s="33">
        <v>4.8999999999999998E-3</v>
      </c>
      <c r="Q203" s="23" t="s">
        <v>24</v>
      </c>
      <c r="R203" s="23">
        <v>0</v>
      </c>
      <c r="S203" s="23">
        <v>625.91</v>
      </c>
      <c r="U203" s="47">
        <v>44434</v>
      </c>
      <c r="V203" s="23" t="s">
        <v>114</v>
      </c>
      <c r="W203" s="23" t="s">
        <v>23</v>
      </c>
      <c r="X203" s="28">
        <v>44413.385416666664</v>
      </c>
      <c r="Y203" s="23">
        <v>29.5</v>
      </c>
      <c r="Z203" s="28">
        <v>44413.4375</v>
      </c>
      <c r="AA203" s="23">
        <v>35.700000000000003</v>
      </c>
      <c r="AB203" s="33">
        <v>0.2102</v>
      </c>
      <c r="AC203" s="23">
        <v>-11077.79</v>
      </c>
      <c r="AD203" s="33">
        <v>-0.2102</v>
      </c>
      <c r="AE203" s="23">
        <v>1786.74</v>
      </c>
      <c r="AF203" s="23">
        <v>52708.84</v>
      </c>
      <c r="AG203" s="23">
        <v>523667.02</v>
      </c>
      <c r="AH203" s="23">
        <v>6</v>
      </c>
      <c r="AI203" s="23">
        <v>-1846.3</v>
      </c>
      <c r="AJ203" s="33">
        <v>-0.22120000000000001</v>
      </c>
      <c r="AK203" s="33">
        <v>5.2499999999999998E-2</v>
      </c>
      <c r="AL203" s="23" t="s">
        <v>24</v>
      </c>
      <c r="AM203" s="23">
        <v>612.97</v>
      </c>
      <c r="AN203" s="23">
        <v>35772.800000000003</v>
      </c>
      <c r="AO203" s="23">
        <v>625.91</v>
      </c>
      <c r="AQ203" s="50">
        <f t="shared" si="3"/>
        <v>4.8126335709741092E-2</v>
      </c>
      <c r="AR203" s="50"/>
      <c r="AS203" s="48"/>
      <c r="AT203" s="50"/>
      <c r="AV203" s="47">
        <v>44413</v>
      </c>
      <c r="AW203" s="51">
        <v>0.38541666666666669</v>
      </c>
      <c r="AX203" t="s">
        <v>162</v>
      </c>
    </row>
    <row r="204" spans="1:50">
      <c r="A204" s="23" t="s">
        <v>22</v>
      </c>
      <c r="B204" s="23" t="s">
        <v>25</v>
      </c>
      <c r="C204" s="28">
        <v>44413.4375</v>
      </c>
      <c r="D204" s="23">
        <v>620.95000000000005</v>
      </c>
      <c r="E204" s="28">
        <v>44413.572916666664</v>
      </c>
      <c r="F204" s="23">
        <v>619.9</v>
      </c>
      <c r="G204" s="33">
        <v>-1.6999999999999999E-3</v>
      </c>
      <c r="H204" s="23">
        <v>-84.77</v>
      </c>
      <c r="I204" s="33">
        <v>-1.6999999999999999E-3</v>
      </c>
      <c r="J204" s="23">
        <v>80.735240000000005</v>
      </c>
      <c r="K204" s="23">
        <v>50132.55</v>
      </c>
      <c r="L204" s="23">
        <v>26483.59</v>
      </c>
      <c r="M204" s="23">
        <v>14</v>
      </c>
      <c r="N204" s="23">
        <v>-6.06</v>
      </c>
      <c r="O204" s="33">
        <v>-2.3E-3</v>
      </c>
      <c r="P204" s="33">
        <v>1.34E-2</v>
      </c>
      <c r="Q204" s="23" t="s">
        <v>24</v>
      </c>
      <c r="R204" s="23">
        <v>0</v>
      </c>
      <c r="S204" s="23">
        <v>610.6</v>
      </c>
      <c r="U204" s="47">
        <v>44434</v>
      </c>
      <c r="V204" s="23" t="s">
        <v>112</v>
      </c>
      <c r="W204" s="23" t="s">
        <v>23</v>
      </c>
      <c r="X204" s="28">
        <v>44413.4375</v>
      </c>
      <c r="Y204" s="23">
        <v>27</v>
      </c>
      <c r="Z204" s="28">
        <v>44413.572916666664</v>
      </c>
      <c r="AA204" s="23">
        <v>26.774999999999999</v>
      </c>
      <c r="AB204" s="33">
        <v>-8.3000000000000001E-3</v>
      </c>
      <c r="AC204" s="23">
        <v>438.65</v>
      </c>
      <c r="AD204" s="33">
        <v>8.3000000000000001E-3</v>
      </c>
      <c r="AE204" s="23">
        <v>1949.5630000000001</v>
      </c>
      <c r="AF204" s="23">
        <v>52638.21</v>
      </c>
      <c r="AG204" s="23">
        <v>524105.67</v>
      </c>
      <c r="AH204" s="23">
        <v>14</v>
      </c>
      <c r="AI204" s="23">
        <v>31.33</v>
      </c>
      <c r="AJ204" s="33">
        <v>-1.5699999999999999E-2</v>
      </c>
      <c r="AK204" s="33">
        <v>0.11020000000000001</v>
      </c>
      <c r="AL204" s="23" t="s">
        <v>24</v>
      </c>
      <c r="AM204" s="23">
        <v>620.95000000000005</v>
      </c>
      <c r="AN204" s="23">
        <v>35705.1</v>
      </c>
      <c r="AO204" s="23">
        <v>610.6</v>
      </c>
      <c r="AQ204" s="50">
        <f t="shared" si="3"/>
        <v>4.3481761816571381E-2</v>
      </c>
      <c r="AR204" s="50"/>
      <c r="AS204" s="48"/>
      <c r="AT204" s="50"/>
      <c r="AV204" s="47">
        <v>44413</v>
      </c>
      <c r="AW204" s="51">
        <v>0.4375</v>
      </c>
      <c r="AX204" t="s">
        <v>162</v>
      </c>
    </row>
    <row r="205" spans="1:50">
      <c r="A205" s="23" t="s">
        <v>22</v>
      </c>
      <c r="B205" s="23" t="s">
        <v>23</v>
      </c>
      <c r="C205" s="28">
        <v>44413.572916666664</v>
      </c>
      <c r="D205" s="23">
        <v>619.9</v>
      </c>
      <c r="E205" s="28">
        <v>44414.385416666664</v>
      </c>
      <c r="F205" s="23">
        <v>633.27499999999998</v>
      </c>
      <c r="G205" s="33">
        <v>2.1600000000000001E-2</v>
      </c>
      <c r="H205" s="23">
        <v>-1081.6600000000001</v>
      </c>
      <c r="I205" s="33">
        <v>-2.1600000000000001E-2</v>
      </c>
      <c r="J205" s="23">
        <v>80.871939999999995</v>
      </c>
      <c r="K205" s="23">
        <v>50132.52</v>
      </c>
      <c r="L205" s="23">
        <v>25401.919999999998</v>
      </c>
      <c r="M205" s="23">
        <v>11</v>
      </c>
      <c r="N205" s="23">
        <v>-98.33</v>
      </c>
      <c r="O205" s="33">
        <v>-2.1600000000000001E-2</v>
      </c>
      <c r="P205" s="33">
        <v>3.8999999999999998E-3</v>
      </c>
      <c r="Q205" s="23" t="s">
        <v>24</v>
      </c>
      <c r="R205" s="23">
        <v>0</v>
      </c>
      <c r="S205" s="23">
        <v>628.86</v>
      </c>
      <c r="U205" s="47">
        <v>44434</v>
      </c>
      <c r="V205" s="23" t="s">
        <v>113</v>
      </c>
      <c r="W205" s="23" t="s">
        <v>23</v>
      </c>
      <c r="X205" s="28">
        <v>44413.572916666664</v>
      </c>
      <c r="Y205" s="23">
        <v>29.425000000000001</v>
      </c>
      <c r="Z205" s="28">
        <v>44414.385416666664</v>
      </c>
      <c r="AA205" s="23">
        <v>36</v>
      </c>
      <c r="AB205" s="33">
        <v>0.22339999999999999</v>
      </c>
      <c r="AC205" s="23">
        <v>-11757.54</v>
      </c>
      <c r="AD205" s="33">
        <v>-0.22339999999999999</v>
      </c>
      <c r="AE205" s="23">
        <v>1788.2190000000001</v>
      </c>
      <c r="AF205" s="23">
        <v>52618.34</v>
      </c>
      <c r="AG205" s="23">
        <v>512348.13</v>
      </c>
      <c r="AH205" s="23">
        <v>11</v>
      </c>
      <c r="AI205" s="23">
        <v>-1068.8699999999999</v>
      </c>
      <c r="AJ205" s="33">
        <v>-0.22339999999999999</v>
      </c>
      <c r="AK205" s="33">
        <v>3.4799999999999998E-2</v>
      </c>
      <c r="AL205" s="23" t="s">
        <v>24</v>
      </c>
      <c r="AM205" s="23">
        <v>619.9</v>
      </c>
      <c r="AN205" s="23">
        <v>35921.1</v>
      </c>
      <c r="AO205" s="23">
        <v>628.86</v>
      </c>
      <c r="AQ205" s="50">
        <f t="shared" si="3"/>
        <v>4.7467333440877564E-2</v>
      </c>
      <c r="AR205" s="50"/>
      <c r="AS205" s="48"/>
      <c r="AT205" s="50"/>
      <c r="AV205" s="47">
        <v>44413</v>
      </c>
      <c r="AW205" s="51">
        <v>7.2916666666666671E-2</v>
      </c>
      <c r="AX205" t="s">
        <v>163</v>
      </c>
    </row>
    <row r="206" spans="1:50">
      <c r="A206" s="23" t="s">
        <v>22</v>
      </c>
      <c r="B206" s="23" t="s">
        <v>25</v>
      </c>
      <c r="C206" s="28">
        <v>44414.385416666664</v>
      </c>
      <c r="D206" s="23">
        <v>633.27499999999998</v>
      </c>
      <c r="E206" s="28">
        <v>44414.552083333336</v>
      </c>
      <c r="F206" s="23">
        <v>633.35</v>
      </c>
      <c r="G206" s="33">
        <v>1E-4</v>
      </c>
      <c r="H206" s="23">
        <v>5.94</v>
      </c>
      <c r="I206" s="33">
        <v>1E-4</v>
      </c>
      <c r="J206" s="23">
        <v>79.163690000000003</v>
      </c>
      <c r="K206" s="23">
        <v>50132.39</v>
      </c>
      <c r="L206" s="23">
        <v>25407.86</v>
      </c>
      <c r="M206" s="23">
        <v>17</v>
      </c>
      <c r="N206" s="23">
        <v>0.35</v>
      </c>
      <c r="O206" s="33">
        <v>-2.53E-2</v>
      </c>
      <c r="P206" s="33">
        <v>1.38E-2</v>
      </c>
      <c r="Q206" s="23" t="s">
        <v>24</v>
      </c>
      <c r="R206" s="23">
        <v>0</v>
      </c>
      <c r="S206" s="23">
        <v>617.25</v>
      </c>
      <c r="U206" s="47">
        <v>44434</v>
      </c>
      <c r="V206" s="23" t="s">
        <v>141</v>
      </c>
      <c r="W206" s="23" t="s">
        <v>23</v>
      </c>
      <c r="X206" s="28">
        <v>44414.385416666664</v>
      </c>
      <c r="Y206" s="23">
        <v>27</v>
      </c>
      <c r="Z206" s="28">
        <v>44414.552083333336</v>
      </c>
      <c r="AA206" s="23">
        <v>25.475000000000001</v>
      </c>
      <c r="AB206" s="33">
        <v>-5.6500000000000002E-2</v>
      </c>
      <c r="AC206" s="23">
        <v>2972.17</v>
      </c>
      <c r="AD206" s="33">
        <v>5.6500000000000002E-2</v>
      </c>
      <c r="AE206" s="23">
        <v>1948.9659999999999</v>
      </c>
      <c r="AF206" s="23">
        <v>52622.09</v>
      </c>
      <c r="AG206" s="23">
        <v>515320.31</v>
      </c>
      <c r="AH206" s="23">
        <v>17</v>
      </c>
      <c r="AI206" s="23">
        <v>174.83</v>
      </c>
      <c r="AJ206" s="33">
        <v>-0.19719999999999999</v>
      </c>
      <c r="AK206" s="33">
        <v>0.1991</v>
      </c>
      <c r="AL206" s="23" t="s">
        <v>24</v>
      </c>
      <c r="AM206" s="23">
        <v>633.28</v>
      </c>
      <c r="AN206" s="23">
        <v>35992.449999999997</v>
      </c>
      <c r="AO206" s="23">
        <v>617.25</v>
      </c>
      <c r="AQ206" s="50">
        <f t="shared" si="3"/>
        <v>4.2635169277412836E-2</v>
      </c>
      <c r="AR206" s="50"/>
      <c r="AS206" s="48"/>
      <c r="AT206" s="50"/>
      <c r="AV206" s="47">
        <v>44414</v>
      </c>
      <c r="AW206" s="51">
        <v>0.38541666666666669</v>
      </c>
      <c r="AX206" t="s">
        <v>162</v>
      </c>
    </row>
    <row r="207" spans="1:50">
      <c r="A207" s="23" t="s">
        <v>22</v>
      </c>
      <c r="B207" s="23" t="s">
        <v>23</v>
      </c>
      <c r="C207" s="28">
        <v>44414.552083333336</v>
      </c>
      <c r="D207" s="23">
        <v>633.35</v>
      </c>
      <c r="E207" s="28">
        <v>44417.385416666664</v>
      </c>
      <c r="F207" s="23">
        <v>629</v>
      </c>
      <c r="G207" s="33">
        <v>-6.8999999999999999E-3</v>
      </c>
      <c r="H207" s="23">
        <v>344.28</v>
      </c>
      <c r="I207" s="33">
        <v>6.8999999999999999E-3</v>
      </c>
      <c r="J207" s="23">
        <v>79.145870000000002</v>
      </c>
      <c r="K207" s="23">
        <v>50127.040000000001</v>
      </c>
      <c r="L207" s="23">
        <v>25752.15</v>
      </c>
      <c r="M207" s="23">
        <v>13</v>
      </c>
      <c r="N207" s="23">
        <v>26.48</v>
      </c>
      <c r="O207" s="33">
        <v>-8.0999999999999996E-3</v>
      </c>
      <c r="P207" s="33">
        <v>4.3700000000000003E-2</v>
      </c>
      <c r="Q207" s="23" t="s">
        <v>24</v>
      </c>
      <c r="R207" s="23">
        <v>0</v>
      </c>
      <c r="S207" s="23">
        <v>641.74</v>
      </c>
      <c r="U207" s="47">
        <v>44434</v>
      </c>
      <c r="V207" s="23" t="s">
        <v>111</v>
      </c>
      <c r="W207" s="23" t="s">
        <v>23</v>
      </c>
      <c r="X207" s="28">
        <v>44414.552083333336</v>
      </c>
      <c r="Y207" s="23">
        <v>30.05</v>
      </c>
      <c r="Z207" s="28">
        <v>44417.385416666664</v>
      </c>
      <c r="AA207" s="23">
        <v>21.574999999999999</v>
      </c>
      <c r="AB207" s="33">
        <v>-0.28199999999999997</v>
      </c>
      <c r="AC207" s="23">
        <v>14828.11</v>
      </c>
      <c r="AD207" s="33">
        <v>0.28199999999999997</v>
      </c>
      <c r="AE207" s="23">
        <v>1749.6289999999999</v>
      </c>
      <c r="AF207" s="23">
        <v>52576.36</v>
      </c>
      <c r="AG207" s="23">
        <v>530148.42000000004</v>
      </c>
      <c r="AH207" s="23">
        <v>13</v>
      </c>
      <c r="AI207" s="23">
        <v>1140.6199999999999</v>
      </c>
      <c r="AJ207" s="33">
        <v>-7.0699999999999999E-2</v>
      </c>
      <c r="AK207" s="33">
        <v>0.48170000000000002</v>
      </c>
      <c r="AL207" s="23" t="s">
        <v>24</v>
      </c>
      <c r="AM207" s="23">
        <v>633.35</v>
      </c>
      <c r="AN207" s="23">
        <v>35843.699999999997</v>
      </c>
      <c r="AO207" s="23">
        <v>641.74</v>
      </c>
      <c r="AQ207" s="50">
        <f t="shared" si="3"/>
        <v>4.7446119838951605E-2</v>
      </c>
      <c r="AR207" s="50"/>
      <c r="AS207" s="48"/>
      <c r="AT207" s="50"/>
      <c r="AV207" s="47">
        <v>44414</v>
      </c>
      <c r="AW207" s="51">
        <v>5.2083333333333336E-2</v>
      </c>
      <c r="AX207" t="s">
        <v>163</v>
      </c>
    </row>
    <row r="208" spans="1:50">
      <c r="A208" s="23" t="s">
        <v>22</v>
      </c>
      <c r="B208" s="23" t="s">
        <v>25</v>
      </c>
      <c r="C208" s="28">
        <v>44417.385416666664</v>
      </c>
      <c r="D208" s="23">
        <v>629</v>
      </c>
      <c r="E208" s="28">
        <v>44417.489583333336</v>
      </c>
      <c r="F208" s="23">
        <v>617.52499999999998</v>
      </c>
      <c r="G208" s="33">
        <v>-1.8200000000000001E-2</v>
      </c>
      <c r="H208" s="23">
        <v>-914.54</v>
      </c>
      <c r="I208" s="33">
        <v>-1.8200000000000001E-2</v>
      </c>
      <c r="J208" s="23">
        <v>79.698400000000007</v>
      </c>
      <c r="K208" s="23">
        <v>50130.3</v>
      </c>
      <c r="L208" s="23">
        <v>24837.61</v>
      </c>
      <c r="M208" s="23">
        <v>11</v>
      </c>
      <c r="N208" s="23">
        <v>-83.14</v>
      </c>
      <c r="O208" s="33">
        <v>-2.06E-2</v>
      </c>
      <c r="P208" s="33">
        <v>6.7999999999999996E-3</v>
      </c>
      <c r="Q208" s="23" t="s">
        <v>24</v>
      </c>
      <c r="R208" s="23">
        <v>0</v>
      </c>
      <c r="S208" s="23">
        <v>605.66999999999996</v>
      </c>
      <c r="U208" s="47">
        <v>44434</v>
      </c>
      <c r="V208" s="23" t="s">
        <v>141</v>
      </c>
      <c r="W208" s="23" t="s">
        <v>23</v>
      </c>
      <c r="X208" s="28">
        <v>44417.385416666664</v>
      </c>
      <c r="Y208" s="23">
        <v>25</v>
      </c>
      <c r="Z208" s="28">
        <v>44417.489583333336</v>
      </c>
      <c r="AA208" s="23">
        <v>30.274999999999999</v>
      </c>
      <c r="AB208" s="33">
        <v>0.21099999999999999</v>
      </c>
      <c r="AC208" s="23">
        <v>-11108.52</v>
      </c>
      <c r="AD208" s="33">
        <v>-0.21099999999999999</v>
      </c>
      <c r="AE208" s="23">
        <v>2105.8809999999999</v>
      </c>
      <c r="AF208" s="23">
        <v>52647.02</v>
      </c>
      <c r="AG208" s="23">
        <v>519039.89</v>
      </c>
      <c r="AH208" s="23">
        <v>11</v>
      </c>
      <c r="AI208" s="23">
        <v>-1009.87</v>
      </c>
      <c r="AJ208" s="33">
        <v>-0.221</v>
      </c>
      <c r="AK208" s="33">
        <v>0.126</v>
      </c>
      <c r="AL208" s="23" t="s">
        <v>24</v>
      </c>
      <c r="AM208" s="23">
        <v>629</v>
      </c>
      <c r="AN208" s="23">
        <v>35837.35</v>
      </c>
      <c r="AO208" s="23">
        <v>605.66999999999996</v>
      </c>
      <c r="AQ208" s="50">
        <f t="shared" si="3"/>
        <v>3.9745627980922099E-2</v>
      </c>
      <c r="AR208" s="50"/>
      <c r="AS208" s="48"/>
      <c r="AT208" s="50"/>
      <c r="AV208" s="47">
        <v>44417</v>
      </c>
      <c r="AW208" s="51">
        <v>0.38541666666666669</v>
      </c>
      <c r="AX208" t="s">
        <v>162</v>
      </c>
    </row>
    <row r="209" spans="1:50">
      <c r="A209" s="23" t="s">
        <v>22</v>
      </c>
      <c r="B209" s="23" t="s">
        <v>23</v>
      </c>
      <c r="C209" s="28">
        <v>44417.489583333336</v>
      </c>
      <c r="D209" s="23">
        <v>617.52499999999998</v>
      </c>
      <c r="E209" s="28">
        <v>44417.59375</v>
      </c>
      <c r="F209" s="23">
        <v>629.79999999999995</v>
      </c>
      <c r="G209" s="33">
        <v>1.9900000000000001E-2</v>
      </c>
      <c r="H209" s="23">
        <v>-996.38</v>
      </c>
      <c r="I209" s="33">
        <v>-1.9900000000000001E-2</v>
      </c>
      <c r="J209" s="23">
        <v>81.171710000000004</v>
      </c>
      <c r="K209" s="23">
        <v>50125.57</v>
      </c>
      <c r="L209" s="23">
        <v>23841.22</v>
      </c>
      <c r="M209" s="23">
        <v>11</v>
      </c>
      <c r="N209" s="23">
        <v>-90.58</v>
      </c>
      <c r="O209" s="33">
        <v>-1.9900000000000001E-2</v>
      </c>
      <c r="P209" s="33">
        <v>1.9E-3</v>
      </c>
      <c r="Q209" s="23" t="s">
        <v>24</v>
      </c>
      <c r="R209" s="23">
        <v>0</v>
      </c>
      <c r="S209" s="23">
        <v>632.65</v>
      </c>
      <c r="U209" s="47">
        <v>44434</v>
      </c>
      <c r="V209" s="23" t="s">
        <v>113</v>
      </c>
      <c r="W209" s="23" t="s">
        <v>23</v>
      </c>
      <c r="X209" s="28">
        <v>44417.489583333336</v>
      </c>
      <c r="Y209" s="23">
        <v>21</v>
      </c>
      <c r="Z209" s="28">
        <v>44417.59375</v>
      </c>
      <c r="AA209" s="23">
        <v>28</v>
      </c>
      <c r="AB209" s="33">
        <v>0.33329999999999999</v>
      </c>
      <c r="AC209" s="23">
        <v>-17542.349999999999</v>
      </c>
      <c r="AD209" s="33">
        <v>-0.33329999999999999</v>
      </c>
      <c r="AE209" s="23">
        <v>2506.0500000000002</v>
      </c>
      <c r="AF209" s="23">
        <v>52627.05</v>
      </c>
      <c r="AG209" s="23">
        <v>501497.54</v>
      </c>
      <c r="AH209" s="23">
        <v>11</v>
      </c>
      <c r="AI209" s="23">
        <v>-1594.76</v>
      </c>
      <c r="AJ209" s="33">
        <v>-0.33329999999999999</v>
      </c>
      <c r="AK209" s="33">
        <v>0</v>
      </c>
      <c r="AL209" s="23" t="s">
        <v>24</v>
      </c>
      <c r="AM209" s="23">
        <v>617.53</v>
      </c>
      <c r="AN209" s="23">
        <v>35979.300000000003</v>
      </c>
      <c r="AO209" s="23">
        <v>632.65</v>
      </c>
      <c r="AQ209" s="50">
        <f t="shared" si="3"/>
        <v>3.4006445031010642E-2</v>
      </c>
      <c r="AR209" s="50"/>
      <c r="AS209" s="48"/>
      <c r="AT209" s="50"/>
      <c r="AV209" s="47">
        <v>44417</v>
      </c>
      <c r="AW209" s="51">
        <v>0.48958333333333331</v>
      </c>
      <c r="AX209" t="s">
        <v>162</v>
      </c>
    </row>
    <row r="210" spans="1:50">
      <c r="A210" s="23" t="s">
        <v>22</v>
      </c>
      <c r="B210" s="23" t="s">
        <v>25</v>
      </c>
      <c r="C210" s="28">
        <v>44417.59375</v>
      </c>
      <c r="D210" s="23">
        <v>629.79999999999995</v>
      </c>
      <c r="E210" s="28">
        <v>44418.583333333336</v>
      </c>
      <c r="F210" s="23">
        <v>643.27499999999998</v>
      </c>
      <c r="G210" s="33">
        <v>2.1399999999999999E-2</v>
      </c>
      <c r="H210" s="23">
        <v>1072.4000000000001</v>
      </c>
      <c r="I210" s="33">
        <v>2.1399999999999999E-2</v>
      </c>
      <c r="J210" s="23">
        <v>79.584199999999996</v>
      </c>
      <c r="K210" s="23">
        <v>50122.13</v>
      </c>
      <c r="L210" s="23">
        <v>24913.62</v>
      </c>
      <c r="M210" s="23">
        <v>28</v>
      </c>
      <c r="N210" s="23">
        <v>38.299999999999997</v>
      </c>
      <c r="O210" s="33">
        <v>-1.2500000000000001E-2</v>
      </c>
      <c r="P210" s="33">
        <v>4.8000000000000001E-2</v>
      </c>
      <c r="Q210" s="23" t="s">
        <v>24</v>
      </c>
      <c r="R210" s="23">
        <v>0</v>
      </c>
      <c r="S210" s="23">
        <v>616.33000000000004</v>
      </c>
      <c r="U210" s="47">
        <v>44434</v>
      </c>
      <c r="V210" s="23" t="s">
        <v>141</v>
      </c>
      <c r="W210" s="23" t="s">
        <v>23</v>
      </c>
      <c r="X210" s="28">
        <v>44417.59375</v>
      </c>
      <c r="Y210" s="23">
        <v>22.15</v>
      </c>
      <c r="Z210" s="28">
        <v>44418.583333333336</v>
      </c>
      <c r="AA210" s="23">
        <v>14.25</v>
      </c>
      <c r="AB210" s="33">
        <v>-0.35670000000000002</v>
      </c>
      <c r="AC210" s="23">
        <v>18745.04</v>
      </c>
      <c r="AD210" s="33">
        <v>0.35670000000000002</v>
      </c>
      <c r="AE210" s="23">
        <v>2372.79</v>
      </c>
      <c r="AF210" s="23">
        <v>52557.29</v>
      </c>
      <c r="AG210" s="23">
        <v>520242.58</v>
      </c>
      <c r="AH210" s="23">
        <v>28</v>
      </c>
      <c r="AI210" s="23">
        <v>669.47</v>
      </c>
      <c r="AJ210" s="33">
        <v>-0.2009</v>
      </c>
      <c r="AK210" s="33">
        <v>0.50339999999999996</v>
      </c>
      <c r="AL210" s="23" t="s">
        <v>24</v>
      </c>
      <c r="AM210" s="23">
        <v>629.79999999999995</v>
      </c>
      <c r="AN210" s="23">
        <v>35991.65</v>
      </c>
      <c r="AO210" s="23">
        <v>616.33000000000004</v>
      </c>
      <c r="AQ210" s="50">
        <f t="shared" si="3"/>
        <v>3.5169895204826933E-2</v>
      </c>
      <c r="AR210" s="50"/>
      <c r="AS210" s="48"/>
      <c r="AT210" s="50"/>
      <c r="AV210" s="47">
        <v>44417</v>
      </c>
      <c r="AW210" s="51">
        <v>9.375E-2</v>
      </c>
      <c r="AX210" t="s">
        <v>163</v>
      </c>
    </row>
    <row r="211" spans="1:50">
      <c r="A211" s="23" t="s">
        <v>22</v>
      </c>
      <c r="B211" s="23" t="s">
        <v>23</v>
      </c>
      <c r="C211" s="28">
        <v>44418.583333333336</v>
      </c>
      <c r="D211" s="23">
        <v>643.27499999999998</v>
      </c>
      <c r="E211" s="28">
        <v>44419.385416666664</v>
      </c>
      <c r="F211" s="23">
        <v>647.85</v>
      </c>
      <c r="G211" s="33">
        <v>7.1000000000000004E-3</v>
      </c>
      <c r="H211" s="23">
        <v>-356.51</v>
      </c>
      <c r="I211" s="33">
        <v>-7.1000000000000004E-3</v>
      </c>
      <c r="J211" s="23">
        <v>77.925319999999999</v>
      </c>
      <c r="K211" s="23">
        <v>50127.41</v>
      </c>
      <c r="L211" s="23">
        <v>24557.11</v>
      </c>
      <c r="M211" s="23">
        <v>10</v>
      </c>
      <c r="N211" s="23">
        <v>-35.65</v>
      </c>
      <c r="O211" s="33">
        <v>-1.8200000000000001E-2</v>
      </c>
      <c r="P211" s="33">
        <v>5.1000000000000004E-3</v>
      </c>
      <c r="Q211" s="23" t="s">
        <v>24</v>
      </c>
      <c r="R211" s="23">
        <v>0</v>
      </c>
      <c r="S211" s="23">
        <v>660</v>
      </c>
      <c r="U211" s="47">
        <v>44434</v>
      </c>
      <c r="V211" s="23" t="s">
        <v>108</v>
      </c>
      <c r="W211" s="23" t="s">
        <v>23</v>
      </c>
      <c r="X211" s="28">
        <v>44418.583333333336</v>
      </c>
      <c r="Y211" s="23">
        <v>23.375</v>
      </c>
      <c r="Z211" s="28">
        <v>44419.385416666664</v>
      </c>
      <c r="AA211" s="23">
        <v>24.475000000000001</v>
      </c>
      <c r="AB211" s="33">
        <v>4.7100000000000003E-2</v>
      </c>
      <c r="AC211" s="23">
        <v>-2476.0500000000002</v>
      </c>
      <c r="AD211" s="33">
        <v>-4.7100000000000003E-2</v>
      </c>
      <c r="AE211" s="23">
        <v>2250.9540000000002</v>
      </c>
      <c r="AF211" s="23">
        <v>52616.04</v>
      </c>
      <c r="AG211" s="23">
        <v>517766.53</v>
      </c>
      <c r="AH211" s="23">
        <v>10</v>
      </c>
      <c r="AI211" s="23">
        <v>-247.6</v>
      </c>
      <c r="AJ211" s="33">
        <v>-0.28660000000000002</v>
      </c>
      <c r="AK211" s="33">
        <v>0.12509999999999999</v>
      </c>
      <c r="AL211" s="23" t="s">
        <v>24</v>
      </c>
      <c r="AM211" s="23">
        <v>643.28</v>
      </c>
      <c r="AN211" s="23">
        <v>35920.75</v>
      </c>
      <c r="AO211" s="23">
        <v>660</v>
      </c>
      <c r="AQ211" s="50">
        <f t="shared" si="3"/>
        <v>3.6337209302325583E-2</v>
      </c>
      <c r="AR211" s="50"/>
      <c r="AS211" s="48"/>
      <c r="AT211" s="50"/>
      <c r="AV211" s="47">
        <v>44418</v>
      </c>
      <c r="AW211" s="51">
        <v>8.3333333333333329E-2</v>
      </c>
      <c r="AX211" t="s">
        <v>163</v>
      </c>
    </row>
    <row r="212" spans="1:50">
      <c r="A212" s="23" t="s">
        <v>22</v>
      </c>
      <c r="B212" s="23" t="s">
        <v>25</v>
      </c>
      <c r="C212" s="28">
        <v>44419.385416666664</v>
      </c>
      <c r="D212" s="23">
        <v>647.85</v>
      </c>
      <c r="E212" s="28">
        <v>44419.395833333336</v>
      </c>
      <c r="F212" s="23">
        <v>644</v>
      </c>
      <c r="G212" s="33">
        <v>-5.8999999999999999E-3</v>
      </c>
      <c r="H212" s="23">
        <v>-297.85000000000002</v>
      </c>
      <c r="I212" s="33">
        <v>-5.8999999999999999E-3</v>
      </c>
      <c r="J212" s="23">
        <v>77.363590000000002</v>
      </c>
      <c r="K212" s="23">
        <v>50120</v>
      </c>
      <c r="L212" s="23">
        <v>24259.26</v>
      </c>
      <c r="M212" s="23">
        <v>2</v>
      </c>
      <c r="N212" s="23">
        <v>-148.91999999999999</v>
      </c>
      <c r="O212" s="33">
        <v>-5.8999999999999999E-3</v>
      </c>
      <c r="P212" s="33">
        <v>1.29E-2</v>
      </c>
      <c r="Q212" s="23" t="s">
        <v>24</v>
      </c>
      <c r="R212" s="23">
        <v>0</v>
      </c>
      <c r="S212" s="23">
        <v>640.92999999999995</v>
      </c>
      <c r="U212" s="47">
        <v>44434</v>
      </c>
      <c r="V212" s="23" t="s">
        <v>142</v>
      </c>
      <c r="W212" s="23" t="s">
        <v>23</v>
      </c>
      <c r="X212" s="28">
        <v>44419.385416666664</v>
      </c>
      <c r="Y212" s="23">
        <v>23.55</v>
      </c>
      <c r="Z212" s="28">
        <v>44419.395833333336</v>
      </c>
      <c r="AA212" s="23">
        <v>26</v>
      </c>
      <c r="AB212" s="33">
        <v>0.104</v>
      </c>
      <c r="AC212" s="23">
        <v>-5466.6</v>
      </c>
      <c r="AD212" s="33">
        <v>-0.104</v>
      </c>
      <c r="AE212" s="23">
        <v>2231.2669999999998</v>
      </c>
      <c r="AF212" s="23">
        <v>52546.34</v>
      </c>
      <c r="AG212" s="23">
        <v>512299.93</v>
      </c>
      <c r="AH212" s="23">
        <v>2</v>
      </c>
      <c r="AI212" s="23">
        <v>-2733.3</v>
      </c>
      <c r="AJ212" s="33">
        <v>-0.104</v>
      </c>
      <c r="AK212" s="33">
        <v>0.17199999999999999</v>
      </c>
      <c r="AL212" s="23" t="s">
        <v>24</v>
      </c>
      <c r="AM212" s="23">
        <v>647.85</v>
      </c>
      <c r="AN212" s="23">
        <v>36157.699999999997</v>
      </c>
      <c r="AO212" s="23">
        <v>640.92999999999995</v>
      </c>
      <c r="AQ212" s="50">
        <f t="shared" si="3"/>
        <v>3.6351007177587408E-2</v>
      </c>
      <c r="AR212" s="50"/>
      <c r="AS212" s="48"/>
      <c r="AT212" s="50"/>
      <c r="AV212" s="47">
        <v>44419</v>
      </c>
      <c r="AW212" s="51">
        <v>0.38541666666666669</v>
      </c>
      <c r="AX212" t="s">
        <v>162</v>
      </c>
    </row>
    <row r="213" spans="1:50">
      <c r="A213" s="23" t="s">
        <v>22</v>
      </c>
      <c r="B213" s="23" t="s">
        <v>23</v>
      </c>
      <c r="C213" s="28">
        <v>44419.395833333336</v>
      </c>
      <c r="D213" s="23">
        <v>644</v>
      </c>
      <c r="E213" s="28">
        <v>44419.541666666664</v>
      </c>
      <c r="F213" s="23">
        <v>642</v>
      </c>
      <c r="G213" s="33">
        <v>-3.0999999999999999E-3</v>
      </c>
      <c r="H213" s="23">
        <v>155.66</v>
      </c>
      <c r="I213" s="33">
        <v>3.0999999999999999E-3</v>
      </c>
      <c r="J213" s="23">
        <v>77.830410000000001</v>
      </c>
      <c r="K213" s="23">
        <v>50122.79</v>
      </c>
      <c r="L213" s="23">
        <v>24414.92</v>
      </c>
      <c r="M213" s="23">
        <v>15</v>
      </c>
      <c r="N213" s="23">
        <v>10.38</v>
      </c>
      <c r="O213" s="33">
        <v>-7.0000000000000001E-3</v>
      </c>
      <c r="P213" s="33">
        <v>2.24E-2</v>
      </c>
      <c r="Q213" s="23" t="s">
        <v>24</v>
      </c>
      <c r="R213" s="23">
        <v>0</v>
      </c>
      <c r="S213" s="23">
        <v>655.89</v>
      </c>
      <c r="U213" s="47">
        <v>44434</v>
      </c>
      <c r="V213" s="23" t="s">
        <v>108</v>
      </c>
      <c r="W213" s="23" t="s">
        <v>23</v>
      </c>
      <c r="X213" s="28">
        <v>44419.395833333336</v>
      </c>
      <c r="Y213" s="23">
        <v>23.95</v>
      </c>
      <c r="Z213" s="28">
        <v>44419.541666666664</v>
      </c>
      <c r="AA213" s="23">
        <v>23</v>
      </c>
      <c r="AB213" s="33">
        <v>-3.9699999999999999E-2</v>
      </c>
      <c r="AC213" s="23">
        <v>2085.9899999999998</v>
      </c>
      <c r="AD213" s="33">
        <v>3.9699999999999999E-2</v>
      </c>
      <c r="AE213" s="23">
        <v>2195.7759999999998</v>
      </c>
      <c r="AF213" s="23">
        <v>52588.83</v>
      </c>
      <c r="AG213" s="23">
        <v>514385.91999999998</v>
      </c>
      <c r="AH213" s="23">
        <v>15</v>
      </c>
      <c r="AI213" s="23">
        <v>139.07</v>
      </c>
      <c r="AJ213" s="33">
        <v>-0.1273</v>
      </c>
      <c r="AK213" s="33">
        <v>0.20669999999999999</v>
      </c>
      <c r="AL213" s="23" t="s">
        <v>24</v>
      </c>
      <c r="AM213" s="23">
        <v>644</v>
      </c>
      <c r="AN213" s="23">
        <v>35984.199999999997</v>
      </c>
      <c r="AO213" s="23">
        <v>655.89</v>
      </c>
      <c r="AQ213" s="50">
        <f t="shared" si="3"/>
        <v>3.7189440993788819E-2</v>
      </c>
      <c r="AR213" s="50"/>
      <c r="AS213" s="48"/>
      <c r="AT213" s="50"/>
      <c r="AV213" s="47">
        <v>44419</v>
      </c>
      <c r="AW213" s="51">
        <v>0.39583333333333331</v>
      </c>
      <c r="AX213" t="s">
        <v>162</v>
      </c>
    </row>
    <row r="214" spans="1:50">
      <c r="A214" s="23" t="s">
        <v>22</v>
      </c>
      <c r="B214" s="23" t="s">
        <v>25</v>
      </c>
      <c r="C214" s="28">
        <v>44419.541666666664</v>
      </c>
      <c r="D214" s="23">
        <v>642</v>
      </c>
      <c r="E214" s="28">
        <v>44421.395833333336</v>
      </c>
      <c r="F214" s="23">
        <v>656</v>
      </c>
      <c r="G214" s="33">
        <v>2.18E-2</v>
      </c>
      <c r="H214" s="23">
        <v>1093.02</v>
      </c>
      <c r="I214" s="33">
        <v>2.18E-2</v>
      </c>
      <c r="J214" s="23">
        <v>78.072829999999996</v>
      </c>
      <c r="K214" s="23">
        <v>50122.76</v>
      </c>
      <c r="L214" s="23">
        <v>25507.94</v>
      </c>
      <c r="M214" s="23">
        <v>43</v>
      </c>
      <c r="N214" s="23">
        <v>25.42</v>
      </c>
      <c r="O214" s="33">
        <v>-3.0999999999999999E-3</v>
      </c>
      <c r="P214" s="33">
        <v>3.49E-2</v>
      </c>
      <c r="Q214" s="23" t="s">
        <v>24</v>
      </c>
      <c r="R214" s="23">
        <v>0</v>
      </c>
      <c r="S214" s="23">
        <v>630.12</v>
      </c>
      <c r="U214" s="47">
        <v>44434</v>
      </c>
      <c r="V214" s="23" t="s">
        <v>119</v>
      </c>
      <c r="W214" s="23" t="s">
        <v>23</v>
      </c>
      <c r="X214" s="28">
        <v>44419.541666666664</v>
      </c>
      <c r="Y214" s="23">
        <v>9.35</v>
      </c>
      <c r="Z214" s="28">
        <v>44421.395833333336</v>
      </c>
      <c r="AA214" s="23">
        <v>5.3250000000000002</v>
      </c>
      <c r="AB214" s="33">
        <v>-0.43049999999999999</v>
      </c>
      <c r="AC214" s="23">
        <v>22634.78</v>
      </c>
      <c r="AD214" s="33">
        <v>0.43049999999999999</v>
      </c>
      <c r="AE214" s="23">
        <v>5623.5469999999996</v>
      </c>
      <c r="AF214" s="23">
        <v>52580.160000000003</v>
      </c>
      <c r="AG214" s="23">
        <v>537020.68999999994</v>
      </c>
      <c r="AH214" s="23">
        <v>43</v>
      </c>
      <c r="AI214" s="23">
        <v>526.39</v>
      </c>
      <c r="AJ214" s="33">
        <v>0</v>
      </c>
      <c r="AK214" s="33">
        <v>0.49199999999999999</v>
      </c>
      <c r="AL214" s="23" t="s">
        <v>24</v>
      </c>
      <c r="AM214" s="23">
        <v>642</v>
      </c>
      <c r="AN214" s="23">
        <v>35725.25</v>
      </c>
      <c r="AO214" s="23">
        <v>630.12</v>
      </c>
      <c r="AQ214" s="50">
        <f t="shared" si="3"/>
        <v>1.4563862928348908E-2</v>
      </c>
      <c r="AR214" s="50"/>
      <c r="AS214" s="48"/>
      <c r="AT214" s="50"/>
      <c r="AV214" s="47">
        <v>44419</v>
      </c>
      <c r="AW214" s="51">
        <v>4.1666666666666664E-2</v>
      </c>
      <c r="AX214" t="s">
        <v>163</v>
      </c>
    </row>
    <row r="215" spans="1:50">
      <c r="A215" s="23" t="s">
        <v>22</v>
      </c>
      <c r="B215" s="23" t="s">
        <v>23</v>
      </c>
      <c r="C215" s="28">
        <v>44421.395833333336</v>
      </c>
      <c r="D215" s="23">
        <v>656</v>
      </c>
      <c r="E215" s="28">
        <v>44421.416666666664</v>
      </c>
      <c r="F215" s="23">
        <v>661.875</v>
      </c>
      <c r="G215" s="33">
        <v>8.9999999999999993E-3</v>
      </c>
      <c r="H215" s="23">
        <v>-448.95</v>
      </c>
      <c r="I215" s="33">
        <v>-8.9999999999999993E-3</v>
      </c>
      <c r="J215" s="23">
        <v>76.416179999999997</v>
      </c>
      <c r="K215" s="23">
        <v>50129.01</v>
      </c>
      <c r="L215" s="23">
        <v>25059</v>
      </c>
      <c r="M215" s="23">
        <v>3</v>
      </c>
      <c r="N215" s="23">
        <v>-149.65</v>
      </c>
      <c r="O215" s="33">
        <v>-8.9999999999999993E-3</v>
      </c>
      <c r="P215" s="33">
        <v>6.7999999999999996E-3</v>
      </c>
      <c r="Q215" s="23" t="s">
        <v>24</v>
      </c>
      <c r="R215" s="23">
        <v>0</v>
      </c>
      <c r="S215" s="23">
        <v>663.94</v>
      </c>
      <c r="U215" s="47">
        <v>44434</v>
      </c>
      <c r="V215" s="23" t="s">
        <v>143</v>
      </c>
      <c r="W215" s="23" t="s">
        <v>23</v>
      </c>
      <c r="X215" s="28">
        <v>44421.395833333336</v>
      </c>
      <c r="Y215" s="23">
        <v>18</v>
      </c>
      <c r="Z215" s="28">
        <v>44421.416666666664</v>
      </c>
      <c r="AA215" s="23">
        <v>22.25</v>
      </c>
      <c r="AB215" s="33">
        <v>0.2361</v>
      </c>
      <c r="AC215" s="23">
        <v>-12442.86</v>
      </c>
      <c r="AD215" s="33">
        <v>-0.2361</v>
      </c>
      <c r="AE215" s="23">
        <v>2927.7310000000002</v>
      </c>
      <c r="AF215" s="23">
        <v>52699.16</v>
      </c>
      <c r="AG215" s="23">
        <v>524577.82999999996</v>
      </c>
      <c r="AH215" s="23">
        <v>3</v>
      </c>
      <c r="AI215" s="23">
        <v>-4147.62</v>
      </c>
      <c r="AJ215" s="33">
        <v>-0.2361</v>
      </c>
      <c r="AK215" s="33">
        <v>0.13750000000000001</v>
      </c>
      <c r="AL215" s="23" t="s">
        <v>24</v>
      </c>
      <c r="AM215" s="23">
        <v>656</v>
      </c>
      <c r="AN215" s="23">
        <v>36116.65</v>
      </c>
      <c r="AO215" s="23">
        <v>663.94</v>
      </c>
      <c r="AQ215" s="50">
        <f t="shared" si="3"/>
        <v>2.7439024390243903E-2</v>
      </c>
      <c r="AR215" s="50"/>
      <c r="AS215" s="48"/>
      <c r="AT215" s="50"/>
      <c r="AV215" s="47">
        <v>44421</v>
      </c>
      <c r="AW215" s="51">
        <v>0.39583333333333331</v>
      </c>
      <c r="AX215" t="s">
        <v>162</v>
      </c>
    </row>
    <row r="216" spans="1:50">
      <c r="A216" s="23" t="s">
        <v>22</v>
      </c>
      <c r="B216" s="23" t="s">
        <v>25</v>
      </c>
      <c r="C216" s="28">
        <v>44421.416666666664</v>
      </c>
      <c r="D216" s="23">
        <v>661.875</v>
      </c>
      <c r="E216" s="28">
        <v>44421.541666666664</v>
      </c>
      <c r="F216" s="23">
        <v>661.25</v>
      </c>
      <c r="G216" s="33">
        <v>-8.9999999999999998E-4</v>
      </c>
      <c r="H216" s="23">
        <v>-47.33</v>
      </c>
      <c r="I216" s="33">
        <v>-8.9999999999999998E-4</v>
      </c>
      <c r="J216" s="23">
        <v>75.733919999999998</v>
      </c>
      <c r="K216" s="23">
        <v>50126.39</v>
      </c>
      <c r="L216" s="23">
        <v>25011.66</v>
      </c>
      <c r="M216" s="23">
        <v>13</v>
      </c>
      <c r="N216" s="23">
        <v>-3.64</v>
      </c>
      <c r="O216" s="33">
        <v>-5.8999999999999999E-3</v>
      </c>
      <c r="P216" s="33">
        <v>9.7000000000000003E-3</v>
      </c>
      <c r="Q216" s="23" t="s">
        <v>24</v>
      </c>
      <c r="R216" s="23">
        <v>0</v>
      </c>
      <c r="S216" s="23">
        <v>651.53</v>
      </c>
      <c r="U216" s="47">
        <v>44434</v>
      </c>
      <c r="V216" s="23" t="s">
        <v>144</v>
      </c>
      <c r="W216" s="23" t="s">
        <v>23</v>
      </c>
      <c r="X216" s="28">
        <v>44421.416666666664</v>
      </c>
      <c r="Y216" s="23">
        <v>19.125</v>
      </c>
      <c r="Z216" s="28">
        <v>44421.541666666664</v>
      </c>
      <c r="AA216" s="23">
        <v>20.2</v>
      </c>
      <c r="AB216" s="33">
        <v>5.62E-2</v>
      </c>
      <c r="AC216" s="23">
        <v>-2959.74</v>
      </c>
      <c r="AD216" s="33">
        <v>-5.62E-2</v>
      </c>
      <c r="AE216" s="23">
        <v>2753.2460000000001</v>
      </c>
      <c r="AF216" s="23">
        <v>52655.83</v>
      </c>
      <c r="AG216" s="23">
        <v>521618.1</v>
      </c>
      <c r="AH216" s="23">
        <v>13</v>
      </c>
      <c r="AI216" s="23">
        <v>-227.67</v>
      </c>
      <c r="AJ216" s="33">
        <v>-0.1464</v>
      </c>
      <c r="AK216" s="33">
        <v>0.1111</v>
      </c>
      <c r="AL216" s="23" t="s">
        <v>24</v>
      </c>
      <c r="AM216" s="23">
        <v>661.88</v>
      </c>
      <c r="AN216" s="23">
        <v>36074.65</v>
      </c>
      <c r="AO216" s="23">
        <v>651.53</v>
      </c>
      <c r="AQ216" s="50">
        <f t="shared" si="3"/>
        <v>2.8894965854837733E-2</v>
      </c>
      <c r="AR216" s="50"/>
      <c r="AS216" s="48"/>
      <c r="AT216" s="50"/>
      <c r="AV216" s="47">
        <v>44421</v>
      </c>
      <c r="AW216" s="51">
        <v>0.41666666666666669</v>
      </c>
      <c r="AX216" t="s">
        <v>162</v>
      </c>
    </row>
    <row r="217" spans="1:50">
      <c r="A217" s="23" t="s">
        <v>22</v>
      </c>
      <c r="B217" s="23" t="s">
        <v>23</v>
      </c>
      <c r="C217" s="28">
        <v>44421.541666666664</v>
      </c>
      <c r="D217" s="23">
        <v>661.25</v>
      </c>
      <c r="E217" s="28">
        <v>44421.635416666664</v>
      </c>
      <c r="F217" s="23">
        <v>662.45</v>
      </c>
      <c r="G217" s="33">
        <v>1.8E-3</v>
      </c>
      <c r="H217" s="23">
        <v>-90.97</v>
      </c>
      <c r="I217" s="33">
        <v>-1.8E-3</v>
      </c>
      <c r="J217" s="23">
        <v>75.804910000000007</v>
      </c>
      <c r="K217" s="23">
        <v>50126</v>
      </c>
      <c r="L217" s="23">
        <v>24920.7</v>
      </c>
      <c r="M217" s="23">
        <v>10</v>
      </c>
      <c r="N217" s="23">
        <v>-9.1</v>
      </c>
      <c r="O217" s="33">
        <v>-4.4999999999999997E-3</v>
      </c>
      <c r="P217" s="33">
        <v>6.4000000000000003E-3</v>
      </c>
      <c r="Q217" s="23" t="s">
        <v>24</v>
      </c>
      <c r="R217" s="23">
        <v>0</v>
      </c>
      <c r="S217" s="23">
        <v>668.3</v>
      </c>
      <c r="U217" s="47">
        <v>44434</v>
      </c>
      <c r="V217" s="23" t="s">
        <v>143</v>
      </c>
      <c r="W217" s="23" t="s">
        <v>23</v>
      </c>
      <c r="X217" s="28">
        <v>44421.541666666664</v>
      </c>
      <c r="Y217" s="23">
        <v>18.5</v>
      </c>
      <c r="Z217" s="28">
        <v>44421.635416666664</v>
      </c>
      <c r="AA217" s="23">
        <v>17.774999999999999</v>
      </c>
      <c r="AB217" s="33">
        <v>-3.9199999999999999E-2</v>
      </c>
      <c r="AC217" s="23">
        <v>2063.25</v>
      </c>
      <c r="AD217" s="33">
        <v>3.9199999999999999E-2</v>
      </c>
      <c r="AE217" s="23">
        <v>2845.857</v>
      </c>
      <c r="AF217" s="23">
        <v>52648.36</v>
      </c>
      <c r="AG217" s="23">
        <v>523681.34</v>
      </c>
      <c r="AH217" s="23">
        <v>10</v>
      </c>
      <c r="AI217" s="23">
        <v>206.32</v>
      </c>
      <c r="AJ217" s="33">
        <v>-0.16220000000000001</v>
      </c>
      <c r="AK217" s="33">
        <v>5.1400000000000001E-2</v>
      </c>
      <c r="AL217" s="23" t="s">
        <v>24</v>
      </c>
      <c r="AM217" s="23">
        <v>661.25</v>
      </c>
      <c r="AN217" s="23">
        <v>36075.85</v>
      </c>
      <c r="AO217" s="23">
        <v>668.3</v>
      </c>
      <c r="AQ217" s="50">
        <f t="shared" si="3"/>
        <v>2.7977315689981096E-2</v>
      </c>
      <c r="AR217" s="50"/>
      <c r="AS217" s="48"/>
      <c r="AT217" s="50"/>
      <c r="AV217" s="47">
        <v>44421</v>
      </c>
      <c r="AW217" s="51">
        <v>4.1666666666666664E-2</v>
      </c>
      <c r="AX217" t="s">
        <v>163</v>
      </c>
    </row>
    <row r="218" spans="1:50">
      <c r="A218" s="23" t="s">
        <v>22</v>
      </c>
      <c r="B218" s="23" t="s">
        <v>25</v>
      </c>
      <c r="C218" s="28">
        <v>44421.635416666664</v>
      </c>
      <c r="D218" s="23">
        <v>662.45</v>
      </c>
      <c r="E218" s="28">
        <v>44424.395833333336</v>
      </c>
      <c r="F218" s="23">
        <v>661.47500000000002</v>
      </c>
      <c r="G218" s="33">
        <v>-1.5E-3</v>
      </c>
      <c r="H218" s="23">
        <v>-73.77</v>
      </c>
      <c r="I218" s="33">
        <v>-1.5E-3</v>
      </c>
      <c r="J218" s="23">
        <v>75.664689999999993</v>
      </c>
      <c r="K218" s="23">
        <v>50124.07</v>
      </c>
      <c r="L218" s="23">
        <v>24846.93</v>
      </c>
      <c r="M218" s="23">
        <v>6</v>
      </c>
      <c r="N218" s="23">
        <v>-12.3</v>
      </c>
      <c r="O218" s="33">
        <v>-4.5999999999999999E-3</v>
      </c>
      <c r="P218" s="33">
        <v>7.6E-3</v>
      </c>
      <c r="Q218" s="23" t="s">
        <v>24</v>
      </c>
      <c r="R218" s="23">
        <v>0</v>
      </c>
      <c r="S218" s="23">
        <v>657.34</v>
      </c>
      <c r="U218" s="47">
        <v>44434</v>
      </c>
      <c r="V218" s="23" t="s">
        <v>144</v>
      </c>
      <c r="W218" s="23" t="s">
        <v>23</v>
      </c>
      <c r="X218" s="28">
        <v>44421.635416666664</v>
      </c>
      <c r="Y218" s="23">
        <v>18</v>
      </c>
      <c r="Z218" s="28">
        <v>44424.395833333336</v>
      </c>
      <c r="AA218" s="23">
        <v>19.3</v>
      </c>
      <c r="AB218" s="33">
        <v>7.22E-2</v>
      </c>
      <c r="AC218" s="23">
        <v>-3798.14</v>
      </c>
      <c r="AD218" s="33">
        <v>-7.22E-2</v>
      </c>
      <c r="AE218" s="23">
        <v>2921.6439999999998</v>
      </c>
      <c r="AF218" s="23">
        <v>52589.59</v>
      </c>
      <c r="AG218" s="23">
        <v>519883.2</v>
      </c>
      <c r="AH218" s="23">
        <v>6</v>
      </c>
      <c r="AI218" s="23">
        <v>-633.02</v>
      </c>
      <c r="AJ218" s="33">
        <v>-7.22E-2</v>
      </c>
      <c r="AK218" s="33">
        <v>0.1694</v>
      </c>
      <c r="AL218" s="23" t="s">
        <v>24</v>
      </c>
      <c r="AM218" s="23">
        <v>662.45</v>
      </c>
      <c r="AN218" s="23">
        <v>36141.449999999997</v>
      </c>
      <c r="AO218" s="23">
        <v>657.34</v>
      </c>
      <c r="AQ218" s="50">
        <f t="shared" si="3"/>
        <v>2.7171862027322816E-2</v>
      </c>
      <c r="AR218" s="50"/>
      <c r="AS218" s="48"/>
      <c r="AT218" s="50"/>
      <c r="AV218" s="47">
        <v>44421</v>
      </c>
      <c r="AW218" s="51">
        <v>0.13541666666666666</v>
      </c>
      <c r="AX218" t="s">
        <v>163</v>
      </c>
    </row>
    <row r="219" spans="1:50">
      <c r="A219" s="23" t="s">
        <v>22</v>
      </c>
      <c r="B219" s="23" t="s">
        <v>23</v>
      </c>
      <c r="C219" s="28">
        <v>44424.395833333336</v>
      </c>
      <c r="D219" s="23">
        <v>661.47500000000002</v>
      </c>
      <c r="E219" s="28">
        <v>44424.427083333336</v>
      </c>
      <c r="F219" s="23">
        <v>666.25</v>
      </c>
      <c r="G219" s="33">
        <v>7.1999999999999998E-3</v>
      </c>
      <c r="H219" s="23">
        <v>-361.83</v>
      </c>
      <c r="I219" s="33">
        <v>-7.1999999999999998E-3</v>
      </c>
      <c r="J219" s="23">
        <v>75.776910000000001</v>
      </c>
      <c r="K219" s="23">
        <v>50124.53</v>
      </c>
      <c r="L219" s="23">
        <v>24485.09</v>
      </c>
      <c r="M219" s="23">
        <v>4</v>
      </c>
      <c r="N219" s="23">
        <v>-90.46</v>
      </c>
      <c r="O219" s="33">
        <v>-7.1999999999999998E-3</v>
      </c>
      <c r="P219" s="33">
        <v>4.4999999999999997E-3</v>
      </c>
      <c r="Q219" s="23" t="s">
        <v>24</v>
      </c>
      <c r="R219" s="23">
        <v>0</v>
      </c>
      <c r="S219" s="23">
        <v>667.32</v>
      </c>
      <c r="U219" s="47">
        <v>44434</v>
      </c>
      <c r="V219" s="23" t="s">
        <v>143</v>
      </c>
      <c r="W219" s="23" t="s">
        <v>23</v>
      </c>
      <c r="X219" s="28">
        <v>44424.395833333336</v>
      </c>
      <c r="Y219" s="23">
        <v>17.5</v>
      </c>
      <c r="Z219" s="28">
        <v>44424.427083333336</v>
      </c>
      <c r="AA219" s="23">
        <v>20.625</v>
      </c>
      <c r="AB219" s="33">
        <v>0.17860000000000001</v>
      </c>
      <c r="AC219" s="23">
        <v>-9397.4500000000007</v>
      </c>
      <c r="AD219" s="33">
        <v>-0.17860000000000001</v>
      </c>
      <c r="AE219" s="23">
        <v>3007.1840000000002</v>
      </c>
      <c r="AF219" s="23">
        <v>52625.71</v>
      </c>
      <c r="AG219" s="23">
        <v>510485.76000000001</v>
      </c>
      <c r="AH219" s="23">
        <v>4</v>
      </c>
      <c r="AI219" s="23">
        <v>-2349.36</v>
      </c>
      <c r="AJ219" s="33">
        <v>-0.17860000000000001</v>
      </c>
      <c r="AK219" s="33">
        <v>0</v>
      </c>
      <c r="AL219" s="23" t="s">
        <v>24</v>
      </c>
      <c r="AM219" s="23">
        <v>661.47</v>
      </c>
      <c r="AN219" s="23">
        <v>36110.25</v>
      </c>
      <c r="AO219" s="23">
        <v>667.32</v>
      </c>
      <c r="AQ219" s="50">
        <f t="shared" si="3"/>
        <v>2.6456226283882864E-2</v>
      </c>
      <c r="AR219" s="50"/>
      <c r="AS219" s="48"/>
      <c r="AT219" s="50"/>
      <c r="AV219" s="47">
        <v>44424</v>
      </c>
      <c r="AW219" s="51">
        <v>0.39583333333333331</v>
      </c>
      <c r="AX219" t="s">
        <v>162</v>
      </c>
    </row>
    <row r="220" spans="1:50">
      <c r="A220" s="23" t="s">
        <v>22</v>
      </c>
      <c r="B220" s="23" t="s">
        <v>25</v>
      </c>
      <c r="C220" s="28">
        <v>44424.427083333336</v>
      </c>
      <c r="D220" s="23">
        <v>666.25</v>
      </c>
      <c r="E220" s="28">
        <v>44424.5625</v>
      </c>
      <c r="F220" s="23">
        <v>665</v>
      </c>
      <c r="G220" s="33">
        <v>-1.9E-3</v>
      </c>
      <c r="H220" s="23">
        <v>-94.04</v>
      </c>
      <c r="I220" s="33">
        <v>-1.9E-3</v>
      </c>
      <c r="J220" s="23">
        <v>75.231909999999999</v>
      </c>
      <c r="K220" s="23">
        <v>50123.26</v>
      </c>
      <c r="L220" s="23">
        <v>24391.05</v>
      </c>
      <c r="M220" s="23">
        <v>14</v>
      </c>
      <c r="N220" s="23">
        <v>-6.72</v>
      </c>
      <c r="O220" s="33">
        <v>-4.1999999999999997E-3</v>
      </c>
      <c r="P220" s="33">
        <v>5.5999999999999999E-3</v>
      </c>
      <c r="Q220" s="23" t="s">
        <v>24</v>
      </c>
      <c r="R220" s="23">
        <v>0</v>
      </c>
      <c r="S220" s="23">
        <v>658.53</v>
      </c>
      <c r="U220" s="47">
        <v>44434</v>
      </c>
      <c r="V220" s="23" t="s">
        <v>144</v>
      </c>
      <c r="W220" s="23" t="s">
        <v>23</v>
      </c>
      <c r="X220" s="28">
        <v>44424.427083333336</v>
      </c>
      <c r="Y220" s="23">
        <v>15.025</v>
      </c>
      <c r="Z220" s="28">
        <v>44424.5625</v>
      </c>
      <c r="AA220" s="23">
        <v>15</v>
      </c>
      <c r="AB220" s="33">
        <v>-1.6999999999999999E-3</v>
      </c>
      <c r="AC220" s="23">
        <v>87.47</v>
      </c>
      <c r="AD220" s="33">
        <v>1.6999999999999999E-3</v>
      </c>
      <c r="AE220" s="23">
        <v>3498.7919999999999</v>
      </c>
      <c r="AF220" s="23">
        <v>52569.34</v>
      </c>
      <c r="AG220" s="23">
        <v>510573.23</v>
      </c>
      <c r="AH220" s="23">
        <v>14</v>
      </c>
      <c r="AI220" s="23">
        <v>6.25</v>
      </c>
      <c r="AJ220" s="33">
        <v>-0.11310000000000001</v>
      </c>
      <c r="AK220" s="33">
        <v>0.10150000000000001</v>
      </c>
      <c r="AL220" s="23" t="s">
        <v>24</v>
      </c>
      <c r="AM220" s="23">
        <v>666.25</v>
      </c>
      <c r="AN220" s="23">
        <v>36177.1</v>
      </c>
      <c r="AO220" s="23">
        <v>658.53</v>
      </c>
      <c r="AQ220" s="50">
        <f t="shared" si="3"/>
        <v>2.25515947467167E-2</v>
      </c>
      <c r="AR220" s="50"/>
      <c r="AS220" s="48"/>
      <c r="AT220" s="50"/>
      <c r="AV220" s="47">
        <v>44424</v>
      </c>
      <c r="AW220" s="51">
        <v>0.42708333333333331</v>
      </c>
      <c r="AX220" t="s">
        <v>162</v>
      </c>
    </row>
    <row r="221" spans="1:50">
      <c r="A221" s="23" t="s">
        <v>22</v>
      </c>
      <c r="B221" s="23" t="s">
        <v>23</v>
      </c>
      <c r="C221" s="28">
        <v>44424.5625</v>
      </c>
      <c r="D221" s="23">
        <v>665</v>
      </c>
      <c r="E221" s="28">
        <v>44424.635416666664</v>
      </c>
      <c r="F221" s="23">
        <v>665.2</v>
      </c>
      <c r="G221" s="33">
        <v>2.9999999999999997E-4</v>
      </c>
      <c r="H221" s="23">
        <v>-15.07</v>
      </c>
      <c r="I221" s="33">
        <v>-2.9999999999999997E-4</v>
      </c>
      <c r="J221" s="23">
        <v>75.373000000000005</v>
      </c>
      <c r="K221" s="23">
        <v>50123.05</v>
      </c>
      <c r="L221" s="23">
        <v>24375.98</v>
      </c>
      <c r="M221" s="23">
        <v>8</v>
      </c>
      <c r="N221" s="23">
        <v>-1.88</v>
      </c>
      <c r="O221" s="33">
        <v>-5.3E-3</v>
      </c>
      <c r="P221" s="33">
        <v>4.4999999999999997E-3</v>
      </c>
      <c r="Q221" s="23" t="s">
        <v>24</v>
      </c>
      <c r="R221" s="23">
        <v>0</v>
      </c>
      <c r="S221" s="23">
        <v>670</v>
      </c>
      <c r="U221" s="47">
        <v>44434</v>
      </c>
      <c r="V221" s="23" t="s">
        <v>145</v>
      </c>
      <c r="W221" s="23" t="s">
        <v>23</v>
      </c>
      <c r="X221" s="28">
        <v>44424.5625</v>
      </c>
      <c r="Y221" s="23">
        <v>14.5</v>
      </c>
      <c r="Z221" s="28">
        <v>44424.635416666664</v>
      </c>
      <c r="AA221" s="23">
        <v>15.85</v>
      </c>
      <c r="AB221" s="33">
        <v>9.3100000000000002E-2</v>
      </c>
      <c r="AC221" s="23">
        <v>-4894.24</v>
      </c>
      <c r="AD221" s="33">
        <v>-9.3100000000000002E-2</v>
      </c>
      <c r="AE221" s="23">
        <v>3625.3609999999999</v>
      </c>
      <c r="AF221" s="23">
        <v>52567.73</v>
      </c>
      <c r="AG221" s="23">
        <v>505678.99</v>
      </c>
      <c r="AH221" s="23">
        <v>8</v>
      </c>
      <c r="AI221" s="23">
        <v>-611.78</v>
      </c>
      <c r="AJ221" s="33">
        <v>-0.13100000000000001</v>
      </c>
      <c r="AK221" s="33">
        <v>6.9000000000000006E-2</v>
      </c>
      <c r="AL221" s="23" t="s">
        <v>24</v>
      </c>
      <c r="AM221" s="23">
        <v>665</v>
      </c>
      <c r="AN221" s="23">
        <v>36064.65</v>
      </c>
      <c r="AO221" s="23">
        <v>670</v>
      </c>
      <c r="AQ221" s="50">
        <f t="shared" si="3"/>
        <v>2.180451127819549E-2</v>
      </c>
      <c r="AR221" s="50"/>
      <c r="AS221" s="48"/>
      <c r="AT221" s="50"/>
      <c r="AV221" s="47">
        <v>44424</v>
      </c>
      <c r="AW221" s="51">
        <v>6.25E-2</v>
      </c>
      <c r="AX221" t="s">
        <v>163</v>
      </c>
    </row>
    <row r="222" spans="1:50">
      <c r="A222" s="23" t="s">
        <v>22</v>
      </c>
      <c r="B222" s="23" t="s">
        <v>25</v>
      </c>
      <c r="C222" s="28">
        <v>44424.635416666664</v>
      </c>
      <c r="D222" s="23">
        <v>665.2</v>
      </c>
      <c r="E222" s="28">
        <v>44425.416666666664</v>
      </c>
      <c r="F222" s="23">
        <v>666.2</v>
      </c>
      <c r="G222" s="33">
        <v>1.5E-3</v>
      </c>
      <c r="H222" s="23">
        <v>75.349999999999994</v>
      </c>
      <c r="I222" s="33">
        <v>1.5E-3</v>
      </c>
      <c r="J222" s="23">
        <v>75.348600000000005</v>
      </c>
      <c r="K222" s="23">
        <v>50121.89</v>
      </c>
      <c r="L222" s="23">
        <v>24451.32</v>
      </c>
      <c r="M222" s="23">
        <v>9</v>
      </c>
      <c r="N222" s="23">
        <v>8.3699999999999992</v>
      </c>
      <c r="O222" s="33">
        <v>-6.7000000000000002E-3</v>
      </c>
      <c r="P222" s="33">
        <v>0.01</v>
      </c>
      <c r="Q222" s="23" t="s">
        <v>24</v>
      </c>
      <c r="R222" s="23">
        <v>0</v>
      </c>
      <c r="S222" s="23">
        <v>662</v>
      </c>
      <c r="U222" s="47">
        <v>44434</v>
      </c>
      <c r="V222" s="23" t="s">
        <v>146</v>
      </c>
      <c r="W222" s="23" t="s">
        <v>23</v>
      </c>
      <c r="X222" s="28">
        <v>44424.635416666664</v>
      </c>
      <c r="Y222" s="23">
        <v>20.324999999999999</v>
      </c>
      <c r="Z222" s="28">
        <v>44425.416666666664</v>
      </c>
      <c r="AA222" s="23">
        <v>20</v>
      </c>
      <c r="AB222" s="33">
        <v>-1.6E-2</v>
      </c>
      <c r="AC222" s="23">
        <v>840.27</v>
      </c>
      <c r="AD222" s="33">
        <v>1.6E-2</v>
      </c>
      <c r="AE222" s="23">
        <v>2585.4479999999999</v>
      </c>
      <c r="AF222" s="23">
        <v>52549.24</v>
      </c>
      <c r="AG222" s="23">
        <v>506519.26</v>
      </c>
      <c r="AH222" s="23">
        <v>9</v>
      </c>
      <c r="AI222" s="23">
        <v>93.36</v>
      </c>
      <c r="AJ222" s="33">
        <v>0</v>
      </c>
      <c r="AK222" s="33">
        <v>0.22509999999999999</v>
      </c>
      <c r="AL222" s="23" t="s">
        <v>24</v>
      </c>
      <c r="AM222" s="23">
        <v>665.2</v>
      </c>
      <c r="AN222" s="23">
        <v>36043.75</v>
      </c>
      <c r="AO222" s="23">
        <v>662</v>
      </c>
      <c r="AQ222" s="50">
        <f t="shared" si="3"/>
        <v>3.0554720384846659E-2</v>
      </c>
      <c r="AR222" s="50"/>
      <c r="AS222" s="48"/>
      <c r="AT222" s="50"/>
      <c r="AV222" s="47">
        <v>44424</v>
      </c>
      <c r="AW222" s="51">
        <v>0.13541666666666666</v>
      </c>
      <c r="AX222" t="s">
        <v>163</v>
      </c>
    </row>
    <row r="223" spans="1:50">
      <c r="A223" s="23" t="s">
        <v>22</v>
      </c>
      <c r="B223" s="23" t="s">
        <v>23</v>
      </c>
      <c r="C223" s="28">
        <v>44425.416666666664</v>
      </c>
      <c r="D223" s="23">
        <v>666.2</v>
      </c>
      <c r="E223" s="28">
        <v>44425.46875</v>
      </c>
      <c r="F223" s="23">
        <v>668.95</v>
      </c>
      <c r="G223" s="33">
        <v>4.1000000000000003E-3</v>
      </c>
      <c r="H223" s="23">
        <v>-206.89</v>
      </c>
      <c r="I223" s="33">
        <v>-4.1000000000000003E-3</v>
      </c>
      <c r="J223" s="23">
        <v>75.233720000000005</v>
      </c>
      <c r="K223" s="23">
        <v>50120.7</v>
      </c>
      <c r="L223" s="23">
        <v>24244.43</v>
      </c>
      <c r="M223" s="23">
        <v>6</v>
      </c>
      <c r="N223" s="23">
        <v>-34.479999999999997</v>
      </c>
      <c r="O223" s="33">
        <v>-4.1000000000000003E-3</v>
      </c>
      <c r="P223" s="33">
        <v>6.7000000000000002E-3</v>
      </c>
      <c r="Q223" s="23" t="s">
        <v>24</v>
      </c>
      <c r="R223" s="23">
        <v>0</v>
      </c>
      <c r="S223" s="23">
        <v>671.45</v>
      </c>
      <c r="U223" s="47">
        <v>44434</v>
      </c>
      <c r="V223" s="23" t="s">
        <v>145</v>
      </c>
      <c r="W223" s="23" t="s">
        <v>23</v>
      </c>
      <c r="X223" s="28">
        <v>44425.416666666664</v>
      </c>
      <c r="Y223" s="23">
        <v>13.75</v>
      </c>
      <c r="Z223" s="28">
        <v>44425.46875</v>
      </c>
      <c r="AA223" s="23">
        <v>15.2</v>
      </c>
      <c r="AB223" s="33">
        <v>0.1055</v>
      </c>
      <c r="AC223" s="23">
        <v>-5539.8</v>
      </c>
      <c r="AD223" s="33">
        <v>-0.1055</v>
      </c>
      <c r="AE223" s="23">
        <v>3820.5520000000001</v>
      </c>
      <c r="AF223" s="23">
        <v>52532.6</v>
      </c>
      <c r="AG223" s="23">
        <v>500979.46</v>
      </c>
      <c r="AH223" s="23">
        <v>6</v>
      </c>
      <c r="AI223" s="23">
        <v>-923.3</v>
      </c>
      <c r="AJ223" s="33">
        <v>-0.1055</v>
      </c>
      <c r="AK223" s="33">
        <v>9.0899999999999995E-2</v>
      </c>
      <c r="AL223" s="23" t="s">
        <v>24</v>
      </c>
      <c r="AM223" s="23">
        <v>666.2</v>
      </c>
      <c r="AN223" s="23">
        <v>35785.599999999999</v>
      </c>
      <c r="AO223" s="23">
        <v>671.45</v>
      </c>
      <c r="AQ223" s="50">
        <f t="shared" si="3"/>
        <v>2.063944761332933E-2</v>
      </c>
      <c r="AR223" s="50"/>
      <c r="AS223" s="48"/>
      <c r="AT223" s="50"/>
      <c r="AV223" s="47">
        <v>44425</v>
      </c>
      <c r="AW223" s="51">
        <v>0.41666666666666669</v>
      </c>
      <c r="AX223" t="s">
        <v>162</v>
      </c>
    </row>
    <row r="224" spans="1:50">
      <c r="A224" s="23" t="s">
        <v>22</v>
      </c>
      <c r="B224" s="23" t="s">
        <v>25</v>
      </c>
      <c r="C224" s="28">
        <v>44425.46875</v>
      </c>
      <c r="D224" s="23">
        <v>668.95</v>
      </c>
      <c r="E224" s="28">
        <v>44425.53125</v>
      </c>
      <c r="F224" s="23">
        <v>664.35</v>
      </c>
      <c r="G224" s="33">
        <v>-6.8999999999999999E-3</v>
      </c>
      <c r="H224" s="23">
        <v>-344.66</v>
      </c>
      <c r="I224" s="33">
        <v>-6.8999999999999999E-3</v>
      </c>
      <c r="J224" s="23">
        <v>74.925920000000005</v>
      </c>
      <c r="K224" s="23">
        <v>50121.7</v>
      </c>
      <c r="L224" s="23">
        <v>23899.77</v>
      </c>
      <c r="M224" s="23">
        <v>7</v>
      </c>
      <c r="N224" s="23">
        <v>-49.24</v>
      </c>
      <c r="O224" s="33">
        <v>-6.8999999999999999E-3</v>
      </c>
      <c r="P224" s="33">
        <v>2.3E-3</v>
      </c>
      <c r="Q224" s="23" t="s">
        <v>24</v>
      </c>
      <c r="R224" s="23">
        <v>0</v>
      </c>
      <c r="S224" s="23">
        <v>661.89</v>
      </c>
      <c r="U224" s="47">
        <v>44434</v>
      </c>
      <c r="V224" s="23" t="s">
        <v>144</v>
      </c>
      <c r="W224" s="23" t="s">
        <v>23</v>
      </c>
      <c r="X224" s="28">
        <v>44425.46875</v>
      </c>
      <c r="Y224" s="23">
        <v>11.85</v>
      </c>
      <c r="Z224" s="28">
        <v>44425.53125</v>
      </c>
      <c r="AA224" s="23">
        <v>15.175000000000001</v>
      </c>
      <c r="AB224" s="33">
        <v>0.28060000000000002</v>
      </c>
      <c r="AC224" s="23">
        <v>-14735.47</v>
      </c>
      <c r="AD224" s="33">
        <v>-0.28060000000000002</v>
      </c>
      <c r="AE224" s="23">
        <v>4431.72</v>
      </c>
      <c r="AF224" s="23">
        <v>52515.88</v>
      </c>
      <c r="AG224" s="23">
        <v>486243.99</v>
      </c>
      <c r="AH224" s="23">
        <v>7</v>
      </c>
      <c r="AI224" s="23">
        <v>-2105.0700000000002</v>
      </c>
      <c r="AJ224" s="33">
        <v>-0.28060000000000002</v>
      </c>
      <c r="AK224" s="33">
        <v>0</v>
      </c>
      <c r="AL224" s="23" t="s">
        <v>24</v>
      </c>
      <c r="AM224" s="23">
        <v>668.95</v>
      </c>
      <c r="AN224" s="23">
        <v>35806.800000000003</v>
      </c>
      <c r="AO224" s="23">
        <v>661.89</v>
      </c>
      <c r="AQ224" s="50">
        <f t="shared" si="3"/>
        <v>1.771432842514388E-2</v>
      </c>
      <c r="AR224" s="50"/>
      <c r="AS224" s="48"/>
      <c r="AT224" s="50"/>
      <c r="AV224" s="47">
        <v>44425</v>
      </c>
      <c r="AW224" s="51">
        <v>0.46875</v>
      </c>
      <c r="AX224" t="s">
        <v>162</v>
      </c>
    </row>
    <row r="225" spans="1:50">
      <c r="A225" s="23" t="s">
        <v>22</v>
      </c>
      <c r="B225" s="23" t="s">
        <v>23</v>
      </c>
      <c r="C225" s="28">
        <v>44425.53125</v>
      </c>
      <c r="D225" s="23">
        <v>664.35</v>
      </c>
      <c r="E225" s="28">
        <v>44425.552083333336</v>
      </c>
      <c r="F225" s="23">
        <v>669.1</v>
      </c>
      <c r="G225" s="33">
        <v>7.1000000000000004E-3</v>
      </c>
      <c r="H225" s="23">
        <v>-358.35</v>
      </c>
      <c r="I225" s="33">
        <v>-7.1000000000000004E-3</v>
      </c>
      <c r="J225" s="23">
        <v>75.44247</v>
      </c>
      <c r="K225" s="23">
        <v>50120.2</v>
      </c>
      <c r="L225" s="23">
        <v>23541.42</v>
      </c>
      <c r="M225" s="23">
        <v>3</v>
      </c>
      <c r="N225" s="23">
        <v>-119.45</v>
      </c>
      <c r="O225" s="33">
        <v>-7.1000000000000004E-3</v>
      </c>
      <c r="P225" s="33">
        <v>2.8E-3</v>
      </c>
      <c r="Q225" s="23" t="s">
        <v>24</v>
      </c>
      <c r="R225" s="23">
        <v>0</v>
      </c>
      <c r="S225" s="23">
        <v>670.19</v>
      </c>
      <c r="U225" s="47">
        <v>44434</v>
      </c>
      <c r="V225" s="23" t="s">
        <v>143</v>
      </c>
      <c r="W225" s="23" t="s">
        <v>23</v>
      </c>
      <c r="X225" s="28">
        <v>44425.53125</v>
      </c>
      <c r="Y225" s="23">
        <v>16.725000000000001</v>
      </c>
      <c r="Z225" s="28">
        <v>44425.552083333336</v>
      </c>
      <c r="AA225" s="23">
        <v>19.324999999999999</v>
      </c>
      <c r="AB225" s="33">
        <v>0.1555</v>
      </c>
      <c r="AC225" s="23">
        <v>-8153.33</v>
      </c>
      <c r="AD225" s="33">
        <v>-0.1555</v>
      </c>
      <c r="AE225" s="23">
        <v>3135.895</v>
      </c>
      <c r="AF225" s="23">
        <v>52447.839999999997</v>
      </c>
      <c r="AG225" s="23">
        <v>478090.66</v>
      </c>
      <c r="AH225" s="23">
        <v>3</v>
      </c>
      <c r="AI225" s="23">
        <v>-2717.78</v>
      </c>
      <c r="AJ225" s="33">
        <v>-0.1555</v>
      </c>
      <c r="AK225" s="33">
        <v>1.49E-2</v>
      </c>
      <c r="AL225" s="23" t="s">
        <v>24</v>
      </c>
      <c r="AM225" s="23">
        <v>664.35</v>
      </c>
      <c r="AN225" s="23">
        <v>35689.15</v>
      </c>
      <c r="AO225" s="23">
        <v>670.19</v>
      </c>
      <c r="AQ225" s="50">
        <f t="shared" si="3"/>
        <v>2.5174983066154889E-2</v>
      </c>
      <c r="AR225" s="50"/>
      <c r="AS225" s="48"/>
      <c r="AT225" s="50"/>
      <c r="AV225" s="47">
        <v>44425</v>
      </c>
      <c r="AW225" s="51">
        <v>0.53125</v>
      </c>
      <c r="AX225" t="s">
        <v>163</v>
      </c>
    </row>
    <row r="226" spans="1:50">
      <c r="A226" s="23" t="s">
        <v>22</v>
      </c>
      <c r="B226" s="23" t="s">
        <v>25</v>
      </c>
      <c r="C226" s="28">
        <v>44425.552083333336</v>
      </c>
      <c r="D226" s="23">
        <v>669.1</v>
      </c>
      <c r="E226" s="28">
        <v>44426.53125</v>
      </c>
      <c r="F226" s="23">
        <v>681</v>
      </c>
      <c r="G226" s="33">
        <v>1.78E-2</v>
      </c>
      <c r="H226" s="23">
        <v>891.35</v>
      </c>
      <c r="I226" s="33">
        <v>1.78E-2</v>
      </c>
      <c r="J226" s="23">
        <v>74.903760000000005</v>
      </c>
      <c r="K226" s="23">
        <v>50118.1</v>
      </c>
      <c r="L226" s="23">
        <v>24432.78</v>
      </c>
      <c r="M226" s="23">
        <v>27</v>
      </c>
      <c r="N226" s="23">
        <v>33.01</v>
      </c>
      <c r="O226" s="33">
        <v>-2.5999999999999999E-3</v>
      </c>
      <c r="P226" s="33">
        <v>3.09E-2</v>
      </c>
      <c r="Q226" s="23" t="s">
        <v>24</v>
      </c>
      <c r="R226" s="23">
        <v>0</v>
      </c>
      <c r="S226" s="23">
        <v>662.5</v>
      </c>
      <c r="U226" s="47">
        <v>44434</v>
      </c>
      <c r="V226" s="23" t="s">
        <v>144</v>
      </c>
      <c r="W226" s="23" t="s">
        <v>23</v>
      </c>
      <c r="X226" s="28">
        <v>44425.552083333336</v>
      </c>
      <c r="Y226" s="23">
        <v>12.725</v>
      </c>
      <c r="Z226" s="28">
        <v>44426.53125</v>
      </c>
      <c r="AA226" s="23">
        <v>6.4</v>
      </c>
      <c r="AB226" s="33">
        <v>-0.49709999999999999</v>
      </c>
      <c r="AC226" s="23">
        <v>26046.880000000001</v>
      </c>
      <c r="AD226" s="33">
        <v>0.49709999999999999</v>
      </c>
      <c r="AE226" s="23">
        <v>4118.0829999999996</v>
      </c>
      <c r="AF226" s="23">
        <v>52402.61</v>
      </c>
      <c r="AG226" s="23">
        <v>504137.54</v>
      </c>
      <c r="AH226" s="23">
        <v>27</v>
      </c>
      <c r="AI226" s="23">
        <v>964.7</v>
      </c>
      <c r="AJ226" s="33">
        <v>-4.9099999999999998E-2</v>
      </c>
      <c r="AK226" s="33">
        <v>0.60509999999999997</v>
      </c>
      <c r="AL226" s="23" t="s">
        <v>24</v>
      </c>
      <c r="AM226" s="23">
        <v>669.1</v>
      </c>
      <c r="AN226" s="23">
        <v>35704.15</v>
      </c>
      <c r="AO226" s="23">
        <v>662.5</v>
      </c>
      <c r="AQ226" s="50">
        <f t="shared" si="3"/>
        <v>1.9018083993424001E-2</v>
      </c>
      <c r="AR226" s="50"/>
      <c r="AS226" s="48"/>
      <c r="AT226" s="50"/>
      <c r="AV226" s="47">
        <v>44425</v>
      </c>
      <c r="AW226" s="51">
        <v>5.2083333333333336E-2</v>
      </c>
      <c r="AX226" t="s">
        <v>163</v>
      </c>
    </row>
    <row r="227" spans="1:50">
      <c r="A227" s="23" t="s">
        <v>22</v>
      </c>
      <c r="B227" s="23" t="s">
        <v>23</v>
      </c>
      <c r="C227" s="28">
        <v>44426.53125</v>
      </c>
      <c r="D227" s="23">
        <v>681</v>
      </c>
      <c r="E227" s="28">
        <v>44428.604166666664</v>
      </c>
      <c r="F227" s="23">
        <v>652.15</v>
      </c>
      <c r="G227" s="33">
        <v>-4.24E-2</v>
      </c>
      <c r="H227" s="23">
        <v>2123.39</v>
      </c>
      <c r="I227" s="33">
        <v>4.24E-2</v>
      </c>
      <c r="J227" s="23">
        <v>73.600970000000004</v>
      </c>
      <c r="K227" s="23">
        <v>50122.26</v>
      </c>
      <c r="L227" s="23">
        <v>26556.16</v>
      </c>
      <c r="M227" s="23">
        <v>36</v>
      </c>
      <c r="N227" s="23">
        <v>58.98</v>
      </c>
      <c r="O227" s="33">
        <v>-3.3E-3</v>
      </c>
      <c r="P227" s="33">
        <v>5.8999999999999997E-2</v>
      </c>
      <c r="Q227" s="23" t="s">
        <v>24</v>
      </c>
      <c r="R227" s="23">
        <v>0</v>
      </c>
      <c r="S227" s="23">
        <v>689.3</v>
      </c>
      <c r="U227" s="47">
        <v>44434</v>
      </c>
      <c r="V227" s="23" t="s">
        <v>102</v>
      </c>
      <c r="W227" s="23" t="s">
        <v>23</v>
      </c>
      <c r="X227" s="28">
        <v>44426.53125</v>
      </c>
      <c r="Y227" s="23">
        <v>15.675000000000001</v>
      </c>
      <c r="Z227" s="28">
        <v>44428.604166666664</v>
      </c>
      <c r="AA227" s="23">
        <v>5</v>
      </c>
      <c r="AB227" s="33">
        <v>-0.68100000000000005</v>
      </c>
      <c r="AC227" s="23">
        <v>35768.379999999997</v>
      </c>
      <c r="AD227" s="33">
        <v>0.68100000000000005</v>
      </c>
      <c r="AE227" s="23">
        <v>3350.6680000000001</v>
      </c>
      <c r="AF227" s="23">
        <v>52521.72</v>
      </c>
      <c r="AG227" s="23">
        <v>539905.92000000004</v>
      </c>
      <c r="AH227" s="23">
        <v>36</v>
      </c>
      <c r="AI227" s="23">
        <v>993.57</v>
      </c>
      <c r="AJ227" s="33">
        <v>-0.1164</v>
      </c>
      <c r="AK227" s="33">
        <v>0.72889999999999999</v>
      </c>
      <c r="AL227" s="23" t="s">
        <v>24</v>
      </c>
      <c r="AM227" s="23">
        <v>681</v>
      </c>
      <c r="AN227" s="23">
        <v>35735.300000000003</v>
      </c>
      <c r="AO227" s="23">
        <v>689.3</v>
      </c>
      <c r="AQ227" s="50">
        <f t="shared" si="3"/>
        <v>2.3017621145374451E-2</v>
      </c>
      <c r="AR227" s="50"/>
      <c r="AS227" s="48"/>
      <c r="AT227" s="50"/>
      <c r="AV227" s="47">
        <v>44426</v>
      </c>
      <c r="AW227" s="51">
        <v>0.53125</v>
      </c>
      <c r="AX227" t="s">
        <v>163</v>
      </c>
    </row>
    <row r="228" spans="1:50">
      <c r="A228" s="23" t="s">
        <v>22</v>
      </c>
      <c r="B228" s="23" t="s">
        <v>25</v>
      </c>
      <c r="C228" s="28">
        <v>44428.604166666664</v>
      </c>
      <c r="D228" s="23">
        <v>652.15</v>
      </c>
      <c r="E228" s="28">
        <v>44431.427083333336</v>
      </c>
      <c r="F228" s="23">
        <v>650.125</v>
      </c>
      <c r="G228" s="33">
        <v>-3.0999999999999999E-3</v>
      </c>
      <c r="H228" s="23">
        <v>-155.66999999999999</v>
      </c>
      <c r="I228" s="33">
        <v>-3.0999999999999999E-3</v>
      </c>
      <c r="J228" s="23">
        <v>76.873949999999994</v>
      </c>
      <c r="K228" s="23">
        <v>50133.35</v>
      </c>
      <c r="L228" s="23">
        <v>26400.49</v>
      </c>
      <c r="M228" s="23">
        <v>12</v>
      </c>
      <c r="N228" s="23">
        <v>-12.97</v>
      </c>
      <c r="O228" s="33">
        <v>-8.5000000000000006E-3</v>
      </c>
      <c r="P228" s="33">
        <v>1.5900000000000001E-2</v>
      </c>
      <c r="Q228" s="23" t="s">
        <v>24</v>
      </c>
      <c r="R228" s="23">
        <v>0</v>
      </c>
      <c r="S228" s="23">
        <v>641.38</v>
      </c>
      <c r="U228" s="47">
        <v>44434</v>
      </c>
      <c r="V228" s="23" t="s">
        <v>142</v>
      </c>
      <c r="W228" s="23" t="s">
        <v>23</v>
      </c>
      <c r="X228" s="28">
        <v>44428.604166666664</v>
      </c>
      <c r="Y228" s="23">
        <v>10.875</v>
      </c>
      <c r="Z228" s="28">
        <v>44431.427083333336</v>
      </c>
      <c r="AA228" s="23">
        <v>9.875</v>
      </c>
      <c r="AB228" s="33">
        <v>-9.1999999999999998E-2</v>
      </c>
      <c r="AC228" s="23">
        <v>4845.97</v>
      </c>
      <c r="AD228" s="33">
        <v>9.1999999999999998E-2</v>
      </c>
      <c r="AE228" s="23">
        <v>4845.9719999999998</v>
      </c>
      <c r="AF228" s="23">
        <v>52699.95</v>
      </c>
      <c r="AG228" s="23">
        <v>544751.89</v>
      </c>
      <c r="AH228" s="23">
        <v>12</v>
      </c>
      <c r="AI228" s="23">
        <v>403.83</v>
      </c>
      <c r="AJ228" s="33">
        <v>-0.19539999999999999</v>
      </c>
      <c r="AK228" s="33">
        <v>0.50339999999999996</v>
      </c>
      <c r="AL228" s="23" t="s">
        <v>24</v>
      </c>
      <c r="AM228" s="23">
        <v>652.15</v>
      </c>
      <c r="AN228" s="23">
        <v>35054.050000000003</v>
      </c>
      <c r="AO228" s="23">
        <v>641.38</v>
      </c>
      <c r="AQ228" s="50">
        <f t="shared" si="3"/>
        <v>1.6675611439086101E-2</v>
      </c>
      <c r="AR228" s="50"/>
      <c r="AS228" s="48"/>
      <c r="AT228" s="50"/>
      <c r="AV228" s="47">
        <v>44428</v>
      </c>
      <c r="AW228" s="51">
        <v>0.10416666666666667</v>
      </c>
      <c r="AX228" t="s">
        <v>163</v>
      </c>
    </row>
    <row r="229" spans="1:50">
      <c r="A229" s="23" t="s">
        <v>22</v>
      </c>
      <c r="B229" s="23" t="s">
        <v>23</v>
      </c>
      <c r="C229" s="28">
        <v>44431.427083333336</v>
      </c>
      <c r="D229" s="23">
        <v>650.125</v>
      </c>
      <c r="E229" s="28">
        <v>44431.552083333336</v>
      </c>
      <c r="F229" s="23">
        <v>647.625</v>
      </c>
      <c r="G229" s="33">
        <v>-3.8E-3</v>
      </c>
      <c r="H229" s="23">
        <v>192.78</v>
      </c>
      <c r="I229" s="33">
        <v>3.8E-3</v>
      </c>
      <c r="J229" s="23">
        <v>77.113110000000006</v>
      </c>
      <c r="K229" s="23">
        <v>50133.16</v>
      </c>
      <c r="L229" s="23">
        <v>26593.279999999999</v>
      </c>
      <c r="M229" s="23">
        <v>13</v>
      </c>
      <c r="N229" s="23">
        <v>14.83</v>
      </c>
      <c r="O229" s="33">
        <v>-6.7999999999999996E-3</v>
      </c>
      <c r="P229" s="33">
        <v>1.7500000000000002E-2</v>
      </c>
      <c r="Q229" s="23" t="s">
        <v>24</v>
      </c>
      <c r="R229" s="23">
        <v>0</v>
      </c>
      <c r="S229" s="23">
        <v>662.5</v>
      </c>
      <c r="U229" s="47">
        <v>44434</v>
      </c>
      <c r="V229" s="23" t="s">
        <v>110</v>
      </c>
      <c r="W229" s="23" t="s">
        <v>23</v>
      </c>
      <c r="X229" s="28">
        <v>44431.427083333336</v>
      </c>
      <c r="Y229" s="23">
        <v>9.6999999999999993</v>
      </c>
      <c r="Z229" s="28">
        <v>44431.552083333336</v>
      </c>
      <c r="AA229" s="23">
        <v>10</v>
      </c>
      <c r="AB229" s="33">
        <v>3.09E-2</v>
      </c>
      <c r="AC229" s="23">
        <v>-1630.99</v>
      </c>
      <c r="AD229" s="33">
        <v>-3.09E-2</v>
      </c>
      <c r="AE229" s="23">
        <v>5436.6260000000002</v>
      </c>
      <c r="AF229" s="23">
        <v>52735.27</v>
      </c>
      <c r="AG229" s="23">
        <v>543120.9</v>
      </c>
      <c r="AH229" s="23">
        <v>13</v>
      </c>
      <c r="AI229" s="23">
        <v>-125.46</v>
      </c>
      <c r="AJ229" s="33">
        <v>-0.24740000000000001</v>
      </c>
      <c r="AK229" s="33">
        <v>0.48449999999999999</v>
      </c>
      <c r="AL229" s="23" t="s">
        <v>24</v>
      </c>
      <c r="AM229" s="23">
        <v>650.13</v>
      </c>
      <c r="AN229" s="23">
        <v>35044.800000000003</v>
      </c>
      <c r="AO229" s="23">
        <v>662.5</v>
      </c>
      <c r="AQ229" s="50">
        <f t="shared" si="3"/>
        <v>1.4920092904496023E-2</v>
      </c>
      <c r="AR229" s="50"/>
      <c r="AS229" s="48"/>
      <c r="AT229" s="50"/>
      <c r="AV229" s="47">
        <v>44431</v>
      </c>
      <c r="AW229" s="51">
        <v>0.42708333333333331</v>
      </c>
      <c r="AX229" t="s">
        <v>162</v>
      </c>
    </row>
    <row r="230" spans="1:50">
      <c r="A230" s="23" t="s">
        <v>22</v>
      </c>
      <c r="B230" s="23" t="s">
        <v>25</v>
      </c>
      <c r="C230" s="28">
        <v>44431.552083333336</v>
      </c>
      <c r="D230" s="23">
        <v>647.625</v>
      </c>
      <c r="E230" s="28">
        <v>44431.614583333336</v>
      </c>
      <c r="F230" s="23">
        <v>644.25</v>
      </c>
      <c r="G230" s="33">
        <v>-5.1999999999999998E-3</v>
      </c>
      <c r="H230" s="23">
        <v>-261.26</v>
      </c>
      <c r="I230" s="33">
        <v>-5.1999999999999998E-3</v>
      </c>
      <c r="J230" s="23">
        <v>77.410120000000006</v>
      </c>
      <c r="K230" s="23">
        <v>50132.73</v>
      </c>
      <c r="L230" s="23">
        <v>26332.02</v>
      </c>
      <c r="M230" s="23">
        <v>7</v>
      </c>
      <c r="N230" s="23">
        <v>-37.32</v>
      </c>
      <c r="O230" s="33">
        <v>-5.1999999999999998E-3</v>
      </c>
      <c r="P230" s="33">
        <v>1.6500000000000001E-2</v>
      </c>
      <c r="Q230" s="23" t="s">
        <v>24</v>
      </c>
      <c r="R230" s="23">
        <v>0</v>
      </c>
      <c r="S230" s="23">
        <v>639.25</v>
      </c>
      <c r="U230" s="47">
        <v>44434</v>
      </c>
      <c r="V230" s="23" t="s">
        <v>142</v>
      </c>
      <c r="W230" s="23" t="s">
        <v>23</v>
      </c>
      <c r="X230" s="28">
        <v>44431.552083333336</v>
      </c>
      <c r="Y230" s="23">
        <v>11.45</v>
      </c>
      <c r="Z230" s="28">
        <v>44431.614583333336</v>
      </c>
      <c r="AA230" s="23">
        <v>9.9499999999999993</v>
      </c>
      <c r="AB230" s="33">
        <v>-0.13100000000000001</v>
      </c>
      <c r="AC230" s="23">
        <v>6908.29</v>
      </c>
      <c r="AD230" s="33">
        <v>0.13100000000000001</v>
      </c>
      <c r="AE230" s="23">
        <v>4605.5259999999998</v>
      </c>
      <c r="AF230" s="23">
        <v>52733.279999999999</v>
      </c>
      <c r="AG230" s="23">
        <v>550029.18999999994</v>
      </c>
      <c r="AH230" s="23">
        <v>7</v>
      </c>
      <c r="AI230" s="23">
        <v>986.9</v>
      </c>
      <c r="AJ230" s="33">
        <v>-4.4000000000000003E-3</v>
      </c>
      <c r="AK230" s="33">
        <v>0.75109999999999999</v>
      </c>
      <c r="AL230" s="23" t="s">
        <v>24</v>
      </c>
      <c r="AM230" s="23">
        <v>647.63</v>
      </c>
      <c r="AN230" s="23">
        <v>35102.949999999997</v>
      </c>
      <c r="AO230" s="23">
        <v>639.25</v>
      </c>
      <c r="AQ230" s="50">
        <f t="shared" si="3"/>
        <v>1.767984806139308E-2</v>
      </c>
      <c r="AR230" s="50"/>
      <c r="AS230" s="48"/>
      <c r="AT230" s="50"/>
      <c r="AV230" s="47">
        <v>44431</v>
      </c>
      <c r="AW230" s="51">
        <v>5.2083333333333336E-2</v>
      </c>
      <c r="AX230" t="s">
        <v>163</v>
      </c>
    </row>
    <row r="231" spans="1:50">
      <c r="A231" s="23" t="s">
        <v>22</v>
      </c>
      <c r="B231" s="23" t="s">
        <v>23</v>
      </c>
      <c r="C231" s="28">
        <v>44431.614583333336</v>
      </c>
      <c r="D231" s="23">
        <v>644.25</v>
      </c>
      <c r="E231" s="28">
        <v>44432.385416666664</v>
      </c>
      <c r="F231" s="23">
        <v>656.625</v>
      </c>
      <c r="G231" s="33">
        <v>1.9199999999999998E-2</v>
      </c>
      <c r="H231" s="23">
        <v>-963.03</v>
      </c>
      <c r="I231" s="33">
        <v>-1.9199999999999998E-2</v>
      </c>
      <c r="J231" s="23">
        <v>77.820750000000004</v>
      </c>
      <c r="K231" s="23">
        <v>50136.02</v>
      </c>
      <c r="L231" s="23">
        <v>25368.99</v>
      </c>
      <c r="M231" s="23">
        <v>7</v>
      </c>
      <c r="N231" s="23">
        <v>-137.58000000000001</v>
      </c>
      <c r="O231" s="33">
        <v>-1.9199999999999998E-2</v>
      </c>
      <c r="P231" s="33">
        <v>1.4E-3</v>
      </c>
      <c r="Q231" s="23" t="s">
        <v>24</v>
      </c>
      <c r="R231" s="23">
        <v>0</v>
      </c>
      <c r="S231" s="23">
        <v>658.33</v>
      </c>
      <c r="U231" s="47">
        <v>44434</v>
      </c>
      <c r="V231" s="23" t="s">
        <v>108</v>
      </c>
      <c r="W231" s="23" t="s">
        <v>23</v>
      </c>
      <c r="X231" s="28">
        <v>44431.614583333336</v>
      </c>
      <c r="Y231" s="23">
        <v>15.875</v>
      </c>
      <c r="Z231" s="28">
        <v>44432.385416666664</v>
      </c>
      <c r="AA231" s="23">
        <v>15.875</v>
      </c>
      <c r="AB231" s="33">
        <v>0</v>
      </c>
      <c r="AC231" s="23">
        <v>0</v>
      </c>
      <c r="AD231" s="33">
        <v>0</v>
      </c>
      <c r="AE231" s="23">
        <v>3328.1379999999999</v>
      </c>
      <c r="AF231" s="23">
        <v>52834.2</v>
      </c>
      <c r="AG231" s="23">
        <v>550029.18999999994</v>
      </c>
      <c r="AH231" s="23">
        <v>7</v>
      </c>
      <c r="AI231" s="23">
        <v>0</v>
      </c>
      <c r="AJ231" s="33">
        <v>-0.27560000000000001</v>
      </c>
      <c r="AK231" s="33">
        <v>0</v>
      </c>
      <c r="AL231" s="23" t="s">
        <v>24</v>
      </c>
      <c r="AM231" s="23">
        <v>644.25</v>
      </c>
      <c r="AN231" s="23">
        <v>35166.949999999997</v>
      </c>
      <c r="AO231" s="23">
        <v>658.33</v>
      </c>
      <c r="AQ231" s="50">
        <f t="shared" si="3"/>
        <v>2.4641055490880869E-2</v>
      </c>
      <c r="AR231" s="50"/>
      <c r="AS231" s="48"/>
      <c r="AT231" s="50"/>
      <c r="AV231" s="47">
        <v>44431</v>
      </c>
      <c r="AW231" s="51">
        <v>0.11458333333333333</v>
      </c>
      <c r="AX231" t="s">
        <v>163</v>
      </c>
    </row>
    <row r="232" spans="1:50">
      <c r="A232" s="23" t="s">
        <v>22</v>
      </c>
      <c r="B232" s="23" t="s">
        <v>25</v>
      </c>
      <c r="C232" s="28">
        <v>44432.385416666664</v>
      </c>
      <c r="D232" s="23">
        <v>656.625</v>
      </c>
      <c r="E232" s="28">
        <v>44433.385416666664</v>
      </c>
      <c r="F232" s="23">
        <v>672.95</v>
      </c>
      <c r="G232" s="33">
        <v>2.4899999999999999E-2</v>
      </c>
      <c r="H232" s="23">
        <v>1246.29</v>
      </c>
      <c r="I232" s="33">
        <v>2.4899999999999999E-2</v>
      </c>
      <c r="J232" s="23">
        <v>76.342579999999998</v>
      </c>
      <c r="K232" s="23">
        <v>50128.45</v>
      </c>
      <c r="L232" s="23">
        <v>26615.279999999999</v>
      </c>
      <c r="M232" s="23">
        <v>29</v>
      </c>
      <c r="N232" s="23">
        <v>42.98</v>
      </c>
      <c r="O232" s="33">
        <v>-1.77E-2</v>
      </c>
      <c r="P232" s="33">
        <v>5.8299999999999998E-2</v>
      </c>
      <c r="Q232" s="23" t="s">
        <v>24</v>
      </c>
      <c r="R232" s="23">
        <v>0</v>
      </c>
      <c r="S232" s="23">
        <v>643.85</v>
      </c>
      <c r="U232" s="47">
        <v>44434</v>
      </c>
      <c r="V232" s="23" t="s">
        <v>142</v>
      </c>
      <c r="W232" s="23" t="s">
        <v>23</v>
      </c>
      <c r="X232" s="28">
        <v>44432.385416666664</v>
      </c>
      <c r="Y232" s="23">
        <v>6.3250000000000002</v>
      </c>
      <c r="Z232" s="28">
        <v>44433.385416666664</v>
      </c>
      <c r="AA232" s="23">
        <v>1.9750000000000001</v>
      </c>
      <c r="AB232" s="33">
        <v>-0.68769999999999998</v>
      </c>
      <c r="AC232" s="23">
        <v>36278.76</v>
      </c>
      <c r="AD232" s="33">
        <v>0.68769999999999998</v>
      </c>
      <c r="AE232" s="23">
        <v>8339.9439999999995</v>
      </c>
      <c r="AF232" s="23">
        <v>52750.14</v>
      </c>
      <c r="AG232" s="23">
        <v>586307.94999999995</v>
      </c>
      <c r="AH232" s="23">
        <v>29</v>
      </c>
      <c r="AI232" s="23">
        <v>1250.99</v>
      </c>
      <c r="AJ232" s="33">
        <v>-0.7036</v>
      </c>
      <c r="AK232" s="33">
        <v>0.73909999999999998</v>
      </c>
      <c r="AL232" s="23" t="s">
        <v>24</v>
      </c>
      <c r="AM232" s="23">
        <v>656.63</v>
      </c>
      <c r="AN232" s="23">
        <v>35167.599999999999</v>
      </c>
      <c r="AO232" s="23">
        <v>643.85</v>
      </c>
      <c r="AQ232" s="50">
        <f t="shared" si="3"/>
        <v>9.6325175517414686E-3</v>
      </c>
      <c r="AR232" s="50"/>
      <c r="AS232" s="48"/>
      <c r="AT232" s="50"/>
      <c r="AV232" s="47">
        <v>44432</v>
      </c>
      <c r="AW232" s="51">
        <v>0.38541666666666669</v>
      </c>
      <c r="AX232" t="s">
        <v>162</v>
      </c>
    </row>
    <row r="233" spans="1:50">
      <c r="A233" s="23" t="s">
        <v>22</v>
      </c>
      <c r="B233" s="23" t="s">
        <v>23</v>
      </c>
      <c r="C233" s="28">
        <v>44433.385416666664</v>
      </c>
      <c r="D233" s="23">
        <v>672.95</v>
      </c>
      <c r="E233" s="28">
        <v>44433.552083333336</v>
      </c>
      <c r="F233" s="23">
        <v>678.45</v>
      </c>
      <c r="G233" s="33">
        <v>8.2000000000000007E-3</v>
      </c>
      <c r="H233" s="23">
        <v>-409.76</v>
      </c>
      <c r="I233" s="33">
        <v>-8.2000000000000007E-3</v>
      </c>
      <c r="J233" s="23">
        <v>74.501400000000004</v>
      </c>
      <c r="K233" s="23">
        <v>50135.72</v>
      </c>
      <c r="L233" s="23">
        <v>26205.52</v>
      </c>
      <c r="M233" s="23">
        <v>17</v>
      </c>
      <c r="N233" s="23">
        <v>-24.1</v>
      </c>
      <c r="O233" s="33">
        <v>-1.1599999999999999E-2</v>
      </c>
      <c r="P233" s="33">
        <v>1.15E-2</v>
      </c>
      <c r="Q233" s="23" t="s">
        <v>24</v>
      </c>
      <c r="R233" s="23">
        <v>0</v>
      </c>
      <c r="S233" s="23">
        <v>693.96</v>
      </c>
      <c r="U233" s="47">
        <v>44434</v>
      </c>
      <c r="V233" s="23" t="s">
        <v>145</v>
      </c>
      <c r="W233" s="23" t="s">
        <v>23</v>
      </c>
      <c r="X233" s="28">
        <v>44433.385416666664</v>
      </c>
      <c r="Y233" s="23">
        <v>11.6</v>
      </c>
      <c r="Z233" s="28">
        <v>44433.552083333336</v>
      </c>
      <c r="AA233" s="23">
        <v>12.8</v>
      </c>
      <c r="AB233" s="33">
        <v>0.10340000000000001</v>
      </c>
      <c r="AC233" s="23">
        <v>-5474.27</v>
      </c>
      <c r="AD233" s="33">
        <v>-0.10340000000000001</v>
      </c>
      <c r="AE233" s="23">
        <v>4561.8959999999997</v>
      </c>
      <c r="AF233" s="23">
        <v>52917.99</v>
      </c>
      <c r="AG233" s="23">
        <v>580833.67000000004</v>
      </c>
      <c r="AH233" s="23">
        <v>17</v>
      </c>
      <c r="AI233" s="23">
        <v>-322.02</v>
      </c>
      <c r="AJ233" s="33">
        <v>-0.2069</v>
      </c>
      <c r="AK233" s="33">
        <v>0.5</v>
      </c>
      <c r="AL233" s="23" t="s">
        <v>24</v>
      </c>
      <c r="AM233" s="23">
        <v>672.95</v>
      </c>
      <c r="AN233" s="23">
        <v>35849</v>
      </c>
      <c r="AO233" s="23">
        <v>693.96</v>
      </c>
      <c r="AQ233" s="50">
        <f t="shared" si="3"/>
        <v>1.7237536221115981E-2</v>
      </c>
      <c r="AR233" s="50"/>
      <c r="AS233" s="48"/>
      <c r="AT233" s="50"/>
      <c r="AV233" s="47">
        <v>44433</v>
      </c>
      <c r="AW233" s="51">
        <v>0.38541666666666669</v>
      </c>
      <c r="AX233" t="s">
        <v>162</v>
      </c>
    </row>
    <row r="234" spans="1:50">
      <c r="A234" s="23" t="s">
        <v>22</v>
      </c>
      <c r="B234" s="23" t="s">
        <v>25</v>
      </c>
      <c r="C234" s="28">
        <v>44433.552083333336</v>
      </c>
      <c r="D234" s="23">
        <v>678.45</v>
      </c>
      <c r="E234" s="28">
        <v>44433.614583333336</v>
      </c>
      <c r="F234" s="23">
        <v>673.02499999999998</v>
      </c>
      <c r="G234" s="33">
        <v>-8.0000000000000002E-3</v>
      </c>
      <c r="H234" s="23">
        <v>-400.87</v>
      </c>
      <c r="I234" s="33">
        <v>-8.0000000000000002E-3</v>
      </c>
      <c r="J234" s="23">
        <v>73.892970000000005</v>
      </c>
      <c r="K234" s="23">
        <v>50132.68</v>
      </c>
      <c r="L234" s="23">
        <v>25804.65</v>
      </c>
      <c r="M234" s="23">
        <v>7</v>
      </c>
      <c r="N234" s="23">
        <v>-57.27</v>
      </c>
      <c r="O234" s="33">
        <v>-1.17E-2</v>
      </c>
      <c r="P234" s="33">
        <v>8.2000000000000007E-3</v>
      </c>
      <c r="Q234" s="23" t="s">
        <v>24</v>
      </c>
      <c r="R234" s="23">
        <v>0</v>
      </c>
      <c r="S234" s="23">
        <v>665.44</v>
      </c>
      <c r="U234" s="47">
        <v>44434</v>
      </c>
      <c r="V234" s="23" t="s">
        <v>146</v>
      </c>
      <c r="W234" s="23" t="s">
        <v>23</v>
      </c>
      <c r="X234" s="28">
        <v>44433.552083333336</v>
      </c>
      <c r="Y234" s="23">
        <v>3.0750000000000002</v>
      </c>
      <c r="Z234" s="28">
        <v>44433.614583333336</v>
      </c>
      <c r="AA234" s="23">
        <v>4.7750000000000004</v>
      </c>
      <c r="AB234" s="33">
        <v>0.55279999999999996</v>
      </c>
      <c r="AC234" s="23">
        <v>-29308.36</v>
      </c>
      <c r="AD234" s="33">
        <v>-0.55279999999999996</v>
      </c>
      <c r="AE234" s="23">
        <v>17240.21</v>
      </c>
      <c r="AF234" s="23">
        <v>53013.66</v>
      </c>
      <c r="AG234" s="23">
        <v>551525.31000000006</v>
      </c>
      <c r="AH234" s="23">
        <v>7</v>
      </c>
      <c r="AI234" s="23">
        <v>-4186.91</v>
      </c>
      <c r="AJ234" s="33">
        <v>-0.95120000000000005</v>
      </c>
      <c r="AK234" s="33">
        <v>0.40649999999999997</v>
      </c>
      <c r="AL234" s="23" t="s">
        <v>24</v>
      </c>
      <c r="AM234" s="23">
        <v>678.45</v>
      </c>
      <c r="AN234" s="23">
        <v>35628.699999999997</v>
      </c>
      <c r="AO234" s="23">
        <v>665.44</v>
      </c>
      <c r="AQ234" s="50">
        <f t="shared" si="3"/>
        <v>4.5323900066327662E-3</v>
      </c>
      <c r="AR234" s="50"/>
      <c r="AS234" s="48"/>
      <c r="AT234" s="50"/>
      <c r="AV234" s="47">
        <v>44433</v>
      </c>
      <c r="AW234" s="51">
        <v>5.2083333333333336E-2</v>
      </c>
      <c r="AX234" t="s">
        <v>163</v>
      </c>
    </row>
    <row r="235" spans="1:50">
      <c r="A235" s="23" t="s">
        <v>22</v>
      </c>
      <c r="B235" s="23" t="s">
        <v>23</v>
      </c>
      <c r="C235" s="28">
        <v>44433.614583333336</v>
      </c>
      <c r="D235" s="23">
        <v>673.02499999999998</v>
      </c>
      <c r="E235" s="28">
        <v>44434.385416666664</v>
      </c>
      <c r="F235" s="23">
        <v>684.95</v>
      </c>
      <c r="G235" s="33">
        <v>1.77E-2</v>
      </c>
      <c r="H235" s="23">
        <v>-888.2</v>
      </c>
      <c r="I235" s="33">
        <v>-1.77E-2</v>
      </c>
      <c r="J235" s="23">
        <v>74.481769999999997</v>
      </c>
      <c r="K235" s="23">
        <v>50128.09</v>
      </c>
      <c r="L235" s="23">
        <v>24916.46</v>
      </c>
      <c r="M235" s="23">
        <v>7</v>
      </c>
      <c r="N235" s="23">
        <v>-126.89</v>
      </c>
      <c r="O235" s="33">
        <v>-1.77E-2</v>
      </c>
      <c r="P235" s="33">
        <v>5.7999999999999996E-3</v>
      </c>
      <c r="Q235" s="23" t="s">
        <v>24</v>
      </c>
      <c r="R235" s="23">
        <v>0</v>
      </c>
      <c r="S235" s="23">
        <v>683.42</v>
      </c>
      <c r="U235" s="47">
        <v>44434</v>
      </c>
      <c r="V235" s="23" t="s">
        <v>145</v>
      </c>
      <c r="W235" s="23" t="s">
        <v>23</v>
      </c>
      <c r="X235" s="28">
        <v>44433.614583333336</v>
      </c>
      <c r="Y235" s="23">
        <v>6.85</v>
      </c>
      <c r="Z235" s="28">
        <v>44434.385416666664</v>
      </c>
      <c r="AA235" s="23">
        <v>11.15</v>
      </c>
      <c r="AB235" s="33">
        <v>0.62770000000000004</v>
      </c>
      <c r="AC235" s="23">
        <v>-33147.69</v>
      </c>
      <c r="AD235" s="33">
        <v>-0.62770000000000004</v>
      </c>
      <c r="AE235" s="23">
        <v>7708.7650000000003</v>
      </c>
      <c r="AF235" s="23">
        <v>52805.04</v>
      </c>
      <c r="AG235" s="23">
        <v>518377.62</v>
      </c>
      <c r="AH235" s="23">
        <v>7</v>
      </c>
      <c r="AI235" s="23">
        <v>-4735.38</v>
      </c>
      <c r="AJ235" s="33">
        <v>-0.86860000000000004</v>
      </c>
      <c r="AK235" s="33">
        <v>0.2445</v>
      </c>
      <c r="AL235" s="23" t="s">
        <v>24</v>
      </c>
      <c r="AM235" s="23">
        <v>673.03</v>
      </c>
      <c r="AN235" s="23">
        <v>35573.800000000003</v>
      </c>
      <c r="AO235" s="23">
        <v>683.42</v>
      </c>
      <c r="AQ235" s="50">
        <f t="shared" si="3"/>
        <v>1.0177852398852948E-2</v>
      </c>
      <c r="AR235" s="50"/>
      <c r="AS235" s="48"/>
      <c r="AT235" s="50"/>
      <c r="AV235" s="47">
        <v>44433</v>
      </c>
      <c r="AW235" s="51">
        <v>0.11458333333333333</v>
      </c>
      <c r="AX235" t="s">
        <v>163</v>
      </c>
    </row>
    <row r="236" spans="1:50">
      <c r="A236" s="23" t="s">
        <v>22</v>
      </c>
      <c r="B236" s="23" t="s">
        <v>25</v>
      </c>
      <c r="C236" s="28">
        <v>44434.385416666664</v>
      </c>
      <c r="D236" s="23">
        <v>684.95</v>
      </c>
      <c r="E236" s="28">
        <v>44434.427083333336</v>
      </c>
      <c r="F236" s="23">
        <v>674.27499999999998</v>
      </c>
      <c r="G236" s="33">
        <v>-1.5599999999999999E-2</v>
      </c>
      <c r="H236" s="23">
        <v>-781.25</v>
      </c>
      <c r="I236" s="33">
        <v>-1.5599999999999999E-2</v>
      </c>
      <c r="J236" s="23">
        <v>73.185159999999996</v>
      </c>
      <c r="K236" s="23">
        <v>50128.18</v>
      </c>
      <c r="L236" s="23">
        <v>24135.200000000001</v>
      </c>
      <c r="M236" s="23">
        <v>5</v>
      </c>
      <c r="N236" s="23">
        <v>-156.25</v>
      </c>
      <c r="O236" s="33">
        <v>-2.0400000000000001E-2</v>
      </c>
      <c r="P236" s="33">
        <v>8.8000000000000005E-3</v>
      </c>
      <c r="Q236" s="23" t="s">
        <v>24</v>
      </c>
      <c r="R236" s="23">
        <v>0</v>
      </c>
      <c r="S236" s="23">
        <v>669.1</v>
      </c>
      <c r="U236" s="47">
        <v>44434</v>
      </c>
      <c r="V236" s="23" t="s">
        <v>147</v>
      </c>
      <c r="W236" s="23" t="s">
        <v>23</v>
      </c>
      <c r="X236" s="28">
        <v>44434.385416666664</v>
      </c>
      <c r="Y236" s="23">
        <v>3.5</v>
      </c>
      <c r="Z236" s="28">
        <v>44434.427083333336</v>
      </c>
      <c r="AA236" s="23">
        <v>7.300001</v>
      </c>
      <c r="AB236" s="33">
        <v>1.0857000000000001</v>
      </c>
      <c r="AC236" s="23">
        <v>-57221.120000000003</v>
      </c>
      <c r="AD236" s="33">
        <v>-1.0857000000000001</v>
      </c>
      <c r="AE236" s="23">
        <v>15058.19</v>
      </c>
      <c r="AF236" s="23">
        <v>52703.67</v>
      </c>
      <c r="AG236" s="23">
        <v>461156.5</v>
      </c>
      <c r="AH236" s="23">
        <v>5</v>
      </c>
      <c r="AI236" s="23">
        <v>-11444.22</v>
      </c>
      <c r="AJ236" s="33">
        <v>-1.5071000000000001</v>
      </c>
      <c r="AK236" s="33">
        <v>0.6643</v>
      </c>
      <c r="AL236" s="23" t="s">
        <v>24</v>
      </c>
      <c r="AM236" s="23">
        <v>684.95</v>
      </c>
      <c r="AN236" s="23">
        <v>35567.1</v>
      </c>
      <c r="AO236" s="23">
        <v>669.1</v>
      </c>
      <c r="AQ236" s="50">
        <f t="shared" si="3"/>
        <v>5.1098620337250893E-3</v>
      </c>
      <c r="AR236" s="50"/>
      <c r="AS236" s="48"/>
      <c r="AT236" s="50"/>
      <c r="AV236" s="47">
        <v>44434</v>
      </c>
      <c r="AW236" s="51">
        <v>0.38541666666666669</v>
      </c>
      <c r="AX236" t="s">
        <v>162</v>
      </c>
    </row>
    <row r="237" spans="1:50">
      <c r="A237" s="23" t="s">
        <v>22</v>
      </c>
      <c r="B237" s="23" t="s">
        <v>23</v>
      </c>
      <c r="C237" s="28">
        <v>44434.427083333336</v>
      </c>
      <c r="D237" s="23">
        <v>674.27499999999998</v>
      </c>
      <c r="E237" s="28">
        <v>44434.552083333336</v>
      </c>
      <c r="F237" s="23">
        <v>677.95</v>
      </c>
      <c r="G237" s="33">
        <v>5.4999999999999997E-3</v>
      </c>
      <c r="H237" s="23">
        <v>-273.19</v>
      </c>
      <c r="I237" s="33">
        <v>-5.4999999999999997E-3</v>
      </c>
      <c r="J237" s="23">
        <v>74.336399999999998</v>
      </c>
      <c r="K237" s="23">
        <v>50123.18</v>
      </c>
      <c r="L237" s="23">
        <v>23862.02</v>
      </c>
      <c r="M237" s="23">
        <v>13</v>
      </c>
      <c r="N237" s="23">
        <v>-21.01</v>
      </c>
      <c r="O237" s="33">
        <v>-1.0800000000000001E-2</v>
      </c>
      <c r="P237" s="33">
        <v>0.01</v>
      </c>
      <c r="Q237" s="23" t="s">
        <v>24</v>
      </c>
      <c r="R237" s="23">
        <v>0</v>
      </c>
      <c r="S237" s="23">
        <v>690.97</v>
      </c>
      <c r="U237" s="47">
        <v>44434</v>
      </c>
      <c r="V237" s="23" t="s">
        <v>145</v>
      </c>
      <c r="W237" s="23" t="s">
        <v>23</v>
      </c>
      <c r="X237" s="28">
        <v>44434.427083333336</v>
      </c>
      <c r="Y237" s="23">
        <v>6.6</v>
      </c>
      <c r="Z237" s="28">
        <v>44434.552083333336</v>
      </c>
      <c r="AA237" s="23">
        <v>7.9</v>
      </c>
      <c r="AB237" s="33">
        <v>0.19700000000000001</v>
      </c>
      <c r="AC237" s="23">
        <v>-10356.040000000001</v>
      </c>
      <c r="AD237" s="33">
        <v>-0.19700000000000001</v>
      </c>
      <c r="AE237" s="23">
        <v>7966.1869999999999</v>
      </c>
      <c r="AF237" s="23">
        <v>52576.83</v>
      </c>
      <c r="AG237" s="23">
        <v>450800.46</v>
      </c>
      <c r="AH237" s="23">
        <v>13</v>
      </c>
      <c r="AI237" s="23">
        <v>-796.62</v>
      </c>
      <c r="AJ237" s="33">
        <v>-0.84089999999999998</v>
      </c>
      <c r="AK237" s="33">
        <v>0.3674</v>
      </c>
      <c r="AL237" s="23" t="s">
        <v>24</v>
      </c>
      <c r="AM237" s="23">
        <v>674.28</v>
      </c>
      <c r="AN237" s="23">
        <v>35569.300000000003</v>
      </c>
      <c r="AO237" s="23">
        <v>690.97</v>
      </c>
      <c r="AQ237" s="50">
        <f t="shared" si="3"/>
        <v>9.7882185442249511E-3</v>
      </c>
      <c r="AR237" s="50"/>
      <c r="AS237" s="48"/>
      <c r="AT237" s="50"/>
      <c r="AV237" s="47">
        <v>44434</v>
      </c>
      <c r="AW237" s="51">
        <v>0.42708333333333331</v>
      </c>
      <c r="AX237" t="s">
        <v>162</v>
      </c>
    </row>
    <row r="238" spans="1:50">
      <c r="A238" s="23" t="s">
        <v>22</v>
      </c>
      <c r="B238" s="23" t="s">
        <v>25</v>
      </c>
      <c r="C238" s="28">
        <v>44434.552083333336</v>
      </c>
      <c r="D238" s="23">
        <v>677.95</v>
      </c>
      <c r="E238" s="28">
        <v>44434.635416666664</v>
      </c>
      <c r="F238" s="23">
        <v>673.5</v>
      </c>
      <c r="G238" s="33">
        <v>-6.6E-3</v>
      </c>
      <c r="H238" s="23">
        <v>-328.99</v>
      </c>
      <c r="I238" s="33">
        <v>-6.6E-3</v>
      </c>
      <c r="J238" s="23">
        <v>73.930210000000002</v>
      </c>
      <c r="K238" s="23">
        <v>50120.98</v>
      </c>
      <c r="L238" s="23">
        <v>23533.03</v>
      </c>
      <c r="M238" s="23">
        <v>9</v>
      </c>
      <c r="N238" s="23">
        <v>-36.549999999999997</v>
      </c>
      <c r="O238" s="33">
        <v>-8.6E-3</v>
      </c>
      <c r="P238" s="33">
        <v>3.8E-3</v>
      </c>
      <c r="Q238" s="23" t="s">
        <v>24</v>
      </c>
      <c r="R238" s="23">
        <v>0</v>
      </c>
      <c r="S238" s="23">
        <v>667.75</v>
      </c>
      <c r="U238" s="47">
        <v>44434</v>
      </c>
      <c r="V238" s="23" t="s">
        <v>146</v>
      </c>
      <c r="W238" s="23" t="s">
        <v>23</v>
      </c>
      <c r="X238" s="28">
        <v>44434.552083333336</v>
      </c>
      <c r="Y238" s="23">
        <v>1.5</v>
      </c>
      <c r="Z238" s="28">
        <v>44434.635416666664</v>
      </c>
      <c r="AA238" s="23">
        <v>2.5000000000000001E-2</v>
      </c>
      <c r="AB238" s="33">
        <v>-0.98329999999999995</v>
      </c>
      <c r="AC238" s="23">
        <v>51437.93</v>
      </c>
      <c r="AD238" s="33">
        <v>0.98329999999999995</v>
      </c>
      <c r="AE238" s="23">
        <v>34873.18</v>
      </c>
      <c r="AF238" s="23">
        <v>52309.77</v>
      </c>
      <c r="AG238" s="23">
        <v>502238.39</v>
      </c>
      <c r="AH238" s="23">
        <v>9</v>
      </c>
      <c r="AI238" s="23">
        <v>5715.33</v>
      </c>
      <c r="AJ238" s="33">
        <v>-2.25</v>
      </c>
      <c r="AK238" s="33">
        <v>0.98329999999999995</v>
      </c>
      <c r="AL238" s="23" t="s">
        <v>24</v>
      </c>
      <c r="AM238" s="23">
        <v>677.95</v>
      </c>
      <c r="AN238" s="23">
        <v>35733.9</v>
      </c>
      <c r="AO238" s="23">
        <v>667.75</v>
      </c>
      <c r="AQ238" s="50">
        <f t="shared" si="3"/>
        <v>2.2125525481230179E-3</v>
      </c>
      <c r="AR238" s="50"/>
      <c r="AS238" s="48"/>
      <c r="AT238" s="50"/>
      <c r="AV238" s="47">
        <v>44434</v>
      </c>
      <c r="AW238" s="51">
        <v>5.2083333333333336E-2</v>
      </c>
      <c r="AX238" t="s">
        <v>163</v>
      </c>
    </row>
    <row r="239" spans="1:50">
      <c r="A239" s="23" t="s">
        <v>22</v>
      </c>
      <c r="B239" s="23" t="s">
        <v>23</v>
      </c>
      <c r="C239" s="28">
        <v>44434.635416666664</v>
      </c>
      <c r="D239" s="23">
        <v>673.5</v>
      </c>
      <c r="E239" s="28">
        <v>44434.6875</v>
      </c>
      <c r="F239" s="23">
        <v>676.65</v>
      </c>
      <c r="G239" s="33">
        <v>4.7000000000000002E-3</v>
      </c>
      <c r="H239" s="23">
        <v>-234.41</v>
      </c>
      <c r="I239" s="33">
        <v>-4.7000000000000002E-3</v>
      </c>
      <c r="J239" s="23">
        <v>74.415940000000006</v>
      </c>
      <c r="K239" s="23">
        <v>50119.14</v>
      </c>
      <c r="L239" s="23">
        <v>23298.62</v>
      </c>
      <c r="M239" s="23">
        <v>3</v>
      </c>
      <c r="N239" s="23">
        <v>-78.14</v>
      </c>
      <c r="O239" s="33">
        <v>-8.3999999999999995E-3</v>
      </c>
      <c r="P239" s="33">
        <v>2.2000000000000001E-3</v>
      </c>
      <c r="Q239" s="23" t="s">
        <v>24</v>
      </c>
      <c r="R239" s="23">
        <v>0</v>
      </c>
      <c r="S239" s="23">
        <v>680.5</v>
      </c>
      <c r="U239" s="47">
        <v>44434</v>
      </c>
      <c r="V239" s="23" t="s">
        <v>145</v>
      </c>
      <c r="W239" s="23" t="s">
        <v>23</v>
      </c>
      <c r="X239" s="28">
        <v>44434.635416666664</v>
      </c>
      <c r="Y239" s="23">
        <v>9.6750000000000007</v>
      </c>
      <c r="Z239" s="28">
        <v>44434.6875</v>
      </c>
      <c r="AA239" s="23">
        <v>9.6750000000000007</v>
      </c>
      <c r="AB239" s="33">
        <v>0</v>
      </c>
      <c r="AC239" s="23">
        <v>0</v>
      </c>
      <c r="AD239" s="33">
        <v>0</v>
      </c>
      <c r="AE239" s="23">
        <v>5414.4470000000001</v>
      </c>
      <c r="AF239" s="23">
        <v>52384.78</v>
      </c>
      <c r="AG239" s="23">
        <v>502238.39</v>
      </c>
      <c r="AH239" s="23">
        <v>3</v>
      </c>
      <c r="AI239" s="23">
        <v>0</v>
      </c>
      <c r="AJ239" s="33">
        <v>-0.49869999999999998</v>
      </c>
      <c r="AK239" s="33">
        <v>0.22739999999999999</v>
      </c>
      <c r="AL239" s="23" t="s">
        <v>24</v>
      </c>
      <c r="AM239" s="23">
        <v>673.5</v>
      </c>
      <c r="AN239" s="23">
        <v>35603.4</v>
      </c>
      <c r="AO239" s="23">
        <v>680.5</v>
      </c>
      <c r="AQ239" s="50">
        <f t="shared" si="3"/>
        <v>1.4365256124721604E-2</v>
      </c>
      <c r="AR239" s="50"/>
      <c r="AS239" s="48"/>
      <c r="AT239" s="50"/>
      <c r="AV239" s="47">
        <v>44434</v>
      </c>
      <c r="AW239" s="51">
        <v>0.13541666666666666</v>
      </c>
      <c r="AX239" t="s">
        <v>163</v>
      </c>
    </row>
    <row r="240" spans="1:50">
      <c r="A240" s="23" t="s">
        <v>22</v>
      </c>
      <c r="B240" s="23" t="s">
        <v>25</v>
      </c>
      <c r="C240" s="28">
        <v>44435.385416666664</v>
      </c>
      <c r="D240" s="23">
        <v>674.625</v>
      </c>
      <c r="E240" s="28">
        <v>44435.395833333336</v>
      </c>
      <c r="F240" s="23">
        <v>673.07500000000005</v>
      </c>
      <c r="G240" s="33">
        <v>-2.3E-3</v>
      </c>
      <c r="H240" s="23">
        <v>-115.15</v>
      </c>
      <c r="I240" s="33">
        <v>-2.3E-3</v>
      </c>
      <c r="J240" s="23">
        <v>74.287930000000003</v>
      </c>
      <c r="K240" s="23">
        <v>50116.49</v>
      </c>
      <c r="L240" s="23">
        <v>23183.47</v>
      </c>
      <c r="M240" s="23">
        <v>2</v>
      </c>
      <c r="N240" s="23">
        <v>-57.57</v>
      </c>
      <c r="O240" s="33">
        <v>-2.3E-3</v>
      </c>
      <c r="P240" s="33">
        <v>9.4000000000000004E-3</v>
      </c>
      <c r="Q240" s="23" t="s">
        <v>24</v>
      </c>
      <c r="R240" s="23">
        <v>0</v>
      </c>
      <c r="S240" s="23">
        <v>672.33</v>
      </c>
      <c r="U240" s="47">
        <v>44469</v>
      </c>
      <c r="V240" s="23" t="s">
        <v>142</v>
      </c>
      <c r="W240" s="23" t="s">
        <v>23</v>
      </c>
      <c r="X240" s="28">
        <v>44435.385416666664</v>
      </c>
      <c r="Y240" s="23">
        <v>22</v>
      </c>
      <c r="Z240" s="28">
        <v>44435.395833333336</v>
      </c>
      <c r="AA240" s="23">
        <v>23.6</v>
      </c>
      <c r="AB240" s="33">
        <v>7.2700000000000001E-2</v>
      </c>
      <c r="AC240" s="23">
        <v>-3819</v>
      </c>
      <c r="AD240" s="33">
        <v>-7.2700000000000001E-2</v>
      </c>
      <c r="AE240" s="23">
        <v>2386.8719999999998</v>
      </c>
      <c r="AF240" s="23">
        <v>52511.19</v>
      </c>
      <c r="AG240" s="23">
        <v>498419.4</v>
      </c>
      <c r="AH240" s="23">
        <v>2</v>
      </c>
      <c r="AI240" s="23">
        <v>-1909.5</v>
      </c>
      <c r="AJ240" s="33">
        <v>-7.2700000000000001E-2</v>
      </c>
      <c r="AK240" s="33">
        <v>0</v>
      </c>
      <c r="AL240" s="23" t="s">
        <v>24</v>
      </c>
      <c r="AM240" s="23">
        <v>674.63</v>
      </c>
      <c r="AN240" s="23">
        <v>35406.75</v>
      </c>
      <c r="AO240" s="23">
        <v>672.33</v>
      </c>
      <c r="AQ240" s="50">
        <f t="shared" si="3"/>
        <v>3.2610467960215231E-2</v>
      </c>
      <c r="AR240" s="50"/>
      <c r="AS240" s="48"/>
      <c r="AT240" s="50"/>
      <c r="AV240" s="47">
        <v>44435</v>
      </c>
      <c r="AW240" s="51">
        <v>0.38541666666666669</v>
      </c>
      <c r="AX240" t="s">
        <v>162</v>
      </c>
    </row>
    <row r="241" spans="1:50">
      <c r="A241" s="23" t="s">
        <v>22</v>
      </c>
      <c r="B241" s="23" t="s">
        <v>23</v>
      </c>
      <c r="C241" s="28">
        <v>44435.395833333336</v>
      </c>
      <c r="D241" s="23">
        <v>673.07500000000005</v>
      </c>
      <c r="E241" s="28">
        <v>44435.447916666664</v>
      </c>
      <c r="F241" s="23">
        <v>677.125</v>
      </c>
      <c r="G241" s="33">
        <v>6.0000000000000001E-3</v>
      </c>
      <c r="H241" s="23">
        <v>-301.56</v>
      </c>
      <c r="I241" s="33">
        <v>-6.0000000000000001E-3</v>
      </c>
      <c r="J241" s="23">
        <v>74.459000000000003</v>
      </c>
      <c r="K241" s="23">
        <v>50116.49</v>
      </c>
      <c r="L241" s="23">
        <v>22881.91</v>
      </c>
      <c r="M241" s="23">
        <v>6</v>
      </c>
      <c r="N241" s="23">
        <v>-50.26</v>
      </c>
      <c r="O241" s="33">
        <v>-7.9000000000000008E-3</v>
      </c>
      <c r="P241" s="33">
        <v>4.4999999999999997E-3</v>
      </c>
      <c r="Q241" s="23" t="s">
        <v>24</v>
      </c>
      <c r="R241" s="23">
        <v>0</v>
      </c>
      <c r="S241" s="23">
        <v>680.52</v>
      </c>
      <c r="U241" s="47">
        <v>44469</v>
      </c>
      <c r="V241" s="23" t="s">
        <v>145</v>
      </c>
      <c r="W241" s="23" t="s">
        <v>23</v>
      </c>
      <c r="X241" s="28">
        <v>44435.395833333336</v>
      </c>
      <c r="Y241" s="23">
        <v>36.024999999999999</v>
      </c>
      <c r="Z241" s="28">
        <v>44435.447916666664</v>
      </c>
      <c r="AA241" s="23">
        <v>37</v>
      </c>
      <c r="AB241" s="33">
        <v>2.7099999999999999E-2</v>
      </c>
      <c r="AC241" s="23">
        <v>-1421.19</v>
      </c>
      <c r="AD241" s="33">
        <v>-2.7099999999999999E-2</v>
      </c>
      <c r="AE241" s="23">
        <v>1457.6320000000001</v>
      </c>
      <c r="AF241" s="23">
        <v>52511.199999999997</v>
      </c>
      <c r="AG241" s="23">
        <v>496998.21</v>
      </c>
      <c r="AH241" s="23">
        <v>6</v>
      </c>
      <c r="AI241" s="23">
        <v>-236.87</v>
      </c>
      <c r="AJ241" s="33">
        <v>-8.7400000000000005E-2</v>
      </c>
      <c r="AK241" s="33">
        <v>3.5400000000000001E-2</v>
      </c>
      <c r="AL241" s="23" t="s">
        <v>24</v>
      </c>
      <c r="AM241" s="23">
        <v>673.08</v>
      </c>
      <c r="AN241" s="23">
        <v>35421.9</v>
      </c>
      <c r="AO241" s="23">
        <v>680.52</v>
      </c>
      <c r="AQ241" s="50">
        <f t="shared" si="3"/>
        <v>5.3522612468057285E-2</v>
      </c>
      <c r="AR241" s="50"/>
      <c r="AS241" s="48"/>
      <c r="AT241" s="50"/>
      <c r="AV241" s="47">
        <v>44435</v>
      </c>
      <c r="AW241" s="51">
        <v>0.39583333333333331</v>
      </c>
      <c r="AX241" t="s">
        <v>162</v>
      </c>
    </row>
    <row r="242" spans="1:50">
      <c r="A242" s="23" t="s">
        <v>22</v>
      </c>
      <c r="B242" s="23" t="s">
        <v>25</v>
      </c>
      <c r="C242" s="28">
        <v>44435.447916666664</v>
      </c>
      <c r="D242" s="23">
        <v>677.125</v>
      </c>
      <c r="E242" s="28">
        <v>44435.5</v>
      </c>
      <c r="F242" s="23">
        <v>674.32500000000005</v>
      </c>
      <c r="G242" s="33">
        <v>-4.1000000000000003E-3</v>
      </c>
      <c r="H242" s="23">
        <v>-207.23</v>
      </c>
      <c r="I242" s="33">
        <v>-4.1000000000000003E-3</v>
      </c>
      <c r="J242" s="23">
        <v>74.011070000000004</v>
      </c>
      <c r="K242" s="23">
        <v>50114.75</v>
      </c>
      <c r="L242" s="23">
        <v>22674.68</v>
      </c>
      <c r="M242" s="23">
        <v>6</v>
      </c>
      <c r="N242" s="23">
        <v>-34.54</v>
      </c>
      <c r="O242" s="33">
        <v>-5.1999999999999998E-3</v>
      </c>
      <c r="P242" s="33">
        <v>2.7000000000000001E-3</v>
      </c>
      <c r="Q242" s="23" t="s">
        <v>24</v>
      </c>
      <c r="R242" s="23">
        <v>0</v>
      </c>
      <c r="S242" s="23">
        <v>670.18</v>
      </c>
      <c r="U242" s="47">
        <v>44469</v>
      </c>
      <c r="V242" s="23" t="s">
        <v>109</v>
      </c>
      <c r="W242" s="23" t="s">
        <v>23</v>
      </c>
      <c r="X242" s="28">
        <v>44435.447916666664</v>
      </c>
      <c r="Y242" s="23">
        <v>7.15</v>
      </c>
      <c r="Z242" s="28">
        <v>44435.5</v>
      </c>
      <c r="AA242" s="23">
        <v>7.3250000000000002</v>
      </c>
      <c r="AB242" s="33">
        <v>2.4500000000000001E-2</v>
      </c>
      <c r="AC242" s="23">
        <v>-1284.73</v>
      </c>
      <c r="AD242" s="33">
        <v>-2.4500000000000001E-2</v>
      </c>
      <c r="AE242" s="23">
        <v>7341.3230000000003</v>
      </c>
      <c r="AF242" s="23">
        <v>52490.46</v>
      </c>
      <c r="AG242" s="23">
        <v>495713.47</v>
      </c>
      <c r="AH242" s="23">
        <v>6</v>
      </c>
      <c r="AI242" s="23">
        <v>-214.12</v>
      </c>
      <c r="AJ242" s="33">
        <v>-0.1119</v>
      </c>
      <c r="AK242" s="33">
        <v>0</v>
      </c>
      <c r="AL242" s="23" t="s">
        <v>24</v>
      </c>
      <c r="AM242" s="23">
        <v>677.13</v>
      </c>
      <c r="AN242" s="23">
        <v>35502.400000000001</v>
      </c>
      <c r="AO242" s="23">
        <v>670.18</v>
      </c>
      <c r="AQ242" s="50">
        <f t="shared" si="3"/>
        <v>1.0559272222468359E-2</v>
      </c>
      <c r="AR242" s="50"/>
      <c r="AS242" s="48"/>
      <c r="AT242" s="50"/>
      <c r="AV242" s="47">
        <v>44435</v>
      </c>
      <c r="AW242" s="51">
        <v>0.44791666666666669</v>
      </c>
      <c r="AX242" t="s">
        <v>162</v>
      </c>
    </row>
    <row r="243" spans="1:50">
      <c r="A243" s="23" t="s">
        <v>22</v>
      </c>
      <c r="B243" s="23" t="s">
        <v>23</v>
      </c>
      <c r="C243" s="28">
        <v>44435.5</v>
      </c>
      <c r="D243" s="23">
        <v>674.32500000000005</v>
      </c>
      <c r="E243" s="28">
        <v>44435.53125</v>
      </c>
      <c r="F243" s="23">
        <v>678.25</v>
      </c>
      <c r="G243" s="33">
        <v>5.7999999999999996E-3</v>
      </c>
      <c r="H243" s="23">
        <v>-291.69</v>
      </c>
      <c r="I243" s="33">
        <v>-5.7999999999999996E-3</v>
      </c>
      <c r="J243" s="23">
        <v>74.316699999999997</v>
      </c>
      <c r="K243" s="23">
        <v>50113.61</v>
      </c>
      <c r="L243" s="23">
        <v>22382.99</v>
      </c>
      <c r="M243" s="23">
        <v>4</v>
      </c>
      <c r="N243" s="23">
        <v>-72.92</v>
      </c>
      <c r="O243" s="33">
        <v>-5.7999999999999996E-3</v>
      </c>
      <c r="P243" s="33">
        <v>4.0000000000000001E-3</v>
      </c>
      <c r="Q243" s="23" t="s">
        <v>24</v>
      </c>
      <c r="R243" s="23">
        <v>0</v>
      </c>
      <c r="S243" s="23">
        <v>678.97</v>
      </c>
      <c r="U243" s="47">
        <v>44469</v>
      </c>
      <c r="V243" s="23" t="s">
        <v>145</v>
      </c>
      <c r="W243" s="23" t="s">
        <v>23</v>
      </c>
      <c r="X243" s="28">
        <v>44435.5</v>
      </c>
      <c r="Y243" s="23">
        <v>33.5</v>
      </c>
      <c r="Z243" s="28">
        <v>44435.53125</v>
      </c>
      <c r="AA243" s="23">
        <v>35.725000000000001</v>
      </c>
      <c r="AB243" s="33">
        <v>6.6400000000000001E-2</v>
      </c>
      <c r="AC243" s="23">
        <v>-3484.6</v>
      </c>
      <c r="AD243" s="33">
        <v>-6.6400000000000001E-2</v>
      </c>
      <c r="AE243" s="23">
        <v>1566.114</v>
      </c>
      <c r="AF243" s="23">
        <v>52464.800000000003</v>
      </c>
      <c r="AG243" s="23">
        <v>492228.87</v>
      </c>
      <c r="AH243" s="23">
        <v>4</v>
      </c>
      <c r="AI243" s="23">
        <v>-871.15</v>
      </c>
      <c r="AJ243" s="33">
        <v>-7.46E-2</v>
      </c>
      <c r="AK243" s="33">
        <v>0</v>
      </c>
      <c r="AL243" s="23" t="s">
        <v>24</v>
      </c>
      <c r="AM243" s="23">
        <v>674.33</v>
      </c>
      <c r="AN243" s="23">
        <v>35618.050000000003</v>
      </c>
      <c r="AO243" s="23">
        <v>678.97</v>
      </c>
      <c r="AQ243" s="50">
        <f t="shared" si="3"/>
        <v>4.9678940578055254E-2</v>
      </c>
      <c r="AR243" s="50"/>
      <c r="AS243" s="48"/>
      <c r="AT243" s="50"/>
      <c r="AV243" s="47">
        <v>44435</v>
      </c>
      <c r="AW243" s="51">
        <v>0.5</v>
      </c>
      <c r="AX243" t="s">
        <v>163</v>
      </c>
    </row>
    <row r="244" spans="1:50">
      <c r="A244" s="23" t="s">
        <v>22</v>
      </c>
      <c r="B244" s="23" t="s">
        <v>25</v>
      </c>
      <c r="C244" s="28">
        <v>44435.53125</v>
      </c>
      <c r="D244" s="23">
        <v>678.25</v>
      </c>
      <c r="E244" s="28">
        <v>44435.59375</v>
      </c>
      <c r="F244" s="23">
        <v>669.5</v>
      </c>
      <c r="G244" s="33">
        <v>-1.29E-2</v>
      </c>
      <c r="H244" s="23">
        <v>-646.49</v>
      </c>
      <c r="I244" s="33">
        <v>-1.29E-2</v>
      </c>
      <c r="J244" s="23">
        <v>73.884680000000003</v>
      </c>
      <c r="K244" s="23">
        <v>50112.29</v>
      </c>
      <c r="L244" s="23">
        <v>21736.5</v>
      </c>
      <c r="M244" s="23">
        <v>7</v>
      </c>
      <c r="N244" s="23">
        <v>-92.36</v>
      </c>
      <c r="O244" s="33">
        <v>-1.29E-2</v>
      </c>
      <c r="P244" s="33">
        <v>1.1000000000000001E-3</v>
      </c>
      <c r="Q244" s="23" t="s">
        <v>24</v>
      </c>
      <c r="R244" s="23">
        <v>0</v>
      </c>
      <c r="S244" s="23">
        <v>671.87</v>
      </c>
      <c r="U244" s="47">
        <v>44469</v>
      </c>
      <c r="V244" s="23" t="s">
        <v>142</v>
      </c>
      <c r="W244" s="23" t="s">
        <v>23</v>
      </c>
      <c r="X244" s="28">
        <v>44435.53125</v>
      </c>
      <c r="Y244" s="23">
        <v>18.824999999999999</v>
      </c>
      <c r="Z244" s="28">
        <v>44435.59375</v>
      </c>
      <c r="AA244" s="23">
        <v>24.475000000000001</v>
      </c>
      <c r="AB244" s="33">
        <v>0.30009999999999998</v>
      </c>
      <c r="AC244" s="23">
        <v>-15745.31</v>
      </c>
      <c r="AD244" s="33">
        <v>-0.30009999999999998</v>
      </c>
      <c r="AE244" s="23">
        <v>2786.7809999999999</v>
      </c>
      <c r="AF244" s="23">
        <v>52461.14</v>
      </c>
      <c r="AG244" s="23">
        <v>476483.56</v>
      </c>
      <c r="AH244" s="23">
        <v>7</v>
      </c>
      <c r="AI244" s="23">
        <v>-2249.33</v>
      </c>
      <c r="AJ244" s="33">
        <v>-0.30009999999999998</v>
      </c>
      <c r="AK244" s="33">
        <v>2.6599999999999999E-2</v>
      </c>
      <c r="AL244" s="23" t="s">
        <v>24</v>
      </c>
      <c r="AM244" s="23">
        <v>678.25</v>
      </c>
      <c r="AN244" s="23">
        <v>35649.599999999999</v>
      </c>
      <c r="AO244" s="23">
        <v>671.87</v>
      </c>
      <c r="AQ244" s="50">
        <f t="shared" si="3"/>
        <v>2.7755252488020639E-2</v>
      </c>
      <c r="AR244" s="50"/>
      <c r="AS244" s="48"/>
      <c r="AT244" s="50"/>
      <c r="AV244" s="47">
        <v>44435</v>
      </c>
      <c r="AW244" s="51">
        <v>0.53125</v>
      </c>
      <c r="AX244" t="s">
        <v>163</v>
      </c>
    </row>
    <row r="245" spans="1:50">
      <c r="A245" s="23" t="s">
        <v>22</v>
      </c>
      <c r="B245" s="23" t="s">
        <v>23</v>
      </c>
      <c r="C245" s="28">
        <v>44435.59375</v>
      </c>
      <c r="D245" s="23">
        <v>669.5</v>
      </c>
      <c r="E245" s="28">
        <v>44438.5</v>
      </c>
      <c r="F245" s="23">
        <v>648.22500000000002</v>
      </c>
      <c r="G245" s="33">
        <v>-3.1800000000000002E-2</v>
      </c>
      <c r="H245" s="23">
        <v>1592.4</v>
      </c>
      <c r="I245" s="33">
        <v>3.1800000000000002E-2</v>
      </c>
      <c r="J245" s="23">
        <v>74.84845</v>
      </c>
      <c r="K245" s="23">
        <v>50111.040000000001</v>
      </c>
      <c r="L245" s="23">
        <v>23328.9</v>
      </c>
      <c r="M245" s="23">
        <v>20</v>
      </c>
      <c r="N245" s="23">
        <v>79.62</v>
      </c>
      <c r="O245" s="33">
        <v>-1.03E-2</v>
      </c>
      <c r="P245" s="33">
        <v>6.93E-2</v>
      </c>
      <c r="Q245" s="23" t="s">
        <v>24</v>
      </c>
      <c r="R245" s="23">
        <v>0</v>
      </c>
      <c r="S245" s="23">
        <v>678.63</v>
      </c>
      <c r="U245" s="47">
        <v>44469</v>
      </c>
      <c r="V245" s="23" t="s">
        <v>143</v>
      </c>
      <c r="W245" s="23" t="s">
        <v>23</v>
      </c>
      <c r="X245" s="28">
        <v>44435.59375</v>
      </c>
      <c r="Y245" s="23">
        <v>37.5</v>
      </c>
      <c r="Z245" s="28">
        <v>44438.5</v>
      </c>
      <c r="AA245" s="23">
        <v>27</v>
      </c>
      <c r="AB245" s="33">
        <v>-0.28000000000000003</v>
      </c>
      <c r="AC245" s="23">
        <v>14681.9</v>
      </c>
      <c r="AD245" s="33">
        <v>0.28000000000000003</v>
      </c>
      <c r="AE245" s="23">
        <v>1398.2760000000001</v>
      </c>
      <c r="AF245" s="23">
        <v>52435.37</v>
      </c>
      <c r="AG245" s="23">
        <v>491165.46</v>
      </c>
      <c r="AH245" s="23">
        <v>20</v>
      </c>
      <c r="AI245" s="23">
        <v>734.1</v>
      </c>
      <c r="AJ245" s="33">
        <v>-6.6699999999999995E-2</v>
      </c>
      <c r="AK245" s="33">
        <v>0.52800000000000002</v>
      </c>
      <c r="AL245" s="23" t="s">
        <v>24</v>
      </c>
      <c r="AM245" s="23">
        <v>669.5</v>
      </c>
      <c r="AN245" s="23">
        <v>35681.949999999997</v>
      </c>
      <c r="AO245" s="23">
        <v>678.63</v>
      </c>
      <c r="AQ245" s="50">
        <f t="shared" si="3"/>
        <v>5.6011949215832711E-2</v>
      </c>
      <c r="AR245" s="50"/>
      <c r="AS245" s="48"/>
      <c r="AT245" s="50"/>
      <c r="AV245" s="47">
        <v>44435</v>
      </c>
      <c r="AW245" s="51">
        <v>9.375E-2</v>
      </c>
      <c r="AX245" t="s">
        <v>163</v>
      </c>
    </row>
    <row r="246" spans="1:50">
      <c r="A246" s="23" t="s">
        <v>22</v>
      </c>
      <c r="B246" s="23" t="s">
        <v>25</v>
      </c>
      <c r="C246" s="28">
        <v>44438.5</v>
      </c>
      <c r="D246" s="23">
        <v>648.22500000000002</v>
      </c>
      <c r="E246" s="28">
        <v>44439.395833333336</v>
      </c>
      <c r="F246" s="23">
        <v>644.45000000000005</v>
      </c>
      <c r="G246" s="33">
        <v>-5.7999999999999996E-3</v>
      </c>
      <c r="H246" s="23">
        <v>-291.87</v>
      </c>
      <c r="I246" s="33">
        <v>-5.7999999999999996E-3</v>
      </c>
      <c r="J246" s="23">
        <v>77.316640000000007</v>
      </c>
      <c r="K246" s="23">
        <v>50118.58</v>
      </c>
      <c r="L246" s="23">
        <v>23037.03</v>
      </c>
      <c r="M246" s="23">
        <v>19</v>
      </c>
      <c r="N246" s="23">
        <v>-15.36</v>
      </c>
      <c r="O246" s="33">
        <v>-8.0999999999999996E-3</v>
      </c>
      <c r="P246" s="33">
        <v>9.7000000000000003E-3</v>
      </c>
      <c r="Q246" s="23" t="s">
        <v>24</v>
      </c>
      <c r="R246" s="23">
        <v>0</v>
      </c>
      <c r="S246" s="23">
        <v>623.13</v>
      </c>
      <c r="U246" s="47">
        <v>44469</v>
      </c>
      <c r="V246" s="23" t="s">
        <v>142</v>
      </c>
      <c r="W246" s="23" t="s">
        <v>23</v>
      </c>
      <c r="X246" s="28">
        <v>44438.5</v>
      </c>
      <c r="Y246" s="23">
        <v>31.274999999999999</v>
      </c>
      <c r="Z246" s="28">
        <v>44439.395833333336</v>
      </c>
      <c r="AA246" s="23">
        <v>32.950000000000003</v>
      </c>
      <c r="AB246" s="33">
        <v>5.3600000000000002E-2</v>
      </c>
      <c r="AC246" s="23">
        <v>-2810.35</v>
      </c>
      <c r="AD246" s="33">
        <v>-5.3600000000000002E-2</v>
      </c>
      <c r="AE246" s="23">
        <v>1677.82</v>
      </c>
      <c r="AF246" s="23">
        <v>52473.83</v>
      </c>
      <c r="AG246" s="23">
        <v>488355.12</v>
      </c>
      <c r="AH246" s="23">
        <v>19</v>
      </c>
      <c r="AI246" s="23">
        <v>-147.91</v>
      </c>
      <c r="AJ246" s="33">
        <v>-8.7099999999999997E-2</v>
      </c>
      <c r="AK246" s="33">
        <v>9.9099999999999994E-2</v>
      </c>
      <c r="AL246" s="23" t="s">
        <v>24</v>
      </c>
      <c r="AM246" s="23">
        <v>648.22</v>
      </c>
      <c r="AN246" s="23">
        <v>36047.550000000003</v>
      </c>
      <c r="AO246" s="23">
        <v>623.13</v>
      </c>
      <c r="AQ246" s="50">
        <f t="shared" si="3"/>
        <v>4.8247508561907987E-2</v>
      </c>
      <c r="AR246" s="50"/>
      <c r="AS246" s="48"/>
      <c r="AT246" s="50"/>
      <c r="AV246" s="47">
        <v>44438</v>
      </c>
      <c r="AW246" s="51">
        <v>0.5</v>
      </c>
      <c r="AX246" t="s">
        <v>163</v>
      </c>
    </row>
    <row r="247" spans="1:50">
      <c r="A247" s="23" t="s">
        <v>22</v>
      </c>
      <c r="B247" s="23" t="s">
        <v>23</v>
      </c>
      <c r="C247" s="28">
        <v>44439.395833333336</v>
      </c>
      <c r="D247" s="23">
        <v>644.45000000000005</v>
      </c>
      <c r="E247" s="28">
        <v>44440.385416666664</v>
      </c>
      <c r="F247" s="23">
        <v>572.20000000000005</v>
      </c>
      <c r="G247" s="33">
        <v>-0.11210000000000001</v>
      </c>
      <c r="H247" s="23">
        <v>5618.73</v>
      </c>
      <c r="I247" s="33">
        <v>0.11210000000000001</v>
      </c>
      <c r="J247" s="23">
        <v>77.767899999999997</v>
      </c>
      <c r="K247" s="23">
        <v>50117.52</v>
      </c>
      <c r="L247" s="23">
        <v>28655.759999999998</v>
      </c>
      <c r="M247" s="23">
        <v>28</v>
      </c>
      <c r="N247" s="23">
        <v>200.67</v>
      </c>
      <c r="O247" s="33">
        <v>-1.03E-2</v>
      </c>
      <c r="P247" s="33">
        <v>0.1845</v>
      </c>
      <c r="Q247" s="23" t="s">
        <v>24</v>
      </c>
      <c r="R247" s="23">
        <v>0</v>
      </c>
      <c r="S247" s="23">
        <v>654.5</v>
      </c>
      <c r="U247" s="47">
        <v>44469</v>
      </c>
      <c r="V247" s="23" t="s">
        <v>108</v>
      </c>
      <c r="W247" s="23" t="s">
        <v>23</v>
      </c>
      <c r="X247" s="28">
        <v>44439.395833333336</v>
      </c>
      <c r="Y247" s="23">
        <v>33.174999999999997</v>
      </c>
      <c r="Z247" s="28">
        <v>44440.385416666664</v>
      </c>
      <c r="AA247" s="23">
        <v>12.775</v>
      </c>
      <c r="AB247" s="33">
        <v>-0.6149</v>
      </c>
      <c r="AC247" s="23">
        <v>32268.82</v>
      </c>
      <c r="AD247" s="33">
        <v>0.6149</v>
      </c>
      <c r="AE247" s="23">
        <v>1581.8050000000001</v>
      </c>
      <c r="AF247" s="23">
        <v>52476.38</v>
      </c>
      <c r="AG247" s="23">
        <v>520623.94</v>
      </c>
      <c r="AH247" s="23">
        <v>28</v>
      </c>
      <c r="AI247" s="23">
        <v>1152.46</v>
      </c>
      <c r="AJ247" s="33">
        <v>-0.1409</v>
      </c>
      <c r="AK247" s="33">
        <v>0.77390000000000003</v>
      </c>
      <c r="AL247" s="23" t="s">
        <v>24</v>
      </c>
      <c r="AM247" s="23">
        <v>644.45000000000005</v>
      </c>
      <c r="AN247" s="23">
        <v>36276.35</v>
      </c>
      <c r="AO247" s="23">
        <v>654.5</v>
      </c>
      <c r="AQ247" s="50">
        <f t="shared" si="3"/>
        <v>5.1478004499961198E-2</v>
      </c>
      <c r="AR247" s="50"/>
      <c r="AS247" s="48"/>
      <c r="AT247" s="50"/>
      <c r="AV247" s="47">
        <v>44439</v>
      </c>
      <c r="AW247" s="51">
        <v>0.39583333333333331</v>
      </c>
      <c r="AX247" t="s">
        <v>162</v>
      </c>
    </row>
    <row r="248" spans="1:50">
      <c r="A248" s="23" t="s">
        <v>22</v>
      </c>
      <c r="B248" s="23" t="s">
        <v>25</v>
      </c>
      <c r="C248" s="28">
        <v>44440.385416666664</v>
      </c>
      <c r="D248" s="23">
        <v>572.20000000000005</v>
      </c>
      <c r="E248" s="28">
        <v>44440.552083333336</v>
      </c>
      <c r="F248" s="23">
        <v>578</v>
      </c>
      <c r="G248" s="33">
        <v>1.01E-2</v>
      </c>
      <c r="H248" s="23">
        <v>508.21</v>
      </c>
      <c r="I248" s="33">
        <v>1.01E-2</v>
      </c>
      <c r="J248" s="23">
        <v>87.623050000000006</v>
      </c>
      <c r="K248" s="23">
        <v>50137.91</v>
      </c>
      <c r="L248" s="23">
        <v>29163.97</v>
      </c>
      <c r="M248" s="23">
        <v>17</v>
      </c>
      <c r="N248" s="23">
        <v>29.89</v>
      </c>
      <c r="O248" s="33">
        <v>-2.29E-2</v>
      </c>
      <c r="P248" s="33">
        <v>5.6099999999999997E-2</v>
      </c>
      <c r="Q248" s="23" t="s">
        <v>24</v>
      </c>
      <c r="R248" s="23">
        <v>0</v>
      </c>
      <c r="S248" s="23">
        <v>528.69000000000005</v>
      </c>
      <c r="U248" s="47">
        <v>44469</v>
      </c>
      <c r="V248" s="23" t="s">
        <v>138</v>
      </c>
      <c r="W248" s="23" t="s">
        <v>23</v>
      </c>
      <c r="X248" s="28">
        <v>44440.385416666664</v>
      </c>
      <c r="Y248" s="23">
        <v>34.575000000000003</v>
      </c>
      <c r="Z248" s="28">
        <v>44440.552083333336</v>
      </c>
      <c r="AA248" s="23">
        <v>32</v>
      </c>
      <c r="AB248" s="33">
        <v>-7.4499999999999997E-2</v>
      </c>
      <c r="AC248" s="23">
        <v>3918.7</v>
      </c>
      <c r="AD248" s="33">
        <v>7.4499999999999997E-2</v>
      </c>
      <c r="AE248" s="23">
        <v>1521.827</v>
      </c>
      <c r="AF248" s="23">
        <v>52617.16</v>
      </c>
      <c r="AG248" s="23">
        <v>524542.64</v>
      </c>
      <c r="AH248" s="23">
        <v>17</v>
      </c>
      <c r="AI248" s="23">
        <v>230.51</v>
      </c>
      <c r="AJ248" s="33">
        <v>-0.25090000000000001</v>
      </c>
      <c r="AK248" s="33">
        <v>0.47220000000000001</v>
      </c>
      <c r="AL248" s="23" t="s">
        <v>24</v>
      </c>
      <c r="AM248" s="23">
        <v>572.20000000000005</v>
      </c>
      <c r="AN248" s="23">
        <v>36730.35</v>
      </c>
      <c r="AO248" s="23">
        <v>528.69000000000005</v>
      </c>
      <c r="AQ248" s="50">
        <f t="shared" si="3"/>
        <v>6.0424676686473264E-2</v>
      </c>
      <c r="AR248" s="50"/>
      <c r="AS248" s="48"/>
      <c r="AT248" s="50"/>
      <c r="AV248" s="47">
        <v>44440</v>
      </c>
      <c r="AW248" s="51">
        <v>0.38541666666666669</v>
      </c>
      <c r="AX248" t="s">
        <v>162</v>
      </c>
    </row>
    <row r="249" spans="1:50">
      <c r="A249" s="23" t="s">
        <v>22</v>
      </c>
      <c r="B249" s="23" t="s">
        <v>23</v>
      </c>
      <c r="C249" s="28">
        <v>44440.552083333336</v>
      </c>
      <c r="D249" s="23">
        <v>578</v>
      </c>
      <c r="E249" s="28">
        <v>44441.489583333336</v>
      </c>
      <c r="F249" s="23">
        <v>580.25</v>
      </c>
      <c r="G249" s="33">
        <v>3.8999999999999998E-3</v>
      </c>
      <c r="H249" s="23">
        <v>-195.21</v>
      </c>
      <c r="I249" s="33">
        <v>-3.8999999999999998E-3</v>
      </c>
      <c r="J249" s="23">
        <v>86.758399999999995</v>
      </c>
      <c r="K249" s="23">
        <v>50146.36</v>
      </c>
      <c r="L249" s="23">
        <v>28968.77</v>
      </c>
      <c r="M249" s="23">
        <v>23</v>
      </c>
      <c r="N249" s="23">
        <v>-8.49</v>
      </c>
      <c r="O249" s="33">
        <v>-8.6999999999999994E-3</v>
      </c>
      <c r="P249" s="33">
        <v>2.1600000000000001E-2</v>
      </c>
      <c r="Q249" s="23" t="s">
        <v>24</v>
      </c>
      <c r="R249" s="23">
        <v>0</v>
      </c>
      <c r="S249" s="23">
        <v>603.05999999999995</v>
      </c>
      <c r="U249" s="47">
        <v>44469</v>
      </c>
      <c r="V249" s="23" t="s">
        <v>104</v>
      </c>
      <c r="W249" s="23" t="s">
        <v>23</v>
      </c>
      <c r="X249" s="28">
        <v>44440.552083333336</v>
      </c>
      <c r="Y249" s="23">
        <v>35.799999999999997</v>
      </c>
      <c r="Z249" s="28">
        <v>44441.489583333336</v>
      </c>
      <c r="AA249" s="23">
        <v>33.4</v>
      </c>
      <c r="AB249" s="33">
        <v>-6.7000000000000004E-2</v>
      </c>
      <c r="AC249" s="23">
        <v>3528.33</v>
      </c>
      <c r="AD249" s="33">
        <v>6.7000000000000004E-2</v>
      </c>
      <c r="AE249" s="23">
        <v>1470.1369999999999</v>
      </c>
      <c r="AF249" s="23">
        <v>52630.89</v>
      </c>
      <c r="AG249" s="23">
        <v>528070.97</v>
      </c>
      <c r="AH249" s="23">
        <v>23</v>
      </c>
      <c r="AI249" s="23">
        <v>153.41</v>
      </c>
      <c r="AJ249" s="33">
        <v>-5.8000000000000003E-2</v>
      </c>
      <c r="AK249" s="33">
        <v>0.1913</v>
      </c>
      <c r="AL249" s="23" t="s">
        <v>24</v>
      </c>
      <c r="AM249" s="23">
        <v>578</v>
      </c>
      <c r="AN249" s="23">
        <v>36715.699999999997</v>
      </c>
      <c r="AO249" s="23">
        <v>603.05999999999995</v>
      </c>
      <c r="AQ249" s="50">
        <f t="shared" si="3"/>
        <v>6.1937716262975777E-2</v>
      </c>
      <c r="AR249" s="50"/>
      <c r="AS249" s="48"/>
      <c r="AT249" s="50"/>
      <c r="AV249" s="47">
        <v>44440</v>
      </c>
      <c r="AW249" s="51">
        <v>5.2083333333333336E-2</v>
      </c>
      <c r="AX249" t="s">
        <v>163</v>
      </c>
    </row>
    <row r="250" spans="1:50">
      <c r="A250" s="23" t="s">
        <v>22</v>
      </c>
      <c r="B250" s="23" t="s">
        <v>25</v>
      </c>
      <c r="C250" s="28">
        <v>44441.489583333336</v>
      </c>
      <c r="D250" s="23">
        <v>580.25</v>
      </c>
      <c r="E250" s="28">
        <v>44442.5</v>
      </c>
      <c r="F250" s="23">
        <v>584</v>
      </c>
      <c r="G250" s="33">
        <v>6.4999999999999997E-3</v>
      </c>
      <c r="H250" s="23">
        <v>324.08999999999997</v>
      </c>
      <c r="I250" s="33">
        <v>6.4999999999999997E-3</v>
      </c>
      <c r="J250" s="23">
        <v>86.423559999999995</v>
      </c>
      <c r="K250" s="23">
        <v>50147.27</v>
      </c>
      <c r="L250" s="23">
        <v>29292.86</v>
      </c>
      <c r="M250" s="23">
        <v>30</v>
      </c>
      <c r="N250" s="23">
        <v>10.8</v>
      </c>
      <c r="O250" s="33">
        <v>-9.4000000000000004E-3</v>
      </c>
      <c r="P250" s="33">
        <v>4.5199999999999997E-2</v>
      </c>
      <c r="Q250" s="23" t="s">
        <v>24</v>
      </c>
      <c r="R250" s="23">
        <v>0</v>
      </c>
      <c r="S250" s="23">
        <v>565.5</v>
      </c>
      <c r="U250" s="47">
        <v>44469</v>
      </c>
      <c r="V250" s="23" t="s">
        <v>148</v>
      </c>
      <c r="W250" s="23" t="s">
        <v>23</v>
      </c>
      <c r="X250" s="28">
        <v>44441.489583333336</v>
      </c>
      <c r="Y250" s="23">
        <v>32.125</v>
      </c>
      <c r="Z250" s="28">
        <v>44442.5</v>
      </c>
      <c r="AA250" s="23">
        <v>28.975000000000001</v>
      </c>
      <c r="AB250" s="33">
        <v>-9.8100000000000007E-2</v>
      </c>
      <c r="AC250" s="23">
        <v>5162.9399999999996</v>
      </c>
      <c r="AD250" s="33">
        <v>9.8100000000000007E-2</v>
      </c>
      <c r="AE250" s="23">
        <v>1639.028</v>
      </c>
      <c r="AF250" s="23">
        <v>52653.77</v>
      </c>
      <c r="AG250" s="23">
        <v>533233.91</v>
      </c>
      <c r="AH250" s="23">
        <v>30</v>
      </c>
      <c r="AI250" s="23">
        <v>172.1</v>
      </c>
      <c r="AJ250" s="33">
        <v>-7.3200000000000001E-2</v>
      </c>
      <c r="AK250" s="33">
        <v>0.41710000000000003</v>
      </c>
      <c r="AL250" s="23" t="s">
        <v>24</v>
      </c>
      <c r="AM250" s="23">
        <v>580.25</v>
      </c>
      <c r="AN250" s="23">
        <v>36773.599999999999</v>
      </c>
      <c r="AO250" s="23">
        <v>565.5</v>
      </c>
      <c r="AQ250" s="50">
        <f t="shared" si="3"/>
        <v>5.5364067212408448E-2</v>
      </c>
      <c r="AR250" s="50"/>
      <c r="AS250" s="48"/>
      <c r="AT250" s="50"/>
      <c r="AV250" s="47">
        <v>44441</v>
      </c>
      <c r="AW250" s="51">
        <v>0.48958333333333331</v>
      </c>
      <c r="AX250" t="s">
        <v>162</v>
      </c>
    </row>
    <row r="251" spans="1:50">
      <c r="A251" s="23" t="s">
        <v>22</v>
      </c>
      <c r="B251" s="23" t="s">
        <v>23</v>
      </c>
      <c r="C251" s="28">
        <v>44442.5</v>
      </c>
      <c r="D251" s="23">
        <v>584</v>
      </c>
      <c r="E251" s="28">
        <v>44445.385416666664</v>
      </c>
      <c r="F251" s="23">
        <v>583.5</v>
      </c>
      <c r="G251" s="33">
        <v>-8.9999999999999998E-4</v>
      </c>
      <c r="H251" s="23">
        <v>42.94</v>
      </c>
      <c r="I251" s="33">
        <v>8.9999999999999998E-4</v>
      </c>
      <c r="J251" s="23">
        <v>85.872969999999995</v>
      </c>
      <c r="K251" s="23">
        <v>50149.82</v>
      </c>
      <c r="L251" s="23">
        <v>29335.79</v>
      </c>
      <c r="M251" s="23">
        <v>18</v>
      </c>
      <c r="N251" s="23">
        <v>2.39</v>
      </c>
      <c r="O251" s="33">
        <v>-1.4999999999999999E-2</v>
      </c>
      <c r="P251" s="33">
        <v>1.44E-2</v>
      </c>
      <c r="Q251" s="23" t="s">
        <v>24</v>
      </c>
      <c r="R251" s="23">
        <v>0</v>
      </c>
      <c r="S251" s="23">
        <v>605.70000000000005</v>
      </c>
      <c r="U251" s="47">
        <v>44469</v>
      </c>
      <c r="V251" s="23" t="s">
        <v>104</v>
      </c>
      <c r="W251" s="23" t="s">
        <v>23</v>
      </c>
      <c r="X251" s="28">
        <v>44442.5</v>
      </c>
      <c r="Y251" s="23">
        <v>35.75</v>
      </c>
      <c r="Z251" s="28">
        <v>44445.385416666664</v>
      </c>
      <c r="AA251" s="23">
        <v>33.5</v>
      </c>
      <c r="AB251" s="33">
        <v>-6.2899999999999998E-2</v>
      </c>
      <c r="AC251" s="23">
        <v>3317.19</v>
      </c>
      <c r="AD251" s="33">
        <v>6.2899999999999998E-2</v>
      </c>
      <c r="AE251" s="23">
        <v>1474.309</v>
      </c>
      <c r="AF251" s="23">
        <v>52706.53</v>
      </c>
      <c r="AG251" s="23">
        <v>536551.1</v>
      </c>
      <c r="AH251" s="23">
        <v>18</v>
      </c>
      <c r="AI251" s="23">
        <v>184.29</v>
      </c>
      <c r="AJ251" s="33">
        <v>-0.1182</v>
      </c>
      <c r="AK251" s="33">
        <v>0.13289999999999999</v>
      </c>
      <c r="AL251" s="23" t="s">
        <v>24</v>
      </c>
      <c r="AM251" s="23">
        <v>584</v>
      </c>
      <c r="AN251" s="23">
        <v>36786.5</v>
      </c>
      <c r="AO251" s="23">
        <v>605.70000000000005</v>
      </c>
      <c r="AQ251" s="50">
        <f t="shared" si="3"/>
        <v>6.1215753424657536E-2</v>
      </c>
      <c r="AR251" s="50"/>
      <c r="AS251" s="48"/>
      <c r="AT251" s="50"/>
      <c r="AV251" s="47">
        <v>44442</v>
      </c>
      <c r="AW251" s="51">
        <v>0.5</v>
      </c>
      <c r="AX251" t="s">
        <v>163</v>
      </c>
    </row>
    <row r="252" spans="1:50">
      <c r="A252" s="23" t="s">
        <v>22</v>
      </c>
      <c r="B252" s="23" t="s">
        <v>25</v>
      </c>
      <c r="C252" s="28">
        <v>44445.385416666664</v>
      </c>
      <c r="D252" s="23">
        <v>583.5</v>
      </c>
      <c r="E252" s="28">
        <v>44445.40625</v>
      </c>
      <c r="F252" s="23">
        <v>578.6</v>
      </c>
      <c r="G252" s="33">
        <v>-8.3999999999999995E-3</v>
      </c>
      <c r="H252" s="23">
        <v>-421.11</v>
      </c>
      <c r="I252" s="33">
        <v>-8.3999999999999995E-3</v>
      </c>
      <c r="J252" s="23">
        <v>85.940089999999998</v>
      </c>
      <c r="K252" s="23">
        <v>50146.04</v>
      </c>
      <c r="L252" s="23">
        <v>28914.69</v>
      </c>
      <c r="M252" s="23">
        <v>3</v>
      </c>
      <c r="N252" s="23">
        <v>-140.37</v>
      </c>
      <c r="O252" s="33">
        <v>-8.3999999999999995E-3</v>
      </c>
      <c r="P252" s="33">
        <v>1.8499999999999999E-2</v>
      </c>
      <c r="Q252" s="23" t="s">
        <v>24</v>
      </c>
      <c r="R252" s="23">
        <v>0</v>
      </c>
      <c r="S252" s="23">
        <v>576.32000000000005</v>
      </c>
      <c r="U252" s="47">
        <v>44469</v>
      </c>
      <c r="V252" s="23" t="s">
        <v>148</v>
      </c>
      <c r="W252" s="23" t="s">
        <v>23</v>
      </c>
      <c r="X252" s="28">
        <v>44445.385416666664</v>
      </c>
      <c r="Y252" s="23">
        <v>28.274999999999999</v>
      </c>
      <c r="Z252" s="28">
        <v>44445.40625</v>
      </c>
      <c r="AA252" s="23">
        <v>30.5</v>
      </c>
      <c r="AB252" s="33">
        <v>7.8700000000000006E-2</v>
      </c>
      <c r="AC252" s="23">
        <v>-4145.87</v>
      </c>
      <c r="AD252" s="33">
        <v>-7.8700000000000006E-2</v>
      </c>
      <c r="AE252" s="23">
        <v>1863.3119999999999</v>
      </c>
      <c r="AF252" s="23">
        <v>52685.15</v>
      </c>
      <c r="AG252" s="23">
        <v>532405.23</v>
      </c>
      <c r="AH252" s="23">
        <v>3</v>
      </c>
      <c r="AI252" s="23">
        <v>-1381.96</v>
      </c>
      <c r="AJ252" s="33">
        <v>-7.8700000000000006E-2</v>
      </c>
      <c r="AK252" s="33">
        <v>0.1512</v>
      </c>
      <c r="AL252" s="23" t="s">
        <v>24</v>
      </c>
      <c r="AM252" s="23">
        <v>583.5</v>
      </c>
      <c r="AN252" s="23">
        <v>36781.199999999997</v>
      </c>
      <c r="AO252" s="23">
        <v>576.32000000000005</v>
      </c>
      <c r="AQ252" s="50">
        <f t="shared" si="3"/>
        <v>4.8457583547557838E-2</v>
      </c>
      <c r="AR252" s="50"/>
      <c r="AS252" s="48"/>
      <c r="AT252" s="50"/>
      <c r="AV252" s="47">
        <v>44445</v>
      </c>
      <c r="AW252" s="51">
        <v>0.38541666666666669</v>
      </c>
      <c r="AX252" t="s">
        <v>162</v>
      </c>
    </row>
    <row r="253" spans="1:50">
      <c r="A253" s="23" t="s">
        <v>22</v>
      </c>
      <c r="B253" s="23" t="s">
        <v>23</v>
      </c>
      <c r="C253" s="28">
        <v>44445.40625</v>
      </c>
      <c r="D253" s="23">
        <v>578.6</v>
      </c>
      <c r="E253" s="28">
        <v>44445.520833333336</v>
      </c>
      <c r="F253" s="23">
        <v>584.17499999999995</v>
      </c>
      <c r="G253" s="33">
        <v>9.5999999999999992E-3</v>
      </c>
      <c r="H253" s="23">
        <v>-483.17</v>
      </c>
      <c r="I253" s="33">
        <v>-9.5999999999999992E-3</v>
      </c>
      <c r="J253" s="23">
        <v>86.667289999999994</v>
      </c>
      <c r="K253" s="23">
        <v>50145.69</v>
      </c>
      <c r="L253" s="23">
        <v>28431.51</v>
      </c>
      <c r="M253" s="23">
        <v>12</v>
      </c>
      <c r="N253" s="23">
        <v>-40.26</v>
      </c>
      <c r="O253" s="33">
        <v>-1.3299999999999999E-2</v>
      </c>
      <c r="P253" s="33">
        <v>9.4000000000000004E-3</v>
      </c>
      <c r="Q253" s="23" t="s">
        <v>24</v>
      </c>
      <c r="R253" s="23">
        <v>0</v>
      </c>
      <c r="S253" s="23">
        <v>593.92999999999995</v>
      </c>
      <c r="U253" s="47">
        <v>44469</v>
      </c>
      <c r="V253" s="23" t="s">
        <v>104</v>
      </c>
      <c r="W253" s="23" t="s">
        <v>23</v>
      </c>
      <c r="X253" s="28">
        <v>44445.40625</v>
      </c>
      <c r="Y253" s="23">
        <v>30.625</v>
      </c>
      <c r="Z253" s="28">
        <v>44445.520833333336</v>
      </c>
      <c r="AA253" s="23">
        <v>33.975000000000001</v>
      </c>
      <c r="AB253" s="33">
        <v>0.1094</v>
      </c>
      <c r="AC253" s="23">
        <v>-5762.67</v>
      </c>
      <c r="AD253" s="33">
        <v>-0.1094</v>
      </c>
      <c r="AE253" s="23">
        <v>1720.2</v>
      </c>
      <c r="AF253" s="23">
        <v>52681.13</v>
      </c>
      <c r="AG253" s="23">
        <v>526642.56000000006</v>
      </c>
      <c r="AH253" s="23">
        <v>12</v>
      </c>
      <c r="AI253" s="23">
        <v>-480.22</v>
      </c>
      <c r="AJ253" s="33">
        <v>-0.1192</v>
      </c>
      <c r="AK253" s="33">
        <v>5.3100000000000001E-2</v>
      </c>
      <c r="AL253" s="23" t="s">
        <v>24</v>
      </c>
      <c r="AM253" s="23">
        <v>578.6</v>
      </c>
      <c r="AN253" s="23">
        <v>36668.1</v>
      </c>
      <c r="AO253" s="23">
        <v>593.92999999999995</v>
      </c>
      <c r="AQ253" s="50">
        <f t="shared" si="3"/>
        <v>5.2929484963705496E-2</v>
      </c>
      <c r="AR253" s="50"/>
      <c r="AS253" s="48"/>
      <c r="AT253" s="50"/>
      <c r="AV253" s="47">
        <v>44445</v>
      </c>
      <c r="AW253" s="51">
        <v>0.40625</v>
      </c>
      <c r="AX253" t="s">
        <v>162</v>
      </c>
    </row>
    <row r="254" spans="1:50">
      <c r="A254" s="23" t="s">
        <v>22</v>
      </c>
      <c r="B254" s="23" t="s">
        <v>25</v>
      </c>
      <c r="C254" s="28">
        <v>44445.520833333336</v>
      </c>
      <c r="D254" s="23">
        <v>584.17499999999995</v>
      </c>
      <c r="E254" s="28">
        <v>44446.395833333336</v>
      </c>
      <c r="F254" s="23">
        <v>583.75</v>
      </c>
      <c r="G254" s="33">
        <v>-6.9999999999999999E-4</v>
      </c>
      <c r="H254" s="23">
        <v>-36.479999999999997</v>
      </c>
      <c r="I254" s="33">
        <v>-6.9999999999999999E-4</v>
      </c>
      <c r="J254" s="23">
        <v>85.834940000000003</v>
      </c>
      <c r="K254" s="23">
        <v>50142.63</v>
      </c>
      <c r="L254" s="23">
        <v>28395.040000000001</v>
      </c>
      <c r="M254" s="23">
        <v>17</v>
      </c>
      <c r="N254" s="23">
        <v>-2.15</v>
      </c>
      <c r="O254" s="33">
        <v>-5.1999999999999998E-3</v>
      </c>
      <c r="P254" s="33">
        <v>1.1599999999999999E-2</v>
      </c>
      <c r="Q254" s="23" t="s">
        <v>24</v>
      </c>
      <c r="R254" s="23">
        <v>0</v>
      </c>
      <c r="S254" s="23">
        <v>573.15</v>
      </c>
      <c r="U254" s="47">
        <v>44469</v>
      </c>
      <c r="V254" s="23" t="s">
        <v>148</v>
      </c>
      <c r="W254" s="23" t="s">
        <v>23</v>
      </c>
      <c r="X254" s="28">
        <v>44445.520833333336</v>
      </c>
      <c r="Y254" s="23">
        <v>26.95</v>
      </c>
      <c r="Z254" s="28">
        <v>44446.395833333336</v>
      </c>
      <c r="AA254" s="23">
        <v>25.85</v>
      </c>
      <c r="AB254" s="33">
        <v>-4.0800000000000003E-2</v>
      </c>
      <c r="AC254" s="23">
        <v>2148.9</v>
      </c>
      <c r="AD254" s="33">
        <v>4.0800000000000003E-2</v>
      </c>
      <c r="AE254" s="23">
        <v>1953.5450000000001</v>
      </c>
      <c r="AF254" s="23">
        <v>52648.05</v>
      </c>
      <c r="AG254" s="23">
        <v>528791.46</v>
      </c>
      <c r="AH254" s="23">
        <v>17</v>
      </c>
      <c r="AI254" s="23">
        <v>126.41</v>
      </c>
      <c r="AJ254" s="33">
        <v>-2.5000000000000001E-2</v>
      </c>
      <c r="AK254" s="33">
        <v>0.1113</v>
      </c>
      <c r="AL254" s="23" t="s">
        <v>24</v>
      </c>
      <c r="AM254" s="23">
        <v>584.16999999999996</v>
      </c>
      <c r="AN254" s="23">
        <v>36723.15</v>
      </c>
      <c r="AO254" s="23">
        <v>573.15</v>
      </c>
      <c r="AQ254" s="50">
        <f t="shared" si="3"/>
        <v>4.6133830905387134E-2</v>
      </c>
      <c r="AR254" s="50"/>
      <c r="AS254" s="48"/>
      <c r="AT254" s="50"/>
      <c r="AV254" s="47">
        <v>44445</v>
      </c>
      <c r="AW254" s="51">
        <v>0.52083333333333337</v>
      </c>
      <c r="AX254" t="s">
        <v>163</v>
      </c>
    </row>
    <row r="255" spans="1:50">
      <c r="A255" s="23" t="s">
        <v>22</v>
      </c>
      <c r="B255" s="23" t="s">
        <v>23</v>
      </c>
      <c r="C255" s="28">
        <v>44446.395833333336</v>
      </c>
      <c r="D255" s="23">
        <v>583.75</v>
      </c>
      <c r="E255" s="28">
        <v>44446.53125</v>
      </c>
      <c r="F255" s="23">
        <v>579</v>
      </c>
      <c r="G255" s="33">
        <v>-8.0999999999999996E-3</v>
      </c>
      <c r="H255" s="23">
        <v>408.01</v>
      </c>
      <c r="I255" s="33">
        <v>8.0999999999999996E-3</v>
      </c>
      <c r="J255" s="23">
        <v>85.896540000000002</v>
      </c>
      <c r="K255" s="23">
        <v>50142.11</v>
      </c>
      <c r="L255" s="23">
        <v>28803.040000000001</v>
      </c>
      <c r="M255" s="23">
        <v>14</v>
      </c>
      <c r="N255" s="23">
        <v>29.14</v>
      </c>
      <c r="O255" s="33">
        <v>-2.3999999999999998E-3</v>
      </c>
      <c r="P255" s="33">
        <v>1.37E-2</v>
      </c>
      <c r="Q255" s="23" t="s">
        <v>24</v>
      </c>
      <c r="R255" s="23">
        <v>0</v>
      </c>
      <c r="S255" s="23">
        <v>590.46</v>
      </c>
      <c r="U255" s="47">
        <v>44469</v>
      </c>
      <c r="V255" s="23" t="s">
        <v>104</v>
      </c>
      <c r="W255" s="23" t="s">
        <v>23</v>
      </c>
      <c r="X255" s="28">
        <v>44446.395833333336</v>
      </c>
      <c r="Y255" s="23">
        <v>32.174999999999997</v>
      </c>
      <c r="Z255" s="28">
        <v>44446.53125</v>
      </c>
      <c r="AA255" s="23">
        <v>30.05</v>
      </c>
      <c r="AB255" s="33">
        <v>-6.6000000000000003E-2</v>
      </c>
      <c r="AC255" s="23">
        <v>3476.62</v>
      </c>
      <c r="AD255" s="33">
        <v>6.6000000000000003E-2</v>
      </c>
      <c r="AE255" s="23">
        <v>1636.0540000000001</v>
      </c>
      <c r="AF255" s="23">
        <v>52640.05</v>
      </c>
      <c r="AG255" s="23">
        <v>532268.07999999996</v>
      </c>
      <c r="AH255" s="23">
        <v>14</v>
      </c>
      <c r="AI255" s="23">
        <v>248.33</v>
      </c>
      <c r="AJ255" s="33">
        <v>-1.32E-2</v>
      </c>
      <c r="AK255" s="33">
        <v>9.8699999999999996E-2</v>
      </c>
      <c r="AL255" s="23" t="s">
        <v>24</v>
      </c>
      <c r="AM255" s="23">
        <v>583.75</v>
      </c>
      <c r="AN255" s="23">
        <v>36367.5</v>
      </c>
      <c r="AO255" s="23">
        <v>590.46</v>
      </c>
      <c r="AQ255" s="50">
        <f t="shared" si="3"/>
        <v>5.5117773019271947E-2</v>
      </c>
      <c r="AR255" s="50"/>
      <c r="AS255" s="48"/>
      <c r="AT255" s="50"/>
      <c r="AV255" s="47">
        <v>44446</v>
      </c>
      <c r="AW255" s="51">
        <v>0.39583333333333331</v>
      </c>
      <c r="AX255" t="s">
        <v>162</v>
      </c>
    </row>
    <row r="256" spans="1:50">
      <c r="A256" s="23" t="s">
        <v>22</v>
      </c>
      <c r="B256" s="23" t="s">
        <v>25</v>
      </c>
      <c r="C256" s="28">
        <v>44446.53125</v>
      </c>
      <c r="D256" s="23">
        <v>579</v>
      </c>
      <c r="E256" s="28">
        <v>44446.604166666664</v>
      </c>
      <c r="F256" s="23">
        <v>577.875</v>
      </c>
      <c r="G256" s="33">
        <v>-1.9E-3</v>
      </c>
      <c r="H256" s="23">
        <v>-97.43</v>
      </c>
      <c r="I256" s="33">
        <v>-1.9E-3</v>
      </c>
      <c r="J256" s="23">
        <v>86.602140000000006</v>
      </c>
      <c r="K256" s="23">
        <v>50142.64</v>
      </c>
      <c r="L256" s="23">
        <v>28705.62</v>
      </c>
      <c r="M256" s="23">
        <v>8</v>
      </c>
      <c r="N256" s="23">
        <v>-12.18</v>
      </c>
      <c r="O256" s="33">
        <v>-3.5999999999999999E-3</v>
      </c>
      <c r="P256" s="33">
        <v>7.1999999999999998E-3</v>
      </c>
      <c r="Q256" s="23" t="s">
        <v>24</v>
      </c>
      <c r="R256" s="23">
        <v>0</v>
      </c>
      <c r="S256" s="23">
        <v>576.04</v>
      </c>
      <c r="U256" s="47">
        <v>44469</v>
      </c>
      <c r="V256" s="23" t="s">
        <v>148</v>
      </c>
      <c r="W256" s="23" t="s">
        <v>23</v>
      </c>
      <c r="X256" s="28">
        <v>44446.53125</v>
      </c>
      <c r="Y256" s="23">
        <v>27.3</v>
      </c>
      <c r="Z256" s="28">
        <v>44446.604166666664</v>
      </c>
      <c r="AA256" s="23">
        <v>28</v>
      </c>
      <c r="AB256" s="33">
        <v>2.5600000000000001E-2</v>
      </c>
      <c r="AC256" s="23">
        <v>-1350.03</v>
      </c>
      <c r="AD256" s="33">
        <v>-2.5600000000000001E-2</v>
      </c>
      <c r="AE256" s="23">
        <v>1928.6120000000001</v>
      </c>
      <c r="AF256" s="23">
        <v>52651.11</v>
      </c>
      <c r="AG256" s="23">
        <v>530918.05000000005</v>
      </c>
      <c r="AH256" s="23">
        <v>8</v>
      </c>
      <c r="AI256" s="23">
        <v>-168.75</v>
      </c>
      <c r="AJ256" s="33">
        <v>-5.9499999999999997E-2</v>
      </c>
      <c r="AK256" s="33">
        <v>3.3000000000000002E-2</v>
      </c>
      <c r="AL256" s="23" t="s">
        <v>24</v>
      </c>
      <c r="AM256" s="23">
        <v>579</v>
      </c>
      <c r="AN256" s="23">
        <v>36597.599999999999</v>
      </c>
      <c r="AO256" s="23">
        <v>576.04</v>
      </c>
      <c r="AQ256" s="50">
        <f t="shared" si="3"/>
        <v>4.7150259067357515E-2</v>
      </c>
      <c r="AR256" s="50"/>
      <c r="AS256" s="48"/>
      <c r="AT256" s="50"/>
      <c r="AV256" s="47">
        <v>44446</v>
      </c>
      <c r="AW256" s="51">
        <v>0.53125</v>
      </c>
      <c r="AX256" t="s">
        <v>163</v>
      </c>
    </row>
    <row r="257" spans="1:50">
      <c r="A257" s="23" t="s">
        <v>22</v>
      </c>
      <c r="B257" s="23" t="s">
        <v>23</v>
      </c>
      <c r="C257" s="28">
        <v>44446.604166666664</v>
      </c>
      <c r="D257" s="23">
        <v>577.875</v>
      </c>
      <c r="E257" s="28">
        <v>44446.635416666664</v>
      </c>
      <c r="F257" s="23">
        <v>583</v>
      </c>
      <c r="G257" s="33">
        <v>8.8999999999999999E-3</v>
      </c>
      <c r="H257" s="23">
        <v>-444.72</v>
      </c>
      <c r="I257" s="33">
        <v>-8.8999999999999999E-3</v>
      </c>
      <c r="J257" s="23">
        <v>86.773740000000004</v>
      </c>
      <c r="K257" s="23">
        <v>50144.37</v>
      </c>
      <c r="L257" s="23">
        <v>28260.9</v>
      </c>
      <c r="M257" s="23">
        <v>4</v>
      </c>
      <c r="N257" s="23">
        <v>-111.18</v>
      </c>
      <c r="O257" s="33">
        <v>-8.8999999999999999E-3</v>
      </c>
      <c r="P257" s="33">
        <v>1.9E-3</v>
      </c>
      <c r="Q257" s="23" t="s">
        <v>24</v>
      </c>
      <c r="R257" s="23">
        <v>0</v>
      </c>
      <c r="S257" s="23">
        <v>583.16999999999996</v>
      </c>
      <c r="U257" s="47">
        <v>44469</v>
      </c>
      <c r="V257" s="23" t="s">
        <v>104</v>
      </c>
      <c r="W257" s="23" t="s">
        <v>23</v>
      </c>
      <c r="X257" s="28">
        <v>44446.604166666664</v>
      </c>
      <c r="Y257" s="23">
        <v>28.25</v>
      </c>
      <c r="Z257" s="28">
        <v>44446.635416666664</v>
      </c>
      <c r="AA257" s="23">
        <v>30.8</v>
      </c>
      <c r="AB257" s="33">
        <v>9.0300000000000005E-2</v>
      </c>
      <c r="AC257" s="23">
        <v>-4753.63</v>
      </c>
      <c r="AD257" s="33">
        <v>-9.0300000000000005E-2</v>
      </c>
      <c r="AE257" s="23">
        <v>1864.1690000000001</v>
      </c>
      <c r="AF257" s="23">
        <v>52662.79</v>
      </c>
      <c r="AG257" s="23">
        <v>526164.42000000004</v>
      </c>
      <c r="AH257" s="23">
        <v>4</v>
      </c>
      <c r="AI257" s="23">
        <v>-1188.4100000000001</v>
      </c>
      <c r="AJ257" s="33">
        <v>-9.0300000000000005E-2</v>
      </c>
      <c r="AK257" s="33">
        <v>0</v>
      </c>
      <c r="AL257" s="23" t="s">
        <v>24</v>
      </c>
      <c r="AM257" s="23">
        <v>577.88</v>
      </c>
      <c r="AN257" s="23">
        <v>36433.449999999997</v>
      </c>
      <c r="AO257" s="23">
        <v>583.16999999999996</v>
      </c>
      <c r="AQ257" s="50">
        <f t="shared" si="3"/>
        <v>4.8885581781684777E-2</v>
      </c>
      <c r="AR257" s="50"/>
      <c r="AS257" s="48"/>
      <c r="AT257" s="50"/>
      <c r="AV257" s="47">
        <v>44446</v>
      </c>
      <c r="AW257" s="51">
        <v>0.10416666666666667</v>
      </c>
      <c r="AX257" t="s">
        <v>163</v>
      </c>
    </row>
    <row r="258" spans="1:50">
      <c r="A258" s="23" t="s">
        <v>22</v>
      </c>
      <c r="B258" s="23" t="s">
        <v>25</v>
      </c>
      <c r="C258" s="28">
        <v>44446.635416666664</v>
      </c>
      <c r="D258" s="23">
        <v>583</v>
      </c>
      <c r="E258" s="28">
        <v>44447.5</v>
      </c>
      <c r="F258" s="23">
        <v>582.17499999999995</v>
      </c>
      <c r="G258" s="33">
        <v>-1.4E-3</v>
      </c>
      <c r="H258" s="23">
        <v>-70.959999999999994</v>
      </c>
      <c r="I258" s="33">
        <v>-1.4E-3</v>
      </c>
      <c r="J258" s="23">
        <v>86.007469999999998</v>
      </c>
      <c r="K258" s="23">
        <v>50142.36</v>
      </c>
      <c r="L258" s="23">
        <v>28189.94</v>
      </c>
      <c r="M258" s="23">
        <v>16</v>
      </c>
      <c r="N258" s="23">
        <v>-4.43</v>
      </c>
      <c r="O258" s="33">
        <v>-1.06E-2</v>
      </c>
      <c r="P258" s="33">
        <v>6.0000000000000001E-3</v>
      </c>
      <c r="Q258" s="23" t="s">
        <v>24</v>
      </c>
      <c r="R258" s="23">
        <v>0</v>
      </c>
      <c r="S258" s="23">
        <v>577.08000000000004</v>
      </c>
      <c r="U258" s="47">
        <v>44469</v>
      </c>
      <c r="V258" s="23" t="s">
        <v>148</v>
      </c>
      <c r="W258" s="23" t="s">
        <v>23</v>
      </c>
      <c r="X258" s="28">
        <v>44446.635416666664</v>
      </c>
      <c r="Y258" s="23">
        <v>25.85</v>
      </c>
      <c r="Z258" s="28">
        <v>44447.5</v>
      </c>
      <c r="AA258" s="23">
        <v>25</v>
      </c>
      <c r="AB258" s="33">
        <v>-3.2899999999999999E-2</v>
      </c>
      <c r="AC258" s="23">
        <v>1731.01</v>
      </c>
      <c r="AD258" s="33">
        <v>3.2899999999999999E-2</v>
      </c>
      <c r="AE258" s="23">
        <v>2036.4770000000001</v>
      </c>
      <c r="AF258" s="23">
        <v>52642.94</v>
      </c>
      <c r="AG258" s="23">
        <v>527895.42000000004</v>
      </c>
      <c r="AH258" s="23">
        <v>16</v>
      </c>
      <c r="AI258" s="23">
        <v>108.19</v>
      </c>
      <c r="AJ258" s="33">
        <v>-6.3799999999999996E-2</v>
      </c>
      <c r="AK258" s="33">
        <v>7.2499999999999995E-2</v>
      </c>
      <c r="AL258" s="23" t="s">
        <v>24</v>
      </c>
      <c r="AM258" s="23">
        <v>583</v>
      </c>
      <c r="AN258" s="23">
        <v>36465</v>
      </c>
      <c r="AO258" s="23">
        <v>577.08000000000004</v>
      </c>
      <c r="AQ258" s="50">
        <f t="shared" si="3"/>
        <v>4.4339622641509438E-2</v>
      </c>
      <c r="AR258" s="50"/>
      <c r="AS258" s="48"/>
      <c r="AT258" s="50"/>
      <c r="AV258" s="47">
        <v>44446</v>
      </c>
      <c r="AW258" s="51">
        <v>0.13541666666666666</v>
      </c>
      <c r="AX258" t="s">
        <v>163</v>
      </c>
    </row>
    <row r="259" spans="1:50">
      <c r="A259" s="23" t="s">
        <v>22</v>
      </c>
      <c r="B259" s="23" t="s">
        <v>23</v>
      </c>
      <c r="C259" s="28">
        <v>44447.5</v>
      </c>
      <c r="D259" s="23">
        <v>582.17499999999995</v>
      </c>
      <c r="E259" s="28">
        <v>44447.614583333336</v>
      </c>
      <c r="F259" s="23">
        <v>591.25</v>
      </c>
      <c r="G259" s="33">
        <v>1.5599999999999999E-2</v>
      </c>
      <c r="H259" s="23">
        <v>-781.6</v>
      </c>
      <c r="I259" s="33">
        <v>-1.5599999999999999E-2</v>
      </c>
      <c r="J259" s="23">
        <v>86.126990000000006</v>
      </c>
      <c r="K259" s="23">
        <v>50140.98</v>
      </c>
      <c r="L259" s="23">
        <v>27408.34</v>
      </c>
      <c r="M259" s="23">
        <v>12</v>
      </c>
      <c r="N259" s="23">
        <v>-65.13</v>
      </c>
      <c r="O259" s="33">
        <v>-1.5599999999999999E-2</v>
      </c>
      <c r="P259" s="33">
        <v>4.1999999999999997E-3</v>
      </c>
      <c r="Q259" s="23" t="s">
        <v>24</v>
      </c>
      <c r="R259" s="23">
        <v>0</v>
      </c>
      <c r="S259" s="23">
        <v>586.39</v>
      </c>
      <c r="U259" s="47">
        <v>44469</v>
      </c>
      <c r="V259" s="23" t="s">
        <v>104</v>
      </c>
      <c r="W259" s="23" t="s">
        <v>23</v>
      </c>
      <c r="X259" s="28">
        <v>44447.5</v>
      </c>
      <c r="Y259" s="23">
        <v>29.95</v>
      </c>
      <c r="Z259" s="28">
        <v>44447.614583333336</v>
      </c>
      <c r="AA259" s="23">
        <v>35.524999999999999</v>
      </c>
      <c r="AB259" s="33">
        <v>0.18609999999999999</v>
      </c>
      <c r="AC259" s="23">
        <v>-9798.5</v>
      </c>
      <c r="AD259" s="33">
        <v>-0.18609999999999999</v>
      </c>
      <c r="AE259" s="23">
        <v>1757.578</v>
      </c>
      <c r="AF259" s="23">
        <v>52639.48</v>
      </c>
      <c r="AG259" s="23">
        <v>518096.92</v>
      </c>
      <c r="AH259" s="23">
        <v>12</v>
      </c>
      <c r="AI259" s="23">
        <v>-816.54</v>
      </c>
      <c r="AJ259" s="33">
        <v>-0.18609999999999999</v>
      </c>
      <c r="AK259" s="33">
        <v>5.8400000000000001E-2</v>
      </c>
      <c r="AL259" s="23" t="s">
        <v>24</v>
      </c>
      <c r="AM259" s="23">
        <v>582.16999999999996</v>
      </c>
      <c r="AN259" s="23">
        <v>36802.6</v>
      </c>
      <c r="AO259" s="23">
        <v>586.39</v>
      </c>
      <c r="AQ259" s="50">
        <f t="shared" si="3"/>
        <v>5.144545407698782E-2</v>
      </c>
      <c r="AR259" s="50"/>
      <c r="AS259" s="48"/>
      <c r="AT259" s="50"/>
      <c r="AV259" s="47">
        <v>44447</v>
      </c>
      <c r="AW259" s="51">
        <v>0.5</v>
      </c>
      <c r="AX259" t="s">
        <v>163</v>
      </c>
    </row>
    <row r="260" spans="1:50">
      <c r="A260" s="23" t="s">
        <v>22</v>
      </c>
      <c r="B260" s="23" t="s">
        <v>25</v>
      </c>
      <c r="C260" s="28">
        <v>44447.614583333336</v>
      </c>
      <c r="D260" s="23">
        <v>591.25</v>
      </c>
      <c r="E260" s="28">
        <v>44448.510416666664</v>
      </c>
      <c r="F260" s="23">
        <v>588.57500000000005</v>
      </c>
      <c r="G260" s="33">
        <v>-4.4999999999999997E-3</v>
      </c>
      <c r="H260" s="23">
        <v>-226.85</v>
      </c>
      <c r="I260" s="33">
        <v>-4.4999999999999997E-3</v>
      </c>
      <c r="J260" s="23">
        <v>84.805239999999998</v>
      </c>
      <c r="K260" s="23">
        <v>50141.1</v>
      </c>
      <c r="L260" s="23">
        <v>27181.49</v>
      </c>
      <c r="M260" s="23">
        <v>19</v>
      </c>
      <c r="N260" s="23">
        <v>-11.94</v>
      </c>
      <c r="O260" s="33">
        <v>-1.6500000000000001E-2</v>
      </c>
      <c r="P260" s="33">
        <v>5.4999999999999997E-3</v>
      </c>
      <c r="Q260" s="23" t="s">
        <v>24</v>
      </c>
      <c r="R260" s="23">
        <v>0</v>
      </c>
      <c r="S260" s="23">
        <v>579.80999999999995</v>
      </c>
      <c r="U260" s="47">
        <v>44469</v>
      </c>
      <c r="V260" s="23" t="s">
        <v>116</v>
      </c>
      <c r="W260" s="23" t="s">
        <v>23</v>
      </c>
      <c r="X260" s="28">
        <v>44447.614583333336</v>
      </c>
      <c r="Y260" s="23">
        <v>23.75</v>
      </c>
      <c r="Z260" s="28">
        <v>44448.510416666664</v>
      </c>
      <c r="AA260" s="23">
        <v>25.75</v>
      </c>
      <c r="AB260" s="33">
        <v>8.4199999999999997E-2</v>
      </c>
      <c r="AC260" s="23">
        <v>-4433.5200000000004</v>
      </c>
      <c r="AD260" s="33">
        <v>-8.4199999999999997E-2</v>
      </c>
      <c r="AE260" s="23">
        <v>2216.7600000000002</v>
      </c>
      <c r="AF260" s="23">
        <v>52648.04</v>
      </c>
      <c r="AG260" s="23">
        <v>513663.4</v>
      </c>
      <c r="AH260" s="23">
        <v>19</v>
      </c>
      <c r="AI260" s="23">
        <v>-233.34</v>
      </c>
      <c r="AJ260" s="33">
        <v>-0.2495</v>
      </c>
      <c r="AK260" s="33">
        <v>0</v>
      </c>
      <c r="AL260" s="23" t="s">
        <v>24</v>
      </c>
      <c r="AM260" s="23">
        <v>591.25</v>
      </c>
      <c r="AN260" s="23">
        <v>36721.5</v>
      </c>
      <c r="AO260" s="23">
        <v>579.80999999999995</v>
      </c>
      <c r="AQ260" s="50">
        <f t="shared" si="3"/>
        <v>4.0169133192389003E-2</v>
      </c>
      <c r="AR260" s="50"/>
      <c r="AS260" s="48"/>
      <c r="AT260" s="50"/>
      <c r="AV260" s="47">
        <v>44447</v>
      </c>
      <c r="AW260" s="51">
        <v>0.11458333333333333</v>
      </c>
      <c r="AX260" t="s">
        <v>163</v>
      </c>
    </row>
    <row r="261" spans="1:50">
      <c r="A261" s="23" t="s">
        <v>22</v>
      </c>
      <c r="B261" s="23" t="s">
        <v>23</v>
      </c>
      <c r="C261" s="28">
        <v>44448.510416666664</v>
      </c>
      <c r="D261" s="23">
        <v>588.57500000000005</v>
      </c>
      <c r="E261" s="28">
        <v>44453.385416666664</v>
      </c>
      <c r="F261" s="23">
        <v>581.85</v>
      </c>
      <c r="G261" s="33">
        <v>-1.14E-2</v>
      </c>
      <c r="H261" s="23">
        <v>572.86</v>
      </c>
      <c r="I261" s="33">
        <v>1.14E-2</v>
      </c>
      <c r="J261" s="23">
        <v>85.183670000000006</v>
      </c>
      <c r="K261" s="23">
        <v>50136.98</v>
      </c>
      <c r="L261" s="23">
        <v>27754.35</v>
      </c>
      <c r="M261" s="23">
        <v>45</v>
      </c>
      <c r="N261" s="23">
        <v>12.73</v>
      </c>
      <c r="O261" s="33">
        <v>-4.3E-3</v>
      </c>
      <c r="P261" s="33">
        <v>2.6499999999999999E-2</v>
      </c>
      <c r="Q261" s="23" t="s">
        <v>24</v>
      </c>
      <c r="R261" s="23">
        <v>0</v>
      </c>
      <c r="S261" s="23">
        <v>594.24</v>
      </c>
      <c r="U261" s="47">
        <v>44469</v>
      </c>
      <c r="V261" s="23" t="s">
        <v>115</v>
      </c>
      <c r="W261" s="23" t="s">
        <v>23</v>
      </c>
      <c r="X261" s="28">
        <v>44448.510416666664</v>
      </c>
      <c r="Y261" s="23">
        <v>26.524999999999999</v>
      </c>
      <c r="Z261" s="28">
        <v>44453.385416666664</v>
      </c>
      <c r="AA261" s="23">
        <v>20.85</v>
      </c>
      <c r="AB261" s="33">
        <v>-0.21390000000000001</v>
      </c>
      <c r="AC261" s="23">
        <v>11250.03</v>
      </c>
      <c r="AD261" s="33">
        <v>0.21390000000000001</v>
      </c>
      <c r="AE261" s="23">
        <v>1982.384</v>
      </c>
      <c r="AF261" s="23">
        <v>52582.73</v>
      </c>
      <c r="AG261" s="23">
        <v>524913.43000000005</v>
      </c>
      <c r="AH261" s="23">
        <v>45</v>
      </c>
      <c r="AI261" s="23">
        <v>250</v>
      </c>
      <c r="AJ261" s="33">
        <v>-6.5000000000000002E-2</v>
      </c>
      <c r="AK261" s="33">
        <v>0.30249999999999999</v>
      </c>
      <c r="AL261" s="23" t="s">
        <v>24</v>
      </c>
      <c r="AM261" s="23">
        <v>588.58000000000004</v>
      </c>
      <c r="AN261" s="23">
        <v>36633.65</v>
      </c>
      <c r="AO261" s="23">
        <v>594.24</v>
      </c>
      <c r="AQ261" s="50">
        <f t="shared" si="3"/>
        <v>4.5066091270515474E-2</v>
      </c>
      <c r="AR261" s="50"/>
      <c r="AS261" s="48"/>
      <c r="AT261" s="50"/>
      <c r="AV261" s="47">
        <v>44448</v>
      </c>
      <c r="AW261" s="51">
        <v>0.51041666666666663</v>
      </c>
      <c r="AX261" t="s">
        <v>163</v>
      </c>
    </row>
    <row r="262" spans="1:50">
      <c r="A262" s="23" t="s">
        <v>22</v>
      </c>
      <c r="B262" s="23" t="s">
        <v>25</v>
      </c>
      <c r="C262" s="28">
        <v>44453.385416666664</v>
      </c>
      <c r="D262" s="23">
        <v>581.85</v>
      </c>
      <c r="E262" s="28">
        <v>44453.4375</v>
      </c>
      <c r="F262" s="23">
        <v>574.5</v>
      </c>
      <c r="G262" s="33">
        <v>-1.26E-2</v>
      </c>
      <c r="H262" s="23">
        <v>-633.4</v>
      </c>
      <c r="I262" s="33">
        <v>-1.26E-2</v>
      </c>
      <c r="J262" s="23">
        <v>86.176320000000004</v>
      </c>
      <c r="K262" s="23">
        <v>50141.69</v>
      </c>
      <c r="L262" s="23">
        <v>27120.95</v>
      </c>
      <c r="M262" s="23">
        <v>6</v>
      </c>
      <c r="N262" s="23">
        <v>-105.57</v>
      </c>
      <c r="O262" s="33">
        <v>-1.26E-2</v>
      </c>
      <c r="P262" s="33">
        <v>2.8E-3</v>
      </c>
      <c r="Q262" s="23" t="s">
        <v>24</v>
      </c>
      <c r="R262" s="23">
        <v>0</v>
      </c>
      <c r="S262" s="23">
        <v>573.32000000000005</v>
      </c>
      <c r="U262" s="47">
        <v>44469</v>
      </c>
      <c r="V262" s="23" t="s">
        <v>148</v>
      </c>
      <c r="W262" s="23" t="s">
        <v>23</v>
      </c>
      <c r="X262" s="28">
        <v>44453.385416666664</v>
      </c>
      <c r="Y262" s="23">
        <v>22.324999999999999</v>
      </c>
      <c r="Z262" s="28">
        <v>44453.4375</v>
      </c>
      <c r="AA262" s="23">
        <v>26.024999999999999</v>
      </c>
      <c r="AB262" s="33">
        <v>0.16569999999999999</v>
      </c>
      <c r="AC262" s="23">
        <v>-8725.51</v>
      </c>
      <c r="AD262" s="33">
        <v>-0.16569999999999999</v>
      </c>
      <c r="AE262" s="23">
        <v>2358.2469999999998</v>
      </c>
      <c r="AF262" s="23">
        <v>52647.86</v>
      </c>
      <c r="AG262" s="23">
        <v>516187.92</v>
      </c>
      <c r="AH262" s="23">
        <v>6</v>
      </c>
      <c r="AI262" s="23">
        <v>-1454.25</v>
      </c>
      <c r="AJ262" s="33">
        <v>-0.1825</v>
      </c>
      <c r="AK262" s="33">
        <v>3.6999999999999998E-2</v>
      </c>
      <c r="AL262" s="23" t="s">
        <v>24</v>
      </c>
      <c r="AM262" s="23">
        <v>581.85</v>
      </c>
      <c r="AN262" s="23">
        <v>36680.75</v>
      </c>
      <c r="AO262" s="23">
        <v>573.32000000000005</v>
      </c>
      <c r="AQ262" s="50">
        <f t="shared" si="3"/>
        <v>3.836899544556157E-2</v>
      </c>
      <c r="AR262" s="50"/>
      <c r="AS262" s="48"/>
      <c r="AT262" s="50"/>
      <c r="AV262" s="47">
        <v>44453</v>
      </c>
      <c r="AW262" s="51">
        <v>0.38541666666666669</v>
      </c>
      <c r="AX262" t="s">
        <v>162</v>
      </c>
    </row>
    <row r="263" spans="1:50">
      <c r="A263" s="23" t="s">
        <v>22</v>
      </c>
      <c r="B263" s="23" t="s">
        <v>23</v>
      </c>
      <c r="C263" s="28">
        <v>44453.4375</v>
      </c>
      <c r="D263" s="23">
        <v>574.5</v>
      </c>
      <c r="E263" s="28">
        <v>44453.635416666664</v>
      </c>
      <c r="F263" s="23">
        <v>568.5</v>
      </c>
      <c r="G263" s="33">
        <v>-1.04E-2</v>
      </c>
      <c r="H263" s="23">
        <v>523.62</v>
      </c>
      <c r="I263" s="33">
        <v>1.04E-2</v>
      </c>
      <c r="J263" s="23">
        <v>87.270160000000004</v>
      </c>
      <c r="K263" s="23">
        <v>50136.71</v>
      </c>
      <c r="L263" s="23">
        <v>27644.57</v>
      </c>
      <c r="M263" s="23">
        <v>20</v>
      </c>
      <c r="N263" s="23">
        <v>26.18</v>
      </c>
      <c r="O263" s="33">
        <v>-4.7999999999999996E-3</v>
      </c>
      <c r="P263" s="33">
        <v>2.1700000000000001E-2</v>
      </c>
      <c r="Q263" s="23" t="s">
        <v>24</v>
      </c>
      <c r="R263" s="23">
        <v>0</v>
      </c>
      <c r="S263" s="23">
        <v>583.29</v>
      </c>
      <c r="U263" s="47">
        <v>44469</v>
      </c>
      <c r="V263" s="23" t="s">
        <v>137</v>
      </c>
      <c r="W263" s="23" t="s">
        <v>23</v>
      </c>
      <c r="X263" s="28">
        <v>44453.4375</v>
      </c>
      <c r="Y263" s="23">
        <v>27.675000000000001</v>
      </c>
      <c r="Z263" s="28">
        <v>44453.635416666664</v>
      </c>
      <c r="AA263" s="23">
        <v>24.5</v>
      </c>
      <c r="AB263" s="33">
        <v>-0.1147</v>
      </c>
      <c r="AC263" s="23">
        <v>6033.84</v>
      </c>
      <c r="AD263" s="33">
        <v>0.1147</v>
      </c>
      <c r="AE263" s="23">
        <v>1900.423</v>
      </c>
      <c r="AF263" s="23">
        <v>52594.2</v>
      </c>
      <c r="AG263" s="23">
        <v>522221.76</v>
      </c>
      <c r="AH263" s="23">
        <v>20</v>
      </c>
      <c r="AI263" s="23">
        <v>301.69</v>
      </c>
      <c r="AJ263" s="33">
        <v>-5.7799999999999997E-2</v>
      </c>
      <c r="AK263" s="33">
        <v>0.1996</v>
      </c>
      <c r="AL263" s="23" t="s">
        <v>24</v>
      </c>
      <c r="AM263" s="23">
        <v>574.5</v>
      </c>
      <c r="AN263" s="23">
        <v>36719.85</v>
      </c>
      <c r="AO263" s="23">
        <v>583.29</v>
      </c>
      <c r="AQ263" s="50">
        <f t="shared" si="3"/>
        <v>4.8172323759791122E-2</v>
      </c>
      <c r="AR263" s="50"/>
      <c r="AS263" s="48"/>
      <c r="AT263" s="50"/>
      <c r="AV263" s="47">
        <v>44453</v>
      </c>
      <c r="AW263" s="51">
        <v>0.4375</v>
      </c>
      <c r="AX263" t="s">
        <v>162</v>
      </c>
    </row>
    <row r="264" spans="1:50">
      <c r="A264" s="23" t="s">
        <v>22</v>
      </c>
      <c r="B264" s="23" t="s">
        <v>25</v>
      </c>
      <c r="C264" s="28">
        <v>44453.635416666664</v>
      </c>
      <c r="D264" s="23">
        <v>568.5</v>
      </c>
      <c r="E264" s="28">
        <v>44454.4375</v>
      </c>
      <c r="F264" s="23">
        <v>568.75</v>
      </c>
      <c r="G264" s="33">
        <v>4.0000000000000002E-4</v>
      </c>
      <c r="H264" s="23">
        <v>22.05</v>
      </c>
      <c r="I264" s="33">
        <v>4.0000000000000002E-4</v>
      </c>
      <c r="J264" s="23">
        <v>88.196110000000004</v>
      </c>
      <c r="K264" s="23">
        <v>50139.48</v>
      </c>
      <c r="L264" s="23">
        <v>27666.62</v>
      </c>
      <c r="M264" s="23">
        <v>10</v>
      </c>
      <c r="N264" s="23">
        <v>2.2000000000000002</v>
      </c>
      <c r="O264" s="33">
        <v>-5.1000000000000004E-3</v>
      </c>
      <c r="P264" s="33">
        <v>1.54E-2</v>
      </c>
      <c r="Q264" s="23" t="s">
        <v>24</v>
      </c>
      <c r="R264" s="23">
        <v>0</v>
      </c>
      <c r="S264" s="23">
        <v>562.03</v>
      </c>
      <c r="U264" s="47">
        <v>44469</v>
      </c>
      <c r="V264" s="23" t="s">
        <v>138</v>
      </c>
      <c r="W264" s="23" t="s">
        <v>23</v>
      </c>
      <c r="X264" s="28">
        <v>44453.635416666664</v>
      </c>
      <c r="Y264" s="23">
        <v>24.375</v>
      </c>
      <c r="Z264" s="28">
        <v>44454.4375</v>
      </c>
      <c r="AA264" s="23">
        <v>24</v>
      </c>
      <c r="AB264" s="33">
        <v>-1.54E-2</v>
      </c>
      <c r="AC264" s="23">
        <v>809.56</v>
      </c>
      <c r="AD264" s="33">
        <v>1.54E-2</v>
      </c>
      <c r="AE264" s="23">
        <v>2158.8139999999999</v>
      </c>
      <c r="AF264" s="23">
        <v>52621.09</v>
      </c>
      <c r="AG264" s="23">
        <v>523031.32</v>
      </c>
      <c r="AH264" s="23">
        <v>10</v>
      </c>
      <c r="AI264" s="23">
        <v>80.959999999999994</v>
      </c>
      <c r="AJ264" s="33">
        <v>-6.6699999999999995E-2</v>
      </c>
      <c r="AK264" s="33">
        <v>0.2</v>
      </c>
      <c r="AL264" s="23" t="s">
        <v>24</v>
      </c>
      <c r="AM264" s="23">
        <v>568.5</v>
      </c>
      <c r="AN264" s="23">
        <v>36614.949999999997</v>
      </c>
      <c r="AO264" s="23">
        <v>562.03</v>
      </c>
      <c r="AQ264" s="50">
        <f t="shared" ref="AQ264:AQ327" si="4">Y264/AM264</f>
        <v>4.2875989445910291E-2</v>
      </c>
      <c r="AR264" s="50"/>
      <c r="AS264" s="48"/>
      <c r="AT264" s="50"/>
      <c r="AV264" s="47">
        <v>44453</v>
      </c>
      <c r="AW264" s="51">
        <v>0.13541666666666666</v>
      </c>
      <c r="AX264" t="s">
        <v>163</v>
      </c>
    </row>
    <row r="265" spans="1:50">
      <c r="A265" s="23" t="s">
        <v>22</v>
      </c>
      <c r="B265" s="23" t="s">
        <v>23</v>
      </c>
      <c r="C265" s="28">
        <v>44454.4375</v>
      </c>
      <c r="D265" s="23">
        <v>568.75</v>
      </c>
      <c r="E265" s="28">
        <v>44454.635416666664</v>
      </c>
      <c r="F265" s="23">
        <v>570</v>
      </c>
      <c r="G265" s="33">
        <v>2.2000000000000001E-3</v>
      </c>
      <c r="H265" s="23">
        <v>-110.19</v>
      </c>
      <c r="I265" s="33">
        <v>-2.2000000000000001E-3</v>
      </c>
      <c r="J265" s="23">
        <v>88.155450000000002</v>
      </c>
      <c r="K265" s="23">
        <v>50138.41</v>
      </c>
      <c r="L265" s="23">
        <v>27556.43</v>
      </c>
      <c r="M265" s="23">
        <v>20</v>
      </c>
      <c r="N265" s="23">
        <v>-5.51</v>
      </c>
      <c r="O265" s="33">
        <v>-5.3E-3</v>
      </c>
      <c r="P265" s="33">
        <v>4.4000000000000003E-3</v>
      </c>
      <c r="Q265" s="23" t="s">
        <v>24</v>
      </c>
      <c r="R265" s="23">
        <v>0</v>
      </c>
      <c r="S265" s="23">
        <v>577.25</v>
      </c>
      <c r="U265" s="47">
        <v>44469</v>
      </c>
      <c r="V265" s="23" t="s">
        <v>137</v>
      </c>
      <c r="W265" s="23" t="s">
        <v>23</v>
      </c>
      <c r="X265" s="28">
        <v>44454.4375</v>
      </c>
      <c r="Y265" s="23">
        <v>25.2</v>
      </c>
      <c r="Z265" s="28">
        <v>44454.635416666664</v>
      </c>
      <c r="AA265" s="23">
        <v>24.5</v>
      </c>
      <c r="AB265" s="33">
        <v>-2.7799999999999998E-2</v>
      </c>
      <c r="AC265" s="23">
        <v>1461.55</v>
      </c>
      <c r="AD265" s="33">
        <v>2.7799999999999998E-2</v>
      </c>
      <c r="AE265" s="23">
        <v>2087.924</v>
      </c>
      <c r="AF265" s="23">
        <v>52615.7</v>
      </c>
      <c r="AG265" s="23">
        <v>524492.86</v>
      </c>
      <c r="AH265" s="23">
        <v>20</v>
      </c>
      <c r="AI265" s="23">
        <v>73.08</v>
      </c>
      <c r="AJ265" s="33">
        <v>-3.1699999999999999E-2</v>
      </c>
      <c r="AK265" s="33">
        <v>6.9400000000000003E-2</v>
      </c>
      <c r="AL265" s="23" t="s">
        <v>24</v>
      </c>
      <c r="AM265" s="23">
        <v>568.75</v>
      </c>
      <c r="AN265" s="23">
        <v>36707.800000000003</v>
      </c>
      <c r="AO265" s="23">
        <v>577.25</v>
      </c>
      <c r="AQ265" s="50">
        <f t="shared" si="4"/>
        <v>4.4307692307692305E-2</v>
      </c>
      <c r="AR265" s="50"/>
      <c r="AS265" s="48"/>
      <c r="AT265" s="50"/>
      <c r="AV265" s="47">
        <v>44454</v>
      </c>
      <c r="AW265" s="51">
        <v>0.4375</v>
      </c>
      <c r="AX265" t="s">
        <v>162</v>
      </c>
    </row>
    <row r="266" spans="1:50">
      <c r="A266" s="23" t="s">
        <v>22</v>
      </c>
      <c r="B266" s="23" t="s">
        <v>25</v>
      </c>
      <c r="C266" s="28">
        <v>44454.635416666664</v>
      </c>
      <c r="D266" s="23">
        <v>570</v>
      </c>
      <c r="E266" s="28">
        <v>44455.385416666664</v>
      </c>
      <c r="F266" s="23">
        <v>569.04999999999995</v>
      </c>
      <c r="G266" s="33">
        <v>-1.6999999999999999E-3</v>
      </c>
      <c r="H266" s="23">
        <v>-83.56</v>
      </c>
      <c r="I266" s="33">
        <v>-1.6999999999999999E-3</v>
      </c>
      <c r="J266" s="23">
        <v>87.962720000000004</v>
      </c>
      <c r="K266" s="23">
        <v>50138.75</v>
      </c>
      <c r="L266" s="23">
        <v>27472.86</v>
      </c>
      <c r="M266" s="23">
        <v>5</v>
      </c>
      <c r="N266" s="23">
        <v>-16.71</v>
      </c>
      <c r="O266" s="33">
        <v>-7.0000000000000001E-3</v>
      </c>
      <c r="P266" s="33">
        <v>5.4000000000000003E-3</v>
      </c>
      <c r="Q266" s="23" t="s">
        <v>24</v>
      </c>
      <c r="R266" s="23">
        <v>0</v>
      </c>
      <c r="S266" s="23">
        <v>566.28</v>
      </c>
      <c r="U266" s="47">
        <v>44469</v>
      </c>
      <c r="V266" s="23" t="s">
        <v>138</v>
      </c>
      <c r="W266" s="23" t="s">
        <v>23</v>
      </c>
      <c r="X266" s="28">
        <v>44454.635416666664</v>
      </c>
      <c r="Y266" s="23">
        <v>22.5</v>
      </c>
      <c r="Z266" s="28">
        <v>44455.385416666664</v>
      </c>
      <c r="AA266" s="23">
        <v>23.4</v>
      </c>
      <c r="AB266" s="33">
        <v>0.04</v>
      </c>
      <c r="AC266" s="23">
        <v>-2105.0700000000002</v>
      </c>
      <c r="AD266" s="33">
        <v>-0.04</v>
      </c>
      <c r="AE266" s="23">
        <v>2338.962</v>
      </c>
      <c r="AF266" s="23">
        <v>52626.64</v>
      </c>
      <c r="AG266" s="23">
        <v>522387.8</v>
      </c>
      <c r="AH266" s="23">
        <v>5</v>
      </c>
      <c r="AI266" s="23">
        <v>-421.01</v>
      </c>
      <c r="AJ266" s="33">
        <v>-6.3299999999999995E-2</v>
      </c>
      <c r="AK266" s="33">
        <v>0</v>
      </c>
      <c r="AL266" s="23" t="s">
        <v>24</v>
      </c>
      <c r="AM266" s="23">
        <v>570</v>
      </c>
      <c r="AN266" s="23">
        <v>36860.949999999997</v>
      </c>
      <c r="AO266" s="23">
        <v>566.28</v>
      </c>
      <c r="AQ266" s="50">
        <f t="shared" si="4"/>
        <v>3.9473684210526314E-2</v>
      </c>
      <c r="AR266" s="50"/>
      <c r="AS266" s="48"/>
      <c r="AT266" s="50"/>
      <c r="AV266" s="47">
        <v>44454</v>
      </c>
      <c r="AW266" s="51">
        <v>0.13541666666666666</v>
      </c>
      <c r="AX266" t="s">
        <v>163</v>
      </c>
    </row>
    <row r="267" spans="1:50">
      <c r="A267" s="23" t="s">
        <v>22</v>
      </c>
      <c r="B267" s="23" t="s">
        <v>23</v>
      </c>
      <c r="C267" s="28">
        <v>44455.385416666664</v>
      </c>
      <c r="D267" s="23">
        <v>569.04999999999995</v>
      </c>
      <c r="E267" s="28">
        <v>44455.416666666664</v>
      </c>
      <c r="F267" s="23">
        <v>577.9</v>
      </c>
      <c r="G267" s="33">
        <v>1.5599999999999999E-2</v>
      </c>
      <c r="H267" s="23">
        <v>-779.78</v>
      </c>
      <c r="I267" s="33">
        <v>-1.5599999999999999E-2</v>
      </c>
      <c r="J267" s="23">
        <v>88.110240000000005</v>
      </c>
      <c r="K267" s="23">
        <v>50139.13</v>
      </c>
      <c r="L267" s="23">
        <v>26693.09</v>
      </c>
      <c r="M267" s="23">
        <v>4</v>
      </c>
      <c r="N267" s="23">
        <v>-194.94</v>
      </c>
      <c r="O267" s="33">
        <v>-1.5599999999999999E-2</v>
      </c>
      <c r="P267" s="33">
        <v>8.0000000000000002E-3</v>
      </c>
      <c r="Q267" s="23" t="s">
        <v>24</v>
      </c>
      <c r="R267" s="23">
        <v>0</v>
      </c>
      <c r="S267" s="23">
        <v>572.9</v>
      </c>
      <c r="U267" s="47">
        <v>44469</v>
      </c>
      <c r="V267" s="23" t="s">
        <v>137</v>
      </c>
      <c r="W267" s="23" t="s">
        <v>23</v>
      </c>
      <c r="X267" s="28">
        <v>44455.385416666664</v>
      </c>
      <c r="Y267" s="23">
        <v>24.5</v>
      </c>
      <c r="Z267" s="28">
        <v>44455.416666666664</v>
      </c>
      <c r="AA267" s="23">
        <v>28.4</v>
      </c>
      <c r="AB267" s="33">
        <v>0.15920000000000001</v>
      </c>
      <c r="AC267" s="23">
        <v>-8376.64</v>
      </c>
      <c r="AD267" s="33">
        <v>-0.15920000000000001</v>
      </c>
      <c r="AE267" s="23">
        <v>2147.8560000000002</v>
      </c>
      <c r="AF267" s="23">
        <v>52622.46</v>
      </c>
      <c r="AG267" s="23">
        <v>514011.16</v>
      </c>
      <c r="AH267" s="23">
        <v>4</v>
      </c>
      <c r="AI267" s="23">
        <v>-2094.16</v>
      </c>
      <c r="AJ267" s="33">
        <v>-0.15920000000000001</v>
      </c>
      <c r="AK267" s="33">
        <v>6.1199999999999997E-2</v>
      </c>
      <c r="AL267" s="23" t="s">
        <v>24</v>
      </c>
      <c r="AM267" s="23">
        <v>569.04999999999995</v>
      </c>
      <c r="AN267" s="23">
        <v>37036.35</v>
      </c>
      <c r="AO267" s="23">
        <v>572.9</v>
      </c>
      <c r="AQ267" s="50">
        <f t="shared" si="4"/>
        <v>4.3054213162288024E-2</v>
      </c>
      <c r="AR267" s="50"/>
      <c r="AS267" s="48"/>
      <c r="AT267" s="50"/>
      <c r="AV267" s="47">
        <v>44455</v>
      </c>
      <c r="AW267" s="51">
        <v>0.38541666666666669</v>
      </c>
      <c r="AX267" t="s">
        <v>162</v>
      </c>
    </row>
    <row r="268" spans="1:50">
      <c r="A268" s="23" t="s">
        <v>22</v>
      </c>
      <c r="B268" s="23" t="s">
        <v>25</v>
      </c>
      <c r="C268" s="28">
        <v>44455.416666666664</v>
      </c>
      <c r="D268" s="23">
        <v>577.9</v>
      </c>
      <c r="E268" s="28">
        <v>44455.541666666664</v>
      </c>
      <c r="F268" s="23">
        <v>573.07500000000005</v>
      </c>
      <c r="G268" s="33">
        <v>-8.3000000000000001E-3</v>
      </c>
      <c r="H268" s="23">
        <v>-418.61</v>
      </c>
      <c r="I268" s="33">
        <v>-8.3000000000000001E-3</v>
      </c>
      <c r="J268" s="23">
        <v>86.758480000000006</v>
      </c>
      <c r="K268" s="23">
        <v>50137.73</v>
      </c>
      <c r="L268" s="23">
        <v>26274.48</v>
      </c>
      <c r="M268" s="23">
        <v>13</v>
      </c>
      <c r="N268" s="23">
        <v>-32.200000000000003</v>
      </c>
      <c r="O268" s="33">
        <v>-1.7999999999999999E-2</v>
      </c>
      <c r="P268" s="33">
        <v>4.7999999999999996E-3</v>
      </c>
      <c r="Q268" s="23" t="s">
        <v>24</v>
      </c>
      <c r="R268" s="23">
        <v>0</v>
      </c>
      <c r="S268" s="23">
        <v>564.5</v>
      </c>
      <c r="U268" s="47">
        <v>44469</v>
      </c>
      <c r="V268" s="23" t="s">
        <v>148</v>
      </c>
      <c r="W268" s="23" t="s">
        <v>23</v>
      </c>
      <c r="X268" s="28">
        <v>44455.416666666664</v>
      </c>
      <c r="Y268" s="23">
        <v>23.9</v>
      </c>
      <c r="Z268" s="28">
        <v>44455.541666666664</v>
      </c>
      <c r="AA268" s="23">
        <v>25.15</v>
      </c>
      <c r="AB268" s="33">
        <v>5.2299999999999999E-2</v>
      </c>
      <c r="AC268" s="23">
        <v>-2752.06</v>
      </c>
      <c r="AD268" s="33">
        <v>-5.2299999999999999E-2</v>
      </c>
      <c r="AE268" s="23">
        <v>2201.6509999999998</v>
      </c>
      <c r="AF268" s="23">
        <v>52619.46</v>
      </c>
      <c r="AG268" s="23">
        <v>511259.1</v>
      </c>
      <c r="AH268" s="23">
        <v>13</v>
      </c>
      <c r="AI268" s="23">
        <v>-211.7</v>
      </c>
      <c r="AJ268" s="33">
        <v>-0.17150000000000001</v>
      </c>
      <c r="AK268" s="33">
        <v>9.3100000000000002E-2</v>
      </c>
      <c r="AL268" s="23" t="s">
        <v>24</v>
      </c>
      <c r="AM268" s="23">
        <v>577.9</v>
      </c>
      <c r="AN268" s="23">
        <v>37119.15</v>
      </c>
      <c r="AO268" s="23">
        <v>564.5</v>
      </c>
      <c r="AQ268" s="50">
        <f t="shared" si="4"/>
        <v>4.1356636096210417E-2</v>
      </c>
      <c r="AR268" s="50"/>
      <c r="AS268" s="48"/>
      <c r="AT268" s="50"/>
      <c r="AV268" s="47">
        <v>44455</v>
      </c>
      <c r="AW268" s="51">
        <v>0.41666666666666669</v>
      </c>
      <c r="AX268" t="s">
        <v>162</v>
      </c>
    </row>
    <row r="269" spans="1:50">
      <c r="A269" s="23" t="s">
        <v>22</v>
      </c>
      <c r="B269" s="23" t="s">
        <v>23</v>
      </c>
      <c r="C269" s="28">
        <v>44455.541666666664</v>
      </c>
      <c r="D269" s="23">
        <v>573.07500000000005</v>
      </c>
      <c r="E269" s="28">
        <v>44455.625</v>
      </c>
      <c r="F269" s="23">
        <v>577.4</v>
      </c>
      <c r="G269" s="33">
        <v>7.4999999999999997E-3</v>
      </c>
      <c r="H269" s="23">
        <v>-378.34</v>
      </c>
      <c r="I269" s="33">
        <v>-7.4999999999999997E-3</v>
      </c>
      <c r="J269" s="23">
        <v>87.478520000000003</v>
      </c>
      <c r="K269" s="23">
        <v>50131.75</v>
      </c>
      <c r="L269" s="23">
        <v>25896.13</v>
      </c>
      <c r="M269" s="23">
        <v>9</v>
      </c>
      <c r="N269" s="23">
        <v>-42.04</v>
      </c>
      <c r="O269" s="33">
        <v>-7.4999999999999997E-3</v>
      </c>
      <c r="P269" s="33">
        <v>3.5000000000000001E-3</v>
      </c>
      <c r="Q269" s="23" t="s">
        <v>24</v>
      </c>
      <c r="R269" s="23">
        <v>0</v>
      </c>
      <c r="S269" s="23">
        <v>580.65</v>
      </c>
      <c r="U269" s="47">
        <v>44469</v>
      </c>
      <c r="V269" s="23" t="s">
        <v>137</v>
      </c>
      <c r="W269" s="23" t="s">
        <v>23</v>
      </c>
      <c r="X269" s="28">
        <v>44455.541666666664</v>
      </c>
      <c r="Y269" s="23">
        <v>25.75</v>
      </c>
      <c r="Z269" s="28">
        <v>44455.625</v>
      </c>
      <c r="AA269" s="23">
        <v>27.975000000000001</v>
      </c>
      <c r="AB269" s="33">
        <v>8.6400000000000005E-2</v>
      </c>
      <c r="AC269" s="23">
        <v>-4541.2700000000004</v>
      </c>
      <c r="AD269" s="33">
        <v>-8.6400000000000005E-2</v>
      </c>
      <c r="AE269" s="23">
        <v>2041.021</v>
      </c>
      <c r="AF269" s="23">
        <v>52556.3</v>
      </c>
      <c r="AG269" s="23">
        <v>506717.82</v>
      </c>
      <c r="AH269" s="23">
        <v>9</v>
      </c>
      <c r="AI269" s="23">
        <v>-504.59</v>
      </c>
      <c r="AJ269" s="33">
        <v>-8.6400000000000005E-2</v>
      </c>
      <c r="AK269" s="33">
        <v>4.0800000000000003E-2</v>
      </c>
      <c r="AL269" s="23" t="s">
        <v>24</v>
      </c>
      <c r="AM269" s="23">
        <v>573.08000000000004</v>
      </c>
      <c r="AN269" s="23">
        <v>37409.050000000003</v>
      </c>
      <c r="AO269" s="23">
        <v>580.65</v>
      </c>
      <c r="AQ269" s="50">
        <f t="shared" si="4"/>
        <v>4.4932644656941439E-2</v>
      </c>
      <c r="AR269" s="50"/>
      <c r="AS269" s="48"/>
      <c r="AT269" s="50"/>
      <c r="AV269" s="47">
        <v>44455</v>
      </c>
      <c r="AW269" s="51">
        <v>4.1666666666666664E-2</v>
      </c>
      <c r="AX269" t="s">
        <v>163</v>
      </c>
    </row>
    <row r="270" spans="1:50">
      <c r="A270" s="23" t="s">
        <v>22</v>
      </c>
      <c r="B270" s="23" t="s">
        <v>25</v>
      </c>
      <c r="C270" s="28">
        <v>44455.625</v>
      </c>
      <c r="D270" s="23">
        <v>577.4</v>
      </c>
      <c r="E270" s="28">
        <v>44456.385416666664</v>
      </c>
      <c r="F270" s="23">
        <v>574.5</v>
      </c>
      <c r="G270" s="33">
        <v>-5.0000000000000001E-3</v>
      </c>
      <c r="H270" s="23">
        <v>-251.78</v>
      </c>
      <c r="I270" s="33">
        <v>-5.0000000000000001E-3</v>
      </c>
      <c r="J270" s="23">
        <v>86.820859999999996</v>
      </c>
      <c r="K270" s="23">
        <v>50130.37</v>
      </c>
      <c r="L270" s="23">
        <v>25644.35</v>
      </c>
      <c r="M270" s="23">
        <v>6</v>
      </c>
      <c r="N270" s="23">
        <v>-41.96</v>
      </c>
      <c r="O270" s="33">
        <v>-5.0000000000000001E-3</v>
      </c>
      <c r="P270" s="33">
        <v>1.4E-3</v>
      </c>
      <c r="Q270" s="23" t="s">
        <v>24</v>
      </c>
      <c r="R270" s="23">
        <v>0</v>
      </c>
      <c r="S270" s="23">
        <v>571.08000000000004</v>
      </c>
      <c r="U270" s="47">
        <v>44469</v>
      </c>
      <c r="V270" s="23" t="s">
        <v>148</v>
      </c>
      <c r="W270" s="23" t="s">
        <v>23</v>
      </c>
      <c r="X270" s="28">
        <v>44455.625</v>
      </c>
      <c r="Y270" s="23">
        <v>24</v>
      </c>
      <c r="Z270" s="28">
        <v>44456.385416666664</v>
      </c>
      <c r="AA270" s="23">
        <v>25.774999999999999</v>
      </c>
      <c r="AB270" s="33">
        <v>7.3999999999999996E-2</v>
      </c>
      <c r="AC270" s="23">
        <v>-3886.24</v>
      </c>
      <c r="AD270" s="33">
        <v>-7.3999999999999996E-2</v>
      </c>
      <c r="AE270" s="23">
        <v>2189.431</v>
      </c>
      <c r="AF270" s="23">
        <v>52546.35</v>
      </c>
      <c r="AG270" s="23">
        <v>502831.58</v>
      </c>
      <c r="AH270" s="23">
        <v>6</v>
      </c>
      <c r="AI270" s="23">
        <v>-647.71</v>
      </c>
      <c r="AJ270" s="33">
        <v>-7.3999999999999996E-2</v>
      </c>
      <c r="AK270" s="33">
        <v>5.4199999999999998E-2</v>
      </c>
      <c r="AL270" s="23" t="s">
        <v>24</v>
      </c>
      <c r="AM270" s="23">
        <v>577.4</v>
      </c>
      <c r="AN270" s="23">
        <v>37630.699999999997</v>
      </c>
      <c r="AO270" s="23">
        <v>571.08000000000004</v>
      </c>
      <c r="AQ270" s="50">
        <f t="shared" si="4"/>
        <v>4.156563907170073E-2</v>
      </c>
      <c r="AR270" s="50"/>
      <c r="AS270" s="48"/>
      <c r="AT270" s="50"/>
      <c r="AV270" s="47">
        <v>44455</v>
      </c>
      <c r="AW270" s="51">
        <v>0.125</v>
      </c>
      <c r="AX270" t="s">
        <v>163</v>
      </c>
    </row>
    <row r="271" spans="1:50">
      <c r="A271" s="23" t="s">
        <v>22</v>
      </c>
      <c r="B271" s="23" t="s">
        <v>23</v>
      </c>
      <c r="C271" s="28">
        <v>44456.385416666664</v>
      </c>
      <c r="D271" s="23">
        <v>574.5</v>
      </c>
      <c r="E271" s="28">
        <v>44456.614583333336</v>
      </c>
      <c r="F271" s="23">
        <v>560.27499999999998</v>
      </c>
      <c r="G271" s="33">
        <v>-2.4799999999999999E-2</v>
      </c>
      <c r="H271" s="23">
        <v>1241.24</v>
      </c>
      <c r="I271" s="33">
        <v>2.4799999999999999E-2</v>
      </c>
      <c r="J271" s="23">
        <v>87.257660000000001</v>
      </c>
      <c r="K271" s="23">
        <v>50129.53</v>
      </c>
      <c r="L271" s="23">
        <v>26885.59</v>
      </c>
      <c r="M271" s="23">
        <v>23</v>
      </c>
      <c r="N271" s="23">
        <v>53.97</v>
      </c>
      <c r="O271" s="33">
        <v>-1.2200000000000001E-2</v>
      </c>
      <c r="P271" s="33">
        <v>5.0799999999999998E-2</v>
      </c>
      <c r="Q271" s="23" t="s">
        <v>24</v>
      </c>
      <c r="R271" s="23">
        <v>0</v>
      </c>
      <c r="S271" s="23">
        <v>581.5</v>
      </c>
      <c r="U271" s="47">
        <v>44469</v>
      </c>
      <c r="V271" s="23" t="s">
        <v>137</v>
      </c>
      <c r="W271" s="23" t="s">
        <v>23</v>
      </c>
      <c r="X271" s="28">
        <v>44456.385416666664</v>
      </c>
      <c r="Y271" s="23">
        <v>25.6</v>
      </c>
      <c r="Z271" s="28">
        <v>44456.614583333336</v>
      </c>
      <c r="AA271" s="23">
        <v>19.3</v>
      </c>
      <c r="AB271" s="33">
        <v>-0.24610000000000001</v>
      </c>
      <c r="AC271" s="23">
        <v>12928.19</v>
      </c>
      <c r="AD271" s="33">
        <v>0.24610000000000001</v>
      </c>
      <c r="AE271" s="23">
        <v>2052.0929999999998</v>
      </c>
      <c r="AF271" s="23">
        <v>52533.59</v>
      </c>
      <c r="AG271" s="23">
        <v>515759.77</v>
      </c>
      <c r="AH271" s="23">
        <v>23</v>
      </c>
      <c r="AI271" s="23">
        <v>562.1</v>
      </c>
      <c r="AJ271" s="33">
        <v>-0.1865</v>
      </c>
      <c r="AK271" s="33">
        <v>0.44040000000000001</v>
      </c>
      <c r="AL271" s="23" t="s">
        <v>24</v>
      </c>
      <c r="AM271" s="23">
        <v>574.5</v>
      </c>
      <c r="AN271" s="23">
        <v>37864.449999999997</v>
      </c>
      <c r="AO271" s="23">
        <v>581.5</v>
      </c>
      <c r="AQ271" s="50">
        <f t="shared" si="4"/>
        <v>4.4560487380330728E-2</v>
      </c>
      <c r="AR271" s="50"/>
      <c r="AS271" s="48"/>
      <c r="AT271" s="50"/>
      <c r="AV271" s="47">
        <v>44456</v>
      </c>
      <c r="AW271" s="51">
        <v>0.38541666666666669</v>
      </c>
      <c r="AX271" t="s">
        <v>162</v>
      </c>
    </row>
    <row r="272" spans="1:50">
      <c r="A272" s="23" t="s">
        <v>22</v>
      </c>
      <c r="B272" s="23" t="s">
        <v>25</v>
      </c>
      <c r="C272" s="28">
        <v>44456.614583333336</v>
      </c>
      <c r="D272" s="23">
        <v>560.27499999999998</v>
      </c>
      <c r="E272" s="28">
        <v>44459.385416666664</v>
      </c>
      <c r="F272" s="23">
        <v>556.5</v>
      </c>
      <c r="G272" s="33">
        <v>-6.7000000000000002E-3</v>
      </c>
      <c r="H272" s="23">
        <v>-337.8</v>
      </c>
      <c r="I272" s="33">
        <v>-6.7000000000000002E-3</v>
      </c>
      <c r="J272" s="23">
        <v>89.484179999999995</v>
      </c>
      <c r="K272" s="23">
        <v>50135.75</v>
      </c>
      <c r="L272" s="23">
        <v>26547.79</v>
      </c>
      <c r="M272" s="23">
        <v>7</v>
      </c>
      <c r="N272" s="23">
        <v>-48.26</v>
      </c>
      <c r="O272" s="33">
        <v>-2.35E-2</v>
      </c>
      <c r="P272" s="33">
        <v>4.4999999999999997E-3</v>
      </c>
      <c r="Q272" s="23" t="s">
        <v>24</v>
      </c>
      <c r="R272" s="23">
        <v>0</v>
      </c>
      <c r="S272" s="23">
        <v>545.64</v>
      </c>
      <c r="U272" s="47">
        <v>44469</v>
      </c>
      <c r="V272" s="23" t="s">
        <v>140</v>
      </c>
      <c r="W272" s="23" t="s">
        <v>23</v>
      </c>
      <c r="X272" s="28">
        <v>44456.614583333336</v>
      </c>
      <c r="Y272" s="23">
        <v>20.7</v>
      </c>
      <c r="Z272" s="28">
        <v>44459.385416666664</v>
      </c>
      <c r="AA272" s="23">
        <v>22.2</v>
      </c>
      <c r="AB272" s="33">
        <v>7.2499999999999995E-2</v>
      </c>
      <c r="AC272" s="23">
        <v>-3811.6</v>
      </c>
      <c r="AD272" s="33">
        <v>-7.2499999999999995E-2</v>
      </c>
      <c r="AE272" s="23">
        <v>2541.067</v>
      </c>
      <c r="AF272" s="23">
        <v>52600.09</v>
      </c>
      <c r="AG272" s="23">
        <v>511948.17</v>
      </c>
      <c r="AH272" s="23">
        <v>7</v>
      </c>
      <c r="AI272" s="23">
        <v>-544.51</v>
      </c>
      <c r="AJ272" s="33">
        <v>-0.43480000000000002</v>
      </c>
      <c r="AK272" s="33">
        <v>1.8100000000000002E-2</v>
      </c>
      <c r="AL272" s="23" t="s">
        <v>24</v>
      </c>
      <c r="AM272" s="23">
        <v>560.28</v>
      </c>
      <c r="AN272" s="23">
        <v>37643.300000000003</v>
      </c>
      <c r="AO272" s="23">
        <v>545.64</v>
      </c>
      <c r="AQ272" s="50">
        <f t="shared" si="4"/>
        <v>3.6945812807881777E-2</v>
      </c>
      <c r="AR272" s="50"/>
      <c r="AS272" s="48"/>
      <c r="AT272" s="50"/>
      <c r="AV272" s="47">
        <v>44456</v>
      </c>
      <c r="AW272" s="51">
        <v>0.11458333333333333</v>
      </c>
      <c r="AX272" t="s">
        <v>163</v>
      </c>
    </row>
    <row r="273" spans="1:50">
      <c r="A273" s="23" t="s">
        <v>22</v>
      </c>
      <c r="B273" s="23" t="s">
        <v>23</v>
      </c>
      <c r="C273" s="28">
        <v>44459.385416666664</v>
      </c>
      <c r="D273" s="23">
        <v>556.5</v>
      </c>
      <c r="E273" s="28">
        <v>44459.416666666664</v>
      </c>
      <c r="F273" s="23">
        <v>561</v>
      </c>
      <c r="G273" s="33">
        <v>8.0999999999999996E-3</v>
      </c>
      <c r="H273" s="23">
        <v>-405.36</v>
      </c>
      <c r="I273" s="33">
        <v>-8.0999999999999996E-3</v>
      </c>
      <c r="J273" s="23">
        <v>90.080119999999994</v>
      </c>
      <c r="K273" s="23">
        <v>50129.59</v>
      </c>
      <c r="L273" s="23">
        <v>26142.43</v>
      </c>
      <c r="M273" s="23">
        <v>4</v>
      </c>
      <c r="N273" s="23">
        <v>-101.34</v>
      </c>
      <c r="O273" s="33">
        <v>-8.0999999999999996E-3</v>
      </c>
      <c r="P273" s="33">
        <v>2.52E-2</v>
      </c>
      <c r="Q273" s="23" t="s">
        <v>24</v>
      </c>
      <c r="R273" s="23">
        <v>0</v>
      </c>
      <c r="S273" s="23">
        <v>561.97</v>
      </c>
      <c r="U273" s="47">
        <v>44469</v>
      </c>
      <c r="V273" s="23" t="s">
        <v>126</v>
      </c>
      <c r="W273" s="23" t="s">
        <v>23</v>
      </c>
      <c r="X273" s="28">
        <v>44459.385416666664</v>
      </c>
      <c r="Y273" s="23">
        <v>20.9</v>
      </c>
      <c r="Z273" s="28">
        <v>44459.416666666664</v>
      </c>
      <c r="AA273" s="23">
        <v>22.5</v>
      </c>
      <c r="AB273" s="33">
        <v>7.6600000000000001E-2</v>
      </c>
      <c r="AC273" s="23">
        <v>-4023.01</v>
      </c>
      <c r="AD273" s="33">
        <v>-7.6600000000000001E-2</v>
      </c>
      <c r="AE273" s="23">
        <v>2514.3789999999999</v>
      </c>
      <c r="AF273" s="23">
        <v>52550.53</v>
      </c>
      <c r="AG273" s="23">
        <v>507925.16</v>
      </c>
      <c r="AH273" s="23">
        <v>4</v>
      </c>
      <c r="AI273" s="23">
        <v>-1005.75</v>
      </c>
      <c r="AJ273" s="33">
        <v>-7.6600000000000001E-2</v>
      </c>
      <c r="AK273" s="33">
        <v>0.32890000000000003</v>
      </c>
      <c r="AL273" s="23" t="s">
        <v>24</v>
      </c>
      <c r="AM273" s="23">
        <v>556.5</v>
      </c>
      <c r="AN273" s="23">
        <v>37514</v>
      </c>
      <c r="AO273" s="23">
        <v>561.97</v>
      </c>
      <c r="AQ273" s="50">
        <f t="shared" si="4"/>
        <v>3.7556154537286612E-2</v>
      </c>
      <c r="AR273" s="50"/>
      <c r="AS273" s="48"/>
      <c r="AT273" s="50"/>
      <c r="AV273" s="47">
        <v>44459</v>
      </c>
      <c r="AW273" s="51">
        <v>0.38541666666666669</v>
      </c>
      <c r="AX273" t="s">
        <v>162</v>
      </c>
    </row>
    <row r="274" spans="1:50">
      <c r="A274" s="23" t="s">
        <v>22</v>
      </c>
      <c r="B274" s="23" t="s">
        <v>25</v>
      </c>
      <c r="C274" s="28">
        <v>44459.416666666664</v>
      </c>
      <c r="D274" s="23">
        <v>561</v>
      </c>
      <c r="E274" s="28">
        <v>44459.572916666664</v>
      </c>
      <c r="F274" s="23">
        <v>554.1</v>
      </c>
      <c r="G274" s="33">
        <v>-1.23E-2</v>
      </c>
      <c r="H274" s="23">
        <v>-616.6</v>
      </c>
      <c r="I274" s="33">
        <v>-1.23E-2</v>
      </c>
      <c r="J274" s="23">
        <v>89.362110000000001</v>
      </c>
      <c r="K274" s="23">
        <v>50132.14</v>
      </c>
      <c r="L274" s="23">
        <v>25525.83</v>
      </c>
      <c r="M274" s="23">
        <v>16</v>
      </c>
      <c r="N274" s="23">
        <v>-38.54</v>
      </c>
      <c r="O274" s="33">
        <v>-1.23E-2</v>
      </c>
      <c r="P274" s="33">
        <v>7.1000000000000004E-3</v>
      </c>
      <c r="Q274" s="23" t="s">
        <v>24</v>
      </c>
      <c r="R274" s="23">
        <v>0</v>
      </c>
      <c r="S274" s="23">
        <v>543.29</v>
      </c>
      <c r="U274" s="47">
        <v>44469</v>
      </c>
      <c r="V274" s="23" t="s">
        <v>140</v>
      </c>
      <c r="W274" s="23" t="s">
        <v>23</v>
      </c>
      <c r="X274" s="28">
        <v>44459.416666666664</v>
      </c>
      <c r="Y274" s="23">
        <v>20</v>
      </c>
      <c r="Z274" s="28">
        <v>44459.572916666664</v>
      </c>
      <c r="AA274" s="23">
        <v>22.675000000000001</v>
      </c>
      <c r="AB274" s="33">
        <v>0.13370000000000001</v>
      </c>
      <c r="AC274" s="23">
        <v>-7032.6</v>
      </c>
      <c r="AD274" s="33">
        <v>-0.13370000000000001</v>
      </c>
      <c r="AE274" s="23">
        <v>2629.009</v>
      </c>
      <c r="AF274" s="23">
        <v>52580.17</v>
      </c>
      <c r="AG274" s="23">
        <v>500892.57</v>
      </c>
      <c r="AH274" s="23">
        <v>16</v>
      </c>
      <c r="AI274" s="23">
        <v>-439.54</v>
      </c>
      <c r="AJ274" s="33">
        <v>-0.13370000000000001</v>
      </c>
      <c r="AK274" s="33">
        <v>7.4999999999999997E-2</v>
      </c>
      <c r="AL274" s="23" t="s">
        <v>24</v>
      </c>
      <c r="AM274" s="23">
        <v>561</v>
      </c>
      <c r="AN274" s="23">
        <v>37641.300000000003</v>
      </c>
      <c r="AO274" s="23">
        <v>543.29</v>
      </c>
      <c r="AQ274" s="50">
        <f t="shared" si="4"/>
        <v>3.5650623885918005E-2</v>
      </c>
      <c r="AR274" s="50"/>
      <c r="AS274" s="48"/>
      <c r="AT274" s="50"/>
      <c r="AV274" s="47">
        <v>44459</v>
      </c>
      <c r="AW274" s="51">
        <v>0.41666666666666669</v>
      </c>
      <c r="AX274" t="s">
        <v>162</v>
      </c>
    </row>
    <row r="275" spans="1:50">
      <c r="A275" s="23" t="s">
        <v>22</v>
      </c>
      <c r="B275" s="23" t="s">
        <v>23</v>
      </c>
      <c r="C275" s="28">
        <v>44459.572916666664</v>
      </c>
      <c r="D275" s="23">
        <v>554.1</v>
      </c>
      <c r="E275" s="28">
        <v>44460.604166666664</v>
      </c>
      <c r="F275" s="23">
        <v>542.92499999999995</v>
      </c>
      <c r="G275" s="33">
        <v>-2.0199999999999999E-2</v>
      </c>
      <c r="H275" s="23">
        <v>1010.99</v>
      </c>
      <c r="I275" s="33">
        <v>2.0199999999999999E-2</v>
      </c>
      <c r="J275" s="23">
        <v>90.468509999999995</v>
      </c>
      <c r="K275" s="23">
        <v>50128.6</v>
      </c>
      <c r="L275" s="23">
        <v>26536.82</v>
      </c>
      <c r="M275" s="23">
        <v>32</v>
      </c>
      <c r="N275" s="23">
        <v>31.59</v>
      </c>
      <c r="O275" s="33">
        <v>-1.06E-2</v>
      </c>
      <c r="P275" s="33">
        <v>3.2800000000000003E-2</v>
      </c>
      <c r="Q275" s="23" t="s">
        <v>24</v>
      </c>
      <c r="R275" s="23">
        <v>0</v>
      </c>
      <c r="S275" s="23">
        <v>565</v>
      </c>
      <c r="U275" s="47">
        <v>44469</v>
      </c>
      <c r="V275" s="23" t="s">
        <v>120</v>
      </c>
      <c r="W275" s="23" t="s">
        <v>23</v>
      </c>
      <c r="X275" s="28">
        <v>44459.572916666664</v>
      </c>
      <c r="Y275" s="23">
        <v>22.5</v>
      </c>
      <c r="Z275" s="28">
        <v>44460.604166666664</v>
      </c>
      <c r="AA275" s="23">
        <v>13.775</v>
      </c>
      <c r="AB275" s="33">
        <v>-0.38779999999999998</v>
      </c>
      <c r="AC275" s="23">
        <v>20363.5</v>
      </c>
      <c r="AD275" s="33">
        <v>0.38779999999999998</v>
      </c>
      <c r="AE275" s="23">
        <v>2333.9259999999999</v>
      </c>
      <c r="AF275" s="23">
        <v>52513.34</v>
      </c>
      <c r="AG275" s="23">
        <v>521256.07</v>
      </c>
      <c r="AH275" s="23">
        <v>32</v>
      </c>
      <c r="AI275" s="23">
        <v>636.36</v>
      </c>
      <c r="AJ275" s="33">
        <v>-0.1111</v>
      </c>
      <c r="AK275" s="33">
        <v>0.43330000000000002</v>
      </c>
      <c r="AL275" s="23" t="s">
        <v>24</v>
      </c>
      <c r="AM275" s="23">
        <v>554.1</v>
      </c>
      <c r="AN275" s="23">
        <v>37422.6</v>
      </c>
      <c r="AO275" s="23">
        <v>565</v>
      </c>
      <c r="AQ275" s="50">
        <f t="shared" si="4"/>
        <v>4.0606388738494856E-2</v>
      </c>
      <c r="AR275" s="50"/>
      <c r="AS275" s="48"/>
      <c r="AT275" s="50"/>
      <c r="AV275" s="47">
        <v>44459</v>
      </c>
      <c r="AW275" s="51">
        <v>7.2916666666666671E-2</v>
      </c>
      <c r="AX275" t="s">
        <v>163</v>
      </c>
    </row>
    <row r="276" spans="1:50">
      <c r="A276" s="23" t="s">
        <v>22</v>
      </c>
      <c r="B276" s="23" t="s">
        <v>25</v>
      </c>
      <c r="C276" s="28">
        <v>44460.604166666664</v>
      </c>
      <c r="D276" s="23">
        <v>542.92499999999995</v>
      </c>
      <c r="E276" s="28">
        <v>44461.458333333336</v>
      </c>
      <c r="F276" s="23">
        <v>543.82500000000005</v>
      </c>
      <c r="G276" s="33">
        <v>1.6999999999999999E-3</v>
      </c>
      <c r="H276" s="23">
        <v>83.11</v>
      </c>
      <c r="I276" s="33">
        <v>1.6999999999999999E-3</v>
      </c>
      <c r="J276" s="23">
        <v>92.338939999999994</v>
      </c>
      <c r="K276" s="23">
        <v>50133.120000000003</v>
      </c>
      <c r="L276" s="23">
        <v>26619.919999999998</v>
      </c>
      <c r="M276" s="23">
        <v>15</v>
      </c>
      <c r="N276" s="23">
        <v>5.54</v>
      </c>
      <c r="O276" s="33">
        <v>-5.3E-3</v>
      </c>
      <c r="P276" s="33">
        <v>1.54E-2</v>
      </c>
      <c r="Q276" s="23" t="s">
        <v>24</v>
      </c>
      <c r="R276" s="23">
        <v>0</v>
      </c>
      <c r="S276" s="23">
        <v>536.09</v>
      </c>
      <c r="U276" s="47">
        <v>44469</v>
      </c>
      <c r="V276" s="23" t="s">
        <v>122</v>
      </c>
      <c r="W276" s="23" t="s">
        <v>23</v>
      </c>
      <c r="X276" s="28">
        <v>44460.604166666664</v>
      </c>
      <c r="Y276" s="23">
        <v>14.4</v>
      </c>
      <c r="Z276" s="28">
        <v>44461.458333333336</v>
      </c>
      <c r="AA276" s="23">
        <v>15.025</v>
      </c>
      <c r="AB276" s="33">
        <v>4.3400000000000001E-2</v>
      </c>
      <c r="AC276" s="23">
        <v>-2283.27</v>
      </c>
      <c r="AD276" s="33">
        <v>-4.3400000000000001E-2</v>
      </c>
      <c r="AE276" s="23">
        <v>3653.2339999999999</v>
      </c>
      <c r="AF276" s="23">
        <v>52606.57</v>
      </c>
      <c r="AG276" s="23">
        <v>518972.8</v>
      </c>
      <c r="AH276" s="23">
        <v>15</v>
      </c>
      <c r="AI276" s="23">
        <v>-152.22</v>
      </c>
      <c r="AJ276" s="33">
        <v>-9.9000000000000005E-2</v>
      </c>
      <c r="AK276" s="33">
        <v>9.0300000000000005E-2</v>
      </c>
      <c r="AL276" s="23" t="s">
        <v>24</v>
      </c>
      <c r="AM276" s="23">
        <v>542.91999999999996</v>
      </c>
      <c r="AN276" s="23">
        <v>37133.85</v>
      </c>
      <c r="AO276" s="23">
        <v>536.09</v>
      </c>
      <c r="AQ276" s="50">
        <f t="shared" si="4"/>
        <v>2.6523244676932147E-2</v>
      </c>
      <c r="AR276" s="50"/>
      <c r="AS276" s="48"/>
      <c r="AT276" s="50"/>
      <c r="AV276" s="47">
        <v>44460</v>
      </c>
      <c r="AW276" s="51">
        <v>0.10416666666666667</v>
      </c>
      <c r="AX276" t="s">
        <v>163</v>
      </c>
    </row>
    <row r="277" spans="1:50">
      <c r="A277" s="23" t="s">
        <v>22</v>
      </c>
      <c r="B277" s="23" t="s">
        <v>23</v>
      </c>
      <c r="C277" s="28">
        <v>44461.458333333336</v>
      </c>
      <c r="D277" s="23">
        <v>543.82500000000005</v>
      </c>
      <c r="E277" s="28">
        <v>44462.385416666664</v>
      </c>
      <c r="F277" s="23">
        <v>547.15</v>
      </c>
      <c r="G277" s="33">
        <v>6.1000000000000004E-3</v>
      </c>
      <c r="H277" s="23">
        <v>-306.52</v>
      </c>
      <c r="I277" s="33">
        <v>-6.1000000000000004E-3</v>
      </c>
      <c r="J277" s="23">
        <v>92.186980000000005</v>
      </c>
      <c r="K277" s="23">
        <v>50133.59</v>
      </c>
      <c r="L277" s="23">
        <v>26313.4</v>
      </c>
      <c r="M277" s="23">
        <v>22</v>
      </c>
      <c r="N277" s="23">
        <v>-13.93</v>
      </c>
      <c r="O277" s="33">
        <v>-1.14E-2</v>
      </c>
      <c r="P277" s="33">
        <v>7.0000000000000001E-3</v>
      </c>
      <c r="Q277" s="23" t="s">
        <v>24</v>
      </c>
      <c r="R277" s="23">
        <v>0</v>
      </c>
      <c r="S277" s="23">
        <v>551.29999999999995</v>
      </c>
      <c r="U277" s="47">
        <v>44469</v>
      </c>
      <c r="V277" s="23" t="s">
        <v>123</v>
      </c>
      <c r="W277" s="23" t="s">
        <v>23</v>
      </c>
      <c r="X277" s="28">
        <v>44461.458333333336</v>
      </c>
      <c r="Y277" s="23">
        <v>19.05</v>
      </c>
      <c r="Z277" s="28">
        <v>44462.385416666664</v>
      </c>
      <c r="AA277" s="23">
        <v>20</v>
      </c>
      <c r="AB277" s="33">
        <v>4.99E-2</v>
      </c>
      <c r="AC277" s="23">
        <v>-2623.89</v>
      </c>
      <c r="AD277" s="33">
        <v>-4.99E-2</v>
      </c>
      <c r="AE277" s="23">
        <v>2761.9879999999998</v>
      </c>
      <c r="AF277" s="23">
        <v>52615.87</v>
      </c>
      <c r="AG277" s="23">
        <v>516348.91</v>
      </c>
      <c r="AH277" s="23">
        <v>22</v>
      </c>
      <c r="AI277" s="23">
        <v>-119.27</v>
      </c>
      <c r="AJ277" s="33">
        <v>-0.1129</v>
      </c>
      <c r="AK277" s="33">
        <v>0.105</v>
      </c>
      <c r="AL277" s="23" t="s">
        <v>24</v>
      </c>
      <c r="AM277" s="23">
        <v>543.83000000000004</v>
      </c>
      <c r="AN277" s="23">
        <v>37041.75</v>
      </c>
      <c r="AO277" s="23">
        <v>551.29999999999995</v>
      </c>
      <c r="AQ277" s="50">
        <f t="shared" si="4"/>
        <v>3.5029329018259378E-2</v>
      </c>
      <c r="AR277" s="50"/>
      <c r="AS277" s="48"/>
      <c r="AT277" s="50"/>
      <c r="AV277" s="47">
        <v>44461</v>
      </c>
      <c r="AW277" s="51">
        <v>0.45833333333333331</v>
      </c>
      <c r="AX277" t="s">
        <v>162</v>
      </c>
    </row>
    <row r="278" spans="1:50">
      <c r="A278" s="23" t="s">
        <v>22</v>
      </c>
      <c r="B278" s="23" t="s">
        <v>25</v>
      </c>
      <c r="C278" s="28">
        <v>44462.385416666664</v>
      </c>
      <c r="D278" s="23">
        <v>547.15</v>
      </c>
      <c r="E278" s="28">
        <v>44462.520833333336</v>
      </c>
      <c r="F278" s="23">
        <v>551.875</v>
      </c>
      <c r="G278" s="33">
        <v>8.6E-3</v>
      </c>
      <c r="H278" s="23">
        <v>432.92</v>
      </c>
      <c r="I278" s="33">
        <v>8.6E-3</v>
      </c>
      <c r="J278" s="23">
        <v>91.623279999999994</v>
      </c>
      <c r="K278" s="23">
        <v>50131.68</v>
      </c>
      <c r="L278" s="23">
        <v>26746.32</v>
      </c>
      <c r="M278" s="23">
        <v>14</v>
      </c>
      <c r="N278" s="23">
        <v>30.92</v>
      </c>
      <c r="O278" s="33">
        <v>-5.7999999999999996E-3</v>
      </c>
      <c r="P278" s="33">
        <v>3.1099999999999999E-2</v>
      </c>
      <c r="Q278" s="23" t="s">
        <v>24</v>
      </c>
      <c r="R278" s="23">
        <v>0</v>
      </c>
      <c r="S278" s="23">
        <v>540.57000000000005</v>
      </c>
      <c r="U278" s="47">
        <v>44469</v>
      </c>
      <c r="V278" s="23" t="s">
        <v>106</v>
      </c>
      <c r="W278" s="23" t="s">
        <v>23</v>
      </c>
      <c r="X278" s="28">
        <v>44462.385416666664</v>
      </c>
      <c r="Y278" s="23">
        <v>15.025</v>
      </c>
      <c r="Z278" s="28">
        <v>44462.520833333336</v>
      </c>
      <c r="AA278" s="23">
        <v>13.574999999999999</v>
      </c>
      <c r="AB278" s="33">
        <v>-9.6500000000000002E-2</v>
      </c>
      <c r="AC278" s="23">
        <v>5075.78</v>
      </c>
      <c r="AD278" s="33">
        <v>9.6500000000000002E-2</v>
      </c>
      <c r="AE278" s="23">
        <v>3500.5360000000001</v>
      </c>
      <c r="AF278" s="23">
        <v>52595.55</v>
      </c>
      <c r="AG278" s="23">
        <v>521424.69</v>
      </c>
      <c r="AH278" s="23">
        <v>14</v>
      </c>
      <c r="AI278" s="23">
        <v>362.56</v>
      </c>
      <c r="AJ278" s="33">
        <v>-8.4900000000000003E-2</v>
      </c>
      <c r="AK278" s="33">
        <v>0.43430000000000002</v>
      </c>
      <c r="AL278" s="23" t="s">
        <v>24</v>
      </c>
      <c r="AM278" s="23">
        <v>547.15</v>
      </c>
      <c r="AN278" s="23">
        <v>37405.9</v>
      </c>
      <c r="AO278" s="23">
        <v>540.57000000000005</v>
      </c>
      <c r="AQ278" s="50">
        <f t="shared" si="4"/>
        <v>2.7460477017271317E-2</v>
      </c>
      <c r="AR278" s="50"/>
      <c r="AS278" s="48"/>
      <c r="AT278" s="50"/>
      <c r="AV278" s="47">
        <v>44462</v>
      </c>
      <c r="AW278" s="51">
        <v>0.38541666666666669</v>
      </c>
      <c r="AX278" t="s">
        <v>162</v>
      </c>
    </row>
    <row r="279" spans="1:50">
      <c r="A279" s="23" t="s">
        <v>22</v>
      </c>
      <c r="B279" s="23" t="s">
        <v>23</v>
      </c>
      <c r="C279" s="28">
        <v>44462.520833333336</v>
      </c>
      <c r="D279" s="23">
        <v>551.875</v>
      </c>
      <c r="E279" s="28">
        <v>44463.385416666664</v>
      </c>
      <c r="F279" s="23">
        <v>554.57500000000005</v>
      </c>
      <c r="G279" s="33">
        <v>4.8999999999999998E-3</v>
      </c>
      <c r="H279" s="23">
        <v>-245.28</v>
      </c>
      <c r="I279" s="33">
        <v>-4.8999999999999998E-3</v>
      </c>
      <c r="J279" s="23">
        <v>90.844110000000001</v>
      </c>
      <c r="K279" s="23">
        <v>50134.59</v>
      </c>
      <c r="L279" s="23">
        <v>26501.040000000001</v>
      </c>
      <c r="M279" s="23">
        <v>16</v>
      </c>
      <c r="N279" s="23">
        <v>-15.33</v>
      </c>
      <c r="O279" s="33">
        <v>-9.2999999999999992E-3</v>
      </c>
      <c r="P279" s="33">
        <v>6.4999999999999997E-3</v>
      </c>
      <c r="Q279" s="23" t="s">
        <v>24</v>
      </c>
      <c r="R279" s="23">
        <v>0</v>
      </c>
      <c r="S279" s="23">
        <v>564.15</v>
      </c>
      <c r="U279" s="47">
        <v>44469</v>
      </c>
      <c r="V279" s="23" t="s">
        <v>120</v>
      </c>
      <c r="W279" s="23" t="s">
        <v>23</v>
      </c>
      <c r="X279" s="28">
        <v>44462.520833333336</v>
      </c>
      <c r="Y279" s="23">
        <v>17.524999999999999</v>
      </c>
      <c r="Z279" s="28">
        <v>44463.385416666664</v>
      </c>
      <c r="AA279" s="23">
        <v>18.324999999999999</v>
      </c>
      <c r="AB279" s="33">
        <v>4.5600000000000002E-2</v>
      </c>
      <c r="AC279" s="23">
        <v>-2401.63</v>
      </c>
      <c r="AD279" s="33">
        <v>-4.5600000000000002E-2</v>
      </c>
      <c r="AE279" s="23">
        <v>3002.0329999999999</v>
      </c>
      <c r="AF279" s="23">
        <v>52610.62</v>
      </c>
      <c r="AG279" s="23">
        <v>519023.06</v>
      </c>
      <c r="AH279" s="23">
        <v>16</v>
      </c>
      <c r="AI279" s="23">
        <v>-150.1</v>
      </c>
      <c r="AJ279" s="33">
        <v>-5.5599999999999997E-2</v>
      </c>
      <c r="AK279" s="33">
        <v>0.14410000000000001</v>
      </c>
      <c r="AL279" s="23" t="s">
        <v>24</v>
      </c>
      <c r="AM279" s="23">
        <v>551.88</v>
      </c>
      <c r="AN279" s="23">
        <v>37664.9</v>
      </c>
      <c r="AO279" s="23">
        <v>564.15</v>
      </c>
      <c r="AQ279" s="50">
        <f t="shared" si="4"/>
        <v>3.1755091686598534E-2</v>
      </c>
      <c r="AR279" s="50"/>
      <c r="AS279" s="48"/>
      <c r="AT279" s="50"/>
      <c r="AV279" s="47">
        <v>44462</v>
      </c>
      <c r="AW279" s="51">
        <v>0.52083333333333337</v>
      </c>
      <c r="AX279" t="s">
        <v>163</v>
      </c>
    </row>
    <row r="280" spans="1:50">
      <c r="A280" s="23" t="s">
        <v>22</v>
      </c>
      <c r="B280" s="23" t="s">
        <v>25</v>
      </c>
      <c r="C280" s="28">
        <v>44463.385416666664</v>
      </c>
      <c r="D280" s="23">
        <v>554.57500000000005</v>
      </c>
      <c r="E280" s="28">
        <v>44463.40625</v>
      </c>
      <c r="F280" s="23">
        <v>548.75</v>
      </c>
      <c r="G280" s="33">
        <v>-1.0500000000000001E-2</v>
      </c>
      <c r="H280" s="23">
        <v>-526.55999999999995</v>
      </c>
      <c r="I280" s="33">
        <v>-1.0500000000000001E-2</v>
      </c>
      <c r="J280" s="23">
        <v>90.396069999999995</v>
      </c>
      <c r="K280" s="23">
        <v>50131.4</v>
      </c>
      <c r="L280" s="23">
        <v>25974.48</v>
      </c>
      <c r="M280" s="23">
        <v>3</v>
      </c>
      <c r="N280" s="23">
        <v>-175.52</v>
      </c>
      <c r="O280" s="33">
        <v>-1.0500000000000001E-2</v>
      </c>
      <c r="P280" s="33">
        <v>1.37E-2</v>
      </c>
      <c r="Q280" s="23" t="s">
        <v>24</v>
      </c>
      <c r="R280" s="23">
        <v>0</v>
      </c>
      <c r="S280" s="23">
        <v>548.99</v>
      </c>
      <c r="U280" s="47">
        <v>44469</v>
      </c>
      <c r="V280" s="23" t="s">
        <v>106</v>
      </c>
      <c r="W280" s="23" t="s">
        <v>23</v>
      </c>
      <c r="X280" s="28">
        <v>44463.385416666664</v>
      </c>
      <c r="Y280" s="23">
        <v>12.05</v>
      </c>
      <c r="Z280" s="28">
        <v>44463.40625</v>
      </c>
      <c r="AA280" s="23">
        <v>14</v>
      </c>
      <c r="AB280" s="33">
        <v>0.1618</v>
      </c>
      <c r="AC280" s="23">
        <v>-8514.4599999999991</v>
      </c>
      <c r="AD280" s="33">
        <v>-0.1618</v>
      </c>
      <c r="AE280" s="23">
        <v>4366.3900000000003</v>
      </c>
      <c r="AF280" s="23">
        <v>52615</v>
      </c>
      <c r="AG280" s="23">
        <v>510508.6</v>
      </c>
      <c r="AH280" s="23">
        <v>3</v>
      </c>
      <c r="AI280" s="23">
        <v>-2838.15</v>
      </c>
      <c r="AJ280" s="33">
        <v>-0.1618</v>
      </c>
      <c r="AK280" s="33">
        <v>0.29459999999999997</v>
      </c>
      <c r="AL280" s="23" t="s">
        <v>24</v>
      </c>
      <c r="AM280" s="23">
        <v>554.58000000000004</v>
      </c>
      <c r="AN280" s="23">
        <v>37878.449999999997</v>
      </c>
      <c r="AO280" s="23">
        <v>548.99</v>
      </c>
      <c r="AQ280" s="50">
        <f t="shared" si="4"/>
        <v>2.1728154639547043E-2</v>
      </c>
      <c r="AR280" s="50"/>
      <c r="AS280" s="48"/>
      <c r="AT280" s="50"/>
      <c r="AV280" s="47">
        <v>44463</v>
      </c>
      <c r="AW280" s="51">
        <v>0.38541666666666669</v>
      </c>
      <c r="AX280" t="s">
        <v>162</v>
      </c>
    </row>
    <row r="281" spans="1:50">
      <c r="A281" s="23" t="s">
        <v>22</v>
      </c>
      <c r="B281" s="23" t="s">
        <v>23</v>
      </c>
      <c r="C281" s="28">
        <v>44463.40625</v>
      </c>
      <c r="D281" s="23">
        <v>548.75</v>
      </c>
      <c r="E281" s="28">
        <v>44466.53125</v>
      </c>
      <c r="F281" s="23">
        <v>540.17499999999995</v>
      </c>
      <c r="G281" s="33">
        <v>-1.5599999999999999E-2</v>
      </c>
      <c r="H281" s="23">
        <v>783.38</v>
      </c>
      <c r="I281" s="33">
        <v>1.5599999999999999E-2</v>
      </c>
      <c r="J281" s="23">
        <v>91.355710000000002</v>
      </c>
      <c r="K281" s="23">
        <v>50131.44</v>
      </c>
      <c r="L281" s="23">
        <v>26757.86</v>
      </c>
      <c r="M281" s="23">
        <v>41</v>
      </c>
      <c r="N281" s="23">
        <v>19.11</v>
      </c>
      <c r="O281" s="33">
        <v>-9.5999999999999992E-3</v>
      </c>
      <c r="P281" s="33">
        <v>3.3300000000000003E-2</v>
      </c>
      <c r="Q281" s="23" t="s">
        <v>24</v>
      </c>
      <c r="R281" s="23">
        <v>0</v>
      </c>
      <c r="S281" s="23">
        <v>561.94000000000005</v>
      </c>
      <c r="U281" s="47">
        <v>44469</v>
      </c>
      <c r="V281" s="23" t="s">
        <v>120</v>
      </c>
      <c r="W281" s="23" t="s">
        <v>23</v>
      </c>
      <c r="X281" s="28">
        <v>44463.40625</v>
      </c>
      <c r="Y281" s="23">
        <v>14</v>
      </c>
      <c r="Z281" s="28">
        <v>44466.53125</v>
      </c>
      <c r="AA281" s="23">
        <v>8.7999989999999997</v>
      </c>
      <c r="AB281" s="33">
        <v>-0.37140000000000001</v>
      </c>
      <c r="AC281" s="23">
        <v>19523.57</v>
      </c>
      <c r="AD281" s="33">
        <v>0.37140000000000001</v>
      </c>
      <c r="AE281" s="23">
        <v>3754.5329999999999</v>
      </c>
      <c r="AF281" s="23">
        <v>52563.46</v>
      </c>
      <c r="AG281" s="23">
        <v>530032.17000000004</v>
      </c>
      <c r="AH281" s="23">
        <v>41</v>
      </c>
      <c r="AI281" s="23">
        <v>476.18</v>
      </c>
      <c r="AJ281" s="33">
        <v>-0.22320000000000001</v>
      </c>
      <c r="AK281" s="33">
        <v>0.60709999999999997</v>
      </c>
      <c r="AL281" s="23" t="s">
        <v>24</v>
      </c>
      <c r="AM281" s="23">
        <v>548.75</v>
      </c>
      <c r="AN281" s="23">
        <v>37745.949999999997</v>
      </c>
      <c r="AO281" s="23">
        <v>561.94000000000005</v>
      </c>
      <c r="AQ281" s="50">
        <f t="shared" si="4"/>
        <v>2.55125284738041E-2</v>
      </c>
      <c r="AR281" s="50"/>
      <c r="AS281" s="48"/>
      <c r="AT281" s="50"/>
      <c r="AV281" s="47">
        <v>44463</v>
      </c>
      <c r="AW281" s="51">
        <v>0.40625</v>
      </c>
      <c r="AX281" t="s">
        <v>162</v>
      </c>
    </row>
    <row r="282" spans="1:50">
      <c r="A282" s="23" t="s">
        <v>22</v>
      </c>
      <c r="B282" s="23" t="s">
        <v>25</v>
      </c>
      <c r="C282" s="28">
        <v>44466.53125</v>
      </c>
      <c r="D282" s="23">
        <v>540.17499999999995</v>
      </c>
      <c r="E282" s="28">
        <v>44467.510416666664</v>
      </c>
      <c r="F282" s="23">
        <v>560</v>
      </c>
      <c r="G282" s="33">
        <v>3.6700000000000003E-2</v>
      </c>
      <c r="H282" s="23">
        <v>1840.06</v>
      </c>
      <c r="I282" s="33">
        <v>3.6700000000000003E-2</v>
      </c>
      <c r="J282" s="23">
        <v>92.815219999999997</v>
      </c>
      <c r="K282" s="23">
        <v>50136.46</v>
      </c>
      <c r="L282" s="23">
        <v>28597.919999999998</v>
      </c>
      <c r="M282" s="23">
        <v>27</v>
      </c>
      <c r="N282" s="23">
        <v>68.150000000000006</v>
      </c>
      <c r="O282" s="33">
        <v>-1.1299999999999999E-2</v>
      </c>
      <c r="P282" s="33">
        <v>5.8599999999999999E-2</v>
      </c>
      <c r="Q282" s="23" t="s">
        <v>24</v>
      </c>
      <c r="R282" s="23">
        <v>0</v>
      </c>
      <c r="S282" s="23">
        <v>530.62</v>
      </c>
      <c r="U282" s="47">
        <v>44469</v>
      </c>
      <c r="V282" s="23" t="s">
        <v>122</v>
      </c>
      <c r="W282" s="23" t="s">
        <v>23</v>
      </c>
      <c r="X282" s="28">
        <v>44466.53125</v>
      </c>
      <c r="Y282" s="23">
        <v>10.025</v>
      </c>
      <c r="Z282" s="28">
        <v>44467.510416666664</v>
      </c>
      <c r="AA282" s="23">
        <v>4.7750000000000004</v>
      </c>
      <c r="AB282" s="33">
        <v>-0.52370000000000005</v>
      </c>
      <c r="AC282" s="23">
        <v>27594.53</v>
      </c>
      <c r="AD282" s="33">
        <v>0.52370000000000005</v>
      </c>
      <c r="AE282" s="23">
        <v>5256.1</v>
      </c>
      <c r="AF282" s="23">
        <v>52692.4</v>
      </c>
      <c r="AG282" s="23">
        <v>557626.69999999995</v>
      </c>
      <c r="AH282" s="23">
        <v>27</v>
      </c>
      <c r="AI282" s="23">
        <v>1022.02</v>
      </c>
      <c r="AJ282" s="33">
        <v>-0.45390000000000003</v>
      </c>
      <c r="AK282" s="33">
        <v>0.69579999999999997</v>
      </c>
      <c r="AL282" s="23" t="s">
        <v>24</v>
      </c>
      <c r="AM282" s="23">
        <v>540.16999999999996</v>
      </c>
      <c r="AN282" s="23">
        <v>38192.199999999997</v>
      </c>
      <c r="AO282" s="23">
        <v>530.62</v>
      </c>
      <c r="AQ282" s="50">
        <f t="shared" si="4"/>
        <v>1.8558972175426257E-2</v>
      </c>
      <c r="AR282" s="50"/>
      <c r="AS282" s="48"/>
      <c r="AT282" s="50"/>
      <c r="AV282" s="47">
        <v>44466</v>
      </c>
      <c r="AW282" s="51">
        <v>0.53125</v>
      </c>
      <c r="AX282" t="s">
        <v>163</v>
      </c>
    </row>
    <row r="283" spans="1:50">
      <c r="A283" s="24" t="s">
        <v>22</v>
      </c>
      <c r="B283" s="24" t="s">
        <v>23</v>
      </c>
      <c r="C283" s="29">
        <v>44467.510416666664</v>
      </c>
      <c r="D283" s="24">
        <v>560</v>
      </c>
      <c r="E283" s="29">
        <v>44467.5625</v>
      </c>
      <c r="F283" s="24">
        <v>564.47500000000002</v>
      </c>
      <c r="G283" s="34">
        <v>8.0000000000000002E-3</v>
      </c>
      <c r="H283" s="24">
        <v>-400.71</v>
      </c>
      <c r="I283" s="34">
        <v>-8.0000000000000002E-3</v>
      </c>
      <c r="J283" s="24">
        <v>89.543120000000002</v>
      </c>
      <c r="K283" s="24">
        <v>50144.15</v>
      </c>
      <c r="L283" s="24">
        <v>28197.22</v>
      </c>
      <c r="M283" s="24">
        <v>6</v>
      </c>
      <c r="N283" s="24">
        <v>-66.78</v>
      </c>
      <c r="O283" s="34">
        <v>-8.5000000000000006E-3</v>
      </c>
      <c r="P283" s="34">
        <v>3.3E-3</v>
      </c>
      <c r="Q283" s="24" t="s">
        <v>24</v>
      </c>
      <c r="R283" s="24">
        <v>0</v>
      </c>
      <c r="S283" s="24">
        <v>571.58000000000004</v>
      </c>
      <c r="U283" s="47" t="e">
        <v>#N/A</v>
      </c>
      <c r="V283" s="24"/>
      <c r="W283" s="24"/>
      <c r="X283" s="29"/>
      <c r="Y283" s="24"/>
      <c r="Z283" s="29"/>
      <c r="AA283" s="24"/>
      <c r="AB283" s="34"/>
      <c r="AC283" s="24"/>
      <c r="AD283" s="34"/>
      <c r="AE283" s="24"/>
      <c r="AF283" s="24"/>
      <c r="AG283" s="24"/>
      <c r="AH283" s="24"/>
      <c r="AI283" s="24"/>
      <c r="AJ283" s="34"/>
      <c r="AK283" s="34"/>
      <c r="AL283" s="24"/>
      <c r="AM283" s="24"/>
      <c r="AN283" s="24"/>
      <c r="AO283" s="24"/>
      <c r="AQ283" s="50" t="e">
        <f t="shared" si="4"/>
        <v>#DIV/0!</v>
      </c>
      <c r="AR283" s="50"/>
      <c r="AS283" s="48"/>
      <c r="AT283" s="50"/>
    </row>
    <row r="284" spans="1:50">
      <c r="A284" s="24" t="s">
        <v>22</v>
      </c>
      <c r="B284" s="24" t="s">
        <v>25</v>
      </c>
      <c r="C284" s="29">
        <v>44467.5625</v>
      </c>
      <c r="D284" s="24">
        <v>564.47500000000002</v>
      </c>
      <c r="E284" s="29">
        <v>44467.59375</v>
      </c>
      <c r="F284" s="24">
        <v>558</v>
      </c>
      <c r="G284" s="34">
        <v>-1.15E-2</v>
      </c>
      <c r="H284" s="24">
        <v>-575.16</v>
      </c>
      <c r="I284" s="34">
        <v>-1.15E-2</v>
      </c>
      <c r="J284" s="24">
        <v>88.828159999999997</v>
      </c>
      <c r="K284" s="24">
        <v>50141.27</v>
      </c>
      <c r="L284" s="24">
        <v>27622.05</v>
      </c>
      <c r="M284" s="24">
        <v>4</v>
      </c>
      <c r="N284" s="24">
        <v>-143.79</v>
      </c>
      <c r="O284" s="34">
        <v>-1.15E-2</v>
      </c>
      <c r="P284" s="34">
        <v>7.4000000000000003E-3</v>
      </c>
      <c r="Q284" s="24" t="s">
        <v>24</v>
      </c>
      <c r="R284" s="24">
        <v>0</v>
      </c>
      <c r="S284" s="24">
        <v>558.36</v>
      </c>
      <c r="U284" s="47" t="e">
        <v>#N/A</v>
      </c>
      <c r="V284" s="24"/>
      <c r="W284" s="24"/>
      <c r="X284" s="29"/>
      <c r="Y284" s="24"/>
      <c r="Z284" s="29"/>
      <c r="AA284" s="24"/>
      <c r="AB284" s="34"/>
      <c r="AC284" s="24"/>
      <c r="AD284" s="34"/>
      <c r="AE284" s="24"/>
      <c r="AF284" s="24"/>
      <c r="AG284" s="24"/>
      <c r="AH284" s="24"/>
      <c r="AI284" s="24"/>
      <c r="AJ284" s="34"/>
      <c r="AK284" s="34"/>
      <c r="AL284" s="24"/>
      <c r="AM284" s="24"/>
      <c r="AN284" s="24"/>
      <c r="AO284" s="24"/>
      <c r="AQ284" s="50" t="e">
        <f t="shared" si="4"/>
        <v>#DIV/0!</v>
      </c>
      <c r="AR284" s="50"/>
      <c r="AS284" s="48"/>
      <c r="AT284" s="50"/>
    </row>
    <row r="285" spans="1:50">
      <c r="A285" s="24" t="s">
        <v>22</v>
      </c>
      <c r="B285" s="24" t="s">
        <v>23</v>
      </c>
      <c r="C285" s="29">
        <v>44467.59375</v>
      </c>
      <c r="D285" s="24">
        <v>558</v>
      </c>
      <c r="E285" s="29">
        <v>44468.385416666664</v>
      </c>
      <c r="F285" s="24">
        <v>566.125</v>
      </c>
      <c r="G285" s="34">
        <v>1.46E-2</v>
      </c>
      <c r="H285" s="24">
        <v>-730.08</v>
      </c>
      <c r="I285" s="34">
        <v>-1.46E-2</v>
      </c>
      <c r="J285" s="24">
        <v>89.855630000000005</v>
      </c>
      <c r="K285" s="24">
        <v>50139.44</v>
      </c>
      <c r="L285" s="24">
        <v>26891.98</v>
      </c>
      <c r="M285" s="24">
        <v>9</v>
      </c>
      <c r="N285" s="24">
        <v>-81.12</v>
      </c>
      <c r="O285" s="34">
        <v>-1.46E-2</v>
      </c>
      <c r="P285" s="34">
        <v>3.5999999999999999E-3</v>
      </c>
      <c r="Q285" s="24" t="s">
        <v>24</v>
      </c>
      <c r="R285" s="24">
        <v>0</v>
      </c>
      <c r="S285" s="24">
        <v>568.42999999999995</v>
      </c>
      <c r="U285" s="47" t="e">
        <v>#N/A</v>
      </c>
      <c r="V285" s="24"/>
      <c r="W285" s="24"/>
      <c r="X285" s="29"/>
      <c r="Y285" s="24"/>
      <c r="Z285" s="29"/>
      <c r="AA285" s="24"/>
      <c r="AB285" s="34"/>
      <c r="AC285" s="24"/>
      <c r="AD285" s="34"/>
      <c r="AE285" s="24"/>
      <c r="AF285" s="24"/>
      <c r="AG285" s="24"/>
      <c r="AH285" s="24"/>
      <c r="AI285" s="24"/>
      <c r="AJ285" s="34"/>
      <c r="AK285" s="34"/>
      <c r="AL285" s="24"/>
      <c r="AM285" s="24"/>
      <c r="AN285" s="24"/>
      <c r="AO285" s="24"/>
      <c r="AQ285" s="50" t="e">
        <f t="shared" si="4"/>
        <v>#DIV/0!</v>
      </c>
      <c r="AR285" s="50"/>
      <c r="AS285" s="48"/>
      <c r="AT285" s="50"/>
    </row>
    <row r="286" spans="1:50">
      <c r="A286" s="23" t="s">
        <v>22</v>
      </c>
      <c r="B286" s="23" t="s">
        <v>25</v>
      </c>
      <c r="C286" s="28">
        <v>44468.385416666664</v>
      </c>
      <c r="D286" s="23">
        <v>566.125</v>
      </c>
      <c r="E286" s="28">
        <v>44468.625</v>
      </c>
      <c r="F286" s="23">
        <v>578.02499999999998</v>
      </c>
      <c r="G286" s="33">
        <v>2.1000000000000001E-2</v>
      </c>
      <c r="H286" s="23">
        <v>1053.8699999999999</v>
      </c>
      <c r="I286" s="33">
        <v>2.1000000000000001E-2</v>
      </c>
      <c r="J286" s="23">
        <v>88.560100000000006</v>
      </c>
      <c r="K286" s="23">
        <v>50136.09</v>
      </c>
      <c r="L286" s="23">
        <v>27945.84</v>
      </c>
      <c r="M286" s="23">
        <v>24</v>
      </c>
      <c r="N286" s="23">
        <v>43.91</v>
      </c>
      <c r="O286" s="33">
        <v>-1.7399999999999999E-2</v>
      </c>
      <c r="P286" s="33">
        <v>4.1300000000000003E-2</v>
      </c>
      <c r="Q286" s="23" t="s">
        <v>24</v>
      </c>
      <c r="R286" s="23">
        <v>0</v>
      </c>
      <c r="S286" s="23">
        <v>556.25</v>
      </c>
      <c r="U286" s="47">
        <v>44469</v>
      </c>
      <c r="V286" s="23" t="s">
        <v>140</v>
      </c>
      <c r="W286" s="23" t="s">
        <v>23</v>
      </c>
      <c r="X286" s="28">
        <v>44468.385416666664</v>
      </c>
      <c r="Y286" s="23">
        <v>3.8250000000000002</v>
      </c>
      <c r="Z286" s="28">
        <v>44468.625</v>
      </c>
      <c r="AA286" s="23">
        <v>2</v>
      </c>
      <c r="AB286" s="33">
        <v>-0.47710000000000002</v>
      </c>
      <c r="AC286" s="23">
        <v>25186.5</v>
      </c>
      <c r="AD286" s="33">
        <v>0.47710000000000002</v>
      </c>
      <c r="AE286" s="23">
        <v>13800.82</v>
      </c>
      <c r="AF286" s="23">
        <v>52788.13</v>
      </c>
      <c r="AG286" s="23">
        <v>582813.18999999994</v>
      </c>
      <c r="AH286" s="23">
        <v>24</v>
      </c>
      <c r="AI286" s="23">
        <v>1049.44</v>
      </c>
      <c r="AJ286" s="33">
        <v>-1.0196000000000001</v>
      </c>
      <c r="AK286" s="33">
        <v>0.71899999999999997</v>
      </c>
      <c r="AL286" s="23" t="s">
        <v>24</v>
      </c>
      <c r="AM286" s="23">
        <v>566.13</v>
      </c>
      <c r="AN286" s="23">
        <v>37450.6</v>
      </c>
      <c r="AO286" s="23">
        <v>556.25</v>
      </c>
      <c r="AQ286" s="50">
        <f t="shared" si="4"/>
        <v>6.7563987070107575E-3</v>
      </c>
      <c r="AR286" s="50"/>
      <c r="AS286" s="48"/>
      <c r="AT286" s="50"/>
      <c r="AV286" s="47">
        <v>44468</v>
      </c>
      <c r="AW286" s="51">
        <v>0.38541666666666669</v>
      </c>
      <c r="AX286" t="s">
        <v>162</v>
      </c>
    </row>
    <row r="287" spans="1:50">
      <c r="A287" s="23" t="s">
        <v>22</v>
      </c>
      <c r="B287" s="23" t="s">
        <v>23</v>
      </c>
      <c r="C287" s="28">
        <v>44468.625</v>
      </c>
      <c r="D287" s="23">
        <v>578.02499999999998</v>
      </c>
      <c r="E287" s="28">
        <v>44469.385416666664</v>
      </c>
      <c r="F287" s="23">
        <v>580.47500000000002</v>
      </c>
      <c r="G287" s="33">
        <v>4.1999999999999997E-3</v>
      </c>
      <c r="H287" s="23">
        <v>-212.54</v>
      </c>
      <c r="I287" s="33">
        <v>-4.1999999999999997E-3</v>
      </c>
      <c r="J287" s="23">
        <v>86.749099999999999</v>
      </c>
      <c r="K287" s="23">
        <v>50143.15</v>
      </c>
      <c r="L287" s="23">
        <v>27733.31</v>
      </c>
      <c r="M287" s="23">
        <v>6</v>
      </c>
      <c r="N287" s="23">
        <v>-35.42</v>
      </c>
      <c r="O287" s="33">
        <v>-1.46E-2</v>
      </c>
      <c r="P287" s="33">
        <v>3.5999999999999999E-3</v>
      </c>
      <c r="Q287" s="23" t="s">
        <v>24</v>
      </c>
      <c r="R287" s="23">
        <v>0</v>
      </c>
      <c r="S287" s="23">
        <v>589.28</v>
      </c>
      <c r="U287" s="47">
        <v>44469</v>
      </c>
      <c r="V287" s="23" t="s">
        <v>104</v>
      </c>
      <c r="W287" s="23" t="s">
        <v>23</v>
      </c>
      <c r="X287" s="28">
        <v>44468.625</v>
      </c>
      <c r="Y287" s="23">
        <v>6.0250000000000004</v>
      </c>
      <c r="Z287" s="28">
        <v>44469.385416666664</v>
      </c>
      <c r="AA287" s="23">
        <v>6.9</v>
      </c>
      <c r="AB287" s="33">
        <v>0.1452</v>
      </c>
      <c r="AC287" s="23">
        <v>-7689.38</v>
      </c>
      <c r="AD287" s="33">
        <v>-0.1452</v>
      </c>
      <c r="AE287" s="23">
        <v>8787.857</v>
      </c>
      <c r="AF287" s="23">
        <v>52946.84</v>
      </c>
      <c r="AG287" s="23">
        <v>575123.81999999995</v>
      </c>
      <c r="AH287" s="23">
        <v>6</v>
      </c>
      <c r="AI287" s="23">
        <v>-1281.56</v>
      </c>
      <c r="AJ287" s="33">
        <v>-0.78010000000000002</v>
      </c>
      <c r="AK287" s="33">
        <v>0.33200000000000002</v>
      </c>
      <c r="AL287" s="23" t="s">
        <v>24</v>
      </c>
      <c r="AM287" s="23">
        <v>578.03</v>
      </c>
      <c r="AN287" s="23">
        <v>37726.300000000003</v>
      </c>
      <c r="AO287" s="23">
        <v>589.28</v>
      </c>
      <c r="AQ287" s="50">
        <f t="shared" si="4"/>
        <v>1.0423334429008876E-2</v>
      </c>
      <c r="AR287" s="50"/>
      <c r="AS287" s="48"/>
      <c r="AT287" s="50"/>
      <c r="AV287" s="47">
        <v>44468</v>
      </c>
      <c r="AW287" s="51">
        <v>0.125</v>
      </c>
      <c r="AX287" t="s">
        <v>163</v>
      </c>
    </row>
    <row r="288" spans="1:50">
      <c r="A288" s="23" t="s">
        <v>22</v>
      </c>
      <c r="B288" s="23" t="s">
        <v>25</v>
      </c>
      <c r="C288" s="28">
        <v>44469.385416666664</v>
      </c>
      <c r="D288" s="23">
        <v>580.47500000000002</v>
      </c>
      <c r="E288" s="28">
        <v>44469.583333333336</v>
      </c>
      <c r="F288" s="23">
        <v>583.07500000000005</v>
      </c>
      <c r="G288" s="33">
        <v>4.4999999999999997E-3</v>
      </c>
      <c r="H288" s="23">
        <v>224.57</v>
      </c>
      <c r="I288" s="33">
        <v>4.4999999999999997E-3</v>
      </c>
      <c r="J288" s="23">
        <v>86.374629999999996</v>
      </c>
      <c r="K288" s="23">
        <v>50138.31</v>
      </c>
      <c r="L288" s="23">
        <v>27957.88</v>
      </c>
      <c r="M288" s="23">
        <v>20</v>
      </c>
      <c r="N288" s="23">
        <v>11.23</v>
      </c>
      <c r="O288" s="33">
        <v>-5.1000000000000004E-3</v>
      </c>
      <c r="P288" s="33">
        <v>2.3800000000000002E-2</v>
      </c>
      <c r="Q288" s="23" t="s">
        <v>24</v>
      </c>
      <c r="R288" s="23">
        <v>0</v>
      </c>
      <c r="S288" s="23">
        <v>576.4</v>
      </c>
      <c r="U288" s="47">
        <v>44469</v>
      </c>
      <c r="V288" s="23" t="s">
        <v>138</v>
      </c>
      <c r="W288" s="23" t="s">
        <v>23</v>
      </c>
      <c r="X288" s="28">
        <v>44469.385416666664</v>
      </c>
      <c r="Y288" s="23">
        <v>4</v>
      </c>
      <c r="Z288" s="28">
        <v>44469.583333333336</v>
      </c>
      <c r="AA288" s="23">
        <v>1.7749999999999999</v>
      </c>
      <c r="AB288" s="33">
        <v>-0.55620000000000003</v>
      </c>
      <c r="AC288" s="23">
        <v>29397.4</v>
      </c>
      <c r="AD288" s="33">
        <v>0.55630000000000002</v>
      </c>
      <c r="AE288" s="23">
        <v>13212.31</v>
      </c>
      <c r="AF288" s="23">
        <v>52849.25</v>
      </c>
      <c r="AG288" s="23">
        <v>604521.21</v>
      </c>
      <c r="AH288" s="23">
        <v>20</v>
      </c>
      <c r="AI288" s="23">
        <v>1469.87</v>
      </c>
      <c r="AJ288" s="33">
        <v>-0.2437</v>
      </c>
      <c r="AK288" s="33">
        <v>0.84379999999999999</v>
      </c>
      <c r="AL288" s="23" t="s">
        <v>24</v>
      </c>
      <c r="AM288" s="23">
        <v>580.47</v>
      </c>
      <c r="AN288" s="23">
        <v>37595.4</v>
      </c>
      <c r="AO288" s="23">
        <v>576.4</v>
      </c>
      <c r="AQ288" s="50">
        <f t="shared" si="4"/>
        <v>6.8909676641342359E-3</v>
      </c>
      <c r="AR288" s="50"/>
      <c r="AS288" s="48"/>
      <c r="AT288" s="50"/>
      <c r="AV288" s="47">
        <v>44469</v>
      </c>
      <c r="AW288" s="51">
        <v>0.38541666666666669</v>
      </c>
      <c r="AX288" t="s">
        <v>162</v>
      </c>
    </row>
    <row r="289" spans="1:50">
      <c r="A289" s="23" t="s">
        <v>22</v>
      </c>
      <c r="B289" s="23" t="s">
        <v>23</v>
      </c>
      <c r="C289" s="28">
        <v>44469.583333333336</v>
      </c>
      <c r="D289" s="23">
        <v>583.07500000000005</v>
      </c>
      <c r="E289" s="28">
        <v>44469.697916666664</v>
      </c>
      <c r="F289" s="23">
        <v>582.125</v>
      </c>
      <c r="G289" s="33">
        <v>-1.6000000000000001E-3</v>
      </c>
      <c r="H289" s="23">
        <v>81.7</v>
      </c>
      <c r="I289" s="33">
        <v>1.6000000000000001E-3</v>
      </c>
      <c r="J289" s="23">
        <v>85.997860000000003</v>
      </c>
      <c r="K289" s="23">
        <v>50143.199999999997</v>
      </c>
      <c r="L289" s="23">
        <v>28039.58</v>
      </c>
      <c r="M289" s="23">
        <v>8</v>
      </c>
      <c r="N289" s="23">
        <v>10.210000000000001</v>
      </c>
      <c r="O289" s="33">
        <v>-1.4E-2</v>
      </c>
      <c r="P289" s="33">
        <v>6.8999999999999999E-3</v>
      </c>
      <c r="Q289" s="23" t="s">
        <v>24</v>
      </c>
      <c r="R289" s="23">
        <v>0</v>
      </c>
      <c r="S289" s="23">
        <v>594.12</v>
      </c>
      <c r="U289" s="47">
        <v>44469</v>
      </c>
      <c r="V289" s="23" t="s">
        <v>104</v>
      </c>
      <c r="W289" s="23" t="s">
        <v>23</v>
      </c>
      <c r="X289" s="28">
        <v>44469.583333333336</v>
      </c>
      <c r="Y289" s="23">
        <v>7.0250000000000004</v>
      </c>
      <c r="Z289" s="28">
        <v>44469.697916666664</v>
      </c>
      <c r="AA289" s="23">
        <v>0.52500000000000002</v>
      </c>
      <c r="AB289" s="33">
        <v>-0.92530000000000001</v>
      </c>
      <c r="AC289" s="23">
        <v>49102.85</v>
      </c>
      <c r="AD289" s="33">
        <v>0.92530000000000001</v>
      </c>
      <c r="AE289" s="23">
        <v>7554.2849999999999</v>
      </c>
      <c r="AF289" s="23">
        <v>53068.85</v>
      </c>
      <c r="AG289" s="23">
        <v>653624.06999999995</v>
      </c>
      <c r="AH289" s="23">
        <v>8</v>
      </c>
      <c r="AI289" s="23">
        <v>6137.86</v>
      </c>
      <c r="AJ289" s="33">
        <v>-0.70109999999999995</v>
      </c>
      <c r="AK289" s="33">
        <v>0.92530000000000001</v>
      </c>
      <c r="AL289" s="23" t="s">
        <v>24</v>
      </c>
      <c r="AM289" s="23">
        <v>583.08000000000004</v>
      </c>
      <c r="AN289" s="23">
        <v>37515.35</v>
      </c>
      <c r="AO289" s="23">
        <v>594.12</v>
      </c>
      <c r="AQ289" s="50">
        <f t="shared" si="4"/>
        <v>1.2048089455992316E-2</v>
      </c>
      <c r="AR289" s="50"/>
      <c r="AS289" s="48"/>
      <c r="AT289" s="50"/>
      <c r="AV289" s="47">
        <v>44469</v>
      </c>
      <c r="AW289" s="51">
        <v>8.3333333333333329E-2</v>
      </c>
      <c r="AX289" t="s">
        <v>163</v>
      </c>
    </row>
    <row r="290" spans="1:50">
      <c r="A290" s="23" t="s">
        <v>22</v>
      </c>
      <c r="B290" s="23" t="s">
        <v>23</v>
      </c>
      <c r="C290" s="28">
        <v>44470.385416666664</v>
      </c>
      <c r="D290" s="23">
        <v>581.52499999999998</v>
      </c>
      <c r="E290" s="28">
        <v>44470.427083333336</v>
      </c>
      <c r="F290" s="23">
        <v>585.375</v>
      </c>
      <c r="G290" s="33">
        <v>6.6E-3</v>
      </c>
      <c r="H290" s="23">
        <v>-331.95</v>
      </c>
      <c r="I290" s="33">
        <v>-6.6E-3</v>
      </c>
      <c r="J290" s="23">
        <v>86.221909999999994</v>
      </c>
      <c r="K290" s="23">
        <v>50140.2</v>
      </c>
      <c r="L290" s="23">
        <v>27707.62</v>
      </c>
      <c r="M290" s="23">
        <v>5</v>
      </c>
      <c r="N290" s="23">
        <v>-66.39</v>
      </c>
      <c r="O290" s="33">
        <v>-6.6E-3</v>
      </c>
      <c r="P290" s="33">
        <v>3.6999999999999998E-2</v>
      </c>
      <c r="Q290" s="23" t="s">
        <v>24</v>
      </c>
      <c r="R290" s="23">
        <v>0</v>
      </c>
      <c r="S290" s="23">
        <v>588.33000000000004</v>
      </c>
      <c r="U290" s="47">
        <v>44497</v>
      </c>
      <c r="V290" s="23" t="s">
        <v>104</v>
      </c>
      <c r="W290" s="23" t="s">
        <v>23</v>
      </c>
      <c r="X290" s="28">
        <v>44470.385416666664</v>
      </c>
      <c r="Y290" s="23">
        <v>39.774999999999999</v>
      </c>
      <c r="Z290" s="28">
        <v>44470.427083333336</v>
      </c>
      <c r="AA290" s="23">
        <v>38.950000000000003</v>
      </c>
      <c r="AB290" s="33">
        <v>-2.07E-2</v>
      </c>
      <c r="AC290" s="23">
        <v>1104.8699999999999</v>
      </c>
      <c r="AD290" s="33">
        <v>2.07E-2</v>
      </c>
      <c r="AE290" s="23">
        <v>1339.2360000000001</v>
      </c>
      <c r="AF290" s="23">
        <v>53268.12</v>
      </c>
      <c r="AG290" s="23">
        <v>654728.93000000005</v>
      </c>
      <c r="AH290" s="23">
        <v>5</v>
      </c>
      <c r="AI290" s="23">
        <v>220.97</v>
      </c>
      <c r="AJ290" s="33">
        <v>-2.8299999999999999E-2</v>
      </c>
      <c r="AK290" s="33">
        <v>0.1804</v>
      </c>
      <c r="AL290" s="23" t="s">
        <v>24</v>
      </c>
      <c r="AM290" s="23">
        <v>581.53</v>
      </c>
      <c r="AN290" s="23">
        <v>37126.75</v>
      </c>
      <c r="AO290" s="23">
        <v>588.33000000000004</v>
      </c>
      <c r="AQ290" s="50">
        <f t="shared" si="4"/>
        <v>6.8397159217925135E-2</v>
      </c>
      <c r="AR290" s="50"/>
      <c r="AS290" s="48"/>
      <c r="AT290" s="50"/>
      <c r="AV290" s="47">
        <v>44470</v>
      </c>
      <c r="AW290" s="51">
        <v>0.38541666666666669</v>
      </c>
      <c r="AX290" t="s">
        <v>162</v>
      </c>
    </row>
    <row r="291" spans="1:50">
      <c r="A291" s="23" t="s">
        <v>22</v>
      </c>
      <c r="B291" s="23" t="s">
        <v>25</v>
      </c>
      <c r="C291" s="28">
        <v>44470.427083333336</v>
      </c>
      <c r="D291" s="23">
        <v>585.375</v>
      </c>
      <c r="E291" s="28">
        <v>44473.604166666664</v>
      </c>
      <c r="F291" s="23">
        <v>596.97500000000002</v>
      </c>
      <c r="G291" s="33">
        <v>1.9800000000000002E-2</v>
      </c>
      <c r="H291" s="23">
        <v>993.61</v>
      </c>
      <c r="I291" s="33">
        <v>1.9800000000000002E-2</v>
      </c>
      <c r="J291" s="23">
        <v>85.655950000000004</v>
      </c>
      <c r="K291" s="23">
        <v>50140.85</v>
      </c>
      <c r="L291" s="23">
        <v>28701.23</v>
      </c>
      <c r="M291" s="23">
        <v>46</v>
      </c>
      <c r="N291" s="23">
        <v>21.6</v>
      </c>
      <c r="O291" s="33">
        <v>-9.1000000000000004E-3</v>
      </c>
      <c r="P291" s="33">
        <v>2.76E-2</v>
      </c>
      <c r="Q291" s="23" t="s">
        <v>24</v>
      </c>
      <c r="R291" s="23">
        <v>0</v>
      </c>
      <c r="S291" s="23">
        <v>560.96</v>
      </c>
      <c r="U291" s="47">
        <v>44497</v>
      </c>
      <c r="V291" s="23" t="s">
        <v>116</v>
      </c>
      <c r="W291" s="23" t="s">
        <v>23</v>
      </c>
      <c r="X291" s="28">
        <v>44470.427083333336</v>
      </c>
      <c r="Y291" s="23">
        <v>38.049999999999997</v>
      </c>
      <c r="Z291" s="28">
        <v>44473.604166666664</v>
      </c>
      <c r="AA291" s="23">
        <v>29.1</v>
      </c>
      <c r="AB291" s="33">
        <v>-0.23519999999999999</v>
      </c>
      <c r="AC291" s="23">
        <v>12537.08</v>
      </c>
      <c r="AD291" s="33">
        <v>0.23519999999999999</v>
      </c>
      <c r="AE291" s="23">
        <v>1400.7909999999999</v>
      </c>
      <c r="AF291" s="23">
        <v>53300.09</v>
      </c>
      <c r="AG291" s="23">
        <v>667266.01</v>
      </c>
      <c r="AH291" s="23">
        <v>46</v>
      </c>
      <c r="AI291" s="23">
        <v>272.55</v>
      </c>
      <c r="AJ291" s="33">
        <v>-0.1386</v>
      </c>
      <c r="AK291" s="33">
        <v>0.28060000000000002</v>
      </c>
      <c r="AL291" s="23" t="s">
        <v>24</v>
      </c>
      <c r="AM291" s="23">
        <v>585.38</v>
      </c>
      <c r="AN291" s="23">
        <v>37225.199999999997</v>
      </c>
      <c r="AO291" s="23">
        <v>560.96</v>
      </c>
      <c r="AQ291" s="50">
        <f t="shared" si="4"/>
        <v>6.5000512487614875E-2</v>
      </c>
      <c r="AR291" s="50"/>
      <c r="AS291" s="48"/>
      <c r="AT291" s="50"/>
      <c r="AV291" s="47">
        <v>44470</v>
      </c>
      <c r="AW291" s="51">
        <v>0.42708333333333331</v>
      </c>
      <c r="AX291" t="s">
        <v>162</v>
      </c>
    </row>
    <row r="292" spans="1:50">
      <c r="A292" s="23" t="s">
        <v>22</v>
      </c>
      <c r="B292" s="23" t="s">
        <v>23</v>
      </c>
      <c r="C292" s="28">
        <v>44473.604166666664</v>
      </c>
      <c r="D292" s="23">
        <v>596.97500000000002</v>
      </c>
      <c r="E292" s="28">
        <v>44474.489583333336</v>
      </c>
      <c r="F292" s="23">
        <v>592.6</v>
      </c>
      <c r="G292" s="33">
        <v>-7.3000000000000001E-3</v>
      </c>
      <c r="H292" s="23">
        <v>367.49</v>
      </c>
      <c r="I292" s="33">
        <v>7.3000000000000001E-3</v>
      </c>
      <c r="J292" s="23">
        <v>83.996639999999999</v>
      </c>
      <c r="K292" s="23">
        <v>50143.89</v>
      </c>
      <c r="L292" s="23">
        <v>29068.720000000001</v>
      </c>
      <c r="M292" s="23">
        <v>18</v>
      </c>
      <c r="N292" s="23">
        <v>20.420000000000002</v>
      </c>
      <c r="O292" s="33">
        <v>-3.3999999999999998E-3</v>
      </c>
      <c r="P292" s="33">
        <v>1.9199999999999998E-2</v>
      </c>
      <c r="Q292" s="23" t="s">
        <v>24</v>
      </c>
      <c r="R292" s="23">
        <v>0</v>
      </c>
      <c r="S292" s="23">
        <v>601.54999999999995</v>
      </c>
      <c r="U292" s="47">
        <v>44497</v>
      </c>
      <c r="V292" s="23" t="s">
        <v>107</v>
      </c>
      <c r="W292" s="23" t="s">
        <v>23</v>
      </c>
      <c r="X292" s="28">
        <v>44473.604166666664</v>
      </c>
      <c r="Y292" s="23">
        <v>32.625</v>
      </c>
      <c r="Z292" s="28">
        <v>44474.489583333336</v>
      </c>
      <c r="AA292" s="23">
        <v>29.725000000000001</v>
      </c>
      <c r="AB292" s="33">
        <v>-8.8900000000000007E-2</v>
      </c>
      <c r="AC292" s="23">
        <v>4741.6099999999997</v>
      </c>
      <c r="AD292" s="33">
        <v>8.8900000000000007E-2</v>
      </c>
      <c r="AE292" s="23">
        <v>1635.039</v>
      </c>
      <c r="AF292" s="23">
        <v>53343.16</v>
      </c>
      <c r="AG292" s="23">
        <v>672007.63</v>
      </c>
      <c r="AH292" s="23">
        <v>18</v>
      </c>
      <c r="AI292" s="23">
        <v>263.42</v>
      </c>
      <c r="AJ292" s="33">
        <v>-4.2099999999999999E-2</v>
      </c>
      <c r="AK292" s="33">
        <v>0.19159999999999999</v>
      </c>
      <c r="AL292" s="23" t="s">
        <v>24</v>
      </c>
      <c r="AM292" s="23">
        <v>596.97</v>
      </c>
      <c r="AN292" s="23">
        <v>37630</v>
      </c>
      <c r="AO292" s="23">
        <v>601.54999999999995</v>
      </c>
      <c r="AQ292" s="50">
        <f t="shared" si="4"/>
        <v>5.4650987486808376E-2</v>
      </c>
      <c r="AR292" s="50"/>
      <c r="AS292" s="48"/>
      <c r="AT292" s="50"/>
      <c r="AV292" s="47">
        <v>44473</v>
      </c>
      <c r="AW292" s="51">
        <v>0.10416666666666667</v>
      </c>
      <c r="AX292" t="s">
        <v>163</v>
      </c>
    </row>
    <row r="293" spans="1:50">
      <c r="A293" s="23" t="s">
        <v>22</v>
      </c>
      <c r="B293" s="23" t="s">
        <v>25</v>
      </c>
      <c r="C293" s="28">
        <v>44474.489583333336</v>
      </c>
      <c r="D293" s="23">
        <v>592.6</v>
      </c>
      <c r="E293" s="28">
        <v>44475.427083333336</v>
      </c>
      <c r="F293" s="23">
        <v>612.47500000000002</v>
      </c>
      <c r="G293" s="33">
        <v>3.3500000000000002E-2</v>
      </c>
      <c r="H293" s="23">
        <v>1681.83</v>
      </c>
      <c r="I293" s="33">
        <v>3.3500000000000002E-2</v>
      </c>
      <c r="J293" s="23">
        <v>84.620379999999997</v>
      </c>
      <c r="K293" s="23">
        <v>50146.04</v>
      </c>
      <c r="L293" s="23">
        <v>30750.55</v>
      </c>
      <c r="M293" s="23">
        <v>23</v>
      </c>
      <c r="N293" s="23">
        <v>73.12</v>
      </c>
      <c r="O293" s="33">
        <v>-4.4000000000000003E-3</v>
      </c>
      <c r="P293" s="33">
        <v>6.3100000000000003E-2</v>
      </c>
      <c r="Q293" s="23" t="s">
        <v>24</v>
      </c>
      <c r="R293" s="23">
        <v>0</v>
      </c>
      <c r="S293" s="23">
        <v>585.5</v>
      </c>
      <c r="U293" s="47">
        <v>44497</v>
      </c>
      <c r="V293" s="23" t="s">
        <v>116</v>
      </c>
      <c r="W293" s="23" t="s">
        <v>23</v>
      </c>
      <c r="X293" s="28">
        <v>44474.489583333336</v>
      </c>
      <c r="Y293" s="23">
        <v>28.5</v>
      </c>
      <c r="Z293" s="28">
        <v>44475.427083333336</v>
      </c>
      <c r="AA293" s="23">
        <v>21.175000000000001</v>
      </c>
      <c r="AB293" s="33">
        <v>-0.25700000000000001</v>
      </c>
      <c r="AC293" s="23">
        <v>13715.99</v>
      </c>
      <c r="AD293" s="33">
        <v>0.25700000000000001</v>
      </c>
      <c r="AE293" s="23">
        <v>1872.49</v>
      </c>
      <c r="AF293" s="23">
        <v>53365.96</v>
      </c>
      <c r="AG293" s="23">
        <v>685723.62</v>
      </c>
      <c r="AH293" s="23">
        <v>23</v>
      </c>
      <c r="AI293" s="23">
        <v>596.35</v>
      </c>
      <c r="AJ293" s="33">
        <v>-4.3900000000000002E-2</v>
      </c>
      <c r="AK293" s="33">
        <v>0.42459999999999998</v>
      </c>
      <c r="AL293" s="23" t="s">
        <v>24</v>
      </c>
      <c r="AM293" s="23">
        <v>592.6</v>
      </c>
      <c r="AN293" s="23">
        <v>37413.949999999997</v>
      </c>
      <c r="AO293" s="23">
        <v>585.5</v>
      </c>
      <c r="AQ293" s="50">
        <f t="shared" si="4"/>
        <v>4.8093148835639553E-2</v>
      </c>
      <c r="AR293" s="50"/>
      <c r="AS293" s="48"/>
      <c r="AT293" s="50"/>
      <c r="AV293" s="47">
        <v>44474</v>
      </c>
      <c r="AW293" s="51">
        <v>0.48958333333333331</v>
      </c>
      <c r="AX293" t="s">
        <v>162</v>
      </c>
    </row>
    <row r="294" spans="1:50">
      <c r="A294" s="23" t="s">
        <v>22</v>
      </c>
      <c r="B294" s="23" t="s">
        <v>23</v>
      </c>
      <c r="C294" s="28">
        <v>44475.427083333336</v>
      </c>
      <c r="D294" s="23">
        <v>612.47500000000002</v>
      </c>
      <c r="E294" s="28">
        <v>44476.385416666664</v>
      </c>
      <c r="F294" s="23">
        <v>606.72500000000002</v>
      </c>
      <c r="G294" s="33">
        <v>-9.4000000000000004E-3</v>
      </c>
      <c r="H294" s="23">
        <v>470.84</v>
      </c>
      <c r="I294" s="33">
        <v>9.4000000000000004E-3</v>
      </c>
      <c r="J294" s="23">
        <v>81.885310000000004</v>
      </c>
      <c r="K294" s="23">
        <v>50152.71</v>
      </c>
      <c r="L294" s="23">
        <v>31221.39</v>
      </c>
      <c r="M294" s="23">
        <v>25</v>
      </c>
      <c r="N294" s="23">
        <v>18.829999999999998</v>
      </c>
      <c r="O294" s="33">
        <v>-2E-3</v>
      </c>
      <c r="P294" s="33">
        <v>2.3E-2</v>
      </c>
      <c r="Q294" s="23" t="s">
        <v>24</v>
      </c>
      <c r="R294" s="23">
        <v>0</v>
      </c>
      <c r="S294" s="23">
        <v>629.47</v>
      </c>
      <c r="U294" s="47">
        <v>44497</v>
      </c>
      <c r="V294" s="23" t="s">
        <v>114</v>
      </c>
      <c r="W294" s="23" t="s">
        <v>23</v>
      </c>
      <c r="X294" s="28">
        <v>44475.427083333336</v>
      </c>
      <c r="Y294" s="23">
        <v>34.5</v>
      </c>
      <c r="Z294" s="28">
        <v>44476.385416666664</v>
      </c>
      <c r="AA294" s="23">
        <v>31.8</v>
      </c>
      <c r="AB294" s="33">
        <v>-7.8299999999999995E-2</v>
      </c>
      <c r="AC294" s="23">
        <v>4181.5</v>
      </c>
      <c r="AD294" s="33">
        <v>7.8299999999999995E-2</v>
      </c>
      <c r="AE294" s="23">
        <v>1548.703</v>
      </c>
      <c r="AF294" s="23">
        <v>53430.26</v>
      </c>
      <c r="AG294" s="23">
        <v>689905.12</v>
      </c>
      <c r="AH294" s="23">
        <v>25</v>
      </c>
      <c r="AI294" s="23">
        <v>167.26</v>
      </c>
      <c r="AJ294" s="33">
        <v>-1.67E-2</v>
      </c>
      <c r="AK294" s="33">
        <v>0.18840000000000001</v>
      </c>
      <c r="AL294" s="23" t="s">
        <v>24</v>
      </c>
      <c r="AM294" s="23">
        <v>612.47</v>
      </c>
      <c r="AN294" s="23">
        <v>37929.5</v>
      </c>
      <c r="AO294" s="23">
        <v>629.47</v>
      </c>
      <c r="AQ294" s="50">
        <f t="shared" si="4"/>
        <v>5.6329289597857851E-2</v>
      </c>
      <c r="AR294" s="50"/>
      <c r="AS294" s="48"/>
      <c r="AT294" s="50"/>
      <c r="AV294" s="47">
        <v>44475</v>
      </c>
      <c r="AW294" s="51">
        <v>0.42708333333333331</v>
      </c>
      <c r="AX294" t="s">
        <v>162</v>
      </c>
    </row>
    <row r="295" spans="1:50">
      <c r="A295" s="23" t="s">
        <v>22</v>
      </c>
      <c r="B295" s="23" t="s">
        <v>25</v>
      </c>
      <c r="C295" s="28">
        <v>44476.385416666664</v>
      </c>
      <c r="D295" s="23">
        <v>606.72500000000002</v>
      </c>
      <c r="E295" s="28">
        <v>44476.447916666664</v>
      </c>
      <c r="F295" s="23">
        <v>603.17499999999995</v>
      </c>
      <c r="G295" s="33">
        <v>-5.8999999999999999E-3</v>
      </c>
      <c r="H295" s="23">
        <v>-293.45999999999998</v>
      </c>
      <c r="I295" s="33">
        <v>-5.8999999999999999E-3</v>
      </c>
      <c r="J295" s="23">
        <v>82.664050000000003</v>
      </c>
      <c r="K295" s="23">
        <v>50154.35</v>
      </c>
      <c r="L295" s="23">
        <v>30927.93</v>
      </c>
      <c r="M295" s="23">
        <v>7</v>
      </c>
      <c r="N295" s="23">
        <v>-41.92</v>
      </c>
      <c r="O295" s="33">
        <v>-1.03E-2</v>
      </c>
      <c r="P295" s="33">
        <v>6.3E-3</v>
      </c>
      <c r="Q295" s="23" t="s">
        <v>24</v>
      </c>
      <c r="R295" s="23">
        <v>0</v>
      </c>
      <c r="S295" s="23">
        <v>599.14</v>
      </c>
      <c r="U295" s="47">
        <v>44497</v>
      </c>
      <c r="V295" s="23" t="s">
        <v>119</v>
      </c>
      <c r="W295" s="23" t="s">
        <v>23</v>
      </c>
      <c r="X295" s="28">
        <v>44476.385416666664</v>
      </c>
      <c r="Y295" s="23">
        <v>33.674999999999997</v>
      </c>
      <c r="Z295" s="28">
        <v>44476.447916666664</v>
      </c>
      <c r="AA295" s="23">
        <v>34.674999999999997</v>
      </c>
      <c r="AB295" s="33">
        <v>2.9700000000000001E-2</v>
      </c>
      <c r="AC295" s="23">
        <v>-1587.6</v>
      </c>
      <c r="AD295" s="33">
        <v>-2.9700000000000001E-2</v>
      </c>
      <c r="AE295" s="23">
        <v>1587.596</v>
      </c>
      <c r="AF295" s="23">
        <v>53462.3</v>
      </c>
      <c r="AG295" s="23">
        <v>688317.52</v>
      </c>
      <c r="AH295" s="23">
        <v>7</v>
      </c>
      <c r="AI295" s="23">
        <v>-226.8</v>
      </c>
      <c r="AJ295" s="33">
        <v>-6.9000000000000006E-2</v>
      </c>
      <c r="AK295" s="33">
        <v>7.6499999999999999E-2</v>
      </c>
      <c r="AL295" s="23" t="s">
        <v>24</v>
      </c>
      <c r="AM295" s="23">
        <v>606.72</v>
      </c>
      <c r="AN295" s="23">
        <v>37831.75</v>
      </c>
      <c r="AO295" s="23">
        <v>599.14</v>
      </c>
      <c r="AQ295" s="50">
        <f t="shared" si="4"/>
        <v>5.5503362341772146E-2</v>
      </c>
      <c r="AR295" s="50"/>
      <c r="AS295" s="48"/>
      <c r="AT295" s="50"/>
      <c r="AV295" s="47">
        <v>44476</v>
      </c>
      <c r="AW295" s="51">
        <v>0.38541666666666669</v>
      </c>
      <c r="AX295" t="s">
        <v>162</v>
      </c>
    </row>
    <row r="296" spans="1:50">
      <c r="A296" s="23" t="s">
        <v>22</v>
      </c>
      <c r="B296" s="23" t="s">
        <v>23</v>
      </c>
      <c r="C296" s="28">
        <v>44476.447916666664</v>
      </c>
      <c r="D296" s="23">
        <v>603.17499999999995</v>
      </c>
      <c r="E296" s="28">
        <v>44476.635416666664</v>
      </c>
      <c r="F296" s="23">
        <v>604.5</v>
      </c>
      <c r="G296" s="33">
        <v>2.2000000000000001E-3</v>
      </c>
      <c r="H296" s="23">
        <v>-110.18</v>
      </c>
      <c r="I296" s="33">
        <v>-2.2000000000000001E-3</v>
      </c>
      <c r="J296" s="23">
        <v>83.154139999999998</v>
      </c>
      <c r="K296" s="23">
        <v>50156.5</v>
      </c>
      <c r="L296" s="23">
        <v>30817.75</v>
      </c>
      <c r="M296" s="23">
        <v>19</v>
      </c>
      <c r="N296" s="23">
        <v>-5.8</v>
      </c>
      <c r="O296" s="33">
        <v>-7.1999999999999998E-3</v>
      </c>
      <c r="P296" s="33">
        <v>6.1000000000000004E-3</v>
      </c>
      <c r="Q296" s="23" t="s">
        <v>24</v>
      </c>
      <c r="R296" s="23">
        <v>0</v>
      </c>
      <c r="S296" s="23">
        <v>611.03</v>
      </c>
      <c r="U296" s="47">
        <v>44497</v>
      </c>
      <c r="V296" s="23" t="s">
        <v>107</v>
      </c>
      <c r="W296" s="23" t="s">
        <v>23</v>
      </c>
      <c r="X296" s="28">
        <v>44476.447916666664</v>
      </c>
      <c r="Y296" s="23">
        <v>34.25</v>
      </c>
      <c r="Z296" s="28">
        <v>44476.635416666664</v>
      </c>
      <c r="AA296" s="23">
        <v>34.024999999999999</v>
      </c>
      <c r="AB296" s="33">
        <v>-6.6E-3</v>
      </c>
      <c r="AC296" s="23">
        <v>351.23</v>
      </c>
      <c r="AD296" s="33">
        <v>6.6E-3</v>
      </c>
      <c r="AE296" s="23">
        <v>1561.0160000000001</v>
      </c>
      <c r="AF296" s="23">
        <v>53464.800000000003</v>
      </c>
      <c r="AG296" s="23">
        <v>688668.75</v>
      </c>
      <c r="AH296" s="23">
        <v>19</v>
      </c>
      <c r="AI296" s="23">
        <v>18.489999999999998</v>
      </c>
      <c r="AJ296" s="33">
        <v>-5.8400000000000001E-2</v>
      </c>
      <c r="AK296" s="33">
        <v>9.9299999999999999E-2</v>
      </c>
      <c r="AL296" s="23" t="s">
        <v>24</v>
      </c>
      <c r="AM296" s="23">
        <v>603.16999999999996</v>
      </c>
      <c r="AN296" s="23">
        <v>37767.85</v>
      </c>
      <c r="AO296" s="23">
        <v>611.03</v>
      </c>
      <c r="AQ296" s="50">
        <f t="shared" si="4"/>
        <v>5.6783328083293269E-2</v>
      </c>
      <c r="AR296" s="50"/>
      <c r="AS296" s="48"/>
      <c r="AT296" s="50"/>
      <c r="AV296" s="47">
        <v>44476</v>
      </c>
      <c r="AW296" s="51">
        <v>0.44791666666666669</v>
      </c>
      <c r="AX296" t="s">
        <v>162</v>
      </c>
    </row>
    <row r="297" spans="1:50">
      <c r="A297" s="23" t="s">
        <v>22</v>
      </c>
      <c r="B297" s="23" t="s">
        <v>25</v>
      </c>
      <c r="C297" s="28">
        <v>44476.635416666664</v>
      </c>
      <c r="D297" s="23">
        <v>604.5</v>
      </c>
      <c r="E297" s="28">
        <v>44477.5</v>
      </c>
      <c r="F297" s="23">
        <v>607</v>
      </c>
      <c r="G297" s="33">
        <v>4.1000000000000003E-3</v>
      </c>
      <c r="H297" s="23">
        <v>207.42</v>
      </c>
      <c r="I297" s="33">
        <v>4.1000000000000003E-3</v>
      </c>
      <c r="J297" s="23">
        <v>82.969179999999994</v>
      </c>
      <c r="K297" s="23">
        <v>50154.87</v>
      </c>
      <c r="L297" s="23">
        <v>31025.18</v>
      </c>
      <c r="M297" s="23">
        <v>16</v>
      </c>
      <c r="N297" s="23">
        <v>12.96</v>
      </c>
      <c r="O297" s="33">
        <v>-5.3E-3</v>
      </c>
      <c r="P297" s="33">
        <v>2.23E-2</v>
      </c>
      <c r="Q297" s="23" t="s">
        <v>24</v>
      </c>
      <c r="R297" s="23">
        <v>0</v>
      </c>
      <c r="S297" s="23">
        <v>599.70000000000005</v>
      </c>
      <c r="U297" s="47">
        <v>44497</v>
      </c>
      <c r="V297" s="23" t="s">
        <v>109</v>
      </c>
      <c r="W297" s="23" t="s">
        <v>23</v>
      </c>
      <c r="X297" s="28">
        <v>44476.635416666664</v>
      </c>
      <c r="Y297" s="23">
        <v>28.9</v>
      </c>
      <c r="Z297" s="28">
        <v>44477.5</v>
      </c>
      <c r="AA297" s="23">
        <v>25.25</v>
      </c>
      <c r="AB297" s="33">
        <v>-0.1263</v>
      </c>
      <c r="AC297" s="23">
        <v>6749.86</v>
      </c>
      <c r="AD297" s="33">
        <v>0.1263</v>
      </c>
      <c r="AE297" s="23">
        <v>1849.278</v>
      </c>
      <c r="AF297" s="23">
        <v>53444.13</v>
      </c>
      <c r="AG297" s="23">
        <v>695418.61</v>
      </c>
      <c r="AH297" s="23">
        <v>16</v>
      </c>
      <c r="AI297" s="23">
        <v>421.87</v>
      </c>
      <c r="AJ297" s="33">
        <v>0</v>
      </c>
      <c r="AK297" s="33">
        <v>0.25869999999999999</v>
      </c>
      <c r="AL297" s="23" t="s">
        <v>24</v>
      </c>
      <c r="AM297" s="23">
        <v>604.5</v>
      </c>
      <c r="AN297" s="23">
        <v>37756</v>
      </c>
      <c r="AO297" s="23">
        <v>599.70000000000005</v>
      </c>
      <c r="AQ297" s="50">
        <f t="shared" si="4"/>
        <v>4.7808105872621999E-2</v>
      </c>
      <c r="AR297" s="50"/>
      <c r="AS297" s="48"/>
      <c r="AT297" s="50"/>
      <c r="AV297" s="47">
        <v>44476</v>
      </c>
      <c r="AW297" s="51">
        <v>0.13541666666666666</v>
      </c>
      <c r="AX297" t="s">
        <v>163</v>
      </c>
    </row>
    <row r="298" spans="1:50">
      <c r="A298" s="25" t="s">
        <v>22</v>
      </c>
      <c r="B298" s="25" t="s">
        <v>23</v>
      </c>
      <c r="C298" s="30">
        <v>44477.5</v>
      </c>
      <c r="D298" s="25">
        <v>607</v>
      </c>
      <c r="E298" s="30">
        <v>44477.583333333336</v>
      </c>
      <c r="F298" s="25">
        <v>613.35</v>
      </c>
      <c r="G298" s="35">
        <v>1.0500000000000001E-2</v>
      </c>
      <c r="H298" s="25">
        <v>-524.70000000000005</v>
      </c>
      <c r="I298" s="35">
        <v>-1.0500000000000001E-2</v>
      </c>
      <c r="J298" s="25">
        <v>82.630309999999994</v>
      </c>
      <c r="K298" s="25">
        <v>50156.6</v>
      </c>
      <c r="L298" s="25">
        <v>30500.47</v>
      </c>
      <c r="M298" s="25">
        <v>9</v>
      </c>
      <c r="N298" s="25">
        <v>-58.3</v>
      </c>
      <c r="O298" s="35">
        <v>-1.0500000000000001E-2</v>
      </c>
      <c r="P298" s="35">
        <v>4.4999999999999997E-3</v>
      </c>
      <c r="Q298" s="25" t="s">
        <v>24</v>
      </c>
      <c r="R298" s="25">
        <v>0</v>
      </c>
      <c r="S298" s="25">
        <v>618</v>
      </c>
      <c r="U298" s="47">
        <v>44497</v>
      </c>
      <c r="V298" s="23" t="s">
        <v>114</v>
      </c>
      <c r="W298" s="23" t="s">
        <v>23</v>
      </c>
      <c r="X298" s="28">
        <v>44477.5</v>
      </c>
      <c r="Y298" s="23">
        <v>28.85</v>
      </c>
      <c r="Z298" s="28">
        <v>44477.583333333336</v>
      </c>
      <c r="AA298" s="23">
        <v>31.824999999999999</v>
      </c>
      <c r="AB298" s="33">
        <v>0.1031</v>
      </c>
      <c r="AC298" s="23">
        <v>-5515.25</v>
      </c>
      <c r="AD298" s="33">
        <v>-0.1031</v>
      </c>
      <c r="AE298" s="23">
        <v>1853.866</v>
      </c>
      <c r="AF298" s="23">
        <v>53484.03</v>
      </c>
      <c r="AG298" s="23">
        <v>689903.36</v>
      </c>
      <c r="AH298" s="23">
        <v>9</v>
      </c>
      <c r="AI298" s="23">
        <v>-612.80999999999995</v>
      </c>
      <c r="AJ298" s="33">
        <v>-0.1031</v>
      </c>
      <c r="AK298" s="33">
        <v>4.5100000000000001E-2</v>
      </c>
      <c r="AL298" s="23" t="s">
        <v>24</v>
      </c>
      <c r="AM298" s="23">
        <v>607</v>
      </c>
      <c r="AN298" s="23">
        <v>37772.199999999997</v>
      </c>
      <c r="AO298" s="23">
        <v>618</v>
      </c>
      <c r="AQ298" s="50">
        <f t="shared" si="4"/>
        <v>4.752883031301483E-2</v>
      </c>
      <c r="AR298" s="50"/>
      <c r="AS298" s="48"/>
      <c r="AT298" s="50"/>
      <c r="AV298" s="47">
        <v>44477</v>
      </c>
      <c r="AW298" s="51">
        <v>0.5</v>
      </c>
      <c r="AX298" t="s">
        <v>163</v>
      </c>
    </row>
    <row r="299" spans="1:50">
      <c r="A299" s="25" t="s">
        <v>22</v>
      </c>
      <c r="B299" s="25" t="s">
        <v>25</v>
      </c>
      <c r="C299" s="30">
        <v>44477.583333333336</v>
      </c>
      <c r="D299" s="25">
        <v>613.35</v>
      </c>
      <c r="E299" s="30">
        <v>44477.635416666664</v>
      </c>
      <c r="F299" s="25">
        <v>607.5</v>
      </c>
      <c r="G299" s="35">
        <v>-9.4999999999999998E-3</v>
      </c>
      <c r="H299" s="25">
        <v>-478.35</v>
      </c>
      <c r="I299" s="35">
        <v>-9.4999999999999998E-3</v>
      </c>
      <c r="J299" s="25">
        <v>81.769069999999999</v>
      </c>
      <c r="K299" s="25">
        <v>50153.06</v>
      </c>
      <c r="L299" s="25">
        <v>30022.12</v>
      </c>
      <c r="M299" s="25">
        <v>6</v>
      </c>
      <c r="N299" s="25">
        <v>-79.72</v>
      </c>
      <c r="O299" s="35">
        <v>-9.4999999999999998E-3</v>
      </c>
      <c r="P299" s="35">
        <v>1.4E-3</v>
      </c>
      <c r="Q299" s="25" t="s">
        <v>24</v>
      </c>
      <c r="R299" s="25">
        <v>0</v>
      </c>
      <c r="S299" s="25">
        <v>604.63</v>
      </c>
      <c r="U299" s="47">
        <v>44497</v>
      </c>
      <c r="V299" s="23" t="s">
        <v>117</v>
      </c>
      <c r="W299" s="23" t="s">
        <v>23</v>
      </c>
      <c r="X299" s="28">
        <v>44477.583333333336</v>
      </c>
      <c r="Y299" s="23">
        <v>3.15</v>
      </c>
      <c r="Z299" s="28">
        <v>44477.635416666664</v>
      </c>
      <c r="AA299" s="23">
        <v>3.15</v>
      </c>
      <c r="AB299" s="33">
        <v>0</v>
      </c>
      <c r="AC299" s="23">
        <v>0</v>
      </c>
      <c r="AD299" s="33">
        <v>0</v>
      </c>
      <c r="AE299" s="23">
        <v>16969.57</v>
      </c>
      <c r="AF299" s="23">
        <v>53454.15</v>
      </c>
      <c r="AG299" s="23">
        <v>689903.36</v>
      </c>
      <c r="AH299" s="23">
        <v>6</v>
      </c>
      <c r="AI299" s="23">
        <v>0</v>
      </c>
      <c r="AJ299" s="33">
        <v>0</v>
      </c>
      <c r="AK299" s="33">
        <v>0</v>
      </c>
      <c r="AL299" s="23" t="s">
        <v>24</v>
      </c>
      <c r="AM299" s="23">
        <v>613.35</v>
      </c>
      <c r="AN299" s="23">
        <v>37791.9</v>
      </c>
      <c r="AO299" s="23">
        <v>604.63</v>
      </c>
      <c r="AQ299" s="50">
        <f t="shared" si="4"/>
        <v>5.1357300073367569E-3</v>
      </c>
      <c r="AR299" s="50"/>
      <c r="AS299" s="48"/>
      <c r="AT299" s="50"/>
      <c r="AV299" s="47">
        <v>44477</v>
      </c>
      <c r="AW299" s="51">
        <v>8.3333333333333329E-2</v>
      </c>
      <c r="AX299" t="s">
        <v>163</v>
      </c>
    </row>
    <row r="300" spans="1:50">
      <c r="A300" s="25" t="s">
        <v>22</v>
      </c>
      <c r="B300" s="25" t="s">
        <v>23</v>
      </c>
      <c r="C300" s="30">
        <v>44477.635416666664</v>
      </c>
      <c r="D300" s="25">
        <v>607.5</v>
      </c>
      <c r="E300" s="30">
        <v>44480.385416666664</v>
      </c>
      <c r="F300" s="25">
        <v>608.6</v>
      </c>
      <c r="G300" s="35">
        <v>1.8E-3</v>
      </c>
      <c r="H300" s="25">
        <v>-90.81</v>
      </c>
      <c r="I300" s="35">
        <v>-1.8E-3</v>
      </c>
      <c r="J300" s="25">
        <v>82.553309999999996</v>
      </c>
      <c r="K300" s="25">
        <v>50151.13</v>
      </c>
      <c r="L300" s="25">
        <v>29931.32</v>
      </c>
      <c r="M300" s="25">
        <v>5</v>
      </c>
      <c r="N300" s="25">
        <v>-18.16</v>
      </c>
      <c r="O300" s="35">
        <v>-5.7999999999999996E-3</v>
      </c>
      <c r="P300" s="35">
        <v>8.9999999999999998E-4</v>
      </c>
      <c r="Q300" s="25" t="s">
        <v>24</v>
      </c>
      <c r="R300" s="25">
        <v>0</v>
      </c>
      <c r="S300" s="25">
        <v>614.22</v>
      </c>
      <c r="U300" s="47">
        <v>44497</v>
      </c>
      <c r="V300" s="23" t="s">
        <v>114</v>
      </c>
      <c r="W300" s="23" t="s">
        <v>23</v>
      </c>
      <c r="X300" s="28">
        <v>44477.635416666664</v>
      </c>
      <c r="Y300" s="23">
        <v>29.85</v>
      </c>
      <c r="Z300" s="28">
        <v>44480.385416666664</v>
      </c>
      <c r="AA300" s="23">
        <v>28.375</v>
      </c>
      <c r="AB300" s="33">
        <v>-4.9399999999999999E-2</v>
      </c>
      <c r="AC300" s="23">
        <v>2641.14</v>
      </c>
      <c r="AD300" s="33">
        <v>4.9399999999999999E-2</v>
      </c>
      <c r="AE300" s="23">
        <v>1790.604</v>
      </c>
      <c r="AF300" s="23">
        <v>53449.52</v>
      </c>
      <c r="AG300" s="23">
        <v>692544.5</v>
      </c>
      <c r="AH300" s="23">
        <v>5</v>
      </c>
      <c r="AI300" s="23">
        <v>528.23</v>
      </c>
      <c r="AJ300" s="33">
        <v>-3.85E-2</v>
      </c>
      <c r="AK300" s="33">
        <v>7.8700000000000006E-2</v>
      </c>
      <c r="AL300" s="23" t="s">
        <v>24</v>
      </c>
      <c r="AM300" s="23">
        <v>607.5</v>
      </c>
      <c r="AN300" s="23">
        <v>37835.300000000003</v>
      </c>
      <c r="AO300" s="23">
        <v>614.22</v>
      </c>
      <c r="AQ300" s="50">
        <f t="shared" si="4"/>
        <v>4.9135802469135806E-2</v>
      </c>
      <c r="AR300" s="50"/>
      <c r="AS300" s="48"/>
      <c r="AT300" s="50"/>
      <c r="AV300" s="47">
        <v>44477</v>
      </c>
      <c r="AW300" s="51">
        <v>0.13541666666666666</v>
      </c>
      <c r="AX300" t="s">
        <v>163</v>
      </c>
    </row>
    <row r="301" spans="1:50">
      <c r="A301" s="23" t="s">
        <v>22</v>
      </c>
      <c r="B301" s="23" t="s">
        <v>25</v>
      </c>
      <c r="C301" s="28">
        <v>44480.385416666664</v>
      </c>
      <c r="D301" s="23">
        <v>608.6</v>
      </c>
      <c r="E301" s="28">
        <v>44480.46875</v>
      </c>
      <c r="F301" s="23">
        <v>610.04999999999995</v>
      </c>
      <c r="G301" s="33">
        <v>2.3999999999999998E-3</v>
      </c>
      <c r="H301" s="23">
        <v>119.48</v>
      </c>
      <c r="I301" s="33">
        <v>2.3999999999999998E-3</v>
      </c>
      <c r="J301" s="23">
        <v>82.400049999999993</v>
      </c>
      <c r="K301" s="23">
        <v>50148.67</v>
      </c>
      <c r="L301" s="23">
        <v>30050.799999999999</v>
      </c>
      <c r="M301" s="23">
        <v>9</v>
      </c>
      <c r="N301" s="23">
        <v>13.28</v>
      </c>
      <c r="O301" s="33">
        <v>-5.1000000000000004E-3</v>
      </c>
      <c r="P301" s="33">
        <v>1.12E-2</v>
      </c>
      <c r="Q301" s="23" t="s">
        <v>24</v>
      </c>
      <c r="R301" s="23">
        <v>0</v>
      </c>
      <c r="S301" s="23">
        <v>605.5</v>
      </c>
      <c r="U301" s="47">
        <v>44497</v>
      </c>
      <c r="V301" s="23" t="s">
        <v>119</v>
      </c>
      <c r="W301" s="23" t="s">
        <v>23</v>
      </c>
      <c r="X301" s="28">
        <v>44480.385416666664</v>
      </c>
      <c r="Y301" s="23">
        <v>28.9</v>
      </c>
      <c r="Z301" s="28">
        <v>44480.46875</v>
      </c>
      <c r="AA301" s="23">
        <v>27.2</v>
      </c>
      <c r="AB301" s="33">
        <v>-5.8799999999999998E-2</v>
      </c>
      <c r="AC301" s="23">
        <v>3144.09</v>
      </c>
      <c r="AD301" s="33">
        <v>5.8799999999999998E-2</v>
      </c>
      <c r="AE301" s="23">
        <v>1849.4639999999999</v>
      </c>
      <c r="AF301" s="23">
        <v>53449.52</v>
      </c>
      <c r="AG301" s="23">
        <v>695688.59</v>
      </c>
      <c r="AH301" s="23">
        <v>9</v>
      </c>
      <c r="AI301" s="23">
        <v>349.34</v>
      </c>
      <c r="AJ301" s="33">
        <v>-2.1600000000000001E-2</v>
      </c>
      <c r="AK301" s="33">
        <v>0.1358</v>
      </c>
      <c r="AL301" s="23" t="s">
        <v>24</v>
      </c>
      <c r="AM301" s="23">
        <v>608.6</v>
      </c>
      <c r="AN301" s="23">
        <v>37994.300000000003</v>
      </c>
      <c r="AO301" s="23">
        <v>605.5</v>
      </c>
      <c r="AQ301" s="50">
        <f t="shared" si="4"/>
        <v>4.7486033519553071E-2</v>
      </c>
      <c r="AR301" s="50"/>
      <c r="AS301" s="48"/>
      <c r="AT301" s="50"/>
      <c r="AV301" s="47">
        <v>44480</v>
      </c>
      <c r="AW301" s="51">
        <v>0.38541666666666669</v>
      </c>
      <c r="AX301" t="s">
        <v>162</v>
      </c>
    </row>
    <row r="302" spans="1:50">
      <c r="A302" s="23" t="s">
        <v>22</v>
      </c>
      <c r="B302" s="23" t="s">
        <v>23</v>
      </c>
      <c r="C302" s="28">
        <v>44480.46875</v>
      </c>
      <c r="D302" s="23">
        <v>610.04999999999995</v>
      </c>
      <c r="E302" s="28">
        <v>44480.5625</v>
      </c>
      <c r="F302" s="23">
        <v>610.20000000000005</v>
      </c>
      <c r="G302" s="33">
        <v>2.0000000000000001E-4</v>
      </c>
      <c r="H302" s="23">
        <v>-12.33</v>
      </c>
      <c r="I302" s="33">
        <v>-2.0000000000000001E-4</v>
      </c>
      <c r="J302" s="23">
        <v>82.207520000000002</v>
      </c>
      <c r="K302" s="23">
        <v>50150.7</v>
      </c>
      <c r="L302" s="23">
        <v>30038.46</v>
      </c>
      <c r="M302" s="23">
        <v>10</v>
      </c>
      <c r="N302" s="23">
        <v>-1.23</v>
      </c>
      <c r="O302" s="33">
        <v>-2.0999999999999999E-3</v>
      </c>
      <c r="P302" s="33">
        <v>7.1000000000000004E-3</v>
      </c>
      <c r="Q302" s="23" t="s">
        <v>24</v>
      </c>
      <c r="R302" s="23">
        <v>0</v>
      </c>
      <c r="S302" s="23">
        <v>615.41999999999996</v>
      </c>
      <c r="U302" s="47">
        <v>44497</v>
      </c>
      <c r="V302" s="23" t="s">
        <v>114</v>
      </c>
      <c r="W302" s="23" t="s">
        <v>23</v>
      </c>
      <c r="X302" s="28">
        <v>44480.46875</v>
      </c>
      <c r="Y302" s="23">
        <v>29.625</v>
      </c>
      <c r="Z302" s="28">
        <v>44480.5625</v>
      </c>
      <c r="AA302" s="23">
        <v>31</v>
      </c>
      <c r="AB302" s="33">
        <v>4.6399999999999997E-2</v>
      </c>
      <c r="AC302" s="23">
        <v>-2482.5500000000002</v>
      </c>
      <c r="AD302" s="33">
        <v>-4.6399999999999997E-2</v>
      </c>
      <c r="AE302" s="23">
        <v>1805.492</v>
      </c>
      <c r="AF302" s="23">
        <v>53487.69</v>
      </c>
      <c r="AG302" s="23">
        <v>693206.04</v>
      </c>
      <c r="AH302" s="23">
        <v>10</v>
      </c>
      <c r="AI302" s="23">
        <v>-248.26</v>
      </c>
      <c r="AJ302" s="33">
        <v>-4.6399999999999997E-2</v>
      </c>
      <c r="AK302" s="33">
        <v>7.17E-2</v>
      </c>
      <c r="AL302" s="23" t="s">
        <v>24</v>
      </c>
      <c r="AM302" s="23">
        <v>610.04999999999995</v>
      </c>
      <c r="AN302" s="23">
        <v>38225.449999999997</v>
      </c>
      <c r="AO302" s="23">
        <v>615.41999999999996</v>
      </c>
      <c r="AQ302" s="50">
        <f t="shared" si="4"/>
        <v>4.8561593312023608E-2</v>
      </c>
      <c r="AR302" s="50"/>
      <c r="AS302" s="48"/>
      <c r="AT302" s="50"/>
      <c r="AV302" s="47">
        <v>44480</v>
      </c>
      <c r="AW302" s="51">
        <v>0.46875</v>
      </c>
      <c r="AX302" t="s">
        <v>162</v>
      </c>
    </row>
    <row r="303" spans="1:50">
      <c r="A303" s="23" t="s">
        <v>22</v>
      </c>
      <c r="B303" s="23" t="s">
        <v>25</v>
      </c>
      <c r="C303" s="28">
        <v>44480.5625</v>
      </c>
      <c r="D303" s="23">
        <v>610.20000000000005</v>
      </c>
      <c r="E303" s="28">
        <v>44480.59375</v>
      </c>
      <c r="F303" s="23">
        <v>606.32500000000005</v>
      </c>
      <c r="G303" s="33">
        <v>-6.4000000000000003E-3</v>
      </c>
      <c r="H303" s="23">
        <v>-318.48</v>
      </c>
      <c r="I303" s="33">
        <v>-6.4000000000000003E-3</v>
      </c>
      <c r="J303" s="23">
        <v>82.187659999999994</v>
      </c>
      <c r="K303" s="23">
        <v>50150.91</v>
      </c>
      <c r="L303" s="23">
        <v>29719.99</v>
      </c>
      <c r="M303" s="23">
        <v>4</v>
      </c>
      <c r="N303" s="23">
        <v>-79.62</v>
      </c>
      <c r="O303" s="33">
        <v>-6.4000000000000003E-3</v>
      </c>
      <c r="P303" s="33">
        <v>3.2000000000000002E-3</v>
      </c>
      <c r="Q303" s="23" t="s">
        <v>24</v>
      </c>
      <c r="R303" s="23">
        <v>0</v>
      </c>
      <c r="S303" s="23">
        <v>605.70000000000005</v>
      </c>
      <c r="U303" s="47">
        <v>44497</v>
      </c>
      <c r="V303" s="23" t="s">
        <v>119</v>
      </c>
      <c r="W303" s="23" t="s">
        <v>23</v>
      </c>
      <c r="X303" s="28">
        <v>44480.5625</v>
      </c>
      <c r="Y303" s="23">
        <v>27</v>
      </c>
      <c r="Z303" s="28">
        <v>44480.59375</v>
      </c>
      <c r="AA303" s="23">
        <v>30</v>
      </c>
      <c r="AB303" s="33">
        <v>0.1111</v>
      </c>
      <c r="AC303" s="23">
        <v>-5942.68</v>
      </c>
      <c r="AD303" s="33">
        <v>-0.1111</v>
      </c>
      <c r="AE303" s="23">
        <v>1980.8920000000001</v>
      </c>
      <c r="AF303" s="23">
        <v>53484.09</v>
      </c>
      <c r="AG303" s="23">
        <v>687263.36</v>
      </c>
      <c r="AH303" s="23">
        <v>4</v>
      </c>
      <c r="AI303" s="23">
        <v>-1485.67</v>
      </c>
      <c r="AJ303" s="33">
        <v>-0.1111</v>
      </c>
      <c r="AK303" s="33">
        <v>0</v>
      </c>
      <c r="AL303" s="23" t="s">
        <v>24</v>
      </c>
      <c r="AM303" s="23">
        <v>610.20000000000005</v>
      </c>
      <c r="AN303" s="23">
        <v>38391.449999999997</v>
      </c>
      <c r="AO303" s="23">
        <v>605.70000000000005</v>
      </c>
      <c r="AQ303" s="50">
        <f t="shared" si="4"/>
        <v>4.4247787610619468E-2</v>
      </c>
      <c r="AR303" s="50"/>
      <c r="AS303" s="48"/>
      <c r="AT303" s="50"/>
      <c r="AV303" s="47">
        <v>44480</v>
      </c>
      <c r="AW303" s="51">
        <v>6.25E-2</v>
      </c>
      <c r="AX303" t="s">
        <v>163</v>
      </c>
    </row>
    <row r="304" spans="1:50">
      <c r="A304" s="23" t="s">
        <v>22</v>
      </c>
      <c r="B304" s="23" t="s">
        <v>23</v>
      </c>
      <c r="C304" s="28">
        <v>44480.59375</v>
      </c>
      <c r="D304" s="23">
        <v>606.32500000000005</v>
      </c>
      <c r="E304" s="28">
        <v>44481.385416666664</v>
      </c>
      <c r="F304" s="23">
        <v>612.54999999999995</v>
      </c>
      <c r="G304" s="33">
        <v>1.03E-2</v>
      </c>
      <c r="H304" s="23">
        <v>-514.87</v>
      </c>
      <c r="I304" s="33">
        <v>-1.03E-2</v>
      </c>
      <c r="J304" s="23">
        <v>82.709580000000003</v>
      </c>
      <c r="K304" s="23">
        <v>50148.89</v>
      </c>
      <c r="L304" s="23">
        <v>29205.119999999999</v>
      </c>
      <c r="M304" s="23">
        <v>9</v>
      </c>
      <c r="N304" s="23">
        <v>-57.21</v>
      </c>
      <c r="O304" s="33">
        <v>-1.03E-2</v>
      </c>
      <c r="P304" s="33">
        <v>3.8E-3</v>
      </c>
      <c r="Q304" s="23" t="s">
        <v>24</v>
      </c>
      <c r="R304" s="23">
        <v>0</v>
      </c>
      <c r="S304" s="23">
        <v>611.9</v>
      </c>
      <c r="U304" s="47">
        <v>44497</v>
      </c>
      <c r="V304" s="23" t="s">
        <v>114</v>
      </c>
      <c r="W304" s="23" t="s">
        <v>23</v>
      </c>
      <c r="X304" s="28">
        <v>44480.59375</v>
      </c>
      <c r="Y304" s="23">
        <v>28.274999999999999</v>
      </c>
      <c r="Z304" s="28">
        <v>44481.385416666664</v>
      </c>
      <c r="AA304" s="23">
        <v>30.5</v>
      </c>
      <c r="AB304" s="33">
        <v>7.8700000000000006E-2</v>
      </c>
      <c r="AC304" s="23">
        <v>-4205.92</v>
      </c>
      <c r="AD304" s="33">
        <v>-7.8700000000000006E-2</v>
      </c>
      <c r="AE304" s="23">
        <v>1890.299</v>
      </c>
      <c r="AF304" s="23">
        <v>53448.2</v>
      </c>
      <c r="AG304" s="23">
        <v>683057.45</v>
      </c>
      <c r="AH304" s="23">
        <v>9</v>
      </c>
      <c r="AI304" s="23">
        <v>-467.32</v>
      </c>
      <c r="AJ304" s="33">
        <v>-7.8700000000000006E-2</v>
      </c>
      <c r="AK304" s="33">
        <v>3.9800000000000002E-2</v>
      </c>
      <c r="AL304" s="23" t="s">
        <v>24</v>
      </c>
      <c r="AM304" s="23">
        <v>606.33000000000004</v>
      </c>
      <c r="AN304" s="23">
        <v>38483.5</v>
      </c>
      <c r="AO304" s="23">
        <v>611.9</v>
      </c>
      <c r="AQ304" s="50">
        <f t="shared" si="4"/>
        <v>4.6633021621889065E-2</v>
      </c>
      <c r="AR304" s="50"/>
      <c r="AS304" s="48"/>
      <c r="AT304" s="50"/>
      <c r="AV304" s="47">
        <v>44480</v>
      </c>
      <c r="AW304" s="51">
        <v>9.375E-2</v>
      </c>
      <c r="AX304" t="s">
        <v>163</v>
      </c>
    </row>
    <row r="305" spans="1:50">
      <c r="A305" s="23" t="s">
        <v>22</v>
      </c>
      <c r="B305" s="23" t="s">
        <v>25</v>
      </c>
      <c r="C305" s="28">
        <v>44481.385416666664</v>
      </c>
      <c r="D305" s="23">
        <v>612.54999999999995</v>
      </c>
      <c r="E305" s="28">
        <v>44481.427083333336</v>
      </c>
      <c r="F305" s="23">
        <v>604.875</v>
      </c>
      <c r="G305" s="33">
        <v>-1.2500000000000001E-2</v>
      </c>
      <c r="H305" s="23">
        <v>-628.34</v>
      </c>
      <c r="I305" s="33">
        <v>-1.2500000000000001E-2</v>
      </c>
      <c r="J305" s="23">
        <v>81.868870000000001</v>
      </c>
      <c r="K305" s="23">
        <v>50148.78</v>
      </c>
      <c r="L305" s="23">
        <v>28576.78</v>
      </c>
      <c r="M305" s="23">
        <v>5</v>
      </c>
      <c r="N305" s="23">
        <v>-125.67</v>
      </c>
      <c r="O305" s="33">
        <v>-1.4E-2</v>
      </c>
      <c r="P305" s="33">
        <v>2.3E-3</v>
      </c>
      <c r="Q305" s="23" t="s">
        <v>24</v>
      </c>
      <c r="R305" s="23">
        <v>0</v>
      </c>
      <c r="S305" s="23">
        <v>604</v>
      </c>
      <c r="U305" s="47">
        <v>44497</v>
      </c>
      <c r="V305" s="23" t="s">
        <v>119</v>
      </c>
      <c r="W305" s="23" t="s">
        <v>23</v>
      </c>
      <c r="X305" s="28">
        <v>44481.385416666664</v>
      </c>
      <c r="Y305" s="23">
        <v>26.5</v>
      </c>
      <c r="Z305" s="28">
        <v>44481.427083333336</v>
      </c>
      <c r="AA305" s="23">
        <v>28.25</v>
      </c>
      <c r="AB305" s="33">
        <v>6.6000000000000003E-2</v>
      </c>
      <c r="AC305" s="23">
        <v>-3529.3</v>
      </c>
      <c r="AD305" s="33">
        <v>-6.6000000000000003E-2</v>
      </c>
      <c r="AE305" s="23">
        <v>2016.741</v>
      </c>
      <c r="AF305" s="23">
        <v>53443.64</v>
      </c>
      <c r="AG305" s="23">
        <v>679528.15</v>
      </c>
      <c r="AH305" s="23">
        <v>5</v>
      </c>
      <c r="AI305" s="23">
        <v>-705.86</v>
      </c>
      <c r="AJ305" s="33">
        <v>-9.4299999999999995E-2</v>
      </c>
      <c r="AK305" s="33">
        <v>0</v>
      </c>
      <c r="AL305" s="23" t="s">
        <v>24</v>
      </c>
      <c r="AM305" s="23">
        <v>612.54999999999995</v>
      </c>
      <c r="AN305" s="23">
        <v>38345.35</v>
      </c>
      <c r="AO305" s="23">
        <v>604</v>
      </c>
      <c r="AQ305" s="50">
        <f t="shared" si="4"/>
        <v>4.3261774549016412E-2</v>
      </c>
      <c r="AR305" s="50"/>
      <c r="AS305" s="48"/>
      <c r="AT305" s="50"/>
      <c r="AV305" s="47">
        <v>44481</v>
      </c>
      <c r="AW305" s="51">
        <v>0.38541666666666669</v>
      </c>
      <c r="AX305" t="s">
        <v>162</v>
      </c>
    </row>
    <row r="306" spans="1:50">
      <c r="A306" s="23" t="s">
        <v>22</v>
      </c>
      <c r="B306" s="23" t="s">
        <v>23</v>
      </c>
      <c r="C306" s="28">
        <v>44481.427083333336</v>
      </c>
      <c r="D306" s="23">
        <v>604.875</v>
      </c>
      <c r="E306" s="28">
        <v>44481.572916666664</v>
      </c>
      <c r="F306" s="23">
        <v>606.47500000000002</v>
      </c>
      <c r="G306" s="33">
        <v>2.5999999999999999E-3</v>
      </c>
      <c r="H306" s="23">
        <v>-132.63999999999999</v>
      </c>
      <c r="I306" s="33">
        <v>-2.5999999999999999E-3</v>
      </c>
      <c r="J306" s="23">
        <v>82.89967</v>
      </c>
      <c r="K306" s="23">
        <v>50143.94</v>
      </c>
      <c r="L306" s="23">
        <v>28444.14</v>
      </c>
      <c r="M306" s="23">
        <v>15</v>
      </c>
      <c r="N306" s="23">
        <v>-8.84</v>
      </c>
      <c r="O306" s="33">
        <v>-4.7999999999999996E-3</v>
      </c>
      <c r="P306" s="33">
        <v>8.0999999999999996E-3</v>
      </c>
      <c r="Q306" s="23" t="s">
        <v>24</v>
      </c>
      <c r="R306" s="23">
        <v>0</v>
      </c>
      <c r="S306" s="23">
        <v>613.79999999999995</v>
      </c>
      <c r="U306" s="47">
        <v>44497</v>
      </c>
      <c r="V306" s="23" t="s">
        <v>107</v>
      </c>
      <c r="W306" s="23" t="s">
        <v>23</v>
      </c>
      <c r="X306" s="28">
        <v>44481.427083333336</v>
      </c>
      <c r="Y306" s="23">
        <v>31.125</v>
      </c>
      <c r="Z306" s="28">
        <v>44481.572916666664</v>
      </c>
      <c r="AA306" s="23">
        <v>30.574999999999999</v>
      </c>
      <c r="AB306" s="33">
        <v>-1.77E-2</v>
      </c>
      <c r="AC306" s="23">
        <v>943.57</v>
      </c>
      <c r="AD306" s="33">
        <v>1.77E-2</v>
      </c>
      <c r="AE306" s="23">
        <v>1715.587</v>
      </c>
      <c r="AF306" s="23">
        <v>53397.64</v>
      </c>
      <c r="AG306" s="23">
        <v>680471.72</v>
      </c>
      <c r="AH306" s="23">
        <v>15</v>
      </c>
      <c r="AI306" s="23">
        <v>62.9</v>
      </c>
      <c r="AJ306" s="33">
        <v>-3.5299999999999998E-2</v>
      </c>
      <c r="AK306" s="33">
        <v>7.6300000000000007E-2</v>
      </c>
      <c r="AL306" s="23" t="s">
        <v>24</v>
      </c>
      <c r="AM306" s="23">
        <v>604.88</v>
      </c>
      <c r="AN306" s="23">
        <v>38264.65</v>
      </c>
      <c r="AO306" s="23">
        <v>613.79999999999995</v>
      </c>
      <c r="AQ306" s="50">
        <f t="shared" si="4"/>
        <v>5.1456487237137943E-2</v>
      </c>
      <c r="AR306" s="50"/>
      <c r="AS306" s="48"/>
      <c r="AT306" s="50"/>
      <c r="AV306" s="47">
        <v>44481</v>
      </c>
      <c r="AW306" s="51">
        <v>0.42708333333333331</v>
      </c>
      <c r="AX306" t="s">
        <v>162</v>
      </c>
    </row>
    <row r="307" spans="1:50">
      <c r="A307" s="23" t="s">
        <v>22</v>
      </c>
      <c r="B307" s="23" t="s">
        <v>25</v>
      </c>
      <c r="C307" s="28">
        <v>44481.572916666664</v>
      </c>
      <c r="D307" s="23">
        <v>606.47500000000002</v>
      </c>
      <c r="E307" s="28">
        <v>44482.479166666664</v>
      </c>
      <c r="F307" s="23">
        <v>610.70000000000005</v>
      </c>
      <c r="G307" s="33">
        <v>7.0000000000000001E-3</v>
      </c>
      <c r="H307" s="23">
        <v>349.32</v>
      </c>
      <c r="I307" s="33">
        <v>7.0000000000000001E-3</v>
      </c>
      <c r="J307" s="23">
        <v>82.680170000000004</v>
      </c>
      <c r="K307" s="23">
        <v>50143.45</v>
      </c>
      <c r="L307" s="23">
        <v>28793.46</v>
      </c>
      <c r="M307" s="23">
        <v>20</v>
      </c>
      <c r="N307" s="23">
        <v>17.47</v>
      </c>
      <c r="O307" s="33">
        <v>-7.1999999999999998E-3</v>
      </c>
      <c r="P307" s="33">
        <v>2.23E-2</v>
      </c>
      <c r="Q307" s="23" t="s">
        <v>24</v>
      </c>
      <c r="R307" s="23">
        <v>0</v>
      </c>
      <c r="S307" s="23">
        <v>600.14</v>
      </c>
      <c r="U307" s="47">
        <v>44497</v>
      </c>
      <c r="V307" s="23" t="s">
        <v>109</v>
      </c>
      <c r="W307" s="23" t="s">
        <v>23</v>
      </c>
      <c r="X307" s="28">
        <v>44481.572916666664</v>
      </c>
      <c r="Y307" s="23">
        <v>23.05</v>
      </c>
      <c r="Z307" s="28">
        <v>44482.479166666664</v>
      </c>
      <c r="AA307" s="23">
        <v>20.225000000000001</v>
      </c>
      <c r="AB307" s="33">
        <v>-0.1226</v>
      </c>
      <c r="AC307" s="23">
        <v>6545.45</v>
      </c>
      <c r="AD307" s="33">
        <v>0.1226</v>
      </c>
      <c r="AE307" s="23">
        <v>2316.973</v>
      </c>
      <c r="AF307" s="23">
        <v>53406.22</v>
      </c>
      <c r="AG307" s="23">
        <v>687017.17</v>
      </c>
      <c r="AH307" s="23">
        <v>20</v>
      </c>
      <c r="AI307" s="23">
        <v>327.27</v>
      </c>
      <c r="AJ307" s="33">
        <v>-0.10630000000000001</v>
      </c>
      <c r="AK307" s="33">
        <v>0.29070000000000001</v>
      </c>
      <c r="AL307" s="23" t="s">
        <v>24</v>
      </c>
      <c r="AM307" s="23">
        <v>606.47</v>
      </c>
      <c r="AN307" s="23">
        <v>38357.75</v>
      </c>
      <c r="AO307" s="23">
        <v>600.14</v>
      </c>
      <c r="AQ307" s="50">
        <f t="shared" si="4"/>
        <v>3.8006826388774381E-2</v>
      </c>
      <c r="AR307" s="50"/>
      <c r="AS307" s="48"/>
      <c r="AT307" s="50"/>
      <c r="AV307" s="47">
        <v>44481</v>
      </c>
      <c r="AW307" s="51">
        <v>7.2916666666666671E-2</v>
      </c>
      <c r="AX307" t="s">
        <v>163</v>
      </c>
    </row>
    <row r="308" spans="1:50">
      <c r="A308" s="23" t="s">
        <v>22</v>
      </c>
      <c r="B308" s="23" t="s">
        <v>23</v>
      </c>
      <c r="C308" s="28">
        <v>44482.479166666664</v>
      </c>
      <c r="D308" s="23">
        <v>610.70000000000005</v>
      </c>
      <c r="E308" s="28">
        <v>44483.385416666664</v>
      </c>
      <c r="F308" s="23">
        <v>608.35</v>
      </c>
      <c r="G308" s="33">
        <v>-3.8E-3</v>
      </c>
      <c r="H308" s="23">
        <v>192.96</v>
      </c>
      <c r="I308" s="33">
        <v>3.8E-3</v>
      </c>
      <c r="J308" s="23">
        <v>82.108999999999995</v>
      </c>
      <c r="K308" s="23">
        <v>50143.97</v>
      </c>
      <c r="L308" s="23">
        <v>28986.42</v>
      </c>
      <c r="M308" s="23">
        <v>20</v>
      </c>
      <c r="N308" s="23">
        <v>9.65</v>
      </c>
      <c r="O308" s="33">
        <v>-2.5000000000000001E-3</v>
      </c>
      <c r="P308" s="33">
        <v>1.24E-2</v>
      </c>
      <c r="Q308" s="23" t="s">
        <v>24</v>
      </c>
      <c r="R308" s="23">
        <v>0</v>
      </c>
      <c r="S308" s="23">
        <v>619.54</v>
      </c>
      <c r="U308" s="47">
        <v>44497</v>
      </c>
      <c r="V308" s="23" t="s">
        <v>114</v>
      </c>
      <c r="W308" s="23" t="s">
        <v>23</v>
      </c>
      <c r="X308" s="28">
        <v>44482.479166666664</v>
      </c>
      <c r="Y308" s="23">
        <v>29.024999999999999</v>
      </c>
      <c r="Z308" s="28">
        <v>44483.385416666664</v>
      </c>
      <c r="AA308" s="23">
        <v>26.5</v>
      </c>
      <c r="AB308" s="33">
        <v>-8.6999999999999994E-2</v>
      </c>
      <c r="AC308" s="23">
        <v>4648.76</v>
      </c>
      <c r="AD308" s="33">
        <v>8.6999999999999994E-2</v>
      </c>
      <c r="AE308" s="23">
        <v>1841.0920000000001</v>
      </c>
      <c r="AF308" s="23">
        <v>53437.69</v>
      </c>
      <c r="AG308" s="23">
        <v>691665.93</v>
      </c>
      <c r="AH308" s="23">
        <v>20</v>
      </c>
      <c r="AI308" s="23">
        <v>232.44</v>
      </c>
      <c r="AJ308" s="33">
        <v>-2.76E-2</v>
      </c>
      <c r="AK308" s="33">
        <v>9.7299999999999998E-2</v>
      </c>
      <c r="AL308" s="23" t="s">
        <v>24</v>
      </c>
      <c r="AM308" s="23">
        <v>610.70000000000005</v>
      </c>
      <c r="AN308" s="23">
        <v>38645.050000000003</v>
      </c>
      <c r="AO308" s="23">
        <v>619.54</v>
      </c>
      <c r="AQ308" s="50">
        <f t="shared" si="4"/>
        <v>4.752742754216472E-2</v>
      </c>
      <c r="AR308" s="50"/>
      <c r="AS308" s="48"/>
      <c r="AT308" s="50"/>
      <c r="AV308" s="47">
        <v>44482</v>
      </c>
      <c r="AW308" s="51">
        <v>0.47916666666666669</v>
      </c>
      <c r="AX308" t="s">
        <v>162</v>
      </c>
    </row>
    <row r="309" spans="1:50">
      <c r="A309" s="23" t="s">
        <v>22</v>
      </c>
      <c r="B309" s="23" t="s">
        <v>25</v>
      </c>
      <c r="C309" s="28">
        <v>44483.385416666664</v>
      </c>
      <c r="D309" s="23">
        <v>608.35</v>
      </c>
      <c r="E309" s="28">
        <v>44483.416666666664</v>
      </c>
      <c r="F309" s="23">
        <v>606.29999999999995</v>
      </c>
      <c r="G309" s="33">
        <v>-3.3999999999999998E-3</v>
      </c>
      <c r="H309" s="23">
        <v>-168.98</v>
      </c>
      <c r="I309" s="33">
        <v>-3.3999999999999998E-3</v>
      </c>
      <c r="J309" s="23">
        <v>82.427329999999998</v>
      </c>
      <c r="K309" s="23">
        <v>50144.66</v>
      </c>
      <c r="L309" s="23">
        <v>28817.439999999999</v>
      </c>
      <c r="M309" s="23">
        <v>4</v>
      </c>
      <c r="N309" s="23">
        <v>-42.24</v>
      </c>
      <c r="O309" s="33">
        <v>-6.3E-3</v>
      </c>
      <c r="P309" s="33">
        <v>8.8999999999999999E-3</v>
      </c>
      <c r="Q309" s="23" t="s">
        <v>24</v>
      </c>
      <c r="R309" s="23">
        <v>0</v>
      </c>
      <c r="S309" s="23">
        <v>603.57000000000005</v>
      </c>
      <c r="U309" s="47">
        <v>44497</v>
      </c>
      <c r="V309" s="23" t="s">
        <v>148</v>
      </c>
      <c r="W309" s="23" t="s">
        <v>23</v>
      </c>
      <c r="X309" s="28">
        <v>44483.385416666664</v>
      </c>
      <c r="Y309" s="23">
        <v>12</v>
      </c>
      <c r="Z309" s="28">
        <v>44483.416666666664</v>
      </c>
      <c r="AA309" s="23">
        <v>12.925000000000001</v>
      </c>
      <c r="AB309" s="33">
        <v>7.7100000000000002E-2</v>
      </c>
      <c r="AC309" s="23">
        <v>-4120.75</v>
      </c>
      <c r="AD309" s="33">
        <v>-7.7100000000000002E-2</v>
      </c>
      <c r="AE309" s="23">
        <v>4454.8609999999999</v>
      </c>
      <c r="AF309" s="23">
        <v>53458.33</v>
      </c>
      <c r="AG309" s="23">
        <v>687545.18</v>
      </c>
      <c r="AH309" s="23">
        <v>4</v>
      </c>
      <c r="AI309" s="23">
        <v>-1030.19</v>
      </c>
      <c r="AJ309" s="33">
        <v>-0.14580000000000001</v>
      </c>
      <c r="AK309" s="33">
        <v>0</v>
      </c>
      <c r="AL309" s="23" t="s">
        <v>24</v>
      </c>
      <c r="AM309" s="23">
        <v>608.35</v>
      </c>
      <c r="AN309" s="23">
        <v>38782.699999999997</v>
      </c>
      <c r="AO309" s="23">
        <v>603.57000000000005</v>
      </c>
      <c r="AQ309" s="50">
        <f t="shared" si="4"/>
        <v>1.9725486972959644E-2</v>
      </c>
      <c r="AR309" s="50"/>
      <c r="AS309" s="48"/>
      <c r="AT309" s="50"/>
      <c r="AV309" s="47">
        <v>44483</v>
      </c>
      <c r="AW309" s="51">
        <v>0.38541666666666669</v>
      </c>
      <c r="AX309" t="s">
        <v>162</v>
      </c>
    </row>
    <row r="310" spans="1:50">
      <c r="A310" s="23" t="s">
        <v>22</v>
      </c>
      <c r="B310" s="23" t="s">
        <v>23</v>
      </c>
      <c r="C310" s="28">
        <v>44483.416666666664</v>
      </c>
      <c r="D310" s="23">
        <v>606.29999999999995</v>
      </c>
      <c r="E310" s="28">
        <v>44487.385416666664</v>
      </c>
      <c r="F310" s="23">
        <v>606.42499999999995</v>
      </c>
      <c r="G310" s="33">
        <v>2.0000000000000001E-4</v>
      </c>
      <c r="H310" s="23">
        <v>-10.34</v>
      </c>
      <c r="I310" s="33">
        <v>-2.0000000000000001E-4</v>
      </c>
      <c r="J310" s="23">
        <v>82.704539999999994</v>
      </c>
      <c r="K310" s="23">
        <v>50143.76</v>
      </c>
      <c r="L310" s="23">
        <v>28807.1</v>
      </c>
      <c r="M310" s="23">
        <v>26</v>
      </c>
      <c r="N310" s="23">
        <v>-0.4</v>
      </c>
      <c r="O310" s="33">
        <v>-4.4999999999999997E-3</v>
      </c>
      <c r="P310" s="33">
        <v>2.01E-2</v>
      </c>
      <c r="Q310" s="23" t="s">
        <v>24</v>
      </c>
      <c r="R310" s="23">
        <v>0</v>
      </c>
      <c r="S310" s="23">
        <v>613.36</v>
      </c>
      <c r="U310" s="47">
        <v>44497</v>
      </c>
      <c r="V310" s="23" t="s">
        <v>114</v>
      </c>
      <c r="W310" s="23" t="s">
        <v>23</v>
      </c>
      <c r="X310" s="28">
        <v>44483.416666666664</v>
      </c>
      <c r="Y310" s="23">
        <v>26.2</v>
      </c>
      <c r="Z310" s="28">
        <v>44487.385416666664</v>
      </c>
      <c r="AA310" s="23">
        <v>23.5</v>
      </c>
      <c r="AB310" s="33">
        <v>-0.1031</v>
      </c>
      <c r="AC310" s="23">
        <v>5506.77</v>
      </c>
      <c r="AD310" s="33">
        <v>0.1031</v>
      </c>
      <c r="AE310" s="23">
        <v>2039.5440000000001</v>
      </c>
      <c r="AF310" s="23">
        <v>53436.05</v>
      </c>
      <c r="AG310" s="23">
        <v>693051.95</v>
      </c>
      <c r="AH310" s="23">
        <v>26</v>
      </c>
      <c r="AI310" s="23">
        <v>211.8</v>
      </c>
      <c r="AJ310" s="33">
        <v>-5.4399999999999997E-2</v>
      </c>
      <c r="AK310" s="33">
        <v>0.2147</v>
      </c>
      <c r="AL310" s="23" t="s">
        <v>24</v>
      </c>
      <c r="AM310" s="23">
        <v>606.29999999999995</v>
      </c>
      <c r="AN310" s="23">
        <v>38851.75</v>
      </c>
      <c r="AO310" s="23">
        <v>613.36</v>
      </c>
      <c r="AQ310" s="50">
        <f t="shared" si="4"/>
        <v>4.3212930892297545E-2</v>
      </c>
      <c r="AR310" s="50"/>
      <c r="AS310" s="48"/>
      <c r="AT310" s="50"/>
      <c r="AV310" s="47">
        <v>44483</v>
      </c>
      <c r="AW310" s="51">
        <v>0.41666666666666669</v>
      </c>
      <c r="AX310" t="s">
        <v>162</v>
      </c>
    </row>
    <row r="311" spans="1:50">
      <c r="A311" s="23" t="s">
        <v>22</v>
      </c>
      <c r="B311" s="23" t="s">
        <v>25</v>
      </c>
      <c r="C311" s="28">
        <v>44487.385416666664</v>
      </c>
      <c r="D311" s="23">
        <v>606.42499999999995</v>
      </c>
      <c r="E311" s="28">
        <v>44487.59375</v>
      </c>
      <c r="F311" s="23">
        <v>611.67499999999995</v>
      </c>
      <c r="G311" s="33">
        <v>8.6999999999999994E-3</v>
      </c>
      <c r="H311" s="23">
        <v>434.11</v>
      </c>
      <c r="I311" s="33">
        <v>8.6999999999999994E-3</v>
      </c>
      <c r="J311" s="23">
        <v>82.688299999999998</v>
      </c>
      <c r="K311" s="23">
        <v>50144.25</v>
      </c>
      <c r="L311" s="23">
        <v>29241.22</v>
      </c>
      <c r="M311" s="23">
        <v>21</v>
      </c>
      <c r="N311" s="23">
        <v>20.67</v>
      </c>
      <c r="O311" s="33">
        <v>-1.8800000000000001E-2</v>
      </c>
      <c r="P311" s="33">
        <v>1.8100000000000002E-2</v>
      </c>
      <c r="Q311" s="23" t="s">
        <v>24</v>
      </c>
      <c r="R311" s="23">
        <v>0</v>
      </c>
      <c r="S311" s="23">
        <v>594.87</v>
      </c>
      <c r="U311" s="47">
        <v>44497</v>
      </c>
      <c r="V311" s="23" t="s">
        <v>119</v>
      </c>
      <c r="W311" s="23" t="s">
        <v>23</v>
      </c>
      <c r="X311" s="28">
        <v>44487.385416666664</v>
      </c>
      <c r="Y311" s="23">
        <v>33.9</v>
      </c>
      <c r="Z311" s="28">
        <v>44487.59375</v>
      </c>
      <c r="AA311" s="23">
        <v>21.824999999999999</v>
      </c>
      <c r="AB311" s="33">
        <v>-0.35620000000000002</v>
      </c>
      <c r="AC311" s="23">
        <v>19049.490000000002</v>
      </c>
      <c r="AD311" s="33">
        <v>0.35620000000000002</v>
      </c>
      <c r="AE311" s="23">
        <v>1577.597</v>
      </c>
      <c r="AF311" s="23">
        <v>53480.55</v>
      </c>
      <c r="AG311" s="23">
        <v>712101.44</v>
      </c>
      <c r="AH311" s="23">
        <v>21</v>
      </c>
      <c r="AI311" s="23">
        <v>907.12</v>
      </c>
      <c r="AJ311" s="33">
        <v>0</v>
      </c>
      <c r="AK311" s="33">
        <v>0.3916</v>
      </c>
      <c r="AL311" s="23" t="s">
        <v>24</v>
      </c>
      <c r="AM311" s="23">
        <v>606.41999999999996</v>
      </c>
      <c r="AN311" s="23">
        <v>39904.75</v>
      </c>
      <c r="AO311" s="23">
        <v>594.87</v>
      </c>
      <c r="AQ311" s="50">
        <f t="shared" si="4"/>
        <v>5.5901850202829721E-2</v>
      </c>
      <c r="AR311" s="50"/>
      <c r="AS311" s="48"/>
      <c r="AT311" s="50"/>
      <c r="AV311" s="47">
        <v>44487</v>
      </c>
      <c r="AW311" s="51">
        <v>0.38541666666666669</v>
      </c>
      <c r="AX311" t="s">
        <v>162</v>
      </c>
    </row>
    <row r="312" spans="1:50">
      <c r="A312" s="23" t="s">
        <v>22</v>
      </c>
      <c r="B312" s="23" t="s">
        <v>23</v>
      </c>
      <c r="C312" s="28">
        <v>44487.59375</v>
      </c>
      <c r="D312" s="23">
        <v>611.67499999999995</v>
      </c>
      <c r="E312" s="28">
        <v>44490.385416666664</v>
      </c>
      <c r="F312" s="23">
        <v>583.875</v>
      </c>
      <c r="G312" s="33">
        <v>-4.5400000000000003E-2</v>
      </c>
      <c r="H312" s="23">
        <v>2279.1</v>
      </c>
      <c r="I312" s="33">
        <v>4.5400000000000003E-2</v>
      </c>
      <c r="J312" s="23">
        <v>81.981949999999998</v>
      </c>
      <c r="K312" s="23">
        <v>50146.31</v>
      </c>
      <c r="L312" s="23">
        <v>31520.31</v>
      </c>
      <c r="M312" s="23">
        <v>65</v>
      </c>
      <c r="N312" s="23">
        <v>35.06</v>
      </c>
      <c r="O312" s="33">
        <v>-8.6999999999999994E-3</v>
      </c>
      <c r="P312" s="33">
        <v>0.06</v>
      </c>
      <c r="Q312" s="23" t="s">
        <v>24</v>
      </c>
      <c r="R312" s="23">
        <v>0</v>
      </c>
      <c r="S312" s="23">
        <v>617.28</v>
      </c>
      <c r="U312" s="47">
        <v>44497</v>
      </c>
      <c r="V312" s="23" t="s">
        <v>114</v>
      </c>
      <c r="W312" s="23" t="s">
        <v>23</v>
      </c>
      <c r="X312" s="28">
        <v>44487.59375</v>
      </c>
      <c r="Y312" s="23">
        <v>28.25</v>
      </c>
      <c r="Z312" s="28">
        <v>44490.385416666664</v>
      </c>
      <c r="AA312" s="23">
        <v>11.975</v>
      </c>
      <c r="AB312" s="33">
        <v>-0.57609999999999995</v>
      </c>
      <c r="AC312" s="23">
        <v>30856.54</v>
      </c>
      <c r="AD312" s="33">
        <v>0.57609999999999995</v>
      </c>
      <c r="AE312" s="23">
        <v>1895.9469999999999</v>
      </c>
      <c r="AF312" s="23">
        <v>53560.51</v>
      </c>
      <c r="AG312" s="23">
        <v>742957.98</v>
      </c>
      <c r="AH312" s="23">
        <v>65</v>
      </c>
      <c r="AI312" s="23">
        <v>474.72</v>
      </c>
      <c r="AJ312" s="33">
        <v>-8.7599999999999997E-2</v>
      </c>
      <c r="AK312" s="33">
        <v>0.64249999999999996</v>
      </c>
      <c r="AL312" s="23" t="s">
        <v>24</v>
      </c>
      <c r="AM312" s="23">
        <v>611.66999999999996</v>
      </c>
      <c r="AN312" s="23">
        <v>39778.050000000003</v>
      </c>
      <c r="AO312" s="23">
        <v>617.28</v>
      </c>
      <c r="AQ312" s="50">
        <f t="shared" si="4"/>
        <v>4.6185034413981398E-2</v>
      </c>
      <c r="AR312" s="50"/>
      <c r="AS312" s="48"/>
      <c r="AT312" s="50"/>
      <c r="AV312" s="47">
        <v>44487</v>
      </c>
      <c r="AW312" s="51">
        <v>9.375E-2</v>
      </c>
      <c r="AX312" t="s">
        <v>163</v>
      </c>
    </row>
    <row r="313" spans="1:50">
      <c r="A313" s="23" t="s">
        <v>22</v>
      </c>
      <c r="B313" s="23" t="s">
        <v>25</v>
      </c>
      <c r="C313" s="28">
        <v>44490.385416666664</v>
      </c>
      <c r="D313" s="23">
        <v>583.875</v>
      </c>
      <c r="E313" s="28">
        <v>44490.479166666664</v>
      </c>
      <c r="F313" s="23">
        <v>587</v>
      </c>
      <c r="G313" s="33">
        <v>5.4000000000000003E-3</v>
      </c>
      <c r="H313" s="23">
        <v>268.45999999999998</v>
      </c>
      <c r="I313" s="33">
        <v>5.4000000000000003E-3</v>
      </c>
      <c r="J313" s="23">
        <v>85.90813</v>
      </c>
      <c r="K313" s="23">
        <v>50159.61</v>
      </c>
      <c r="L313" s="23">
        <v>31788.78</v>
      </c>
      <c r="M313" s="23">
        <v>10</v>
      </c>
      <c r="N313" s="23">
        <v>26.85</v>
      </c>
      <c r="O313" s="33">
        <v>-8.3999999999999995E-3</v>
      </c>
      <c r="P313" s="33">
        <v>2.64E-2</v>
      </c>
      <c r="Q313" s="23" t="s">
        <v>24</v>
      </c>
      <c r="R313" s="23">
        <v>0</v>
      </c>
      <c r="S313" s="23">
        <v>575.41</v>
      </c>
      <c r="U313" s="47">
        <v>44497</v>
      </c>
      <c r="V313" s="23" t="s">
        <v>138</v>
      </c>
      <c r="W313" s="23" t="s">
        <v>23</v>
      </c>
      <c r="X313" s="28">
        <v>44490.385416666664</v>
      </c>
      <c r="Y313" s="23">
        <v>20</v>
      </c>
      <c r="Z313" s="28">
        <v>44490.479166666664</v>
      </c>
      <c r="AA313" s="23">
        <v>13.475</v>
      </c>
      <c r="AB313" s="33">
        <v>-0.32619999999999999</v>
      </c>
      <c r="AC313" s="23">
        <v>17525.759999999998</v>
      </c>
      <c r="AD313" s="33">
        <v>0.32619999999999999</v>
      </c>
      <c r="AE313" s="23">
        <v>2685.9409999999998</v>
      </c>
      <c r="AF313" s="23">
        <v>53718.82</v>
      </c>
      <c r="AG313" s="23">
        <v>760483.74</v>
      </c>
      <c r="AH313" s="23">
        <v>10</v>
      </c>
      <c r="AI313" s="23">
        <v>1752.58</v>
      </c>
      <c r="AJ313" s="33">
        <v>0</v>
      </c>
      <c r="AK313" s="33">
        <v>0.55000000000000004</v>
      </c>
      <c r="AL313" s="23" t="s">
        <v>24</v>
      </c>
      <c r="AM313" s="23">
        <v>583.88</v>
      </c>
      <c r="AN313" s="23">
        <v>39627</v>
      </c>
      <c r="AO313" s="23">
        <v>575.41</v>
      </c>
      <c r="AQ313" s="50">
        <f t="shared" si="4"/>
        <v>3.4253613756251286E-2</v>
      </c>
      <c r="AR313" s="50"/>
      <c r="AS313" s="48"/>
      <c r="AT313" s="50"/>
      <c r="AV313" s="47">
        <v>44490</v>
      </c>
      <c r="AW313" s="51">
        <v>0.38541666666666669</v>
      </c>
      <c r="AX313" t="s">
        <v>162</v>
      </c>
    </row>
    <row r="314" spans="1:50">
      <c r="A314" s="23" t="s">
        <v>22</v>
      </c>
      <c r="B314" s="23" t="s">
        <v>23</v>
      </c>
      <c r="C314" s="28">
        <v>44490.479166666664</v>
      </c>
      <c r="D314" s="23">
        <v>587</v>
      </c>
      <c r="E314" s="28">
        <v>44490.614583333336</v>
      </c>
      <c r="F314" s="23">
        <v>586.75</v>
      </c>
      <c r="G314" s="33">
        <v>-4.0000000000000002E-4</v>
      </c>
      <c r="H314" s="23">
        <v>21.36</v>
      </c>
      <c r="I314" s="33">
        <v>4.0000000000000002E-4</v>
      </c>
      <c r="J314" s="23">
        <v>85.447710000000001</v>
      </c>
      <c r="K314" s="23">
        <v>50157.8</v>
      </c>
      <c r="L314" s="23">
        <v>31810.14</v>
      </c>
      <c r="M314" s="23">
        <v>14</v>
      </c>
      <c r="N314" s="23">
        <v>1.53</v>
      </c>
      <c r="O314" s="33">
        <v>-1.1999999999999999E-3</v>
      </c>
      <c r="P314" s="33">
        <v>2.5399999999999999E-2</v>
      </c>
      <c r="Q314" s="23" t="s">
        <v>24</v>
      </c>
      <c r="R314" s="23">
        <v>0</v>
      </c>
      <c r="S314" s="23">
        <v>598.64</v>
      </c>
      <c r="U314" s="47">
        <v>44497</v>
      </c>
      <c r="V314" s="23" t="s">
        <v>115</v>
      </c>
      <c r="W314" s="23" t="s">
        <v>23</v>
      </c>
      <c r="X314" s="28">
        <v>44490.479166666664</v>
      </c>
      <c r="Y314" s="23">
        <v>19.2</v>
      </c>
      <c r="Z314" s="28">
        <v>44490.614583333336</v>
      </c>
      <c r="AA314" s="23">
        <v>18.324999999999999</v>
      </c>
      <c r="AB314" s="33">
        <v>-4.5600000000000002E-2</v>
      </c>
      <c r="AC314" s="23">
        <v>2451.9299999999998</v>
      </c>
      <c r="AD314" s="33">
        <v>4.5600000000000002E-2</v>
      </c>
      <c r="AE314" s="23">
        <v>2802.2089999999998</v>
      </c>
      <c r="AF314" s="23">
        <v>53802.42</v>
      </c>
      <c r="AG314" s="23">
        <v>762935.68</v>
      </c>
      <c r="AH314" s="23">
        <v>14</v>
      </c>
      <c r="AI314" s="23">
        <v>175.14</v>
      </c>
      <c r="AJ314" s="33">
        <v>-4.2999999999999997E-2</v>
      </c>
      <c r="AK314" s="33">
        <v>0.35289999999999999</v>
      </c>
      <c r="AL314" s="23" t="s">
        <v>24</v>
      </c>
      <c r="AM314" s="23">
        <v>587</v>
      </c>
      <c r="AN314" s="23">
        <v>39580.449999999997</v>
      </c>
      <c r="AO314" s="23">
        <v>598.64</v>
      </c>
      <c r="AQ314" s="50">
        <f t="shared" si="4"/>
        <v>3.2708688245315164E-2</v>
      </c>
      <c r="AR314" s="50"/>
      <c r="AS314" s="48"/>
      <c r="AT314" s="50"/>
      <c r="AV314" s="47">
        <v>44490</v>
      </c>
      <c r="AW314" s="51">
        <v>0.47916666666666669</v>
      </c>
      <c r="AX314" t="s">
        <v>162</v>
      </c>
    </row>
    <row r="315" spans="1:50">
      <c r="A315" s="23" t="s">
        <v>22</v>
      </c>
      <c r="B315" s="23" t="s">
        <v>25</v>
      </c>
      <c r="C315" s="28">
        <v>44490.614583333336</v>
      </c>
      <c r="D315" s="23">
        <v>586.75</v>
      </c>
      <c r="E315" s="28">
        <v>44494.385416666664</v>
      </c>
      <c r="F315" s="23">
        <v>598.5</v>
      </c>
      <c r="G315" s="33">
        <v>0.02</v>
      </c>
      <c r="H315" s="23">
        <v>1004.46</v>
      </c>
      <c r="I315" s="33">
        <v>0.02</v>
      </c>
      <c r="J315" s="23">
        <v>85.486050000000006</v>
      </c>
      <c r="K315" s="23">
        <v>50158.94</v>
      </c>
      <c r="L315" s="23">
        <v>32814.6</v>
      </c>
      <c r="M315" s="23">
        <v>35</v>
      </c>
      <c r="N315" s="23">
        <v>28.7</v>
      </c>
      <c r="O315" s="33">
        <v>-3.5000000000000001E-3</v>
      </c>
      <c r="P315" s="33">
        <v>4.6399999999999997E-2</v>
      </c>
      <c r="Q315" s="23" t="s">
        <v>24</v>
      </c>
      <c r="R315" s="23">
        <v>0</v>
      </c>
      <c r="S315" s="23">
        <v>572.75</v>
      </c>
      <c r="U315" s="47">
        <v>44497</v>
      </c>
      <c r="V315" s="23" t="s">
        <v>148</v>
      </c>
      <c r="W315" s="23" t="s">
        <v>23</v>
      </c>
      <c r="X315" s="28">
        <v>44490.614583333336</v>
      </c>
      <c r="Y315" s="23">
        <v>15.675000000000001</v>
      </c>
      <c r="Z315" s="28">
        <v>44494.385416666664</v>
      </c>
      <c r="AA315" s="23">
        <v>7</v>
      </c>
      <c r="AB315" s="33">
        <v>-0.5534</v>
      </c>
      <c r="AC315" s="23">
        <v>29783.19</v>
      </c>
      <c r="AD315" s="33">
        <v>0.5534</v>
      </c>
      <c r="AE315" s="23">
        <v>3433.22</v>
      </c>
      <c r="AF315" s="23">
        <v>53815.73</v>
      </c>
      <c r="AG315" s="23">
        <v>792718.86</v>
      </c>
      <c r="AH315" s="23">
        <v>35</v>
      </c>
      <c r="AI315" s="23">
        <v>850.95</v>
      </c>
      <c r="AJ315" s="33">
        <v>-9.5999999999999992E-3</v>
      </c>
      <c r="AK315" s="33">
        <v>0.61719999999999997</v>
      </c>
      <c r="AL315" s="23" t="s">
        <v>24</v>
      </c>
      <c r="AM315" s="23">
        <v>586.75</v>
      </c>
      <c r="AN315" s="23">
        <v>39935.800000000003</v>
      </c>
      <c r="AO315" s="23">
        <v>572.75</v>
      </c>
      <c r="AQ315" s="50">
        <f t="shared" si="4"/>
        <v>2.6714955262036644E-2</v>
      </c>
      <c r="AR315" s="50"/>
      <c r="AS315" s="48"/>
      <c r="AT315" s="50"/>
      <c r="AV315" s="47">
        <v>44490</v>
      </c>
      <c r="AW315" s="51">
        <v>0.11458333333333333</v>
      </c>
      <c r="AX315" t="s">
        <v>163</v>
      </c>
    </row>
    <row r="316" spans="1:50">
      <c r="A316" s="23" t="s">
        <v>22</v>
      </c>
      <c r="B316" s="23" t="s">
        <v>23</v>
      </c>
      <c r="C316" s="28">
        <v>44494.385416666664</v>
      </c>
      <c r="D316" s="23">
        <v>598.5</v>
      </c>
      <c r="E316" s="28">
        <v>44494.510416666664</v>
      </c>
      <c r="F316" s="23">
        <v>602.17499999999995</v>
      </c>
      <c r="G316" s="33">
        <v>6.1000000000000004E-3</v>
      </c>
      <c r="H316" s="23">
        <v>-308.06</v>
      </c>
      <c r="I316" s="33">
        <v>-6.1000000000000004E-3</v>
      </c>
      <c r="J316" s="23">
        <v>83.824539999999999</v>
      </c>
      <c r="K316" s="23">
        <v>50168.99</v>
      </c>
      <c r="L316" s="23">
        <v>32506.55</v>
      </c>
      <c r="M316" s="23">
        <v>13</v>
      </c>
      <c r="N316" s="23">
        <v>-23.7</v>
      </c>
      <c r="O316" s="33">
        <v>-2.6700000000000002E-2</v>
      </c>
      <c r="P316" s="33">
        <v>1.41E-2</v>
      </c>
      <c r="Q316" s="23" t="s">
        <v>24</v>
      </c>
      <c r="R316" s="23">
        <v>0</v>
      </c>
      <c r="S316" s="23">
        <v>614.5</v>
      </c>
      <c r="U316" s="47">
        <v>44497</v>
      </c>
      <c r="V316" s="23" t="s">
        <v>107</v>
      </c>
      <c r="W316" s="23" t="s">
        <v>23</v>
      </c>
      <c r="X316" s="28">
        <v>44494.385416666664</v>
      </c>
      <c r="Y316" s="23">
        <v>15.675000000000001</v>
      </c>
      <c r="Z316" s="28">
        <v>44494.510416666664</v>
      </c>
      <c r="AA316" s="23">
        <v>16.2</v>
      </c>
      <c r="AB316" s="33">
        <v>3.3500000000000002E-2</v>
      </c>
      <c r="AC316" s="23">
        <v>-1807.95</v>
      </c>
      <c r="AD316" s="33">
        <v>-3.3500000000000002E-2</v>
      </c>
      <c r="AE316" s="23">
        <v>3443.721</v>
      </c>
      <c r="AF316" s="23">
        <v>53980.33</v>
      </c>
      <c r="AG316" s="23">
        <v>790910.91</v>
      </c>
      <c r="AH316" s="23">
        <v>13</v>
      </c>
      <c r="AI316" s="23">
        <v>-139.07</v>
      </c>
      <c r="AJ316" s="33">
        <v>-0.53110000000000002</v>
      </c>
      <c r="AK316" s="33">
        <v>0.26629999999999998</v>
      </c>
      <c r="AL316" s="23" t="s">
        <v>24</v>
      </c>
      <c r="AM316" s="23">
        <v>598.5</v>
      </c>
      <c r="AN316" s="23">
        <v>40749.449999999997</v>
      </c>
      <c r="AO316" s="23">
        <v>614.5</v>
      </c>
      <c r="AQ316" s="50">
        <f t="shared" si="4"/>
        <v>2.6190476190476191E-2</v>
      </c>
      <c r="AR316" s="50"/>
      <c r="AS316" s="48"/>
      <c r="AT316" s="50"/>
      <c r="AV316" s="47">
        <v>44494</v>
      </c>
      <c r="AW316" s="51">
        <v>0.38541666666666669</v>
      </c>
      <c r="AX316" t="s">
        <v>162</v>
      </c>
    </row>
    <row r="317" spans="1:50">
      <c r="A317" s="23" t="s">
        <v>22</v>
      </c>
      <c r="B317" s="23" t="s">
        <v>25</v>
      </c>
      <c r="C317" s="28">
        <v>44494.510416666664</v>
      </c>
      <c r="D317" s="23">
        <v>602.17499999999995</v>
      </c>
      <c r="E317" s="28">
        <v>44494.604166666664</v>
      </c>
      <c r="F317" s="23">
        <v>596.02499999999998</v>
      </c>
      <c r="G317" s="33">
        <v>-1.0200000000000001E-2</v>
      </c>
      <c r="H317" s="23">
        <v>-512.32000000000005</v>
      </c>
      <c r="I317" s="33">
        <v>-1.0200000000000001E-2</v>
      </c>
      <c r="J317" s="23">
        <v>83.304239999999993</v>
      </c>
      <c r="K317" s="23">
        <v>50163.73</v>
      </c>
      <c r="L317" s="23">
        <v>31994.22</v>
      </c>
      <c r="M317" s="23">
        <v>10</v>
      </c>
      <c r="N317" s="23">
        <v>-51.23</v>
      </c>
      <c r="O317" s="33">
        <v>-1.0200000000000001E-2</v>
      </c>
      <c r="P317" s="33">
        <v>3.3999999999999998E-3</v>
      </c>
      <c r="Q317" s="23" t="s">
        <v>24</v>
      </c>
      <c r="R317" s="23">
        <v>0</v>
      </c>
      <c r="S317" s="23">
        <v>590.04999999999995</v>
      </c>
      <c r="U317" s="47">
        <v>44497</v>
      </c>
      <c r="V317" s="23" t="s">
        <v>109</v>
      </c>
      <c r="W317" s="23" t="s">
        <v>23</v>
      </c>
      <c r="X317" s="28">
        <v>44494.510416666664</v>
      </c>
      <c r="Y317" s="23">
        <v>14.45</v>
      </c>
      <c r="Z317" s="28">
        <v>44494.604166666664</v>
      </c>
      <c r="AA317" s="23">
        <v>18</v>
      </c>
      <c r="AB317" s="33">
        <v>0.2457</v>
      </c>
      <c r="AC317" s="23">
        <v>-13257.18</v>
      </c>
      <c r="AD317" s="33">
        <v>-0.2457</v>
      </c>
      <c r="AE317" s="23">
        <v>3734.4160000000002</v>
      </c>
      <c r="AF317" s="23">
        <v>53962.3</v>
      </c>
      <c r="AG317" s="23">
        <v>777653.73</v>
      </c>
      <c r="AH317" s="23">
        <v>10</v>
      </c>
      <c r="AI317" s="23">
        <v>-1325.72</v>
      </c>
      <c r="AJ317" s="33">
        <v>-0.25609999999999999</v>
      </c>
      <c r="AK317" s="33">
        <v>7.6100000000000001E-2</v>
      </c>
      <c r="AL317" s="23" t="s">
        <v>24</v>
      </c>
      <c r="AM317" s="23">
        <v>602.16999999999996</v>
      </c>
      <c r="AN317" s="23">
        <v>41536.199999999997</v>
      </c>
      <c r="AO317" s="23">
        <v>590.04999999999995</v>
      </c>
      <c r="AQ317" s="50">
        <f t="shared" si="4"/>
        <v>2.3996545825929555E-2</v>
      </c>
      <c r="AR317" s="50"/>
      <c r="AS317" s="48"/>
      <c r="AT317" s="50"/>
      <c r="AV317" s="47">
        <v>44494</v>
      </c>
      <c r="AW317" s="51">
        <v>0.51041666666666663</v>
      </c>
      <c r="AX317" t="s">
        <v>163</v>
      </c>
    </row>
    <row r="318" spans="1:50">
      <c r="A318" s="23" t="s">
        <v>22</v>
      </c>
      <c r="B318" s="23" t="s">
        <v>23</v>
      </c>
      <c r="C318" s="28">
        <v>44494.604166666664</v>
      </c>
      <c r="D318" s="23">
        <v>596.02499999999998</v>
      </c>
      <c r="E318" s="28">
        <v>44494.635416666664</v>
      </c>
      <c r="F318" s="23">
        <v>603.92499999999995</v>
      </c>
      <c r="G318" s="33">
        <v>1.3299999999999999E-2</v>
      </c>
      <c r="H318" s="23">
        <v>-664.85</v>
      </c>
      <c r="I318" s="33">
        <v>-1.3299999999999999E-2</v>
      </c>
      <c r="J318" s="23">
        <v>84.158699999999996</v>
      </c>
      <c r="K318" s="23">
        <v>50160.69</v>
      </c>
      <c r="L318" s="23">
        <v>31329.37</v>
      </c>
      <c r="M318" s="23">
        <v>4</v>
      </c>
      <c r="N318" s="23">
        <v>-166.21</v>
      </c>
      <c r="O318" s="33">
        <v>-1.3299999999999999E-2</v>
      </c>
      <c r="P318" s="33">
        <v>2E-3</v>
      </c>
      <c r="Q318" s="23" t="s">
        <v>24</v>
      </c>
      <c r="R318" s="23">
        <v>0</v>
      </c>
      <c r="S318" s="23">
        <v>603.87</v>
      </c>
      <c r="U318" s="47">
        <v>44497</v>
      </c>
      <c r="V318" s="23" t="s">
        <v>107</v>
      </c>
      <c r="W318" s="23" t="s">
        <v>23</v>
      </c>
      <c r="X318" s="28">
        <v>44494.604166666664</v>
      </c>
      <c r="Y318" s="23">
        <v>14.574999999999999</v>
      </c>
      <c r="Z318" s="28">
        <v>44494.635416666664</v>
      </c>
      <c r="AA318" s="23">
        <v>17</v>
      </c>
      <c r="AB318" s="33">
        <v>0.16639999999999999</v>
      </c>
      <c r="AC318" s="23">
        <v>-8972.73</v>
      </c>
      <c r="AD318" s="33">
        <v>-0.16639999999999999</v>
      </c>
      <c r="AE318" s="23">
        <v>3700.0949999999998</v>
      </c>
      <c r="AF318" s="23">
        <v>53928.88</v>
      </c>
      <c r="AG318" s="23">
        <v>768681</v>
      </c>
      <c r="AH318" s="23">
        <v>4</v>
      </c>
      <c r="AI318" s="23">
        <v>-2243.1799999999998</v>
      </c>
      <c r="AJ318" s="33">
        <v>-0.16639999999999999</v>
      </c>
      <c r="AK318" s="33">
        <v>5.6599999999999998E-2</v>
      </c>
      <c r="AL318" s="23" t="s">
        <v>24</v>
      </c>
      <c r="AM318" s="23">
        <v>596.03</v>
      </c>
      <c r="AN318" s="23">
        <v>41116.35</v>
      </c>
      <c r="AO318" s="23">
        <v>603.87</v>
      </c>
      <c r="AQ318" s="50">
        <f t="shared" si="4"/>
        <v>2.4453467107360367E-2</v>
      </c>
      <c r="AR318" s="50"/>
      <c r="AS318" s="48"/>
      <c r="AT318" s="50"/>
      <c r="AV318" s="47">
        <v>44494</v>
      </c>
      <c r="AW318" s="51">
        <v>0.10416666666666667</v>
      </c>
      <c r="AX318" t="s">
        <v>163</v>
      </c>
    </row>
    <row r="319" spans="1:50">
      <c r="A319" s="23" t="s">
        <v>22</v>
      </c>
      <c r="B319" s="23" t="s">
        <v>25</v>
      </c>
      <c r="C319" s="28">
        <v>44494.635416666664</v>
      </c>
      <c r="D319" s="23">
        <v>603.92499999999995</v>
      </c>
      <c r="E319" s="28">
        <v>44496.395833333336</v>
      </c>
      <c r="F319" s="23">
        <v>627.77499999999998</v>
      </c>
      <c r="G319" s="33">
        <v>3.95E-2</v>
      </c>
      <c r="H319" s="23">
        <v>1980.85</v>
      </c>
      <c r="I319" s="33">
        <v>3.95E-2</v>
      </c>
      <c r="J319" s="23">
        <v>83.054360000000003</v>
      </c>
      <c r="K319" s="23">
        <v>50158.6</v>
      </c>
      <c r="L319" s="23">
        <v>33310.22</v>
      </c>
      <c r="M319" s="23">
        <v>34</v>
      </c>
      <c r="N319" s="23">
        <v>58.26</v>
      </c>
      <c r="O319" s="33">
        <v>-7.7999999999999996E-3</v>
      </c>
      <c r="P319" s="33">
        <v>6.2199999999999998E-2</v>
      </c>
      <c r="Q319" s="23" t="s">
        <v>24</v>
      </c>
      <c r="R319" s="23">
        <v>0</v>
      </c>
      <c r="S319" s="23">
        <v>595</v>
      </c>
      <c r="U319" s="47">
        <v>44497</v>
      </c>
      <c r="V319" s="23" t="s">
        <v>109</v>
      </c>
      <c r="W319" s="23" t="s">
        <v>23</v>
      </c>
      <c r="X319" s="28">
        <v>44494.635416666664</v>
      </c>
      <c r="Y319" s="23">
        <v>12.75</v>
      </c>
      <c r="Z319" s="28">
        <v>44496.395833333336</v>
      </c>
      <c r="AA319" s="23">
        <v>2.4750000000000001</v>
      </c>
      <c r="AB319" s="33">
        <v>-0.80589999999999995</v>
      </c>
      <c r="AC319" s="23">
        <v>43405.98</v>
      </c>
      <c r="AD319" s="33">
        <v>0.80589999999999995</v>
      </c>
      <c r="AE319" s="23">
        <v>4224.4269999999997</v>
      </c>
      <c r="AF319" s="23">
        <v>53861.440000000002</v>
      </c>
      <c r="AG319" s="23">
        <v>812086.99</v>
      </c>
      <c r="AH319" s="23">
        <v>34</v>
      </c>
      <c r="AI319" s="23">
        <v>1276.6500000000001</v>
      </c>
      <c r="AJ319" s="33">
        <v>-7.0599999999999996E-2</v>
      </c>
      <c r="AK319" s="33">
        <v>0.93530000000000002</v>
      </c>
      <c r="AL319" s="23" t="s">
        <v>24</v>
      </c>
      <c r="AM319" s="23">
        <v>603.91999999999996</v>
      </c>
      <c r="AN319" s="23">
        <v>41266.400000000001</v>
      </c>
      <c r="AO319" s="23">
        <v>595</v>
      </c>
      <c r="AQ319" s="50">
        <f t="shared" si="4"/>
        <v>2.111206782355279E-2</v>
      </c>
      <c r="AR319" s="50"/>
      <c r="AS319" s="48"/>
      <c r="AT319" s="50"/>
      <c r="AV319" s="47">
        <v>44494</v>
      </c>
      <c r="AW319" s="51">
        <v>0.13541666666666666</v>
      </c>
      <c r="AX319" t="s">
        <v>163</v>
      </c>
    </row>
    <row r="320" spans="1:50">
      <c r="A320" s="23" t="s">
        <v>22</v>
      </c>
      <c r="B320" s="23" t="s">
        <v>23</v>
      </c>
      <c r="C320" s="28">
        <v>44496.395833333336</v>
      </c>
      <c r="D320" s="23">
        <v>627.77499999999998</v>
      </c>
      <c r="E320" s="28">
        <v>44496.458333333336</v>
      </c>
      <c r="F320" s="23">
        <v>638.9</v>
      </c>
      <c r="G320" s="33">
        <v>1.77E-2</v>
      </c>
      <c r="H320" s="23">
        <v>-889.09</v>
      </c>
      <c r="I320" s="33">
        <v>-1.77E-2</v>
      </c>
      <c r="J320" s="23">
        <v>79.918270000000007</v>
      </c>
      <c r="K320" s="23">
        <v>50170.69</v>
      </c>
      <c r="L320" s="23">
        <v>32421.13</v>
      </c>
      <c r="M320" s="23">
        <v>7</v>
      </c>
      <c r="N320" s="23">
        <v>-127.01</v>
      </c>
      <c r="O320" s="33">
        <v>-1.77E-2</v>
      </c>
      <c r="P320" s="33">
        <v>2.5999999999999999E-3</v>
      </c>
      <c r="Q320" s="23" t="s">
        <v>24</v>
      </c>
      <c r="R320" s="23">
        <v>0</v>
      </c>
      <c r="S320" s="23">
        <v>641.5</v>
      </c>
      <c r="U320" s="47">
        <v>44497</v>
      </c>
      <c r="V320" s="23" t="s">
        <v>111</v>
      </c>
      <c r="W320" s="23" t="s">
        <v>23</v>
      </c>
      <c r="X320" s="28">
        <v>44496.395833333336</v>
      </c>
      <c r="Y320" s="23">
        <v>10.55</v>
      </c>
      <c r="Z320" s="28">
        <v>44496.458333333336</v>
      </c>
      <c r="AA320" s="23">
        <v>15.125</v>
      </c>
      <c r="AB320" s="33">
        <v>0.43359999999999999</v>
      </c>
      <c r="AC320" s="23">
        <v>-23452.2</v>
      </c>
      <c r="AD320" s="33">
        <v>-0.43359999999999999</v>
      </c>
      <c r="AE320" s="23">
        <v>5126.1639999999998</v>
      </c>
      <c r="AF320" s="23">
        <v>54081.03</v>
      </c>
      <c r="AG320" s="23">
        <v>788634.79</v>
      </c>
      <c r="AH320" s="23">
        <v>7</v>
      </c>
      <c r="AI320" s="23">
        <v>-3350.31</v>
      </c>
      <c r="AJ320" s="33">
        <v>-0.43359999999999999</v>
      </c>
      <c r="AK320" s="33">
        <v>0.16819999999999999</v>
      </c>
      <c r="AL320" s="23" t="s">
        <v>24</v>
      </c>
      <c r="AM320" s="23">
        <v>627.78</v>
      </c>
      <c r="AN320" s="23">
        <v>41202.550000000003</v>
      </c>
      <c r="AO320" s="23">
        <v>641.5</v>
      </c>
      <c r="AQ320" s="50">
        <f t="shared" si="4"/>
        <v>1.6805250246901781E-2</v>
      </c>
      <c r="AR320" s="50"/>
      <c r="AS320" s="48"/>
      <c r="AT320" s="50"/>
      <c r="AV320" s="47">
        <v>44496</v>
      </c>
      <c r="AW320" s="51">
        <v>0.39583333333333331</v>
      </c>
      <c r="AX320" t="s">
        <v>162</v>
      </c>
    </row>
    <row r="321" spans="1:50">
      <c r="A321" s="23" t="s">
        <v>22</v>
      </c>
      <c r="B321" s="23" t="s">
        <v>25</v>
      </c>
      <c r="C321" s="28">
        <v>44496.458333333336</v>
      </c>
      <c r="D321" s="23">
        <v>638.9</v>
      </c>
      <c r="E321" s="28">
        <v>44496.59375</v>
      </c>
      <c r="F321" s="23">
        <v>632.75</v>
      </c>
      <c r="G321" s="33">
        <v>-9.5999999999999992E-3</v>
      </c>
      <c r="H321" s="23">
        <v>-482.87</v>
      </c>
      <c r="I321" s="33">
        <v>-9.5999999999999992E-3</v>
      </c>
      <c r="J321" s="23">
        <v>78.515060000000005</v>
      </c>
      <c r="K321" s="23">
        <v>50163.27</v>
      </c>
      <c r="L321" s="23">
        <v>31938.26</v>
      </c>
      <c r="M321" s="23">
        <v>14</v>
      </c>
      <c r="N321" s="23">
        <v>-34.49</v>
      </c>
      <c r="O321" s="33">
        <v>-1.0200000000000001E-2</v>
      </c>
      <c r="P321" s="33">
        <v>3.8E-3</v>
      </c>
      <c r="Q321" s="23" t="s">
        <v>24</v>
      </c>
      <c r="R321" s="23">
        <v>0</v>
      </c>
      <c r="S321" s="23">
        <v>626.35</v>
      </c>
      <c r="U321" s="47">
        <v>44497</v>
      </c>
      <c r="V321" s="23" t="s">
        <v>141</v>
      </c>
      <c r="W321" s="23" t="s">
        <v>23</v>
      </c>
      <c r="X321" s="28">
        <v>44496.458333333336</v>
      </c>
      <c r="Y321" s="23">
        <v>7.4249999999999998</v>
      </c>
      <c r="Z321" s="28">
        <v>44496.59375</v>
      </c>
      <c r="AA321" s="23">
        <v>7.9</v>
      </c>
      <c r="AB321" s="33">
        <v>6.4000000000000001E-2</v>
      </c>
      <c r="AC321" s="23">
        <v>-3451.77</v>
      </c>
      <c r="AD321" s="33">
        <v>-6.4000000000000001E-2</v>
      </c>
      <c r="AE321" s="23">
        <v>7266.8860000000004</v>
      </c>
      <c r="AF321" s="23">
        <v>53956.63</v>
      </c>
      <c r="AG321" s="23">
        <v>785183.02</v>
      </c>
      <c r="AH321" s="23">
        <v>14</v>
      </c>
      <c r="AI321" s="23">
        <v>-246.56</v>
      </c>
      <c r="AJ321" s="33">
        <v>-0.34010000000000001</v>
      </c>
      <c r="AK321" s="33">
        <v>0.3468</v>
      </c>
      <c r="AL321" s="23" t="s">
        <v>24</v>
      </c>
      <c r="AM321" s="23">
        <v>638.9</v>
      </c>
      <c r="AN321" s="23">
        <v>41206.5</v>
      </c>
      <c r="AO321" s="23">
        <v>626.35</v>
      </c>
      <c r="AQ321" s="50">
        <f t="shared" si="4"/>
        <v>1.1621537016747535E-2</v>
      </c>
      <c r="AR321" s="50"/>
      <c r="AS321" s="48"/>
      <c r="AT321" s="50"/>
      <c r="AV321" s="47">
        <v>44496</v>
      </c>
      <c r="AW321" s="51">
        <v>0.45833333333333331</v>
      </c>
      <c r="AX321" t="s">
        <v>162</v>
      </c>
    </row>
    <row r="322" spans="1:50">
      <c r="A322" s="23" t="s">
        <v>22</v>
      </c>
      <c r="B322" s="23" t="s">
        <v>23</v>
      </c>
      <c r="C322" s="28">
        <v>44496.59375</v>
      </c>
      <c r="D322" s="23">
        <v>632.75</v>
      </c>
      <c r="E322" s="28">
        <v>44497.385416666664</v>
      </c>
      <c r="F322" s="23">
        <v>648.25</v>
      </c>
      <c r="G322" s="33">
        <v>2.4500000000000001E-2</v>
      </c>
      <c r="H322" s="23">
        <v>-1228.79</v>
      </c>
      <c r="I322" s="33">
        <v>-2.4500000000000001E-2</v>
      </c>
      <c r="J322" s="23">
        <v>79.276700000000005</v>
      </c>
      <c r="K322" s="23">
        <v>50162.33</v>
      </c>
      <c r="L322" s="23">
        <v>30709.47</v>
      </c>
      <c r="M322" s="23">
        <v>9</v>
      </c>
      <c r="N322" s="23">
        <v>-136.53</v>
      </c>
      <c r="O322" s="33">
        <v>-2.4500000000000001E-2</v>
      </c>
      <c r="P322" s="33">
        <v>4.1999999999999997E-3</v>
      </c>
      <c r="Q322" s="23" t="s">
        <v>24</v>
      </c>
      <c r="R322" s="23">
        <v>0</v>
      </c>
      <c r="S322" s="23">
        <v>641.16999999999996</v>
      </c>
      <c r="U322" s="47">
        <v>44497</v>
      </c>
      <c r="V322" s="23" t="s">
        <v>111</v>
      </c>
      <c r="W322" s="23" t="s">
        <v>23</v>
      </c>
      <c r="X322" s="28">
        <v>44496.59375</v>
      </c>
      <c r="Y322" s="23">
        <v>11.725</v>
      </c>
      <c r="Z322" s="28">
        <v>44497.385416666664</v>
      </c>
      <c r="AA322" s="23">
        <v>19.2</v>
      </c>
      <c r="AB322" s="33">
        <v>0.63749999999999996</v>
      </c>
      <c r="AC322" s="23">
        <v>-34440.589999999997</v>
      </c>
      <c r="AD322" s="33">
        <v>-0.63749999999999996</v>
      </c>
      <c r="AE322" s="23">
        <v>4607.4369999999999</v>
      </c>
      <c r="AF322" s="23">
        <v>54022.2</v>
      </c>
      <c r="AG322" s="23">
        <v>750742.43</v>
      </c>
      <c r="AH322" s="23">
        <v>9</v>
      </c>
      <c r="AI322" s="23">
        <v>-3826.73</v>
      </c>
      <c r="AJ322" s="33">
        <v>-0.63749999999999996</v>
      </c>
      <c r="AK322" s="33">
        <v>0.1898</v>
      </c>
      <c r="AL322" s="23" t="s">
        <v>24</v>
      </c>
      <c r="AM322" s="23">
        <v>632.75</v>
      </c>
      <c r="AN322" s="23">
        <v>40966.35</v>
      </c>
      <c r="AO322" s="23">
        <v>641.16999999999996</v>
      </c>
      <c r="AQ322" s="50">
        <f t="shared" si="4"/>
        <v>1.8530225207427895E-2</v>
      </c>
      <c r="AR322" s="50"/>
      <c r="AS322" s="48"/>
      <c r="AT322" s="50"/>
      <c r="AV322" s="47">
        <v>44496</v>
      </c>
      <c r="AW322" s="51">
        <v>9.375E-2</v>
      </c>
      <c r="AX322" t="s">
        <v>163</v>
      </c>
    </row>
    <row r="323" spans="1:50">
      <c r="A323" s="23" t="s">
        <v>22</v>
      </c>
      <c r="B323" s="23" t="s">
        <v>25</v>
      </c>
      <c r="C323" s="28">
        <v>44497.385416666664</v>
      </c>
      <c r="D323" s="23">
        <v>648.25</v>
      </c>
      <c r="E323" s="28">
        <v>44497.395833333336</v>
      </c>
      <c r="F323" s="23">
        <v>629.5</v>
      </c>
      <c r="G323" s="33">
        <v>-2.8899999999999999E-2</v>
      </c>
      <c r="H323" s="23">
        <v>-1450.79</v>
      </c>
      <c r="I323" s="33">
        <v>-2.8899999999999999E-2</v>
      </c>
      <c r="J323" s="23">
        <v>77.375399999999999</v>
      </c>
      <c r="K323" s="23">
        <v>50158.6</v>
      </c>
      <c r="L323" s="23">
        <v>29258.68</v>
      </c>
      <c r="M323" s="23">
        <v>2</v>
      </c>
      <c r="N323" s="23">
        <v>-725.39</v>
      </c>
      <c r="O323" s="33">
        <v>-2.9700000000000001E-2</v>
      </c>
      <c r="P323" s="33">
        <v>2.3E-3</v>
      </c>
      <c r="Q323" s="23" t="s">
        <v>24</v>
      </c>
      <c r="R323" s="23">
        <v>0</v>
      </c>
      <c r="S323" s="23">
        <v>629</v>
      </c>
      <c r="U323" s="47">
        <v>44497</v>
      </c>
      <c r="V323" s="23" t="s">
        <v>141</v>
      </c>
      <c r="W323" s="23" t="s">
        <v>23</v>
      </c>
      <c r="X323" s="28">
        <v>44497.385416666664</v>
      </c>
      <c r="Y323" s="23">
        <v>2.4249999999999998</v>
      </c>
      <c r="Z323" s="28">
        <v>44497.395833333336</v>
      </c>
      <c r="AA323" s="23">
        <v>8.75</v>
      </c>
      <c r="AB323" s="33">
        <v>2.6082000000000001</v>
      </c>
      <c r="AC323" s="23">
        <v>-140533.46</v>
      </c>
      <c r="AD323" s="33">
        <v>-2.6082000000000001</v>
      </c>
      <c r="AE323" s="23">
        <v>22218.73</v>
      </c>
      <c r="AF323" s="23">
        <v>53880.41</v>
      </c>
      <c r="AG323" s="23">
        <v>610208.97</v>
      </c>
      <c r="AH323" s="23">
        <v>2</v>
      </c>
      <c r="AI323" s="23">
        <v>-70266.73</v>
      </c>
      <c r="AJ323" s="33">
        <v>-2.6082000000000001</v>
      </c>
      <c r="AK323" s="33">
        <v>0</v>
      </c>
      <c r="AL323" s="23" t="s">
        <v>24</v>
      </c>
      <c r="AM323" s="23">
        <v>648.25</v>
      </c>
      <c r="AN323" s="23">
        <v>40627.699999999997</v>
      </c>
      <c r="AO323" s="23">
        <v>629</v>
      </c>
      <c r="AQ323" s="50">
        <f t="shared" si="4"/>
        <v>3.7408407250289237E-3</v>
      </c>
      <c r="AR323" s="50"/>
      <c r="AS323" s="48"/>
      <c r="AT323" s="50"/>
      <c r="AV323" s="47">
        <v>44497</v>
      </c>
      <c r="AW323" s="51">
        <v>0.38541666666666669</v>
      </c>
      <c r="AX323" t="s">
        <v>162</v>
      </c>
    </row>
    <row r="324" spans="1:50">
      <c r="A324" s="23" t="s">
        <v>22</v>
      </c>
      <c r="B324" s="23" t="s">
        <v>23</v>
      </c>
      <c r="C324" s="28">
        <v>44497.395833333336</v>
      </c>
      <c r="D324" s="23">
        <v>629.5</v>
      </c>
      <c r="E324" s="28">
        <v>44497.697916666664</v>
      </c>
      <c r="F324" s="23">
        <v>613.79999999999995</v>
      </c>
      <c r="G324" s="33">
        <v>-2.4899999999999999E-2</v>
      </c>
      <c r="H324" s="23">
        <v>1250.8499999999999</v>
      </c>
      <c r="I324" s="33">
        <v>2.4899999999999999E-2</v>
      </c>
      <c r="J324" s="23">
        <v>79.672039999999996</v>
      </c>
      <c r="K324" s="23">
        <v>50153.55</v>
      </c>
      <c r="L324" s="23">
        <v>30509.53</v>
      </c>
      <c r="M324" s="23">
        <v>26</v>
      </c>
      <c r="N324" s="23">
        <v>48.11</v>
      </c>
      <c r="O324" s="33">
        <v>-3.0499999999999999E-2</v>
      </c>
      <c r="P324" s="33">
        <v>3.4299999999999997E-2</v>
      </c>
      <c r="Q324" s="23" t="s">
        <v>24</v>
      </c>
      <c r="R324" s="23">
        <v>0</v>
      </c>
      <c r="S324" s="23">
        <v>649.75</v>
      </c>
      <c r="U324" s="47">
        <v>44497</v>
      </c>
      <c r="V324" s="23" t="s">
        <v>111</v>
      </c>
      <c r="W324" s="23" t="s">
        <v>23</v>
      </c>
      <c r="X324" s="28">
        <v>44497.395833333336</v>
      </c>
      <c r="Y324" s="23">
        <v>9.375</v>
      </c>
      <c r="Z324" s="28">
        <v>44497.697916666664</v>
      </c>
      <c r="AA324" s="23">
        <v>0.25</v>
      </c>
      <c r="AB324" s="33">
        <v>-0.97330000000000005</v>
      </c>
      <c r="AC324" s="23">
        <v>52320.28</v>
      </c>
      <c r="AD324" s="33">
        <v>0.97330000000000005</v>
      </c>
      <c r="AE324" s="23">
        <v>5733.7290000000003</v>
      </c>
      <c r="AF324" s="23">
        <v>53753.71</v>
      </c>
      <c r="AG324" s="23">
        <v>662529.25</v>
      </c>
      <c r="AH324" s="23">
        <v>26</v>
      </c>
      <c r="AI324" s="23">
        <v>2012.32</v>
      </c>
      <c r="AJ324" s="33">
        <v>-1.048</v>
      </c>
      <c r="AK324" s="33">
        <v>0.99199999999999999</v>
      </c>
      <c r="AL324" s="23" t="s">
        <v>24</v>
      </c>
      <c r="AM324" s="23">
        <v>629.5</v>
      </c>
      <c r="AN324" s="23">
        <v>40587.199999999997</v>
      </c>
      <c r="AO324" s="23">
        <v>649.75</v>
      </c>
      <c r="AQ324" s="50">
        <f t="shared" si="4"/>
        <v>1.4892772041302621E-2</v>
      </c>
      <c r="AR324" s="50"/>
      <c r="AS324" s="48"/>
      <c r="AT324" s="50"/>
      <c r="AV324" s="47">
        <v>44497</v>
      </c>
      <c r="AW324" s="51">
        <v>0.39583333333333331</v>
      </c>
      <c r="AX324" t="s">
        <v>162</v>
      </c>
    </row>
    <row r="325" spans="1:50">
      <c r="A325" s="23" t="s">
        <v>22</v>
      </c>
      <c r="B325" s="23" t="s">
        <v>23</v>
      </c>
      <c r="C325" s="28">
        <v>44498.385416666664</v>
      </c>
      <c r="D325" s="23">
        <v>605.42499999999995</v>
      </c>
      <c r="E325" s="28">
        <v>44498.395833333336</v>
      </c>
      <c r="F325" s="23">
        <v>613.4</v>
      </c>
      <c r="G325" s="33">
        <v>1.32E-2</v>
      </c>
      <c r="H325" s="23">
        <v>-660.64</v>
      </c>
      <c r="I325" s="33">
        <v>-1.32E-2</v>
      </c>
      <c r="J325" s="23">
        <v>82.838579999999993</v>
      </c>
      <c r="K325" s="23">
        <v>50152.55</v>
      </c>
      <c r="L325" s="23">
        <v>29848.89</v>
      </c>
      <c r="M325" s="23">
        <v>2</v>
      </c>
      <c r="N325" s="23">
        <v>-330.32</v>
      </c>
      <c r="O325" s="33">
        <v>-1.5599999999999999E-2</v>
      </c>
      <c r="P325" s="33">
        <v>6.5199999999999994E-2</v>
      </c>
      <c r="Q325" s="23" t="s">
        <v>24</v>
      </c>
      <c r="R325" s="23">
        <v>0</v>
      </c>
      <c r="S325" s="23">
        <v>620.65</v>
      </c>
      <c r="U325" s="47">
        <v>44525</v>
      </c>
      <c r="V325" s="23" t="s">
        <v>107</v>
      </c>
      <c r="W325" s="23" t="s">
        <v>23</v>
      </c>
      <c r="X325" s="28">
        <v>44498.385416666664</v>
      </c>
      <c r="Y325" s="23">
        <v>35.5</v>
      </c>
      <c r="Z325" s="28">
        <v>44498.395833333336</v>
      </c>
      <c r="AA325" s="23">
        <v>43.1</v>
      </c>
      <c r="AB325" s="33">
        <v>0.21410000000000001</v>
      </c>
      <c r="AC325" s="23">
        <v>-11413.41</v>
      </c>
      <c r="AD325" s="33">
        <v>-0.21410000000000001</v>
      </c>
      <c r="AE325" s="23">
        <v>1501.7650000000001</v>
      </c>
      <c r="AF325" s="23">
        <v>53312.639999999999</v>
      </c>
      <c r="AG325" s="23">
        <v>651115.84</v>
      </c>
      <c r="AH325" s="23">
        <v>2</v>
      </c>
      <c r="AI325" s="23">
        <v>-5706.71</v>
      </c>
      <c r="AJ325" s="33">
        <v>-0.2676</v>
      </c>
      <c r="AK325" s="33">
        <v>9.8599999999999993E-2</v>
      </c>
      <c r="AL325" s="23" t="s">
        <v>24</v>
      </c>
      <c r="AM325" s="23">
        <v>605.41999999999996</v>
      </c>
      <c r="AN325" s="23">
        <v>38898.1</v>
      </c>
      <c r="AO325" s="23">
        <v>620.65</v>
      </c>
      <c r="AQ325" s="50">
        <f t="shared" si="4"/>
        <v>5.8636979287106476E-2</v>
      </c>
      <c r="AR325" s="50"/>
      <c r="AS325" s="48"/>
      <c r="AT325" s="50"/>
      <c r="AV325" s="47">
        <v>44498</v>
      </c>
      <c r="AW325" s="51">
        <v>0.38541666666666669</v>
      </c>
      <c r="AX325" t="s">
        <v>162</v>
      </c>
    </row>
    <row r="326" spans="1:50">
      <c r="A326" s="23" t="s">
        <v>22</v>
      </c>
      <c r="B326" s="23" t="s">
        <v>25</v>
      </c>
      <c r="C326" s="28">
        <v>44498.395833333336</v>
      </c>
      <c r="D326" s="23">
        <v>613.4</v>
      </c>
      <c r="E326" s="28">
        <v>44498.572916666664</v>
      </c>
      <c r="F326" s="23">
        <v>607.95000000000005</v>
      </c>
      <c r="G326" s="33">
        <v>-8.8999999999999999E-3</v>
      </c>
      <c r="H326" s="23">
        <v>-445.6</v>
      </c>
      <c r="I326" s="33">
        <v>-8.8999999999999999E-3</v>
      </c>
      <c r="J326" s="23">
        <v>81.761570000000006</v>
      </c>
      <c r="K326" s="23">
        <v>50152.55</v>
      </c>
      <c r="L326" s="23">
        <v>29403.29</v>
      </c>
      <c r="M326" s="23">
        <v>18</v>
      </c>
      <c r="N326" s="23">
        <v>-24.76</v>
      </c>
      <c r="O326" s="33">
        <v>-1.8800000000000001E-2</v>
      </c>
      <c r="P326" s="33">
        <v>4.6600000000000003E-2</v>
      </c>
      <c r="Q326" s="23" t="s">
        <v>24</v>
      </c>
      <c r="R326" s="23">
        <v>0</v>
      </c>
      <c r="S326" s="23">
        <v>565.97</v>
      </c>
      <c r="U326" s="47">
        <v>44525</v>
      </c>
      <c r="V326" s="23" t="s">
        <v>112</v>
      </c>
      <c r="W326" s="23" t="s">
        <v>23</v>
      </c>
      <c r="X326" s="28">
        <v>44498.395833333336</v>
      </c>
      <c r="Y326" s="23">
        <v>42.5</v>
      </c>
      <c r="Z326" s="28">
        <v>44498.572916666664</v>
      </c>
      <c r="AA326" s="23">
        <v>33.15</v>
      </c>
      <c r="AB326" s="33">
        <v>-0.22</v>
      </c>
      <c r="AC326" s="23">
        <v>11728.78</v>
      </c>
      <c r="AD326" s="33">
        <v>0.22</v>
      </c>
      <c r="AE326" s="23">
        <v>1254.415</v>
      </c>
      <c r="AF326" s="23">
        <v>53312.639999999999</v>
      </c>
      <c r="AG326" s="23">
        <v>662844.62</v>
      </c>
      <c r="AH326" s="23">
        <v>18</v>
      </c>
      <c r="AI326" s="23">
        <v>651.6</v>
      </c>
      <c r="AJ326" s="33">
        <v>-4.8800000000000003E-2</v>
      </c>
      <c r="AK326" s="33">
        <v>0.4118</v>
      </c>
      <c r="AL326" s="23" t="s">
        <v>24</v>
      </c>
      <c r="AM326" s="23">
        <v>613.4</v>
      </c>
      <c r="AN326" s="23">
        <v>39197.300000000003</v>
      </c>
      <c r="AO326" s="23">
        <v>565.97</v>
      </c>
      <c r="AQ326" s="50">
        <f t="shared" si="4"/>
        <v>6.9285947179654389E-2</v>
      </c>
      <c r="AR326" s="50"/>
      <c r="AS326" s="48"/>
      <c r="AT326" s="50"/>
      <c r="AV326" s="47">
        <v>44498</v>
      </c>
      <c r="AW326" s="51">
        <v>0.39583333333333331</v>
      </c>
      <c r="AX326" t="s">
        <v>162</v>
      </c>
    </row>
    <row r="327" spans="1:50">
      <c r="A327" s="23" t="s">
        <v>22</v>
      </c>
      <c r="B327" s="23" t="s">
        <v>23</v>
      </c>
      <c r="C327" s="28">
        <v>44498.572916666664</v>
      </c>
      <c r="D327" s="23">
        <v>607.95000000000005</v>
      </c>
      <c r="E327" s="28">
        <v>44501.625</v>
      </c>
      <c r="F327" s="23">
        <v>604.79999999999995</v>
      </c>
      <c r="G327" s="33">
        <v>-5.1999999999999998E-3</v>
      </c>
      <c r="H327" s="23">
        <v>259.83999999999997</v>
      </c>
      <c r="I327" s="33">
        <v>5.1999999999999998E-3</v>
      </c>
      <c r="J327" s="23">
        <v>82.489090000000004</v>
      </c>
      <c r="K327" s="23">
        <v>50149.24</v>
      </c>
      <c r="L327" s="23">
        <v>29663.13</v>
      </c>
      <c r="M327" s="23">
        <v>34</v>
      </c>
      <c r="N327" s="23">
        <v>7.64</v>
      </c>
      <c r="O327" s="33">
        <v>-1.5599999999999999E-2</v>
      </c>
      <c r="P327" s="33">
        <v>1.7999999999999999E-2</v>
      </c>
      <c r="Q327" s="23" t="s">
        <v>24</v>
      </c>
      <c r="R327" s="23">
        <v>0</v>
      </c>
      <c r="S327" s="23">
        <v>640.69000000000005</v>
      </c>
      <c r="U327" s="47">
        <v>44525</v>
      </c>
      <c r="V327" s="23" t="s">
        <v>107</v>
      </c>
      <c r="W327" s="23" t="s">
        <v>23</v>
      </c>
      <c r="X327" s="28">
        <v>44498.572916666664</v>
      </c>
      <c r="Y327" s="23">
        <v>38.450000000000003</v>
      </c>
      <c r="Z327" s="28">
        <v>44501.625</v>
      </c>
      <c r="AA327" s="23">
        <v>33</v>
      </c>
      <c r="AB327" s="33">
        <v>-0.14169999999999999</v>
      </c>
      <c r="AC327" s="23">
        <v>7557.03</v>
      </c>
      <c r="AD327" s="33">
        <v>0.14169999999999999</v>
      </c>
      <c r="AE327" s="23">
        <v>1386.61</v>
      </c>
      <c r="AF327" s="23">
        <v>53315.16</v>
      </c>
      <c r="AG327" s="23">
        <v>670401.65</v>
      </c>
      <c r="AH327" s="23">
        <v>34</v>
      </c>
      <c r="AI327" s="23">
        <v>222.27</v>
      </c>
      <c r="AJ327" s="33">
        <v>-0.1053</v>
      </c>
      <c r="AK327" s="33">
        <v>0.23599999999999999</v>
      </c>
      <c r="AL327" s="23" t="s">
        <v>24</v>
      </c>
      <c r="AM327" s="23">
        <v>607.95000000000005</v>
      </c>
      <c r="AN327" s="23">
        <v>39038.6</v>
      </c>
      <c r="AO327" s="23">
        <v>640.69000000000005</v>
      </c>
      <c r="AQ327" s="50">
        <f t="shared" si="4"/>
        <v>6.3245332675384486E-2</v>
      </c>
      <c r="AR327" s="50"/>
      <c r="AS327" s="48"/>
      <c r="AT327" s="50"/>
      <c r="AV327" s="47">
        <v>44498</v>
      </c>
      <c r="AW327" s="51">
        <v>7.2916666666666671E-2</v>
      </c>
      <c r="AX327" t="s">
        <v>163</v>
      </c>
    </row>
    <row r="328" spans="1:50">
      <c r="A328" s="23" t="s">
        <v>22</v>
      </c>
      <c r="B328" s="23" t="s">
        <v>25</v>
      </c>
      <c r="C328" s="28">
        <v>44501.625</v>
      </c>
      <c r="D328" s="23">
        <v>604.79999999999995</v>
      </c>
      <c r="E328" s="28">
        <v>44502.635416666664</v>
      </c>
      <c r="F328" s="23">
        <v>621.25</v>
      </c>
      <c r="G328" s="33">
        <v>2.7199999999999998E-2</v>
      </c>
      <c r="H328" s="23">
        <v>1364</v>
      </c>
      <c r="I328" s="33">
        <v>2.7199999999999998E-2</v>
      </c>
      <c r="J328" s="23">
        <v>82.917990000000003</v>
      </c>
      <c r="K328" s="23">
        <v>50148.800000000003</v>
      </c>
      <c r="L328" s="23">
        <v>31027.14</v>
      </c>
      <c r="M328" s="23">
        <v>30</v>
      </c>
      <c r="N328" s="23">
        <v>45.47</v>
      </c>
      <c r="O328" s="33">
        <v>-7.4999999999999997E-3</v>
      </c>
      <c r="P328" s="33">
        <v>4.3200000000000002E-2</v>
      </c>
      <c r="Q328" s="23" t="s">
        <v>24</v>
      </c>
      <c r="R328" s="23">
        <v>0</v>
      </c>
      <c r="S328" s="23">
        <v>597.16999999999996</v>
      </c>
      <c r="U328" s="47">
        <v>44525</v>
      </c>
      <c r="V328" s="23" t="s">
        <v>109</v>
      </c>
      <c r="W328" s="23" t="s">
        <v>23</v>
      </c>
      <c r="X328" s="28">
        <v>44501.625</v>
      </c>
      <c r="Y328" s="23">
        <v>25.824999999999999</v>
      </c>
      <c r="Z328" s="28">
        <v>44502.635416666664</v>
      </c>
      <c r="AA328" s="23">
        <v>17.899999999999999</v>
      </c>
      <c r="AB328" s="33">
        <v>-0.30690000000000001</v>
      </c>
      <c r="AC328" s="23">
        <v>16371.93</v>
      </c>
      <c r="AD328" s="33">
        <v>0.30690000000000001</v>
      </c>
      <c r="AE328" s="23">
        <v>2065.8580000000002</v>
      </c>
      <c r="AF328" s="23">
        <v>53350.79</v>
      </c>
      <c r="AG328" s="23">
        <v>686773.58</v>
      </c>
      <c r="AH328" s="23">
        <v>30</v>
      </c>
      <c r="AI328" s="23">
        <v>545.73</v>
      </c>
      <c r="AJ328" s="33">
        <v>-4.5499999999999999E-2</v>
      </c>
      <c r="AK328" s="33">
        <v>0.3679</v>
      </c>
      <c r="AL328" s="23" t="s">
        <v>24</v>
      </c>
      <c r="AM328" s="23">
        <v>604.79999999999995</v>
      </c>
      <c r="AN328" s="23">
        <v>39741.050000000003</v>
      </c>
      <c r="AO328" s="23">
        <v>597.16999999999996</v>
      </c>
      <c r="AQ328" s="50">
        <f t="shared" ref="AQ328:AQ391" si="5">Y328/AM328</f>
        <v>4.2700066137566141E-2</v>
      </c>
      <c r="AR328" s="50"/>
      <c r="AS328" s="48"/>
      <c r="AT328" s="50"/>
      <c r="AV328" s="47">
        <v>44501</v>
      </c>
      <c r="AW328" s="51">
        <v>0.125</v>
      </c>
      <c r="AX328" t="s">
        <v>163</v>
      </c>
    </row>
    <row r="329" spans="1:50">
      <c r="A329" s="23" t="s">
        <v>22</v>
      </c>
      <c r="B329" s="23" t="s">
        <v>23</v>
      </c>
      <c r="C329" s="28">
        <v>44502.635416666664</v>
      </c>
      <c r="D329" s="23">
        <v>621.25</v>
      </c>
      <c r="E329" s="28">
        <v>44503.416666666664</v>
      </c>
      <c r="F329" s="23">
        <v>628.75</v>
      </c>
      <c r="G329" s="33">
        <v>1.21E-2</v>
      </c>
      <c r="H329" s="23">
        <v>-605.5</v>
      </c>
      <c r="I329" s="33">
        <v>-1.21E-2</v>
      </c>
      <c r="J329" s="23">
        <v>80.733310000000003</v>
      </c>
      <c r="K329" s="23">
        <v>50155.57</v>
      </c>
      <c r="L329" s="23">
        <v>30421.64</v>
      </c>
      <c r="M329" s="23">
        <v>8</v>
      </c>
      <c r="N329" s="23">
        <v>-75.69</v>
      </c>
      <c r="O329" s="33">
        <v>-1.21E-2</v>
      </c>
      <c r="P329" s="33">
        <v>6.0000000000000001E-3</v>
      </c>
      <c r="Q329" s="23" t="s">
        <v>24</v>
      </c>
      <c r="R329" s="23">
        <v>0</v>
      </c>
      <c r="S329" s="23">
        <v>630.73</v>
      </c>
      <c r="U329" s="47">
        <v>44525</v>
      </c>
      <c r="V329" s="23" t="s">
        <v>113</v>
      </c>
      <c r="W329" s="23" t="s">
        <v>23</v>
      </c>
      <c r="X329" s="28">
        <v>44502.635416666664</v>
      </c>
      <c r="Y329" s="23">
        <v>31</v>
      </c>
      <c r="Z329" s="28">
        <v>44503.416666666664</v>
      </c>
      <c r="AA329" s="23">
        <v>32.9</v>
      </c>
      <c r="AB329" s="33">
        <v>6.13E-2</v>
      </c>
      <c r="AC329" s="23">
        <v>-3274.98</v>
      </c>
      <c r="AD329" s="33">
        <v>-6.13E-2</v>
      </c>
      <c r="AE329" s="23">
        <v>1723.673</v>
      </c>
      <c r="AF329" s="23">
        <v>53433.87</v>
      </c>
      <c r="AG329" s="23">
        <v>683498.6</v>
      </c>
      <c r="AH329" s="23">
        <v>8</v>
      </c>
      <c r="AI329" s="23">
        <v>-409.37</v>
      </c>
      <c r="AJ329" s="33">
        <v>-6.5299999999999997E-2</v>
      </c>
      <c r="AK329" s="33">
        <v>0.1137</v>
      </c>
      <c r="AL329" s="23" t="s">
        <v>24</v>
      </c>
      <c r="AM329" s="23">
        <v>621.25</v>
      </c>
      <c r="AN329" s="23">
        <v>39901.550000000003</v>
      </c>
      <c r="AO329" s="23">
        <v>630.73</v>
      </c>
      <c r="AQ329" s="50">
        <f t="shared" si="5"/>
        <v>4.9899396378269616E-2</v>
      </c>
      <c r="AR329" s="50"/>
      <c r="AS329" s="48"/>
      <c r="AT329" s="50"/>
      <c r="AV329" s="47">
        <v>44502</v>
      </c>
      <c r="AW329" s="51">
        <v>0.13541666666666666</v>
      </c>
      <c r="AX329" t="s">
        <v>163</v>
      </c>
    </row>
    <row r="330" spans="1:50">
      <c r="A330" s="23" t="s">
        <v>22</v>
      </c>
      <c r="B330" s="23" t="s">
        <v>25</v>
      </c>
      <c r="C330" s="28">
        <v>44503.416666666664</v>
      </c>
      <c r="D330" s="23">
        <v>628.75</v>
      </c>
      <c r="E330" s="28">
        <v>44503.479166666664</v>
      </c>
      <c r="F330" s="23">
        <v>620.65</v>
      </c>
      <c r="G330" s="33">
        <v>-1.29E-2</v>
      </c>
      <c r="H330" s="23">
        <v>-646.13</v>
      </c>
      <c r="I330" s="33">
        <v>-1.29E-2</v>
      </c>
      <c r="J330" s="23">
        <v>79.768829999999994</v>
      </c>
      <c r="K330" s="23">
        <v>50154.65</v>
      </c>
      <c r="L330" s="23">
        <v>29775.51</v>
      </c>
      <c r="M330" s="23">
        <v>7</v>
      </c>
      <c r="N330" s="23">
        <v>-92.3</v>
      </c>
      <c r="O330" s="33">
        <v>-1.29E-2</v>
      </c>
      <c r="P330" s="33">
        <v>2.3999999999999998E-3</v>
      </c>
      <c r="Q330" s="23" t="s">
        <v>24</v>
      </c>
      <c r="R330" s="23">
        <v>0</v>
      </c>
      <c r="S330" s="23">
        <v>617.5</v>
      </c>
      <c r="U330" s="47">
        <v>44525</v>
      </c>
      <c r="V330" s="23" t="s">
        <v>119</v>
      </c>
      <c r="W330" s="23" t="s">
        <v>23</v>
      </c>
      <c r="X330" s="28">
        <v>44503.416666666664</v>
      </c>
      <c r="Y330" s="23">
        <v>22</v>
      </c>
      <c r="Z330" s="28">
        <v>44503.479166666664</v>
      </c>
      <c r="AA330" s="23">
        <v>22.425000000000001</v>
      </c>
      <c r="AB330" s="33">
        <v>1.9300000000000001E-2</v>
      </c>
      <c r="AC330" s="23">
        <v>-1032.18</v>
      </c>
      <c r="AD330" s="33">
        <v>-1.9300000000000001E-2</v>
      </c>
      <c r="AE330" s="23">
        <v>2428.6559999999999</v>
      </c>
      <c r="AF330" s="23">
        <v>53430.42</v>
      </c>
      <c r="AG330" s="23">
        <v>682466.42</v>
      </c>
      <c r="AH330" s="23">
        <v>7</v>
      </c>
      <c r="AI330" s="23">
        <v>-147.44999999999999</v>
      </c>
      <c r="AJ330" s="33">
        <v>-1.9300000000000001E-2</v>
      </c>
      <c r="AK330" s="33">
        <v>9.1999999999999998E-2</v>
      </c>
      <c r="AL330" s="23" t="s">
        <v>24</v>
      </c>
      <c r="AM330" s="23">
        <v>628.75</v>
      </c>
      <c r="AN330" s="23">
        <v>40039.300000000003</v>
      </c>
      <c r="AO330" s="23">
        <v>617.5</v>
      </c>
      <c r="AQ330" s="50">
        <f t="shared" si="5"/>
        <v>3.4990059642147117E-2</v>
      </c>
      <c r="AR330" s="50"/>
      <c r="AS330" s="48"/>
      <c r="AT330" s="50"/>
      <c r="AV330" s="47">
        <v>44503</v>
      </c>
      <c r="AW330" s="51">
        <v>0.41666666666666669</v>
      </c>
      <c r="AX330" t="s">
        <v>162</v>
      </c>
    </row>
    <row r="331" spans="1:50">
      <c r="A331" s="23" t="s">
        <v>22</v>
      </c>
      <c r="B331" s="23" t="s">
        <v>23</v>
      </c>
      <c r="C331" s="28">
        <v>44503.479166666664</v>
      </c>
      <c r="D331" s="23">
        <v>620.65</v>
      </c>
      <c r="E331" s="28">
        <v>44508.489583333336</v>
      </c>
      <c r="F331" s="23">
        <v>607.79999999999995</v>
      </c>
      <c r="G331" s="33">
        <v>-2.07E-2</v>
      </c>
      <c r="H331" s="23">
        <v>1038.3</v>
      </c>
      <c r="I331" s="33">
        <v>2.07E-2</v>
      </c>
      <c r="J331" s="23">
        <v>80.801779999999994</v>
      </c>
      <c r="K331" s="23">
        <v>50149.63</v>
      </c>
      <c r="L331" s="23">
        <v>30813.81</v>
      </c>
      <c r="M331" s="23">
        <v>37</v>
      </c>
      <c r="N331" s="23">
        <v>28.06</v>
      </c>
      <c r="O331" s="33">
        <v>-4.4999999999999997E-3</v>
      </c>
      <c r="P331" s="33">
        <v>3.56E-2</v>
      </c>
      <c r="Q331" s="23" t="s">
        <v>24</v>
      </c>
      <c r="R331" s="23">
        <v>0</v>
      </c>
      <c r="S331" s="23">
        <v>629.83000000000004</v>
      </c>
      <c r="U331" s="47">
        <v>44525</v>
      </c>
      <c r="V331" s="23" t="s">
        <v>114</v>
      </c>
      <c r="W331" s="23" t="s">
        <v>23</v>
      </c>
      <c r="X331" s="28">
        <v>44503.479166666664</v>
      </c>
      <c r="Y331" s="23">
        <v>35.524999999999999</v>
      </c>
      <c r="Z331" s="28">
        <v>44508.489583333336</v>
      </c>
      <c r="AA331" s="23">
        <v>25.1</v>
      </c>
      <c r="AB331" s="33">
        <v>-0.29349999999999998</v>
      </c>
      <c r="AC331" s="23">
        <v>15682.86</v>
      </c>
      <c r="AD331" s="33">
        <v>0.29349999999999998</v>
      </c>
      <c r="AE331" s="23">
        <v>1504.3510000000001</v>
      </c>
      <c r="AF331" s="23">
        <v>53442.080000000002</v>
      </c>
      <c r="AG331" s="23">
        <v>698149.28</v>
      </c>
      <c r="AH331" s="23">
        <v>37</v>
      </c>
      <c r="AI331" s="23">
        <v>423.86</v>
      </c>
      <c r="AJ331" s="33">
        <v>-7.3200000000000001E-2</v>
      </c>
      <c r="AK331" s="33">
        <v>0.36659999999999998</v>
      </c>
      <c r="AL331" s="23" t="s">
        <v>24</v>
      </c>
      <c r="AM331" s="23">
        <v>620.65</v>
      </c>
      <c r="AN331" s="23">
        <v>39946.15</v>
      </c>
      <c r="AO331" s="23">
        <v>629.83000000000004</v>
      </c>
      <c r="AQ331" s="50">
        <f t="shared" si="5"/>
        <v>5.7238379118665916E-2</v>
      </c>
      <c r="AR331" s="50"/>
      <c r="AS331" s="48"/>
      <c r="AT331" s="50"/>
      <c r="AV331" s="47">
        <v>44503</v>
      </c>
      <c r="AW331" s="51">
        <v>0.47916666666666669</v>
      </c>
      <c r="AX331" t="s">
        <v>162</v>
      </c>
    </row>
    <row r="332" spans="1:50">
      <c r="A332" s="23" t="s">
        <v>22</v>
      </c>
      <c r="B332" s="23" t="s">
        <v>25</v>
      </c>
      <c r="C332" s="28">
        <v>44508.489583333336</v>
      </c>
      <c r="D332" s="23">
        <v>607.79999999999995</v>
      </c>
      <c r="E332" s="28">
        <v>44509.5625</v>
      </c>
      <c r="F332" s="23">
        <v>623.27499999999998</v>
      </c>
      <c r="G332" s="33">
        <v>2.5499999999999998E-2</v>
      </c>
      <c r="H332" s="23">
        <v>1276.94</v>
      </c>
      <c r="I332" s="33">
        <v>2.5499999999999998E-2</v>
      </c>
      <c r="J332" s="23">
        <v>82.516310000000004</v>
      </c>
      <c r="K332" s="23">
        <v>50153.41</v>
      </c>
      <c r="L332" s="23">
        <v>32090.75</v>
      </c>
      <c r="M332" s="23">
        <v>36</v>
      </c>
      <c r="N332" s="23">
        <v>35.47</v>
      </c>
      <c r="O332" s="33">
        <v>-1.9E-3</v>
      </c>
      <c r="P332" s="33">
        <v>3.0800000000000001E-2</v>
      </c>
      <c r="Q332" s="23" t="s">
        <v>24</v>
      </c>
      <c r="R332" s="23">
        <v>0</v>
      </c>
      <c r="S332" s="23">
        <v>599.24</v>
      </c>
      <c r="U332" s="47">
        <v>44525</v>
      </c>
      <c r="V332" s="23" t="s">
        <v>119</v>
      </c>
      <c r="W332" s="23" t="s">
        <v>23</v>
      </c>
      <c r="X332" s="28">
        <v>44508.489583333336</v>
      </c>
      <c r="Y332" s="23">
        <v>24</v>
      </c>
      <c r="Z332" s="28">
        <v>44509.5625</v>
      </c>
      <c r="AA332" s="23">
        <v>16.7</v>
      </c>
      <c r="AB332" s="33">
        <v>-0.30420000000000003</v>
      </c>
      <c r="AC332" s="23">
        <v>16270.1</v>
      </c>
      <c r="AD332" s="33">
        <v>0.30420000000000003</v>
      </c>
      <c r="AE332" s="23">
        <v>2228.7809999999999</v>
      </c>
      <c r="AF332" s="23">
        <v>53490.74</v>
      </c>
      <c r="AG332" s="23">
        <v>714419.38</v>
      </c>
      <c r="AH332" s="23">
        <v>36</v>
      </c>
      <c r="AI332" s="23">
        <v>451.95</v>
      </c>
      <c r="AJ332" s="33">
        <v>-6.25E-2</v>
      </c>
      <c r="AK332" s="33">
        <v>0.34379999999999999</v>
      </c>
      <c r="AL332" s="23" t="s">
        <v>24</v>
      </c>
      <c r="AM332" s="23">
        <v>607.79999999999995</v>
      </c>
      <c r="AN332" s="23">
        <v>39044.75</v>
      </c>
      <c r="AO332" s="23">
        <v>599.24</v>
      </c>
      <c r="AQ332" s="50">
        <f t="shared" si="5"/>
        <v>3.9486673247778881E-2</v>
      </c>
      <c r="AR332" s="50"/>
      <c r="AS332" s="48"/>
      <c r="AT332" s="50"/>
      <c r="AV332" s="47">
        <v>44508</v>
      </c>
      <c r="AW332" s="51">
        <v>0.48958333333333331</v>
      </c>
      <c r="AX332" t="s">
        <v>162</v>
      </c>
    </row>
    <row r="333" spans="1:50">
      <c r="A333" s="23" t="s">
        <v>22</v>
      </c>
      <c r="B333" s="23" t="s">
        <v>23</v>
      </c>
      <c r="C333" s="28">
        <v>44509.5625</v>
      </c>
      <c r="D333" s="23">
        <v>623.27499999999998</v>
      </c>
      <c r="E333" s="28">
        <v>44509.59375</v>
      </c>
      <c r="F333" s="23">
        <v>624.27499999999998</v>
      </c>
      <c r="G333" s="33">
        <v>1.6000000000000001E-3</v>
      </c>
      <c r="H333" s="23">
        <v>-80.48</v>
      </c>
      <c r="I333" s="33">
        <v>-1.6000000000000001E-3</v>
      </c>
      <c r="J333" s="23">
        <v>80.47972</v>
      </c>
      <c r="K333" s="23">
        <v>50161</v>
      </c>
      <c r="L333" s="23">
        <v>32010.27</v>
      </c>
      <c r="M333" s="23">
        <v>4</v>
      </c>
      <c r="N333" s="23">
        <v>-20.12</v>
      </c>
      <c r="O333" s="33">
        <v>-2.8E-3</v>
      </c>
      <c r="P333" s="33">
        <v>4.8999999999999998E-3</v>
      </c>
      <c r="Q333" s="23" t="s">
        <v>24</v>
      </c>
      <c r="R333" s="23">
        <v>0</v>
      </c>
      <c r="S333" s="23">
        <v>626.38</v>
      </c>
      <c r="U333" s="47">
        <v>44525</v>
      </c>
      <c r="V333" s="23" t="s">
        <v>113</v>
      </c>
      <c r="W333" s="23" t="s">
        <v>23</v>
      </c>
      <c r="X333" s="28">
        <v>44509.5625</v>
      </c>
      <c r="Y333" s="23">
        <v>27.2</v>
      </c>
      <c r="Z333" s="28">
        <v>44509.59375</v>
      </c>
      <c r="AA333" s="23">
        <v>27.375</v>
      </c>
      <c r="AB333" s="33">
        <v>6.4000000000000003E-3</v>
      </c>
      <c r="AC333" s="23">
        <v>-344.67</v>
      </c>
      <c r="AD333" s="33">
        <v>-6.4000000000000003E-3</v>
      </c>
      <c r="AE333" s="23">
        <v>1969.5619999999999</v>
      </c>
      <c r="AF333" s="23">
        <v>53572.1</v>
      </c>
      <c r="AG333" s="23">
        <v>714074.71</v>
      </c>
      <c r="AH333" s="23">
        <v>4</v>
      </c>
      <c r="AI333" s="23">
        <v>-86.17</v>
      </c>
      <c r="AJ333" s="33">
        <v>-2.2100000000000002E-2</v>
      </c>
      <c r="AK333" s="33">
        <v>6.5299999999999997E-2</v>
      </c>
      <c r="AL333" s="23" t="s">
        <v>24</v>
      </c>
      <c r="AM333" s="23">
        <v>623.28</v>
      </c>
      <c r="AN333" s="23">
        <v>39303.300000000003</v>
      </c>
      <c r="AO333" s="23">
        <v>626.38</v>
      </c>
      <c r="AQ333" s="50">
        <f t="shared" si="5"/>
        <v>4.3640097548453341E-2</v>
      </c>
      <c r="AR333" s="50"/>
      <c r="AS333" s="48"/>
      <c r="AT333" s="50"/>
      <c r="AV333" s="47">
        <v>44509</v>
      </c>
      <c r="AW333" s="51">
        <v>6.25E-2</v>
      </c>
      <c r="AX333" t="s">
        <v>163</v>
      </c>
    </row>
    <row r="334" spans="1:50">
      <c r="A334" s="23" t="s">
        <v>22</v>
      </c>
      <c r="B334" s="23" t="s">
        <v>25</v>
      </c>
      <c r="C334" s="28">
        <v>44509.59375</v>
      </c>
      <c r="D334" s="23">
        <v>624.27499999999998</v>
      </c>
      <c r="E334" s="28">
        <v>44509.604166666664</v>
      </c>
      <c r="F334" s="23">
        <v>620.92499999999995</v>
      </c>
      <c r="G334" s="33">
        <v>-5.4000000000000003E-3</v>
      </c>
      <c r="H334" s="23">
        <v>-269.17</v>
      </c>
      <c r="I334" s="33">
        <v>-5.4000000000000003E-3</v>
      </c>
      <c r="J334" s="23">
        <v>80.349559999999997</v>
      </c>
      <c r="K334" s="23">
        <v>50160.22</v>
      </c>
      <c r="L334" s="23">
        <v>31741.1</v>
      </c>
      <c r="M334" s="23">
        <v>2</v>
      </c>
      <c r="N334" s="23">
        <v>-134.59</v>
      </c>
      <c r="O334" s="33">
        <v>-5.4000000000000003E-3</v>
      </c>
      <c r="P334" s="33">
        <v>2.7000000000000001E-3</v>
      </c>
      <c r="Q334" s="23" t="s">
        <v>24</v>
      </c>
      <c r="R334" s="23">
        <v>0</v>
      </c>
      <c r="S334" s="23">
        <v>620.48</v>
      </c>
      <c r="U334" s="47">
        <v>44525</v>
      </c>
      <c r="V334" s="23" t="s">
        <v>106</v>
      </c>
      <c r="W334" s="23" t="s">
        <v>23</v>
      </c>
      <c r="X334" s="28">
        <v>44509.59375</v>
      </c>
      <c r="Y334" s="23">
        <v>3.5</v>
      </c>
      <c r="Z334" s="28">
        <v>44509.604166666664</v>
      </c>
      <c r="AA334" s="23">
        <v>3.9</v>
      </c>
      <c r="AB334" s="33">
        <v>0.1143</v>
      </c>
      <c r="AC334" s="23">
        <v>-6122.86</v>
      </c>
      <c r="AD334" s="33">
        <v>-0.1143</v>
      </c>
      <c r="AE334" s="23">
        <v>15307.16</v>
      </c>
      <c r="AF334" s="23">
        <v>53575.05</v>
      </c>
      <c r="AG334" s="23">
        <v>707951.85</v>
      </c>
      <c r="AH334" s="23">
        <v>2</v>
      </c>
      <c r="AI334" s="23">
        <v>-3061.43</v>
      </c>
      <c r="AJ334" s="33">
        <v>-0.1143</v>
      </c>
      <c r="AK334" s="33">
        <v>0</v>
      </c>
      <c r="AL334" s="23" t="s">
        <v>24</v>
      </c>
      <c r="AM334" s="23">
        <v>624.28</v>
      </c>
      <c r="AN334" s="23">
        <v>39348.400000000001</v>
      </c>
      <c r="AO334" s="23">
        <v>620.48</v>
      </c>
      <c r="AQ334" s="50">
        <f t="shared" si="5"/>
        <v>5.6064586403536875E-3</v>
      </c>
      <c r="AR334" s="50"/>
      <c r="AS334" s="48"/>
      <c r="AT334" s="50"/>
      <c r="AV334" s="47">
        <v>44509</v>
      </c>
      <c r="AW334" s="51">
        <v>9.375E-2</v>
      </c>
      <c r="AX334" t="s">
        <v>163</v>
      </c>
    </row>
    <row r="335" spans="1:50">
      <c r="A335" s="23" t="s">
        <v>22</v>
      </c>
      <c r="B335" s="23" t="s">
        <v>23</v>
      </c>
      <c r="C335" s="28">
        <v>44509.604166666664</v>
      </c>
      <c r="D335" s="23">
        <v>620.92499999999995</v>
      </c>
      <c r="E335" s="28">
        <v>44510.395833333336</v>
      </c>
      <c r="F335" s="23">
        <v>622.75</v>
      </c>
      <c r="G335" s="33">
        <v>2.8999999999999998E-3</v>
      </c>
      <c r="H335" s="23">
        <v>-147.43</v>
      </c>
      <c r="I335" s="33">
        <v>-2.8999999999999998E-3</v>
      </c>
      <c r="J335" s="23">
        <v>80.782790000000006</v>
      </c>
      <c r="K335" s="23">
        <v>50160.05</v>
      </c>
      <c r="L335" s="23">
        <v>31593.67</v>
      </c>
      <c r="M335" s="23">
        <v>9</v>
      </c>
      <c r="N335" s="23">
        <v>-16.38</v>
      </c>
      <c r="O335" s="33">
        <v>-6.3E-3</v>
      </c>
      <c r="P335" s="33">
        <v>1.2500000000000001E-2</v>
      </c>
      <c r="Q335" s="23" t="s">
        <v>24</v>
      </c>
      <c r="R335" s="23">
        <v>0</v>
      </c>
      <c r="S335" s="23">
        <v>625.97</v>
      </c>
      <c r="U335" s="47">
        <v>44525</v>
      </c>
      <c r="V335" s="23" t="s">
        <v>113</v>
      </c>
      <c r="W335" s="23" t="s">
        <v>23</v>
      </c>
      <c r="X335" s="28">
        <v>44509.604166666664</v>
      </c>
      <c r="Y335" s="23">
        <v>25.125</v>
      </c>
      <c r="Z335" s="28">
        <v>44510.395833333336</v>
      </c>
      <c r="AA335" s="23">
        <v>26.85</v>
      </c>
      <c r="AB335" s="33">
        <v>6.8699999999999997E-2</v>
      </c>
      <c r="AC335" s="23">
        <v>-3677.97</v>
      </c>
      <c r="AD335" s="33">
        <v>-6.8699999999999997E-2</v>
      </c>
      <c r="AE335" s="23">
        <v>2132.154</v>
      </c>
      <c r="AF335" s="23">
        <v>53570.37</v>
      </c>
      <c r="AG335" s="23">
        <v>704273.88</v>
      </c>
      <c r="AH335" s="23">
        <v>9</v>
      </c>
      <c r="AI335" s="23">
        <v>-408.66</v>
      </c>
      <c r="AJ335" s="33">
        <v>-8.9599999999999999E-2</v>
      </c>
      <c r="AK335" s="33">
        <v>0.16420000000000001</v>
      </c>
      <c r="AL335" s="23" t="s">
        <v>24</v>
      </c>
      <c r="AM335" s="23">
        <v>620.91999999999996</v>
      </c>
      <c r="AN335" s="23">
        <v>39294.5</v>
      </c>
      <c r="AO335" s="23">
        <v>625.97</v>
      </c>
      <c r="AQ335" s="50">
        <f t="shared" si="5"/>
        <v>4.0464149971010763E-2</v>
      </c>
      <c r="AR335" s="50"/>
      <c r="AS335" s="48"/>
      <c r="AT335" s="50"/>
      <c r="AV335" s="47">
        <v>44509</v>
      </c>
      <c r="AW335" s="51">
        <v>0.10416666666666667</v>
      </c>
      <c r="AX335" t="s">
        <v>163</v>
      </c>
    </row>
    <row r="336" spans="1:50">
      <c r="A336" s="23" t="s">
        <v>22</v>
      </c>
      <c r="B336" s="23" t="s">
        <v>25</v>
      </c>
      <c r="C336" s="28">
        <v>44510.395833333336</v>
      </c>
      <c r="D336" s="23">
        <v>622.75</v>
      </c>
      <c r="E336" s="28">
        <v>44510.427083333336</v>
      </c>
      <c r="F336" s="23">
        <v>614.85</v>
      </c>
      <c r="G336" s="33">
        <v>-1.2699999999999999E-2</v>
      </c>
      <c r="H336" s="23">
        <v>-636.29999999999995</v>
      </c>
      <c r="I336" s="33">
        <v>-1.2699999999999999E-2</v>
      </c>
      <c r="J336" s="23">
        <v>80.544730000000001</v>
      </c>
      <c r="K336" s="23">
        <v>50159.23</v>
      </c>
      <c r="L336" s="23">
        <v>30957.37</v>
      </c>
      <c r="M336" s="23">
        <v>4</v>
      </c>
      <c r="N336" s="23">
        <v>-159.08000000000001</v>
      </c>
      <c r="O336" s="33">
        <v>-1.2699999999999999E-2</v>
      </c>
      <c r="P336" s="33">
        <v>3.3999999999999998E-3</v>
      </c>
      <c r="Q336" s="23" t="s">
        <v>24</v>
      </c>
      <c r="R336" s="23">
        <v>0</v>
      </c>
      <c r="S336" s="23">
        <v>613.41</v>
      </c>
      <c r="U336" s="47">
        <v>44525</v>
      </c>
      <c r="V336" s="23" t="s">
        <v>106</v>
      </c>
      <c r="W336" s="23" t="s">
        <v>23</v>
      </c>
      <c r="X336" s="28">
        <v>44510.395833333336</v>
      </c>
      <c r="Y336" s="23">
        <v>3.95</v>
      </c>
      <c r="Z336" s="28">
        <v>44510.427083333336</v>
      </c>
      <c r="AA336" s="23">
        <v>4.05</v>
      </c>
      <c r="AB336" s="33">
        <v>2.53E-2</v>
      </c>
      <c r="AC336" s="23">
        <v>-1355.5</v>
      </c>
      <c r="AD336" s="33">
        <v>-2.53E-2</v>
      </c>
      <c r="AE336" s="23">
        <v>13555.04</v>
      </c>
      <c r="AF336" s="23">
        <v>53542.43</v>
      </c>
      <c r="AG336" s="23">
        <v>702918.38</v>
      </c>
      <c r="AH336" s="23">
        <v>4</v>
      </c>
      <c r="AI336" s="23">
        <v>-338.88</v>
      </c>
      <c r="AJ336" s="33">
        <v>-2.53E-2</v>
      </c>
      <c r="AK336" s="33">
        <v>0.1709</v>
      </c>
      <c r="AL336" s="23" t="s">
        <v>24</v>
      </c>
      <c r="AM336" s="23">
        <v>622.75</v>
      </c>
      <c r="AN336" s="23">
        <v>38942.65</v>
      </c>
      <c r="AO336" s="23">
        <v>613.41</v>
      </c>
      <c r="AQ336" s="50">
        <f t="shared" si="5"/>
        <v>6.3428342031312725E-3</v>
      </c>
      <c r="AR336" s="50"/>
      <c r="AS336" s="48"/>
      <c r="AT336" s="50"/>
      <c r="AV336" s="47">
        <v>44510</v>
      </c>
      <c r="AW336" s="51">
        <v>0.39583333333333331</v>
      </c>
      <c r="AX336" t="s">
        <v>162</v>
      </c>
    </row>
    <row r="337" spans="1:50">
      <c r="A337" s="23" t="s">
        <v>22</v>
      </c>
      <c r="B337" s="23" t="s">
        <v>23</v>
      </c>
      <c r="C337" s="28">
        <v>44510.427083333336</v>
      </c>
      <c r="D337" s="23">
        <v>614.85</v>
      </c>
      <c r="E337" s="28">
        <v>44511.489583333336</v>
      </c>
      <c r="F337" s="23">
        <v>606.75</v>
      </c>
      <c r="G337" s="33">
        <v>-1.32E-2</v>
      </c>
      <c r="H337" s="23">
        <v>660.74</v>
      </c>
      <c r="I337" s="33">
        <v>1.32E-2</v>
      </c>
      <c r="J337" s="23">
        <v>81.573279999999997</v>
      </c>
      <c r="K337" s="23">
        <v>50155.33</v>
      </c>
      <c r="L337" s="23">
        <v>31618.11</v>
      </c>
      <c r="M337" s="23">
        <v>35</v>
      </c>
      <c r="N337" s="23">
        <v>18.88</v>
      </c>
      <c r="O337" s="33">
        <v>-2.2000000000000001E-3</v>
      </c>
      <c r="P337" s="33">
        <v>2.8199999999999999E-2</v>
      </c>
      <c r="Q337" s="23" t="s">
        <v>24</v>
      </c>
      <c r="R337" s="23">
        <v>0</v>
      </c>
      <c r="S337" s="23">
        <v>624.65</v>
      </c>
      <c r="U337" s="47">
        <v>44525</v>
      </c>
      <c r="V337" s="23" t="s">
        <v>113</v>
      </c>
      <c r="W337" s="23" t="s">
        <v>23</v>
      </c>
      <c r="X337" s="28">
        <v>44510.427083333336</v>
      </c>
      <c r="Y337" s="23">
        <v>23.25</v>
      </c>
      <c r="Z337" s="28">
        <v>44511.489583333336</v>
      </c>
      <c r="AA337" s="23">
        <v>17</v>
      </c>
      <c r="AB337" s="33">
        <v>-0.26879999999999998</v>
      </c>
      <c r="AC337" s="23">
        <v>14387.46</v>
      </c>
      <c r="AD337" s="33">
        <v>0.26879999999999998</v>
      </c>
      <c r="AE337" s="23">
        <v>2301.9940000000001</v>
      </c>
      <c r="AF337" s="23">
        <v>53521.37</v>
      </c>
      <c r="AG337" s="23">
        <v>717305.84</v>
      </c>
      <c r="AH337" s="23">
        <v>35</v>
      </c>
      <c r="AI337" s="23">
        <v>411.07</v>
      </c>
      <c r="AJ337" s="33">
        <v>-1.0800000000000001E-2</v>
      </c>
      <c r="AK337" s="33">
        <v>0.39779999999999999</v>
      </c>
      <c r="AL337" s="23" t="s">
        <v>24</v>
      </c>
      <c r="AM337" s="23">
        <v>614.85</v>
      </c>
      <c r="AN337" s="23">
        <v>39049.199999999997</v>
      </c>
      <c r="AO337" s="23">
        <v>624.65</v>
      </c>
      <c r="AQ337" s="50">
        <f t="shared" si="5"/>
        <v>3.781410100024396E-2</v>
      </c>
      <c r="AR337" s="50"/>
      <c r="AS337" s="48"/>
      <c r="AT337" s="50"/>
      <c r="AV337" s="47">
        <v>44510</v>
      </c>
      <c r="AW337" s="51">
        <v>0.42708333333333331</v>
      </c>
      <c r="AX337" t="s">
        <v>162</v>
      </c>
    </row>
    <row r="338" spans="1:50">
      <c r="A338" s="23" t="s">
        <v>22</v>
      </c>
      <c r="B338" s="23" t="s">
        <v>25</v>
      </c>
      <c r="C338" s="28">
        <v>44511.489583333336</v>
      </c>
      <c r="D338" s="23">
        <v>606.75</v>
      </c>
      <c r="E338" s="28">
        <v>44511.572916666664</v>
      </c>
      <c r="F338" s="23">
        <v>601.875</v>
      </c>
      <c r="G338" s="33">
        <v>-8.0000000000000002E-3</v>
      </c>
      <c r="H338" s="23">
        <v>-403.01</v>
      </c>
      <c r="I338" s="33">
        <v>-8.0000000000000002E-3</v>
      </c>
      <c r="J338" s="23">
        <v>82.668999999999997</v>
      </c>
      <c r="K338" s="23">
        <v>50159.41</v>
      </c>
      <c r="L338" s="23">
        <v>31215.1</v>
      </c>
      <c r="M338" s="23">
        <v>9</v>
      </c>
      <c r="N338" s="23">
        <v>-44.78</v>
      </c>
      <c r="O338" s="33">
        <v>-8.0000000000000002E-3</v>
      </c>
      <c r="P338" s="33">
        <v>1.6000000000000001E-3</v>
      </c>
      <c r="Q338" s="23" t="s">
        <v>24</v>
      </c>
      <c r="R338" s="23">
        <v>0</v>
      </c>
      <c r="S338" s="23">
        <v>597.5</v>
      </c>
      <c r="U338" s="47">
        <v>44525</v>
      </c>
      <c r="V338" s="23" t="s">
        <v>116</v>
      </c>
      <c r="W338" s="23" t="s">
        <v>23</v>
      </c>
      <c r="X338" s="28">
        <v>44511.489583333336</v>
      </c>
      <c r="Y338" s="23">
        <v>14.2</v>
      </c>
      <c r="Z338" s="28">
        <v>44511.572916666664</v>
      </c>
      <c r="AA338" s="23">
        <v>14.425000000000001</v>
      </c>
      <c r="AB338" s="33">
        <v>1.5800000000000002E-2</v>
      </c>
      <c r="AC338" s="23">
        <v>-849.29</v>
      </c>
      <c r="AD338" s="33">
        <v>-1.5800000000000002E-2</v>
      </c>
      <c r="AE338" s="23">
        <v>3774.6309999999999</v>
      </c>
      <c r="AF338" s="23">
        <v>53599.77</v>
      </c>
      <c r="AG338" s="23">
        <v>716456.55</v>
      </c>
      <c r="AH338" s="23">
        <v>9</v>
      </c>
      <c r="AI338" s="23">
        <v>-94.37</v>
      </c>
      <c r="AJ338" s="33">
        <v>-0.1479</v>
      </c>
      <c r="AK338" s="33">
        <v>0</v>
      </c>
      <c r="AL338" s="23" t="s">
        <v>24</v>
      </c>
      <c r="AM338" s="23">
        <v>606.75</v>
      </c>
      <c r="AN338" s="23">
        <v>38738.800000000003</v>
      </c>
      <c r="AO338" s="23">
        <v>597.5</v>
      </c>
      <c r="AQ338" s="50">
        <f t="shared" si="5"/>
        <v>2.3403378656777912E-2</v>
      </c>
      <c r="AR338" s="50"/>
      <c r="AS338" s="48"/>
      <c r="AT338" s="50"/>
      <c r="AV338" s="47">
        <v>44511</v>
      </c>
      <c r="AW338" s="51">
        <v>0.48958333333333331</v>
      </c>
      <c r="AX338" t="s">
        <v>162</v>
      </c>
    </row>
    <row r="339" spans="1:50">
      <c r="A339" s="23" t="s">
        <v>22</v>
      </c>
      <c r="B339" s="23" t="s">
        <v>23</v>
      </c>
      <c r="C339" s="28">
        <v>44511.572916666664</v>
      </c>
      <c r="D339" s="23">
        <v>601.875</v>
      </c>
      <c r="E339" s="28">
        <v>44512.385416666664</v>
      </c>
      <c r="F339" s="23">
        <v>604.97500000000002</v>
      </c>
      <c r="G339" s="33">
        <v>5.1999999999999998E-3</v>
      </c>
      <c r="H339" s="23">
        <v>-258.33999999999997</v>
      </c>
      <c r="I339" s="33">
        <v>-5.1999999999999998E-3</v>
      </c>
      <c r="J339" s="23">
        <v>83.335149999999999</v>
      </c>
      <c r="K339" s="23">
        <v>50157.34</v>
      </c>
      <c r="L339" s="23">
        <v>30956.76</v>
      </c>
      <c r="M339" s="23">
        <v>11</v>
      </c>
      <c r="N339" s="23">
        <v>-23.49</v>
      </c>
      <c r="O339" s="33">
        <v>-5.1999999999999998E-3</v>
      </c>
      <c r="P339" s="33">
        <v>5.5999999999999999E-3</v>
      </c>
      <c r="Q339" s="23" t="s">
        <v>24</v>
      </c>
      <c r="R339" s="23">
        <v>0</v>
      </c>
      <c r="S339" s="23">
        <v>607.72</v>
      </c>
      <c r="U339" s="47">
        <v>44525</v>
      </c>
      <c r="V339" s="23" t="s">
        <v>107</v>
      </c>
      <c r="W339" s="23" t="s">
        <v>23</v>
      </c>
      <c r="X339" s="28">
        <v>44511.572916666664</v>
      </c>
      <c r="Y339" s="23">
        <v>22.75</v>
      </c>
      <c r="Z339" s="28">
        <v>44512.385416666664</v>
      </c>
      <c r="AA339" s="23">
        <v>22.45</v>
      </c>
      <c r="AB339" s="33">
        <v>-1.32E-2</v>
      </c>
      <c r="AC339" s="23">
        <v>706.58</v>
      </c>
      <c r="AD339" s="33">
        <v>1.32E-2</v>
      </c>
      <c r="AE339" s="23">
        <v>2355.2649999999999</v>
      </c>
      <c r="AF339" s="23">
        <v>53582.28</v>
      </c>
      <c r="AG339" s="23">
        <v>717163.13</v>
      </c>
      <c r="AH339" s="23">
        <v>11</v>
      </c>
      <c r="AI339" s="23">
        <v>64.23</v>
      </c>
      <c r="AJ339" s="33">
        <v>-8.2400000000000001E-2</v>
      </c>
      <c r="AK339" s="33">
        <v>7.9100000000000004E-2</v>
      </c>
      <c r="AL339" s="23" t="s">
        <v>24</v>
      </c>
      <c r="AM339" s="23">
        <v>601.88</v>
      </c>
      <c r="AN339" s="23">
        <v>38489.599999999999</v>
      </c>
      <c r="AO339" s="23">
        <v>607.72</v>
      </c>
      <c r="AQ339" s="50">
        <f t="shared" si="5"/>
        <v>3.7798232205755303E-2</v>
      </c>
      <c r="AR339" s="50"/>
      <c r="AS339" s="48"/>
      <c r="AT339" s="50"/>
      <c r="AV339" s="47">
        <v>44511</v>
      </c>
      <c r="AW339" s="51">
        <v>7.2916666666666671E-2</v>
      </c>
      <c r="AX339" t="s">
        <v>163</v>
      </c>
    </row>
    <row r="340" spans="1:50">
      <c r="A340" s="23" t="s">
        <v>22</v>
      </c>
      <c r="B340" s="23" t="s">
        <v>25</v>
      </c>
      <c r="C340" s="28">
        <v>44512.385416666664</v>
      </c>
      <c r="D340" s="23">
        <v>604.97500000000002</v>
      </c>
      <c r="E340" s="28">
        <v>44512.4375</v>
      </c>
      <c r="F340" s="23">
        <v>602.47500000000002</v>
      </c>
      <c r="G340" s="33">
        <v>-4.1000000000000003E-3</v>
      </c>
      <c r="H340" s="23">
        <v>-207.26</v>
      </c>
      <c r="I340" s="33">
        <v>-4.1000000000000003E-3</v>
      </c>
      <c r="J340" s="23">
        <v>82.904979999999995</v>
      </c>
      <c r="K340" s="23">
        <v>50155.44</v>
      </c>
      <c r="L340" s="23">
        <v>30749.5</v>
      </c>
      <c r="M340" s="23">
        <v>6</v>
      </c>
      <c r="N340" s="23">
        <v>-34.54</v>
      </c>
      <c r="O340" s="33">
        <v>-5.5999999999999999E-3</v>
      </c>
      <c r="P340" s="33">
        <v>6.6E-3</v>
      </c>
      <c r="Q340" s="23" t="s">
        <v>24</v>
      </c>
      <c r="R340" s="23">
        <v>0</v>
      </c>
      <c r="S340" s="23">
        <v>598.91</v>
      </c>
      <c r="U340" s="47">
        <v>44525</v>
      </c>
      <c r="V340" s="23" t="s">
        <v>109</v>
      </c>
      <c r="W340" s="23" t="s">
        <v>23</v>
      </c>
      <c r="X340" s="28">
        <v>44512.385416666664</v>
      </c>
      <c r="Y340" s="23">
        <v>19.95</v>
      </c>
      <c r="Z340" s="28">
        <v>44512.4375</v>
      </c>
      <c r="AA340" s="23">
        <v>19</v>
      </c>
      <c r="AB340" s="33">
        <v>-4.7600000000000003E-2</v>
      </c>
      <c r="AC340" s="23">
        <v>2552.52</v>
      </c>
      <c r="AD340" s="33">
        <v>4.7600000000000003E-2</v>
      </c>
      <c r="AE340" s="23">
        <v>2686.8620000000001</v>
      </c>
      <c r="AF340" s="23">
        <v>53602.89</v>
      </c>
      <c r="AG340" s="23">
        <v>719715.65</v>
      </c>
      <c r="AH340" s="23">
        <v>6</v>
      </c>
      <c r="AI340" s="23">
        <v>425.42</v>
      </c>
      <c r="AJ340" s="33">
        <v>-1.2999999999999999E-3</v>
      </c>
      <c r="AK340" s="33">
        <v>9.7699999999999995E-2</v>
      </c>
      <c r="AL340" s="23" t="s">
        <v>24</v>
      </c>
      <c r="AM340" s="23">
        <v>604.97</v>
      </c>
      <c r="AN340" s="23">
        <v>38711.5</v>
      </c>
      <c r="AO340" s="23">
        <v>598.91</v>
      </c>
      <c r="AQ340" s="50">
        <f t="shared" si="5"/>
        <v>3.2976841826867442E-2</v>
      </c>
      <c r="AR340" s="50"/>
      <c r="AS340" s="48"/>
      <c r="AT340" s="50"/>
      <c r="AV340" s="47">
        <v>44512</v>
      </c>
      <c r="AW340" s="51">
        <v>0.38541666666666669</v>
      </c>
      <c r="AX340" t="s">
        <v>162</v>
      </c>
    </row>
    <row r="341" spans="1:50">
      <c r="A341" s="23" t="s">
        <v>22</v>
      </c>
      <c r="B341" s="23" t="s">
        <v>23</v>
      </c>
      <c r="C341" s="28">
        <v>44512.4375</v>
      </c>
      <c r="D341" s="23">
        <v>602.47500000000002</v>
      </c>
      <c r="E341" s="28">
        <v>44512.489583333336</v>
      </c>
      <c r="F341" s="23">
        <v>606.70000000000005</v>
      </c>
      <c r="G341" s="33">
        <v>7.0000000000000001E-3</v>
      </c>
      <c r="H341" s="23">
        <v>-351.72</v>
      </c>
      <c r="I341" s="33">
        <v>-7.0000000000000001E-3</v>
      </c>
      <c r="J341" s="23">
        <v>83.246350000000007</v>
      </c>
      <c r="K341" s="23">
        <v>50153.84</v>
      </c>
      <c r="L341" s="23">
        <v>30397.78</v>
      </c>
      <c r="M341" s="23">
        <v>6</v>
      </c>
      <c r="N341" s="23">
        <v>-58.62</v>
      </c>
      <c r="O341" s="33">
        <v>-7.4999999999999997E-3</v>
      </c>
      <c r="P341" s="33">
        <v>3.2000000000000002E-3</v>
      </c>
      <c r="Q341" s="23" t="s">
        <v>24</v>
      </c>
      <c r="R341" s="23">
        <v>0</v>
      </c>
      <c r="S341" s="23">
        <v>608.95000000000005</v>
      </c>
      <c r="U341" s="47">
        <v>44525</v>
      </c>
      <c r="V341" s="23" t="s">
        <v>107</v>
      </c>
      <c r="W341" s="23" t="s">
        <v>23</v>
      </c>
      <c r="X341" s="28">
        <v>44512.4375</v>
      </c>
      <c r="Y341" s="23">
        <v>21.375</v>
      </c>
      <c r="Z341" s="28">
        <v>44512.489583333336</v>
      </c>
      <c r="AA341" s="23">
        <v>23</v>
      </c>
      <c r="AB341" s="33">
        <v>7.5999999999999998E-2</v>
      </c>
      <c r="AC341" s="23">
        <v>-4074.75</v>
      </c>
      <c r="AD341" s="33">
        <v>-7.5999999999999998E-2</v>
      </c>
      <c r="AE341" s="23">
        <v>2507.5360000000001</v>
      </c>
      <c r="AF341" s="23">
        <v>53598.58</v>
      </c>
      <c r="AG341" s="23">
        <v>715640.9</v>
      </c>
      <c r="AH341" s="23">
        <v>6</v>
      </c>
      <c r="AI341" s="23">
        <v>-679.12</v>
      </c>
      <c r="AJ341" s="33">
        <v>-7.5999999999999998E-2</v>
      </c>
      <c r="AK341" s="33">
        <v>3.9800000000000002E-2</v>
      </c>
      <c r="AL341" s="23" t="s">
        <v>24</v>
      </c>
      <c r="AM341" s="23">
        <v>602.47</v>
      </c>
      <c r="AN341" s="23">
        <v>38536.85</v>
      </c>
      <c r="AO341" s="23">
        <v>608.95000000000005</v>
      </c>
      <c r="AQ341" s="50">
        <f t="shared" si="5"/>
        <v>3.5478945009710022E-2</v>
      </c>
      <c r="AR341" s="50"/>
      <c r="AS341" s="48"/>
      <c r="AT341" s="50"/>
      <c r="AV341" s="47">
        <v>44512</v>
      </c>
      <c r="AW341" s="51">
        <v>0.4375</v>
      </c>
      <c r="AX341" t="s">
        <v>162</v>
      </c>
    </row>
    <row r="342" spans="1:50">
      <c r="A342" s="23" t="s">
        <v>22</v>
      </c>
      <c r="B342" s="23" t="s">
        <v>25</v>
      </c>
      <c r="C342" s="28">
        <v>44512.489583333336</v>
      </c>
      <c r="D342" s="23">
        <v>606.70000000000005</v>
      </c>
      <c r="E342" s="28">
        <v>44515.489583333336</v>
      </c>
      <c r="F342" s="23">
        <v>606.20000000000005</v>
      </c>
      <c r="G342" s="33">
        <v>-8.0000000000000004E-4</v>
      </c>
      <c r="H342" s="23">
        <v>-41.33</v>
      </c>
      <c r="I342" s="33">
        <v>-8.0000000000000004E-4</v>
      </c>
      <c r="J342" s="23">
        <v>82.663740000000004</v>
      </c>
      <c r="K342" s="23">
        <v>50152.09</v>
      </c>
      <c r="L342" s="23">
        <v>30356.45</v>
      </c>
      <c r="M342" s="23">
        <v>29</v>
      </c>
      <c r="N342" s="23">
        <v>-1.43</v>
      </c>
      <c r="O342" s="33">
        <v>-4.0000000000000001E-3</v>
      </c>
      <c r="P342" s="33">
        <v>1.29E-2</v>
      </c>
      <c r="Q342" s="23" t="s">
        <v>24</v>
      </c>
      <c r="R342" s="23">
        <v>0</v>
      </c>
      <c r="S342" s="23">
        <v>600.66</v>
      </c>
      <c r="U342" s="47">
        <v>44525</v>
      </c>
      <c r="V342" s="23" t="s">
        <v>106</v>
      </c>
      <c r="W342" s="23" t="s">
        <v>23</v>
      </c>
      <c r="X342" s="28">
        <v>44512.489583333336</v>
      </c>
      <c r="Y342" s="23">
        <v>3.15</v>
      </c>
      <c r="Z342" s="28">
        <v>44515.489583333336</v>
      </c>
      <c r="AA342" s="23">
        <v>2.4750000000000001</v>
      </c>
      <c r="AB342" s="33">
        <v>-0.21429999999999999</v>
      </c>
      <c r="AC342" s="23">
        <v>11481.11</v>
      </c>
      <c r="AD342" s="33">
        <v>0.21429999999999999</v>
      </c>
      <c r="AE342" s="23">
        <v>17009.05</v>
      </c>
      <c r="AF342" s="23">
        <v>53578.52</v>
      </c>
      <c r="AG342" s="23">
        <v>727122.01</v>
      </c>
      <c r="AH342" s="23">
        <v>29</v>
      </c>
      <c r="AI342" s="23">
        <v>395.9</v>
      </c>
      <c r="AJ342" s="33">
        <v>-0.39679999999999999</v>
      </c>
      <c r="AK342" s="33">
        <v>0.28570000000000001</v>
      </c>
      <c r="AL342" s="23" t="s">
        <v>24</v>
      </c>
      <c r="AM342" s="23">
        <v>606.70000000000005</v>
      </c>
      <c r="AN342" s="23">
        <v>38593.449999999997</v>
      </c>
      <c r="AO342" s="23">
        <v>600.66</v>
      </c>
      <c r="AQ342" s="50">
        <f t="shared" si="5"/>
        <v>5.1920224163507491E-3</v>
      </c>
      <c r="AR342" s="50"/>
      <c r="AS342" s="48"/>
      <c r="AT342" s="50"/>
      <c r="AV342" s="47">
        <v>44512</v>
      </c>
      <c r="AW342" s="51">
        <v>0.48958333333333331</v>
      </c>
      <c r="AX342" t="s">
        <v>162</v>
      </c>
    </row>
    <row r="343" spans="1:50">
      <c r="A343" s="23" t="s">
        <v>22</v>
      </c>
      <c r="B343" s="23" t="s">
        <v>23</v>
      </c>
      <c r="C343" s="28">
        <v>44515.489583333336</v>
      </c>
      <c r="D343" s="23">
        <v>606.20000000000005</v>
      </c>
      <c r="E343" s="28">
        <v>44516.385416666664</v>
      </c>
      <c r="F343" s="23">
        <v>606.32500000000005</v>
      </c>
      <c r="G343" s="33">
        <v>2.0000000000000001E-4</v>
      </c>
      <c r="H343" s="23">
        <v>-10.34</v>
      </c>
      <c r="I343" s="33">
        <v>-2.0000000000000001E-4</v>
      </c>
      <c r="J343" s="23">
        <v>82.733459999999994</v>
      </c>
      <c r="K343" s="23">
        <v>50153.02</v>
      </c>
      <c r="L343" s="23">
        <v>30346.11</v>
      </c>
      <c r="M343" s="23">
        <v>19</v>
      </c>
      <c r="N343" s="23">
        <v>-0.54</v>
      </c>
      <c r="O343" s="33">
        <v>-7.1000000000000004E-3</v>
      </c>
      <c r="P343" s="33">
        <v>6.7999999999999996E-3</v>
      </c>
      <c r="Q343" s="23" t="s">
        <v>24</v>
      </c>
      <c r="R343" s="23">
        <v>0</v>
      </c>
      <c r="S343" s="23">
        <v>614.28</v>
      </c>
      <c r="U343" s="47">
        <v>44525</v>
      </c>
      <c r="V343" s="23" t="s">
        <v>114</v>
      </c>
      <c r="W343" s="23" t="s">
        <v>23</v>
      </c>
      <c r="X343" s="28">
        <v>44515.489583333336</v>
      </c>
      <c r="Y343" s="23">
        <v>16.125</v>
      </c>
      <c r="Z343" s="28">
        <v>44516.385416666664</v>
      </c>
      <c r="AA343" s="23">
        <v>14.5</v>
      </c>
      <c r="AB343" s="33">
        <v>-0.1008</v>
      </c>
      <c r="AC343" s="23">
        <v>5407.07</v>
      </c>
      <c r="AD343" s="33">
        <v>0.1008</v>
      </c>
      <c r="AE343" s="23">
        <v>3327.4259999999999</v>
      </c>
      <c r="AF343" s="23">
        <v>53654.75</v>
      </c>
      <c r="AG343" s="23">
        <v>732529.08</v>
      </c>
      <c r="AH343" s="23">
        <v>19</v>
      </c>
      <c r="AI343" s="23">
        <v>284.58</v>
      </c>
      <c r="AJ343" s="33">
        <v>-0.1225</v>
      </c>
      <c r="AK343" s="33">
        <v>0.1008</v>
      </c>
      <c r="AL343" s="23" t="s">
        <v>24</v>
      </c>
      <c r="AM343" s="23">
        <v>606.20000000000005</v>
      </c>
      <c r="AN343" s="23">
        <v>38721.9</v>
      </c>
      <c r="AO343" s="23">
        <v>614.28</v>
      </c>
      <c r="AQ343" s="50">
        <f t="shared" si="5"/>
        <v>2.660013196964698E-2</v>
      </c>
      <c r="AR343" s="50"/>
      <c r="AS343" s="48"/>
      <c r="AT343" s="50"/>
      <c r="AV343" s="47">
        <v>44515</v>
      </c>
      <c r="AW343" s="51">
        <v>0.48958333333333331</v>
      </c>
      <c r="AX343" t="s">
        <v>162</v>
      </c>
    </row>
    <row r="344" spans="1:50">
      <c r="A344" s="23" t="s">
        <v>22</v>
      </c>
      <c r="B344" s="23" t="s">
        <v>25</v>
      </c>
      <c r="C344" s="28">
        <v>44516.385416666664</v>
      </c>
      <c r="D344" s="23">
        <v>606.32500000000005</v>
      </c>
      <c r="E344" s="28">
        <v>44517.395833333336</v>
      </c>
      <c r="F344" s="23">
        <v>618.29999999999995</v>
      </c>
      <c r="G344" s="33">
        <v>1.9800000000000002E-2</v>
      </c>
      <c r="H344" s="23">
        <v>990.51</v>
      </c>
      <c r="I344" s="33">
        <v>1.9800000000000002E-2</v>
      </c>
      <c r="J344" s="23">
        <v>82.714489999999998</v>
      </c>
      <c r="K344" s="23">
        <v>50151.87</v>
      </c>
      <c r="L344" s="23">
        <v>31336.62</v>
      </c>
      <c r="M344" s="23">
        <v>30</v>
      </c>
      <c r="N344" s="23">
        <v>33.020000000000003</v>
      </c>
      <c r="O344" s="33">
        <v>-4.1999999999999997E-3</v>
      </c>
      <c r="P344" s="33">
        <v>3.3300000000000003E-2</v>
      </c>
      <c r="Q344" s="23" t="s">
        <v>24</v>
      </c>
      <c r="R344" s="23">
        <v>0</v>
      </c>
      <c r="S344" s="23">
        <v>602.37</v>
      </c>
      <c r="U344" s="47">
        <v>44525</v>
      </c>
      <c r="V344" s="23" t="s">
        <v>109</v>
      </c>
      <c r="W344" s="23" t="s">
        <v>23</v>
      </c>
      <c r="X344" s="28">
        <v>44516.385416666664</v>
      </c>
      <c r="Y344" s="23">
        <v>12.85</v>
      </c>
      <c r="Z344" s="28">
        <v>44517.395833333336</v>
      </c>
      <c r="AA344" s="23">
        <v>7.4</v>
      </c>
      <c r="AB344" s="33">
        <v>-0.42409999999999998</v>
      </c>
      <c r="AC344" s="23">
        <v>22743.24</v>
      </c>
      <c r="AD344" s="33">
        <v>0.42409999999999998</v>
      </c>
      <c r="AE344" s="23">
        <v>4173.0709999999999</v>
      </c>
      <c r="AF344" s="23">
        <v>53623.96</v>
      </c>
      <c r="AG344" s="23">
        <v>755272.31</v>
      </c>
      <c r="AH344" s="23">
        <v>30</v>
      </c>
      <c r="AI344" s="23">
        <v>758.11</v>
      </c>
      <c r="AJ344" s="33">
        <v>-8.9499999999999996E-2</v>
      </c>
      <c r="AK344" s="33">
        <v>0.54859999999999998</v>
      </c>
      <c r="AL344" s="23" t="s">
        <v>24</v>
      </c>
      <c r="AM344" s="23">
        <v>606.33000000000004</v>
      </c>
      <c r="AN344" s="23">
        <v>38570.949999999997</v>
      </c>
      <c r="AO344" s="23">
        <v>602.37</v>
      </c>
      <c r="AQ344" s="50">
        <f t="shared" si="5"/>
        <v>2.1193079676083977E-2</v>
      </c>
      <c r="AR344" s="50"/>
      <c r="AS344" s="48"/>
      <c r="AT344" s="50"/>
      <c r="AV344" s="47">
        <v>44516</v>
      </c>
      <c r="AW344" s="51">
        <v>0.38541666666666669</v>
      </c>
      <c r="AX344" t="s">
        <v>162</v>
      </c>
    </row>
    <row r="345" spans="1:50">
      <c r="A345" s="23" t="s">
        <v>22</v>
      </c>
      <c r="B345" s="23" t="s">
        <v>23</v>
      </c>
      <c r="C345" s="28">
        <v>44517.395833333336</v>
      </c>
      <c r="D345" s="23">
        <v>618.29999999999995</v>
      </c>
      <c r="E345" s="28">
        <v>44517.4375</v>
      </c>
      <c r="F345" s="23">
        <v>623.02499999999998</v>
      </c>
      <c r="G345" s="33">
        <v>7.6E-3</v>
      </c>
      <c r="H345" s="23">
        <v>-383.32</v>
      </c>
      <c r="I345" s="33">
        <v>-7.6E-3</v>
      </c>
      <c r="J345" s="23">
        <v>81.125789999999995</v>
      </c>
      <c r="K345" s="23">
        <v>50160.07</v>
      </c>
      <c r="L345" s="23">
        <v>30953.3</v>
      </c>
      <c r="M345" s="23">
        <v>5</v>
      </c>
      <c r="N345" s="23">
        <v>-76.66</v>
      </c>
      <c r="O345" s="33">
        <v>-1.4800000000000001E-2</v>
      </c>
      <c r="P345" s="33">
        <v>5.1999999999999998E-3</v>
      </c>
      <c r="Q345" s="23" t="s">
        <v>24</v>
      </c>
      <c r="R345" s="23">
        <v>0</v>
      </c>
      <c r="S345" s="23">
        <v>627.41999999999996</v>
      </c>
      <c r="U345" s="47">
        <v>44525</v>
      </c>
      <c r="V345" s="23" t="s">
        <v>113</v>
      </c>
      <c r="W345" s="23" t="s">
        <v>23</v>
      </c>
      <c r="X345" s="28">
        <v>44517.395833333336</v>
      </c>
      <c r="Y345" s="23">
        <v>14.75</v>
      </c>
      <c r="Z345" s="28">
        <v>44517.4375</v>
      </c>
      <c r="AA345" s="23">
        <v>16.399999999999999</v>
      </c>
      <c r="AB345" s="33">
        <v>0.1119</v>
      </c>
      <c r="AC345" s="23">
        <v>-6017.7</v>
      </c>
      <c r="AD345" s="33">
        <v>-0.1119</v>
      </c>
      <c r="AE345" s="23">
        <v>3647.0929999999998</v>
      </c>
      <c r="AF345" s="23">
        <v>53794.62</v>
      </c>
      <c r="AG345" s="23">
        <v>749254.61</v>
      </c>
      <c r="AH345" s="23">
        <v>5</v>
      </c>
      <c r="AI345" s="23">
        <v>-1203.54</v>
      </c>
      <c r="AJ345" s="33">
        <v>-0.47120000000000001</v>
      </c>
      <c r="AK345" s="33">
        <v>0.1186</v>
      </c>
      <c r="AL345" s="23" t="s">
        <v>24</v>
      </c>
      <c r="AM345" s="23">
        <v>618.29999999999995</v>
      </c>
      <c r="AN345" s="23">
        <v>38217.800000000003</v>
      </c>
      <c r="AO345" s="23">
        <v>627.41999999999996</v>
      </c>
      <c r="AQ345" s="50">
        <f t="shared" si="5"/>
        <v>2.3855733462720363E-2</v>
      </c>
      <c r="AR345" s="50"/>
      <c r="AS345" s="48"/>
      <c r="AT345" s="50"/>
      <c r="AV345" s="47">
        <v>44517</v>
      </c>
      <c r="AW345" s="51">
        <v>0.39583333333333331</v>
      </c>
      <c r="AX345" t="s">
        <v>162</v>
      </c>
    </row>
    <row r="346" spans="1:50">
      <c r="A346" s="23" t="s">
        <v>22</v>
      </c>
      <c r="B346" s="23" t="s">
        <v>25</v>
      </c>
      <c r="C346" s="28">
        <v>44517.4375</v>
      </c>
      <c r="D346" s="23">
        <v>623.02499999999998</v>
      </c>
      <c r="E346" s="28">
        <v>44517.572916666664</v>
      </c>
      <c r="F346" s="23">
        <v>620.29999999999995</v>
      </c>
      <c r="G346" s="33">
        <v>-4.4000000000000003E-3</v>
      </c>
      <c r="H346" s="23">
        <v>-219.36</v>
      </c>
      <c r="I346" s="33">
        <v>-4.4000000000000003E-3</v>
      </c>
      <c r="J346" s="23">
        <v>80.500789999999995</v>
      </c>
      <c r="K346" s="23">
        <v>50154</v>
      </c>
      <c r="L346" s="23">
        <v>30733.93</v>
      </c>
      <c r="M346" s="23">
        <v>14</v>
      </c>
      <c r="N346" s="23">
        <v>-15.67</v>
      </c>
      <c r="O346" s="33">
        <v>-4.4000000000000003E-3</v>
      </c>
      <c r="P346" s="33">
        <v>5.1999999999999998E-3</v>
      </c>
      <c r="Q346" s="23" t="s">
        <v>24</v>
      </c>
      <c r="R346" s="23">
        <v>0</v>
      </c>
      <c r="S346" s="23">
        <v>615.54</v>
      </c>
      <c r="U346" s="47">
        <v>44525</v>
      </c>
      <c r="V346" s="23" t="s">
        <v>109</v>
      </c>
      <c r="W346" s="23" t="s">
        <v>23</v>
      </c>
      <c r="X346" s="28">
        <v>44517.4375</v>
      </c>
      <c r="Y346" s="23">
        <v>6.3</v>
      </c>
      <c r="Z346" s="28">
        <v>44517.572916666664</v>
      </c>
      <c r="AA346" s="23">
        <v>6</v>
      </c>
      <c r="AB346" s="33">
        <v>-4.7600000000000003E-2</v>
      </c>
      <c r="AC346" s="23">
        <v>2557.96</v>
      </c>
      <c r="AD346" s="33">
        <v>4.7600000000000003E-2</v>
      </c>
      <c r="AE346" s="23">
        <v>8526.5229999999992</v>
      </c>
      <c r="AF346" s="23">
        <v>53717.1</v>
      </c>
      <c r="AG346" s="23">
        <v>751812.57</v>
      </c>
      <c r="AH346" s="23">
        <v>14</v>
      </c>
      <c r="AI346" s="23">
        <v>182.71</v>
      </c>
      <c r="AJ346" s="33">
        <v>-0.254</v>
      </c>
      <c r="AK346" s="33">
        <v>0.11899999999999999</v>
      </c>
      <c r="AL346" s="23" t="s">
        <v>24</v>
      </c>
      <c r="AM346" s="23">
        <v>623.03</v>
      </c>
      <c r="AN346" s="23">
        <v>38414.1</v>
      </c>
      <c r="AO346" s="23">
        <v>615.54</v>
      </c>
      <c r="AQ346" s="50">
        <f t="shared" si="5"/>
        <v>1.011187262250614E-2</v>
      </c>
      <c r="AR346" s="50"/>
      <c r="AS346" s="48"/>
      <c r="AT346" s="50"/>
      <c r="AV346" s="47">
        <v>44517</v>
      </c>
      <c r="AW346" s="51">
        <v>0.4375</v>
      </c>
      <c r="AX346" t="s">
        <v>162</v>
      </c>
    </row>
    <row r="347" spans="1:50">
      <c r="A347" s="23" t="s">
        <v>22</v>
      </c>
      <c r="B347" s="23" t="s">
        <v>23</v>
      </c>
      <c r="C347" s="28">
        <v>44517.572916666664</v>
      </c>
      <c r="D347" s="23">
        <v>620.29999999999995</v>
      </c>
      <c r="E347" s="28">
        <v>44517.635416666664</v>
      </c>
      <c r="F347" s="23">
        <v>622</v>
      </c>
      <c r="G347" s="33">
        <v>2.7000000000000001E-3</v>
      </c>
      <c r="H347" s="23">
        <v>-137.44999999999999</v>
      </c>
      <c r="I347" s="33">
        <v>-2.7000000000000001E-3</v>
      </c>
      <c r="J347" s="23">
        <v>80.854950000000002</v>
      </c>
      <c r="K347" s="23">
        <v>50154.32</v>
      </c>
      <c r="L347" s="23">
        <v>30596.48</v>
      </c>
      <c r="M347" s="23">
        <v>7</v>
      </c>
      <c r="N347" s="23">
        <v>-19.64</v>
      </c>
      <c r="O347" s="33">
        <v>-4.1999999999999997E-3</v>
      </c>
      <c r="P347" s="33">
        <v>6.7000000000000002E-3</v>
      </c>
      <c r="Q347" s="23" t="s">
        <v>24</v>
      </c>
      <c r="R347" s="23">
        <v>0</v>
      </c>
      <c r="S347" s="23">
        <v>626.28</v>
      </c>
      <c r="U347" s="47">
        <v>44525</v>
      </c>
      <c r="V347" s="23" t="s">
        <v>113</v>
      </c>
      <c r="W347" s="23" t="s">
        <v>23</v>
      </c>
      <c r="X347" s="28">
        <v>44517.572916666664</v>
      </c>
      <c r="Y347" s="23">
        <v>14.55</v>
      </c>
      <c r="Z347" s="28">
        <v>44517.635416666664</v>
      </c>
      <c r="AA347" s="23">
        <v>14.3</v>
      </c>
      <c r="AB347" s="33">
        <v>-1.72E-2</v>
      </c>
      <c r="AC347" s="23">
        <v>923.7</v>
      </c>
      <c r="AD347" s="33">
        <v>1.72E-2</v>
      </c>
      <c r="AE347" s="23">
        <v>3694.7809999999999</v>
      </c>
      <c r="AF347" s="23">
        <v>53759.06</v>
      </c>
      <c r="AG347" s="23">
        <v>752736.26</v>
      </c>
      <c r="AH347" s="23">
        <v>7</v>
      </c>
      <c r="AI347" s="23">
        <v>131.96</v>
      </c>
      <c r="AJ347" s="33">
        <v>-0.1168</v>
      </c>
      <c r="AK347" s="33">
        <v>0.1409</v>
      </c>
      <c r="AL347" s="23" t="s">
        <v>24</v>
      </c>
      <c r="AM347" s="23">
        <v>620.29999999999995</v>
      </c>
      <c r="AN347" s="23">
        <v>38232.050000000003</v>
      </c>
      <c r="AO347" s="23">
        <v>626.28</v>
      </c>
      <c r="AQ347" s="50">
        <f t="shared" si="5"/>
        <v>2.3456392068354027E-2</v>
      </c>
      <c r="AR347" s="50"/>
      <c r="AS347" s="48"/>
      <c r="AT347" s="50"/>
      <c r="AV347" s="47">
        <v>44517</v>
      </c>
      <c r="AW347" s="51">
        <v>7.2916666666666671E-2</v>
      </c>
      <c r="AX347" t="s">
        <v>163</v>
      </c>
    </row>
    <row r="348" spans="1:50">
      <c r="A348" s="23" t="s">
        <v>22</v>
      </c>
      <c r="B348" s="23" t="s">
        <v>25</v>
      </c>
      <c r="C348" s="28">
        <v>44517.635416666664</v>
      </c>
      <c r="D348" s="23">
        <v>622</v>
      </c>
      <c r="E348" s="28">
        <v>44518.385416666664</v>
      </c>
      <c r="F348" s="23">
        <v>616.75</v>
      </c>
      <c r="G348" s="33">
        <v>-8.3999999999999995E-3</v>
      </c>
      <c r="H348" s="23">
        <v>-423.32</v>
      </c>
      <c r="I348" s="33">
        <v>-8.3999999999999995E-3</v>
      </c>
      <c r="J348" s="23">
        <v>80.631479999999996</v>
      </c>
      <c r="K348" s="23">
        <v>50152.78</v>
      </c>
      <c r="L348" s="23">
        <v>30173.16</v>
      </c>
      <c r="M348" s="23">
        <v>5</v>
      </c>
      <c r="N348" s="23">
        <v>-84.66</v>
      </c>
      <c r="O348" s="33">
        <v>-8.3999999999999995E-3</v>
      </c>
      <c r="P348" s="33">
        <v>6.0000000000000001E-3</v>
      </c>
      <c r="Q348" s="23" t="s">
        <v>24</v>
      </c>
      <c r="R348" s="23">
        <v>0</v>
      </c>
      <c r="S348" s="23">
        <v>616.42999999999995</v>
      </c>
      <c r="U348" s="47">
        <v>44525</v>
      </c>
      <c r="V348" s="23" t="s">
        <v>112</v>
      </c>
      <c r="W348" s="23" t="s">
        <v>23</v>
      </c>
      <c r="X348" s="28">
        <v>44517.635416666664</v>
      </c>
      <c r="Y348" s="23">
        <v>14.75</v>
      </c>
      <c r="Z348" s="28">
        <v>44518.385416666664</v>
      </c>
      <c r="AA348" s="23">
        <v>12.675000000000001</v>
      </c>
      <c r="AB348" s="33">
        <v>-0.14069999999999999</v>
      </c>
      <c r="AC348" s="23">
        <v>7559.6</v>
      </c>
      <c r="AD348" s="33">
        <v>0.14069999999999999</v>
      </c>
      <c r="AE348" s="23">
        <v>3643.1790000000001</v>
      </c>
      <c r="AF348" s="23">
        <v>53736.89</v>
      </c>
      <c r="AG348" s="23">
        <v>760295.86</v>
      </c>
      <c r="AH348" s="23">
        <v>5</v>
      </c>
      <c r="AI348" s="23">
        <v>1511.92</v>
      </c>
      <c r="AJ348" s="33">
        <v>0</v>
      </c>
      <c r="AK348" s="33">
        <v>0.1525</v>
      </c>
      <c r="AL348" s="23" t="s">
        <v>24</v>
      </c>
      <c r="AM348" s="23">
        <v>622</v>
      </c>
      <c r="AN348" s="23">
        <v>38006.050000000003</v>
      </c>
      <c r="AO348" s="23">
        <v>616.42999999999995</v>
      </c>
      <c r="AQ348" s="50">
        <f t="shared" si="5"/>
        <v>2.3713826366559485E-2</v>
      </c>
      <c r="AR348" s="50"/>
      <c r="AS348" s="48"/>
      <c r="AT348" s="50"/>
      <c r="AV348" s="47">
        <v>44517</v>
      </c>
      <c r="AW348" s="51">
        <v>0.13541666666666666</v>
      </c>
      <c r="AX348" t="s">
        <v>163</v>
      </c>
    </row>
    <row r="349" spans="1:50">
      <c r="A349" s="23" t="s">
        <v>22</v>
      </c>
      <c r="B349" s="23" t="s">
        <v>23</v>
      </c>
      <c r="C349" s="28">
        <v>44518.385416666664</v>
      </c>
      <c r="D349" s="23">
        <v>616.75</v>
      </c>
      <c r="E349" s="28">
        <v>44518.614583333336</v>
      </c>
      <c r="F349" s="23">
        <v>608.5</v>
      </c>
      <c r="G349" s="33">
        <v>-1.34E-2</v>
      </c>
      <c r="H349" s="23">
        <v>670.9</v>
      </c>
      <c r="I349" s="33">
        <v>1.34E-2</v>
      </c>
      <c r="J349" s="23">
        <v>81.320610000000002</v>
      </c>
      <c r="K349" s="23">
        <v>50154.48</v>
      </c>
      <c r="L349" s="23">
        <v>30844.06</v>
      </c>
      <c r="M349" s="23">
        <v>23</v>
      </c>
      <c r="N349" s="23">
        <v>29.17</v>
      </c>
      <c r="O349" s="33">
        <v>-1.46E-2</v>
      </c>
      <c r="P349" s="33">
        <v>2.47E-2</v>
      </c>
      <c r="Q349" s="23" t="s">
        <v>24</v>
      </c>
      <c r="R349" s="23">
        <v>0</v>
      </c>
      <c r="S349" s="23">
        <v>625.72</v>
      </c>
      <c r="U349" s="47">
        <v>44525</v>
      </c>
      <c r="V349" s="23" t="s">
        <v>113</v>
      </c>
      <c r="W349" s="23" t="s">
        <v>23</v>
      </c>
      <c r="X349" s="28">
        <v>44518.385416666664</v>
      </c>
      <c r="Y349" s="23">
        <v>12.025</v>
      </c>
      <c r="Z349" s="28">
        <v>44518.614583333336</v>
      </c>
      <c r="AA349" s="23">
        <v>6.65</v>
      </c>
      <c r="AB349" s="33">
        <v>-0.44700000000000001</v>
      </c>
      <c r="AC349" s="23">
        <v>24031.58</v>
      </c>
      <c r="AD349" s="33">
        <v>0.44700000000000001</v>
      </c>
      <c r="AE349" s="23">
        <v>4470.9920000000002</v>
      </c>
      <c r="AF349" s="23">
        <v>53763.68</v>
      </c>
      <c r="AG349" s="23">
        <v>784327.44</v>
      </c>
      <c r="AH349" s="23">
        <v>23</v>
      </c>
      <c r="AI349" s="23">
        <v>1044.8499999999999</v>
      </c>
      <c r="AJ349" s="33">
        <v>-0.14349999999999999</v>
      </c>
      <c r="AK349" s="33">
        <v>0.5655</v>
      </c>
      <c r="AL349" s="23" t="s">
        <v>24</v>
      </c>
      <c r="AM349" s="23">
        <v>616.75</v>
      </c>
      <c r="AN349" s="23">
        <v>38089.699999999997</v>
      </c>
      <c r="AO349" s="23">
        <v>625.72</v>
      </c>
      <c r="AQ349" s="50">
        <f t="shared" si="5"/>
        <v>1.9497365220916094E-2</v>
      </c>
      <c r="AR349" s="50"/>
      <c r="AS349" s="48"/>
      <c r="AT349" s="50"/>
      <c r="AV349" s="47">
        <v>44518</v>
      </c>
      <c r="AW349" s="51">
        <v>0.38541666666666669</v>
      </c>
      <c r="AX349" t="s">
        <v>162</v>
      </c>
    </row>
    <row r="350" spans="1:50">
      <c r="A350" s="23" t="s">
        <v>22</v>
      </c>
      <c r="B350" s="23" t="s">
        <v>25</v>
      </c>
      <c r="C350" s="28">
        <v>44518.614583333336</v>
      </c>
      <c r="D350" s="23">
        <v>608.5</v>
      </c>
      <c r="E350" s="28">
        <v>44522.385416666664</v>
      </c>
      <c r="F350" s="23">
        <v>602.07500000000005</v>
      </c>
      <c r="G350" s="33">
        <v>-1.06E-2</v>
      </c>
      <c r="H350" s="23">
        <v>-529.58000000000004</v>
      </c>
      <c r="I350" s="33">
        <v>-1.06E-2</v>
      </c>
      <c r="J350" s="23">
        <v>82.425610000000006</v>
      </c>
      <c r="K350" s="23">
        <v>50155.98</v>
      </c>
      <c r="L350" s="23">
        <v>30314.47</v>
      </c>
      <c r="M350" s="23">
        <v>7</v>
      </c>
      <c r="N350" s="23">
        <v>-75.650000000000006</v>
      </c>
      <c r="O350" s="33">
        <v>-1.06E-2</v>
      </c>
      <c r="P350" s="33">
        <v>3.3E-3</v>
      </c>
      <c r="Q350" s="23" t="s">
        <v>24</v>
      </c>
      <c r="R350" s="23">
        <v>0</v>
      </c>
      <c r="S350" s="23">
        <v>601.53</v>
      </c>
      <c r="U350" s="47">
        <v>44525</v>
      </c>
      <c r="V350" s="23" t="s">
        <v>116</v>
      </c>
      <c r="W350" s="23" t="s">
        <v>23</v>
      </c>
      <c r="X350" s="28">
        <v>44518.614583333336</v>
      </c>
      <c r="Y350" s="23">
        <v>5.05</v>
      </c>
      <c r="Z350" s="28">
        <v>44522.385416666664</v>
      </c>
      <c r="AA350" s="23">
        <v>4.5</v>
      </c>
      <c r="AB350" s="33">
        <v>-0.1089</v>
      </c>
      <c r="AC350" s="23">
        <v>5876.12</v>
      </c>
      <c r="AD350" s="33">
        <v>0.1089</v>
      </c>
      <c r="AE350" s="23">
        <v>10683.86</v>
      </c>
      <c r="AF350" s="23">
        <v>53953.49</v>
      </c>
      <c r="AG350" s="23">
        <v>790203.57</v>
      </c>
      <c r="AH350" s="23">
        <v>7</v>
      </c>
      <c r="AI350" s="23">
        <v>839.45</v>
      </c>
      <c r="AJ350" s="33">
        <v>-8.9099999999999999E-2</v>
      </c>
      <c r="AK350" s="33">
        <v>0.1089</v>
      </c>
      <c r="AL350" s="23" t="s">
        <v>24</v>
      </c>
      <c r="AM350" s="23">
        <v>608.5</v>
      </c>
      <c r="AN350" s="23">
        <v>38093.550000000003</v>
      </c>
      <c r="AO350" s="23">
        <v>601.53</v>
      </c>
      <c r="AQ350" s="50">
        <f t="shared" si="5"/>
        <v>8.2990961380443717E-3</v>
      </c>
      <c r="AR350" s="50"/>
      <c r="AS350" s="48"/>
      <c r="AT350" s="50"/>
      <c r="AV350" s="47">
        <v>44518</v>
      </c>
      <c r="AW350" s="51">
        <v>0.11458333333333333</v>
      </c>
      <c r="AX350" t="s">
        <v>163</v>
      </c>
    </row>
    <row r="351" spans="1:50">
      <c r="A351" s="23" t="s">
        <v>22</v>
      </c>
      <c r="B351" s="23" t="s">
        <v>23</v>
      </c>
      <c r="C351" s="28">
        <v>44522.385416666664</v>
      </c>
      <c r="D351" s="23">
        <v>602.07500000000005</v>
      </c>
      <c r="E351" s="28">
        <v>44522.427083333336</v>
      </c>
      <c r="F351" s="23">
        <v>611.45000000000005</v>
      </c>
      <c r="G351" s="33">
        <v>1.5599999999999999E-2</v>
      </c>
      <c r="H351" s="23">
        <v>-780.97</v>
      </c>
      <c r="I351" s="33">
        <v>-1.5599999999999999E-2</v>
      </c>
      <c r="J351" s="23">
        <v>83.303650000000005</v>
      </c>
      <c r="K351" s="23">
        <v>50155.05</v>
      </c>
      <c r="L351" s="23">
        <v>29533.5</v>
      </c>
      <c r="M351" s="23">
        <v>5</v>
      </c>
      <c r="N351" s="23">
        <v>-156.19</v>
      </c>
      <c r="O351" s="33">
        <v>-1.5599999999999999E-2</v>
      </c>
      <c r="P351" s="33">
        <v>3.3999999999999998E-3</v>
      </c>
      <c r="Q351" s="23" t="s">
        <v>24</v>
      </c>
      <c r="R351" s="23">
        <v>0</v>
      </c>
      <c r="S351" s="23">
        <v>610.45000000000005</v>
      </c>
      <c r="U351" s="47">
        <v>44525</v>
      </c>
      <c r="V351" s="23" t="s">
        <v>107</v>
      </c>
      <c r="W351" s="23" t="s">
        <v>23</v>
      </c>
      <c r="X351" s="28">
        <v>44522.385416666664</v>
      </c>
      <c r="Y351" s="23">
        <v>11.85</v>
      </c>
      <c r="Z351" s="28">
        <v>44522.427083333336</v>
      </c>
      <c r="AA351" s="23">
        <v>15.1</v>
      </c>
      <c r="AB351" s="33">
        <v>0.27429999999999999</v>
      </c>
      <c r="AC351" s="23">
        <v>-14796.69</v>
      </c>
      <c r="AD351" s="33">
        <v>-0.27429999999999999</v>
      </c>
      <c r="AE351" s="23">
        <v>4552.8280000000004</v>
      </c>
      <c r="AF351" s="23">
        <v>53951.02</v>
      </c>
      <c r="AG351" s="23">
        <v>775406.87</v>
      </c>
      <c r="AH351" s="23">
        <v>5</v>
      </c>
      <c r="AI351" s="23">
        <v>-2959.34</v>
      </c>
      <c r="AJ351" s="33">
        <v>-0.35020000000000001</v>
      </c>
      <c r="AK351" s="33">
        <v>2.53E-2</v>
      </c>
      <c r="AL351" s="23" t="s">
        <v>24</v>
      </c>
      <c r="AM351" s="23">
        <v>602.08000000000004</v>
      </c>
      <c r="AN351" s="23">
        <v>37700.6</v>
      </c>
      <c r="AO351" s="23">
        <v>610.45000000000005</v>
      </c>
      <c r="AQ351" s="50">
        <f t="shared" si="5"/>
        <v>1.9681769864469834E-2</v>
      </c>
      <c r="AR351" s="50"/>
      <c r="AS351" s="48"/>
      <c r="AT351" s="50"/>
      <c r="AV351" s="47">
        <v>44522</v>
      </c>
      <c r="AW351" s="51">
        <v>0.38541666666666669</v>
      </c>
      <c r="AX351" t="s">
        <v>162</v>
      </c>
    </row>
    <row r="352" spans="1:50">
      <c r="A352" s="23" t="s">
        <v>22</v>
      </c>
      <c r="B352" s="23" t="s">
        <v>25</v>
      </c>
      <c r="C352" s="28">
        <v>44522.427083333336</v>
      </c>
      <c r="D352" s="23">
        <v>611.45000000000005</v>
      </c>
      <c r="E352" s="28">
        <v>44522.489583333336</v>
      </c>
      <c r="F352" s="23">
        <v>606.5</v>
      </c>
      <c r="G352" s="33">
        <v>-8.0999999999999996E-3</v>
      </c>
      <c r="H352" s="23">
        <v>-405.98</v>
      </c>
      <c r="I352" s="33">
        <v>-8.0999999999999996E-3</v>
      </c>
      <c r="J352" s="23">
        <v>82.017129999999995</v>
      </c>
      <c r="K352" s="23">
        <v>50149.38</v>
      </c>
      <c r="L352" s="23">
        <v>29127.52</v>
      </c>
      <c r="M352" s="23">
        <v>7</v>
      </c>
      <c r="N352" s="23">
        <v>-58</v>
      </c>
      <c r="O352" s="33">
        <v>-8.0999999999999996E-3</v>
      </c>
      <c r="P352" s="33">
        <v>6.4000000000000003E-3</v>
      </c>
      <c r="Q352" s="23" t="s">
        <v>24</v>
      </c>
      <c r="R352" s="23">
        <v>0</v>
      </c>
      <c r="S352" s="23">
        <v>600.45000000000005</v>
      </c>
      <c r="U352" s="47">
        <v>44525</v>
      </c>
      <c r="V352" s="23" t="s">
        <v>119</v>
      </c>
      <c r="W352" s="23" t="s">
        <v>23</v>
      </c>
      <c r="X352" s="28">
        <v>44522.427083333336</v>
      </c>
      <c r="Y352" s="23">
        <v>10.5</v>
      </c>
      <c r="Z352" s="28">
        <v>44522.489583333336</v>
      </c>
      <c r="AA352" s="23">
        <v>12.5</v>
      </c>
      <c r="AB352" s="33">
        <v>0.1905</v>
      </c>
      <c r="AC352" s="23">
        <v>-10263.81</v>
      </c>
      <c r="AD352" s="33">
        <v>-0.1905</v>
      </c>
      <c r="AE352" s="23">
        <v>5131.9049999999997</v>
      </c>
      <c r="AF352" s="23">
        <v>53885</v>
      </c>
      <c r="AG352" s="23">
        <v>765143.06</v>
      </c>
      <c r="AH352" s="23">
        <v>7</v>
      </c>
      <c r="AI352" s="23">
        <v>-1466.26</v>
      </c>
      <c r="AJ352" s="33">
        <v>-0.1905</v>
      </c>
      <c r="AK352" s="33">
        <v>0.2024</v>
      </c>
      <c r="AL352" s="23" t="s">
        <v>24</v>
      </c>
      <c r="AM352" s="23">
        <v>611.45000000000005</v>
      </c>
      <c r="AN352" s="23">
        <v>37569.65</v>
      </c>
      <c r="AO352" s="23">
        <v>600.45000000000005</v>
      </c>
      <c r="AQ352" s="50">
        <f t="shared" si="5"/>
        <v>1.717229536348025E-2</v>
      </c>
      <c r="AR352" s="50"/>
      <c r="AS352" s="48"/>
      <c r="AT352" s="50"/>
      <c r="AV352" s="47">
        <v>44522</v>
      </c>
      <c r="AW352" s="51">
        <v>0.42708333333333331</v>
      </c>
      <c r="AX352" t="s">
        <v>162</v>
      </c>
    </row>
    <row r="353" spans="1:50">
      <c r="A353" s="23" t="s">
        <v>22</v>
      </c>
      <c r="B353" s="23" t="s">
        <v>23</v>
      </c>
      <c r="C353" s="28">
        <v>44522.489583333336</v>
      </c>
      <c r="D353" s="23">
        <v>606.5</v>
      </c>
      <c r="E353" s="28">
        <v>44523.385416666664</v>
      </c>
      <c r="F353" s="23">
        <v>602.29999999999995</v>
      </c>
      <c r="G353" s="33">
        <v>-6.8999999999999999E-3</v>
      </c>
      <c r="H353" s="23">
        <v>347.27</v>
      </c>
      <c r="I353" s="33">
        <v>6.8999999999999999E-3</v>
      </c>
      <c r="J353" s="23">
        <v>82.682739999999995</v>
      </c>
      <c r="K353" s="23">
        <v>50147.08</v>
      </c>
      <c r="L353" s="23">
        <v>29474.78</v>
      </c>
      <c r="M353" s="23">
        <v>19</v>
      </c>
      <c r="N353" s="23">
        <v>18.28</v>
      </c>
      <c r="O353" s="33">
        <v>-5.5999999999999999E-3</v>
      </c>
      <c r="P353" s="33">
        <v>3.2099999999999997E-2</v>
      </c>
      <c r="Q353" s="23" t="s">
        <v>24</v>
      </c>
      <c r="R353" s="23">
        <v>0</v>
      </c>
      <c r="S353" s="23">
        <v>615.14</v>
      </c>
      <c r="U353" s="47">
        <v>44525</v>
      </c>
      <c r="V353" s="23" t="s">
        <v>107</v>
      </c>
      <c r="W353" s="23" t="s">
        <v>23</v>
      </c>
      <c r="X353" s="28">
        <v>44522.489583333336</v>
      </c>
      <c r="Y353" s="23">
        <v>13</v>
      </c>
      <c r="Z353" s="28">
        <v>44523.385416666664</v>
      </c>
      <c r="AA353" s="23">
        <v>10</v>
      </c>
      <c r="AB353" s="33">
        <v>-0.23080000000000001</v>
      </c>
      <c r="AC353" s="23">
        <v>12433.16</v>
      </c>
      <c r="AD353" s="33">
        <v>0.23080000000000001</v>
      </c>
      <c r="AE353" s="23">
        <v>4144.3869999999997</v>
      </c>
      <c r="AF353" s="23">
        <v>53877.04</v>
      </c>
      <c r="AG353" s="23">
        <v>777576.23</v>
      </c>
      <c r="AH353" s="23">
        <v>19</v>
      </c>
      <c r="AI353" s="23">
        <v>654.38</v>
      </c>
      <c r="AJ353" s="33">
        <v>-0.34620000000000001</v>
      </c>
      <c r="AK353" s="33">
        <v>0.61539999999999995</v>
      </c>
      <c r="AL353" s="23" t="s">
        <v>24</v>
      </c>
      <c r="AM353" s="23">
        <v>606.5</v>
      </c>
      <c r="AN353" s="23">
        <v>37320.300000000003</v>
      </c>
      <c r="AO353" s="23">
        <v>615.14</v>
      </c>
      <c r="AQ353" s="50">
        <f t="shared" si="5"/>
        <v>2.1434460016488046E-2</v>
      </c>
      <c r="AR353" s="50"/>
      <c r="AS353" s="48"/>
      <c r="AT353" s="50"/>
      <c r="AV353" s="47">
        <v>44522</v>
      </c>
      <c r="AW353" s="51">
        <v>0.48958333333333331</v>
      </c>
      <c r="AX353" t="s">
        <v>162</v>
      </c>
    </row>
    <row r="354" spans="1:50">
      <c r="A354" s="23" t="s">
        <v>22</v>
      </c>
      <c r="B354" s="23" t="s">
        <v>25</v>
      </c>
      <c r="C354" s="28">
        <v>44523.385416666664</v>
      </c>
      <c r="D354" s="23">
        <v>602.29999999999995</v>
      </c>
      <c r="E354" s="28">
        <v>44523.520833333336</v>
      </c>
      <c r="F354" s="23">
        <v>597.5</v>
      </c>
      <c r="G354" s="33">
        <v>-8.0000000000000002E-3</v>
      </c>
      <c r="H354" s="23">
        <v>-399.7</v>
      </c>
      <c r="I354" s="33">
        <v>-8.0000000000000002E-3</v>
      </c>
      <c r="J354" s="23">
        <v>83.269949999999994</v>
      </c>
      <c r="K354" s="23">
        <v>50153.49</v>
      </c>
      <c r="L354" s="23">
        <v>29075.09</v>
      </c>
      <c r="M354" s="23">
        <v>14</v>
      </c>
      <c r="N354" s="23">
        <v>-28.55</v>
      </c>
      <c r="O354" s="33">
        <v>-2.0500000000000001E-2</v>
      </c>
      <c r="P354" s="33">
        <v>1.2800000000000001E-2</v>
      </c>
      <c r="Q354" s="23" t="s">
        <v>24</v>
      </c>
      <c r="R354" s="23">
        <v>0</v>
      </c>
      <c r="S354" s="23">
        <v>587.72</v>
      </c>
      <c r="U354" s="47">
        <v>44525</v>
      </c>
      <c r="V354" s="23" t="s">
        <v>109</v>
      </c>
      <c r="W354" s="23" t="s">
        <v>23</v>
      </c>
      <c r="X354" s="28">
        <v>44523.385416666664</v>
      </c>
      <c r="Y354" s="23">
        <v>10</v>
      </c>
      <c r="Z354" s="28">
        <v>44523.520833333336</v>
      </c>
      <c r="AA354" s="23">
        <v>9.4499999999999993</v>
      </c>
      <c r="AB354" s="33">
        <v>-5.5E-2</v>
      </c>
      <c r="AC354" s="23">
        <v>2966.63</v>
      </c>
      <c r="AD354" s="33">
        <v>5.5E-2</v>
      </c>
      <c r="AE354" s="23">
        <v>5393.8649999999998</v>
      </c>
      <c r="AF354" s="23">
        <v>53938.65</v>
      </c>
      <c r="AG354" s="23">
        <v>780542.85</v>
      </c>
      <c r="AH354" s="23">
        <v>14</v>
      </c>
      <c r="AI354" s="23">
        <v>211.9</v>
      </c>
      <c r="AJ354" s="33">
        <v>-1.0774999999999999</v>
      </c>
      <c r="AK354" s="33">
        <v>0.6925</v>
      </c>
      <c r="AL354" s="23" t="s">
        <v>24</v>
      </c>
      <c r="AM354" s="23">
        <v>602.29999999999995</v>
      </c>
      <c r="AN354" s="23">
        <v>37030</v>
      </c>
      <c r="AO354" s="23">
        <v>587.72</v>
      </c>
      <c r="AQ354" s="50">
        <f t="shared" si="5"/>
        <v>1.6603021749958494E-2</v>
      </c>
      <c r="AR354" s="50"/>
      <c r="AS354" s="48"/>
      <c r="AT354" s="50"/>
      <c r="AV354" s="47">
        <v>44523</v>
      </c>
      <c r="AW354" s="51">
        <v>0.38541666666666669</v>
      </c>
      <c r="AX354" t="s">
        <v>162</v>
      </c>
    </row>
    <row r="355" spans="1:50">
      <c r="A355" s="23" t="s">
        <v>22</v>
      </c>
      <c r="B355" s="23" t="s">
        <v>23</v>
      </c>
      <c r="C355" s="28">
        <v>44523.520833333336</v>
      </c>
      <c r="D355" s="23">
        <v>597.5</v>
      </c>
      <c r="E355" s="28">
        <v>44524.385416666664</v>
      </c>
      <c r="F355" s="23">
        <v>601.5</v>
      </c>
      <c r="G355" s="33">
        <v>6.7000000000000002E-3</v>
      </c>
      <c r="H355" s="23">
        <v>-335.71</v>
      </c>
      <c r="I355" s="33">
        <v>-6.7000000000000002E-3</v>
      </c>
      <c r="J355" s="23">
        <v>83.926540000000003</v>
      </c>
      <c r="K355" s="23">
        <v>50146.11</v>
      </c>
      <c r="L355" s="23">
        <v>28739.38</v>
      </c>
      <c r="M355" s="23">
        <v>16</v>
      </c>
      <c r="N355" s="23">
        <v>-20.98</v>
      </c>
      <c r="O355" s="33">
        <v>-1.21E-2</v>
      </c>
      <c r="P355" s="33">
        <v>1.6999999999999999E-3</v>
      </c>
      <c r="Q355" s="23" t="s">
        <v>24</v>
      </c>
      <c r="R355" s="23">
        <v>0</v>
      </c>
      <c r="S355" s="23">
        <v>609.49</v>
      </c>
      <c r="U355" s="47">
        <v>44525</v>
      </c>
      <c r="V355" s="23" t="s">
        <v>107</v>
      </c>
      <c r="W355" s="23" t="s">
        <v>23</v>
      </c>
      <c r="X355" s="28">
        <v>44523.520833333336</v>
      </c>
      <c r="Y355" s="23">
        <v>8</v>
      </c>
      <c r="Z355" s="28">
        <v>44524.385416666664</v>
      </c>
      <c r="AA355" s="23">
        <v>7.95</v>
      </c>
      <c r="AB355" s="33">
        <v>-6.3E-3</v>
      </c>
      <c r="AC355" s="23">
        <v>337.1</v>
      </c>
      <c r="AD355" s="33">
        <v>6.1999999999999998E-3</v>
      </c>
      <c r="AE355" s="23">
        <v>6742.0529999999999</v>
      </c>
      <c r="AF355" s="23">
        <v>53936.43</v>
      </c>
      <c r="AG355" s="23">
        <v>780879.95</v>
      </c>
      <c r="AH355" s="23">
        <v>16</v>
      </c>
      <c r="AI355" s="23">
        <v>21.07</v>
      </c>
      <c r="AJ355" s="33">
        <v>-0.51870000000000005</v>
      </c>
      <c r="AK355" s="33">
        <v>6.88E-2</v>
      </c>
      <c r="AL355" s="23" t="s">
        <v>24</v>
      </c>
      <c r="AM355" s="23">
        <v>597.5</v>
      </c>
      <c r="AN355" s="23">
        <v>37067.9</v>
      </c>
      <c r="AO355" s="23">
        <v>609.49</v>
      </c>
      <c r="AQ355" s="50">
        <f t="shared" si="5"/>
        <v>1.3389121338912133E-2</v>
      </c>
      <c r="AR355" s="50"/>
      <c r="AS355" s="48"/>
      <c r="AT355" s="50"/>
      <c r="AV355" s="47">
        <v>44523</v>
      </c>
      <c r="AW355" s="51">
        <v>0.52083333333333337</v>
      </c>
      <c r="AX355" t="s">
        <v>163</v>
      </c>
    </row>
    <row r="356" spans="1:50">
      <c r="A356" s="23" t="s">
        <v>22</v>
      </c>
      <c r="B356" s="23" t="s">
        <v>25</v>
      </c>
      <c r="C356" s="28">
        <v>44524.385416666664</v>
      </c>
      <c r="D356" s="23">
        <v>601.5</v>
      </c>
      <c r="E356" s="28">
        <v>44524.59375</v>
      </c>
      <c r="F356" s="23">
        <v>605.25</v>
      </c>
      <c r="G356" s="33">
        <v>6.1999999999999998E-3</v>
      </c>
      <c r="H356" s="23">
        <v>312.62</v>
      </c>
      <c r="I356" s="33">
        <v>6.1999999999999998E-3</v>
      </c>
      <c r="J356" s="23">
        <v>83.364419999999996</v>
      </c>
      <c r="K356" s="23">
        <v>50143.7</v>
      </c>
      <c r="L356" s="23">
        <v>29052</v>
      </c>
      <c r="M356" s="23">
        <v>21</v>
      </c>
      <c r="N356" s="23">
        <v>14.89</v>
      </c>
      <c r="O356" s="33">
        <v>-9.1000000000000004E-3</v>
      </c>
      <c r="P356" s="33">
        <v>1.49E-2</v>
      </c>
      <c r="Q356" s="23" t="s">
        <v>24</v>
      </c>
      <c r="R356" s="23">
        <v>0</v>
      </c>
      <c r="S356" s="23">
        <v>596</v>
      </c>
      <c r="U356" s="47">
        <v>44525</v>
      </c>
      <c r="V356" s="23" t="s">
        <v>106</v>
      </c>
      <c r="W356" s="23" t="s">
        <v>23</v>
      </c>
      <c r="X356" s="28">
        <v>44524.385416666664</v>
      </c>
      <c r="Y356" s="23">
        <v>0.45</v>
      </c>
      <c r="Z356" s="28">
        <v>44524.59375</v>
      </c>
      <c r="AA356" s="23">
        <v>0.27500000000000002</v>
      </c>
      <c r="AB356" s="33">
        <v>-0.38890000000000002</v>
      </c>
      <c r="AC356" s="23">
        <v>20941.52</v>
      </c>
      <c r="AD356" s="33">
        <v>0.38890000000000002</v>
      </c>
      <c r="AE356" s="23">
        <v>119665.8</v>
      </c>
      <c r="AF356" s="23">
        <v>53849.62</v>
      </c>
      <c r="AG356" s="23">
        <v>801821.47</v>
      </c>
      <c r="AH356" s="23">
        <v>21</v>
      </c>
      <c r="AI356" s="23">
        <v>997.22</v>
      </c>
      <c r="AJ356" s="33">
        <v>-0.22220000000000001</v>
      </c>
      <c r="AK356" s="33">
        <v>0.66669999999999996</v>
      </c>
      <c r="AL356" s="23" t="s">
        <v>24</v>
      </c>
      <c r="AM356" s="23">
        <v>601.5</v>
      </c>
      <c r="AN356" s="23">
        <v>37449.15</v>
      </c>
      <c r="AO356" s="23">
        <v>596</v>
      </c>
      <c r="AQ356" s="50">
        <f t="shared" si="5"/>
        <v>7.4812967581047382E-4</v>
      </c>
      <c r="AR356" s="50"/>
      <c r="AS356" s="48"/>
      <c r="AT356" s="50"/>
      <c r="AV356" s="47">
        <v>44524</v>
      </c>
      <c r="AW356" s="51">
        <v>0.38541666666666669</v>
      </c>
      <c r="AX356" t="s">
        <v>162</v>
      </c>
    </row>
    <row r="357" spans="1:50">
      <c r="A357" s="23" t="s">
        <v>22</v>
      </c>
      <c r="B357" s="23" t="s">
        <v>23</v>
      </c>
      <c r="C357" s="28">
        <v>44524.59375</v>
      </c>
      <c r="D357" s="23">
        <v>605.25</v>
      </c>
      <c r="E357" s="28">
        <v>44525.385416666664</v>
      </c>
      <c r="F357" s="23">
        <v>605.35</v>
      </c>
      <c r="G357" s="33">
        <v>2.0000000000000001E-4</v>
      </c>
      <c r="H357" s="23">
        <v>-8.2899999999999991</v>
      </c>
      <c r="I357" s="33">
        <v>-2.0000000000000001E-4</v>
      </c>
      <c r="J357" s="23">
        <v>82.851439999999997</v>
      </c>
      <c r="K357" s="23">
        <v>50145.84</v>
      </c>
      <c r="L357" s="23">
        <v>29043.71</v>
      </c>
      <c r="M357" s="23">
        <v>9</v>
      </c>
      <c r="N357" s="23">
        <v>-0.92</v>
      </c>
      <c r="O357" s="33">
        <v>-1.09E-2</v>
      </c>
      <c r="P357" s="33">
        <v>7.0000000000000001E-3</v>
      </c>
      <c r="Q357" s="23" t="s">
        <v>24</v>
      </c>
      <c r="R357" s="23">
        <v>0</v>
      </c>
      <c r="S357" s="23">
        <v>610.20000000000005</v>
      </c>
      <c r="U357" s="47">
        <v>44525</v>
      </c>
      <c r="V357" s="23" t="s">
        <v>107</v>
      </c>
      <c r="W357" s="23" t="s">
        <v>23</v>
      </c>
      <c r="X357" s="28">
        <v>44524.59375</v>
      </c>
      <c r="Y357" s="23">
        <v>7.9249999999999998</v>
      </c>
      <c r="Z357" s="28">
        <v>44525.385416666664</v>
      </c>
      <c r="AA357" s="23">
        <v>3.75</v>
      </c>
      <c r="AB357" s="33">
        <v>-0.52680000000000005</v>
      </c>
      <c r="AC357" s="23">
        <v>28366.07</v>
      </c>
      <c r="AD357" s="33">
        <v>0.52680000000000005</v>
      </c>
      <c r="AE357" s="23">
        <v>6794.2669999999998</v>
      </c>
      <c r="AF357" s="23">
        <v>53844.57</v>
      </c>
      <c r="AG357" s="23">
        <v>830187.54</v>
      </c>
      <c r="AH357" s="23">
        <v>9</v>
      </c>
      <c r="AI357" s="23">
        <v>3151.79</v>
      </c>
      <c r="AJ357" s="33">
        <v>-0.26179999999999998</v>
      </c>
      <c r="AK357" s="33">
        <v>0.52680000000000005</v>
      </c>
      <c r="AL357" s="23" t="s">
        <v>24</v>
      </c>
      <c r="AM357" s="23">
        <v>605.25</v>
      </c>
      <c r="AN357" s="23">
        <v>37603.9</v>
      </c>
      <c r="AO357" s="23">
        <v>610.20000000000005</v>
      </c>
      <c r="AQ357" s="50">
        <f t="shared" si="5"/>
        <v>1.3093762907889302E-2</v>
      </c>
      <c r="AR357" s="50"/>
      <c r="AS357" s="48"/>
      <c r="AT357" s="50"/>
      <c r="AV357" s="47">
        <v>44524</v>
      </c>
      <c r="AW357" s="51">
        <v>9.375E-2</v>
      </c>
      <c r="AX357" t="s">
        <v>163</v>
      </c>
    </row>
    <row r="358" spans="1:50">
      <c r="A358" s="23" t="s">
        <v>22</v>
      </c>
      <c r="B358" s="23" t="s">
        <v>25</v>
      </c>
      <c r="C358" s="28">
        <v>44525.385416666664</v>
      </c>
      <c r="D358" s="23">
        <v>605.35</v>
      </c>
      <c r="E358" s="28">
        <v>44525.395833333336</v>
      </c>
      <c r="F358" s="23">
        <v>597.82500000000005</v>
      </c>
      <c r="G358" s="33">
        <v>-1.24E-2</v>
      </c>
      <c r="H358" s="23">
        <v>-623.30999999999995</v>
      </c>
      <c r="I358" s="33">
        <v>-1.24E-2</v>
      </c>
      <c r="J358" s="23">
        <v>82.83229</v>
      </c>
      <c r="K358" s="23">
        <v>50142.52</v>
      </c>
      <c r="L358" s="23">
        <v>28420.400000000001</v>
      </c>
      <c r="M358" s="23">
        <v>2</v>
      </c>
      <c r="N358" s="23">
        <v>-311.66000000000003</v>
      </c>
      <c r="O358" s="33">
        <v>-1.24E-2</v>
      </c>
      <c r="P358" s="33">
        <v>0.01</v>
      </c>
      <c r="Q358" s="23" t="s">
        <v>24</v>
      </c>
      <c r="R358" s="23">
        <v>0</v>
      </c>
      <c r="S358" s="23">
        <v>601.64</v>
      </c>
      <c r="U358" s="47">
        <v>44525</v>
      </c>
      <c r="V358" s="23" t="s">
        <v>109</v>
      </c>
      <c r="W358" s="23" t="s">
        <v>23</v>
      </c>
      <c r="X358" s="28">
        <v>44525.385416666664</v>
      </c>
      <c r="Y358" s="23">
        <v>2.125</v>
      </c>
      <c r="Z358" s="28">
        <v>44525.395833333336</v>
      </c>
      <c r="AA358" s="23">
        <v>4.6500000000000004</v>
      </c>
      <c r="AB358" s="33">
        <v>1.1881999999999999</v>
      </c>
      <c r="AC358" s="23">
        <v>-64243.14</v>
      </c>
      <c r="AD358" s="33">
        <v>-1.1881999999999999</v>
      </c>
      <c r="AE358" s="23">
        <v>25442.83</v>
      </c>
      <c r="AF358" s="23">
        <v>54066.01</v>
      </c>
      <c r="AG358" s="23">
        <v>765944.4</v>
      </c>
      <c r="AH358" s="23">
        <v>2</v>
      </c>
      <c r="AI358" s="23">
        <v>-32121.57</v>
      </c>
      <c r="AJ358" s="33">
        <v>-1.1881999999999999</v>
      </c>
      <c r="AK358" s="33">
        <v>0.52939999999999998</v>
      </c>
      <c r="AL358" s="23" t="s">
        <v>24</v>
      </c>
      <c r="AM358" s="23">
        <v>605.35</v>
      </c>
      <c r="AN358" s="23">
        <v>37216.1</v>
      </c>
      <c r="AO358" s="23">
        <v>601.64</v>
      </c>
      <c r="AQ358" s="50">
        <f t="shared" si="5"/>
        <v>3.5103659040224664E-3</v>
      </c>
      <c r="AR358" s="50"/>
      <c r="AS358" s="48"/>
      <c r="AT358" s="50"/>
      <c r="AV358" s="47">
        <v>44525</v>
      </c>
      <c r="AW358" s="51">
        <v>0.38541666666666669</v>
      </c>
      <c r="AX358" t="s">
        <v>162</v>
      </c>
    </row>
    <row r="359" spans="1:50">
      <c r="A359" s="23" t="s">
        <v>22</v>
      </c>
      <c r="B359" s="23" t="s">
        <v>23</v>
      </c>
      <c r="C359" s="28">
        <v>44525.395833333336</v>
      </c>
      <c r="D359" s="23">
        <v>597.82500000000005</v>
      </c>
      <c r="E359" s="28">
        <v>44525.697916666664</v>
      </c>
      <c r="F359" s="23">
        <v>595.47500000000002</v>
      </c>
      <c r="G359" s="33">
        <v>-3.8999999999999998E-3</v>
      </c>
      <c r="H359" s="23">
        <v>197.12</v>
      </c>
      <c r="I359" s="33">
        <v>3.8999999999999998E-3</v>
      </c>
      <c r="J359" s="23">
        <v>83.879429999999999</v>
      </c>
      <c r="K359" s="23">
        <v>50145.22</v>
      </c>
      <c r="L359" s="23">
        <v>28617.52</v>
      </c>
      <c r="M359" s="23">
        <v>26</v>
      </c>
      <c r="N359" s="23">
        <v>7.58</v>
      </c>
      <c r="O359" s="33">
        <v>-3.9800000000000002E-2</v>
      </c>
      <c r="P359" s="33">
        <v>1.14E-2</v>
      </c>
      <c r="Q359" s="23" t="s">
        <v>24</v>
      </c>
      <c r="R359" s="23">
        <v>0</v>
      </c>
      <c r="S359" s="23">
        <v>621.63</v>
      </c>
      <c r="U359" s="47">
        <v>44525</v>
      </c>
      <c r="V359" s="23" t="s">
        <v>107</v>
      </c>
      <c r="W359" s="23" t="s">
        <v>23</v>
      </c>
      <c r="X359" s="28">
        <v>44525.395833333336</v>
      </c>
      <c r="Y359" s="23">
        <v>1.925</v>
      </c>
      <c r="Z359" s="28">
        <v>44525.697916666664</v>
      </c>
      <c r="AA359" s="23">
        <v>0.25</v>
      </c>
      <c r="AB359" s="33">
        <v>-0.87009999999999998</v>
      </c>
      <c r="AC359" s="23">
        <v>47118.35</v>
      </c>
      <c r="AD359" s="33">
        <v>0.87009999999999998</v>
      </c>
      <c r="AE359" s="23">
        <v>28130.36</v>
      </c>
      <c r="AF359" s="23">
        <v>54150.94</v>
      </c>
      <c r="AG359" s="23">
        <v>813062.75</v>
      </c>
      <c r="AH359" s="23">
        <v>26</v>
      </c>
      <c r="AI359" s="23">
        <v>1812.24</v>
      </c>
      <c r="AJ359" s="33">
        <v>-5.2596999999999996</v>
      </c>
      <c r="AK359" s="33">
        <v>0.96099999999999997</v>
      </c>
      <c r="AL359" s="23" t="s">
        <v>24</v>
      </c>
      <c r="AM359" s="23">
        <v>597.83000000000004</v>
      </c>
      <c r="AN359" s="23">
        <v>37275.300000000003</v>
      </c>
      <c r="AO359" s="23">
        <v>621.63</v>
      </c>
      <c r="AQ359" s="50">
        <f t="shared" si="5"/>
        <v>3.2199789237743171E-3</v>
      </c>
      <c r="AR359" s="50"/>
      <c r="AS359" s="48"/>
      <c r="AT359" s="50"/>
      <c r="AV359" s="47">
        <v>44525</v>
      </c>
      <c r="AW359" s="51">
        <v>0.39583333333333331</v>
      </c>
      <c r="AX359" t="s">
        <v>162</v>
      </c>
    </row>
    <row r="360" spans="1:50">
      <c r="A360" s="23" t="s">
        <v>22</v>
      </c>
      <c r="B360" s="23" t="s">
        <v>23</v>
      </c>
      <c r="C360" s="28">
        <v>44526.385416666664</v>
      </c>
      <c r="D360" s="23">
        <v>586.27499999999998</v>
      </c>
      <c r="E360" s="28">
        <v>44529.59375</v>
      </c>
      <c r="F360" s="23">
        <v>548.75</v>
      </c>
      <c r="G360" s="33">
        <v>-6.4000000000000001E-2</v>
      </c>
      <c r="H360" s="23">
        <v>3209.45</v>
      </c>
      <c r="I360" s="33">
        <v>6.4000000000000001E-2</v>
      </c>
      <c r="J360" s="23">
        <v>85.528270000000006</v>
      </c>
      <c r="K360" s="23">
        <v>50143.09</v>
      </c>
      <c r="L360" s="23">
        <v>31826.97</v>
      </c>
      <c r="M360" s="23">
        <v>49</v>
      </c>
      <c r="N360" s="23">
        <v>65.5</v>
      </c>
      <c r="O360" s="33">
        <v>-1.6299999999999999E-2</v>
      </c>
      <c r="P360" s="33">
        <v>7.8899999999999998E-2</v>
      </c>
      <c r="Q360" s="23" t="s">
        <v>24</v>
      </c>
      <c r="R360" s="23">
        <v>0</v>
      </c>
      <c r="S360" s="23">
        <v>597.61</v>
      </c>
      <c r="U360" s="47">
        <v>44560</v>
      </c>
      <c r="V360" s="23" t="s">
        <v>115</v>
      </c>
      <c r="W360" s="23" t="s">
        <v>23</v>
      </c>
      <c r="X360" s="28">
        <v>44526.385416666664</v>
      </c>
      <c r="Y360" s="23">
        <v>21.675000000000001</v>
      </c>
      <c r="Z360" s="28">
        <v>44529.59375</v>
      </c>
      <c r="AA360" s="23">
        <v>10.675000000000001</v>
      </c>
      <c r="AB360" s="33">
        <v>-0.50749999999999995</v>
      </c>
      <c r="AC360" s="23">
        <v>27437.99</v>
      </c>
      <c r="AD360" s="33">
        <v>0.50749999999999995</v>
      </c>
      <c r="AE360" s="23">
        <v>2494.3629999999998</v>
      </c>
      <c r="AF360" s="23">
        <v>54065.31</v>
      </c>
      <c r="AG360" s="23">
        <v>840500.74</v>
      </c>
      <c r="AH360" s="23">
        <v>49</v>
      </c>
      <c r="AI360" s="23">
        <v>559.96</v>
      </c>
      <c r="AJ360" s="33">
        <v>-0.60670000000000002</v>
      </c>
      <c r="AK360" s="33">
        <v>0.55820000000000003</v>
      </c>
      <c r="AL360" s="23" t="s">
        <v>24</v>
      </c>
      <c r="AM360" s="23">
        <v>586.28</v>
      </c>
      <c r="AN360" s="23">
        <v>36718.15</v>
      </c>
      <c r="AO360" s="23">
        <v>597.61</v>
      </c>
      <c r="AQ360" s="50">
        <f t="shared" si="5"/>
        <v>3.6970389574947124E-2</v>
      </c>
      <c r="AR360" s="50"/>
      <c r="AS360" s="48"/>
      <c r="AT360" s="50"/>
      <c r="AV360" s="47">
        <v>44526</v>
      </c>
      <c r="AW360" s="51">
        <v>0.38541666666666669</v>
      </c>
      <c r="AX360" t="s">
        <v>162</v>
      </c>
    </row>
    <row r="361" spans="1:50">
      <c r="A361" s="23" t="s">
        <v>22</v>
      </c>
      <c r="B361" s="23" t="s">
        <v>25</v>
      </c>
      <c r="C361" s="28">
        <v>44529.59375</v>
      </c>
      <c r="D361" s="23">
        <v>548.75</v>
      </c>
      <c r="E361" s="28">
        <v>44530.46875</v>
      </c>
      <c r="F361" s="23">
        <v>553.79999999999995</v>
      </c>
      <c r="G361" s="33">
        <v>9.1999999999999998E-3</v>
      </c>
      <c r="H361" s="23">
        <v>461.6</v>
      </c>
      <c r="I361" s="33">
        <v>9.1999999999999998E-3</v>
      </c>
      <c r="J361" s="23">
        <v>91.405680000000004</v>
      </c>
      <c r="K361" s="23">
        <v>50158.87</v>
      </c>
      <c r="L361" s="23">
        <v>32288.560000000001</v>
      </c>
      <c r="M361" s="23">
        <v>17</v>
      </c>
      <c r="N361" s="23">
        <v>27.15</v>
      </c>
      <c r="O361" s="33">
        <v>-1.8E-3</v>
      </c>
      <c r="P361" s="33">
        <v>3.5099999999999999E-2</v>
      </c>
      <c r="Q361" s="23" t="s">
        <v>24</v>
      </c>
      <c r="R361" s="23">
        <v>0</v>
      </c>
      <c r="S361" s="23">
        <v>540.03</v>
      </c>
      <c r="U361" s="47">
        <v>44560</v>
      </c>
      <c r="V361" s="23" t="s">
        <v>106</v>
      </c>
      <c r="W361" s="23" t="s">
        <v>23</v>
      </c>
      <c r="X361" s="28">
        <v>44529.59375</v>
      </c>
      <c r="Y361" s="23">
        <v>24.1</v>
      </c>
      <c r="Z361" s="28">
        <v>44530.46875</v>
      </c>
      <c r="AA361" s="23">
        <v>22.125</v>
      </c>
      <c r="AB361" s="33">
        <v>-8.2000000000000003E-2</v>
      </c>
      <c r="AC361" s="23">
        <v>4442.09</v>
      </c>
      <c r="AD361" s="33">
        <v>8.2000000000000003E-2</v>
      </c>
      <c r="AE361" s="23">
        <v>2249.1570000000002</v>
      </c>
      <c r="AF361" s="23">
        <v>54204.68</v>
      </c>
      <c r="AG361" s="23">
        <v>844942.82</v>
      </c>
      <c r="AH361" s="23">
        <v>17</v>
      </c>
      <c r="AI361" s="23">
        <v>261.3</v>
      </c>
      <c r="AJ361" s="33">
        <v>-1.66E-2</v>
      </c>
      <c r="AK361" s="33">
        <v>0.33510000000000001</v>
      </c>
      <c r="AL361" s="23" t="s">
        <v>24</v>
      </c>
      <c r="AM361" s="23">
        <v>548.75</v>
      </c>
      <c r="AN361" s="23">
        <v>36033.949999999997</v>
      </c>
      <c r="AO361" s="23">
        <v>540.03</v>
      </c>
      <c r="AQ361" s="50">
        <f t="shared" si="5"/>
        <v>4.3917995444191345E-2</v>
      </c>
      <c r="AR361" s="50"/>
      <c r="AS361" s="48"/>
      <c r="AT361" s="50"/>
      <c r="AV361" s="47">
        <v>44529</v>
      </c>
      <c r="AW361" s="51">
        <v>9.375E-2</v>
      </c>
      <c r="AX361" t="s">
        <v>163</v>
      </c>
    </row>
    <row r="362" spans="1:50">
      <c r="A362" s="23" t="s">
        <v>22</v>
      </c>
      <c r="B362" s="23" t="s">
        <v>23</v>
      </c>
      <c r="C362" s="28">
        <v>44530.46875</v>
      </c>
      <c r="D362" s="23">
        <v>553.79999999999995</v>
      </c>
      <c r="E362" s="28">
        <v>44531.385416666664</v>
      </c>
      <c r="F362" s="23">
        <v>561.75</v>
      </c>
      <c r="G362" s="33">
        <v>1.44E-2</v>
      </c>
      <c r="H362" s="23">
        <v>-720.09</v>
      </c>
      <c r="I362" s="33">
        <v>-1.44E-2</v>
      </c>
      <c r="J362" s="23">
        <v>90.577399999999997</v>
      </c>
      <c r="K362" s="23">
        <v>50161.760000000002</v>
      </c>
      <c r="L362" s="23">
        <v>31568.47</v>
      </c>
      <c r="M362" s="23">
        <v>21</v>
      </c>
      <c r="N362" s="23">
        <v>-34.29</v>
      </c>
      <c r="O362" s="33">
        <v>-1.44E-2</v>
      </c>
      <c r="P362" s="33">
        <v>2.1299999999999999E-2</v>
      </c>
      <c r="Q362" s="23" t="s">
        <v>24</v>
      </c>
      <c r="R362" s="23">
        <v>0</v>
      </c>
      <c r="S362" s="23">
        <v>567.69000000000005</v>
      </c>
      <c r="U362" s="47">
        <v>44560</v>
      </c>
      <c r="V362" s="23" t="s">
        <v>120</v>
      </c>
      <c r="W362" s="23" t="s">
        <v>23</v>
      </c>
      <c r="X362" s="28">
        <v>44530.46875</v>
      </c>
      <c r="Y362" s="23">
        <v>27</v>
      </c>
      <c r="Z362" s="28">
        <v>44531.385416666664</v>
      </c>
      <c r="AA362" s="23">
        <v>32.375</v>
      </c>
      <c r="AB362" s="33">
        <v>0.1991</v>
      </c>
      <c r="AC362" s="23">
        <v>-10796.69</v>
      </c>
      <c r="AD362" s="33">
        <v>-0.1991</v>
      </c>
      <c r="AE362" s="23">
        <v>2008.6869999999999</v>
      </c>
      <c r="AF362" s="23">
        <v>54234.55</v>
      </c>
      <c r="AG362" s="23">
        <v>834146.13</v>
      </c>
      <c r="AH362" s="23">
        <v>21</v>
      </c>
      <c r="AI362" s="23">
        <v>-514.13</v>
      </c>
      <c r="AJ362" s="33">
        <v>-0.1991</v>
      </c>
      <c r="AK362" s="33">
        <v>0.16669999999999999</v>
      </c>
      <c r="AL362" s="23" t="s">
        <v>24</v>
      </c>
      <c r="AM362" s="23">
        <v>553.79999999999995</v>
      </c>
      <c r="AN362" s="23">
        <v>36146.949999999997</v>
      </c>
      <c r="AO362" s="23">
        <v>567.69000000000005</v>
      </c>
      <c r="AQ362" s="50">
        <f t="shared" si="5"/>
        <v>4.8754062838569888E-2</v>
      </c>
      <c r="AR362" s="50"/>
      <c r="AS362" s="48"/>
      <c r="AT362" s="50"/>
      <c r="AV362" s="47">
        <v>44530</v>
      </c>
      <c r="AW362" s="51">
        <v>0.46875</v>
      </c>
      <c r="AX362" t="s">
        <v>162</v>
      </c>
    </row>
    <row r="363" spans="1:50">
      <c r="A363" s="23" t="s">
        <v>22</v>
      </c>
      <c r="B363" s="23" t="s">
        <v>25</v>
      </c>
      <c r="C363" s="28">
        <v>44531.385416666664</v>
      </c>
      <c r="D363" s="23">
        <v>561.75</v>
      </c>
      <c r="E363" s="28">
        <v>44531.489583333336</v>
      </c>
      <c r="F363" s="23">
        <v>552.1</v>
      </c>
      <c r="G363" s="33">
        <v>-1.72E-2</v>
      </c>
      <c r="H363" s="23">
        <v>-861.72</v>
      </c>
      <c r="I363" s="33">
        <v>-1.72E-2</v>
      </c>
      <c r="J363" s="23">
        <v>89.297600000000003</v>
      </c>
      <c r="K363" s="23">
        <v>50162.93</v>
      </c>
      <c r="L363" s="23">
        <v>30706.75</v>
      </c>
      <c r="M363" s="23">
        <v>11</v>
      </c>
      <c r="N363" s="23">
        <v>-78.34</v>
      </c>
      <c r="O363" s="33">
        <v>-1.9900000000000001E-2</v>
      </c>
      <c r="P363" s="33">
        <v>4.8999999999999998E-3</v>
      </c>
      <c r="Q363" s="23" t="s">
        <v>24</v>
      </c>
      <c r="R363" s="23">
        <v>0</v>
      </c>
      <c r="S363" s="23">
        <v>542.85</v>
      </c>
      <c r="U363" s="47">
        <v>44560</v>
      </c>
      <c r="V363" s="23" t="s">
        <v>106</v>
      </c>
      <c r="W363" s="23" t="s">
        <v>23</v>
      </c>
      <c r="X363" s="28">
        <v>44531.385416666664</v>
      </c>
      <c r="Y363" s="23">
        <v>19</v>
      </c>
      <c r="Z363" s="28">
        <v>44531.489583333336</v>
      </c>
      <c r="AA363" s="23">
        <v>21.75</v>
      </c>
      <c r="AB363" s="33">
        <v>0.1447</v>
      </c>
      <c r="AC363" s="23">
        <v>-7852.67</v>
      </c>
      <c r="AD363" s="33">
        <v>-0.1447</v>
      </c>
      <c r="AE363" s="23">
        <v>2855.518</v>
      </c>
      <c r="AF363" s="23">
        <v>54254.84</v>
      </c>
      <c r="AG363" s="23">
        <v>826293.45</v>
      </c>
      <c r="AH363" s="23">
        <v>11</v>
      </c>
      <c r="AI363" s="23">
        <v>-713.88</v>
      </c>
      <c r="AJ363" s="33">
        <v>-0.22500000000000001</v>
      </c>
      <c r="AK363" s="33">
        <v>2.63E-2</v>
      </c>
      <c r="AL363" s="23" t="s">
        <v>24</v>
      </c>
      <c r="AM363" s="23">
        <v>561.75</v>
      </c>
      <c r="AN363" s="23">
        <v>36176.800000000003</v>
      </c>
      <c r="AO363" s="23">
        <v>542.85</v>
      </c>
      <c r="AQ363" s="50">
        <f t="shared" si="5"/>
        <v>3.3822874944370272E-2</v>
      </c>
      <c r="AR363" s="50"/>
      <c r="AS363" s="48"/>
      <c r="AT363" s="50"/>
      <c r="AV363" s="47">
        <v>44531</v>
      </c>
      <c r="AW363" s="51">
        <v>0.38541666666666669</v>
      </c>
      <c r="AX363" t="s">
        <v>162</v>
      </c>
    </row>
    <row r="364" spans="1:50">
      <c r="A364" s="23" t="s">
        <v>22</v>
      </c>
      <c r="B364" s="23" t="s">
        <v>23</v>
      </c>
      <c r="C364" s="28">
        <v>44531.489583333336</v>
      </c>
      <c r="D364" s="23">
        <v>552.1</v>
      </c>
      <c r="E364" s="28">
        <v>44531.604166666664</v>
      </c>
      <c r="F364" s="23">
        <v>557.65</v>
      </c>
      <c r="G364" s="33">
        <v>1.01E-2</v>
      </c>
      <c r="H364" s="23">
        <v>-504.18</v>
      </c>
      <c r="I364" s="33">
        <v>-1.01E-2</v>
      </c>
      <c r="J364" s="23">
        <v>90.843770000000006</v>
      </c>
      <c r="K364" s="23">
        <v>50154.84</v>
      </c>
      <c r="L364" s="23">
        <v>30202.57</v>
      </c>
      <c r="M364" s="23">
        <v>12</v>
      </c>
      <c r="N364" s="23">
        <v>-42.02</v>
      </c>
      <c r="O364" s="33">
        <v>-1.01E-2</v>
      </c>
      <c r="P364" s="33">
        <v>6.6E-3</v>
      </c>
      <c r="Q364" s="23" t="s">
        <v>24</v>
      </c>
      <c r="R364" s="23">
        <v>0</v>
      </c>
      <c r="S364" s="23">
        <v>564.5</v>
      </c>
      <c r="U364" s="47">
        <v>44560</v>
      </c>
      <c r="V364" s="23" t="s">
        <v>104</v>
      </c>
      <c r="W364" s="23" t="s">
        <v>23</v>
      </c>
      <c r="X364" s="28">
        <v>44531.489583333336</v>
      </c>
      <c r="Y364" s="23">
        <v>13.35</v>
      </c>
      <c r="Z364" s="28">
        <v>44531.604166666664</v>
      </c>
      <c r="AA364" s="23">
        <v>14.9</v>
      </c>
      <c r="AB364" s="33">
        <v>0.11609999999999999</v>
      </c>
      <c r="AC364" s="23">
        <v>-6285.59</v>
      </c>
      <c r="AD364" s="33">
        <v>-0.11609999999999999</v>
      </c>
      <c r="AE364" s="23">
        <v>4055.2190000000001</v>
      </c>
      <c r="AF364" s="23">
        <v>54137.18</v>
      </c>
      <c r="AG364" s="23">
        <v>820007.87</v>
      </c>
      <c r="AH364" s="23">
        <v>12</v>
      </c>
      <c r="AI364" s="23">
        <v>-523.79999999999995</v>
      </c>
      <c r="AJ364" s="33">
        <v>-0.1573</v>
      </c>
      <c r="AK364" s="33">
        <v>0</v>
      </c>
      <c r="AL364" s="23" t="s">
        <v>24</v>
      </c>
      <c r="AM364" s="23">
        <v>552.1</v>
      </c>
      <c r="AN364" s="23">
        <v>36340.6</v>
      </c>
      <c r="AO364" s="23">
        <v>564.5</v>
      </c>
      <c r="AQ364" s="50">
        <f t="shared" si="5"/>
        <v>2.4180402101068647E-2</v>
      </c>
      <c r="AR364" s="50"/>
      <c r="AS364" s="48"/>
      <c r="AT364" s="50"/>
      <c r="AV364" s="47">
        <v>44531</v>
      </c>
      <c r="AW364" s="51">
        <v>0.48958333333333331</v>
      </c>
      <c r="AX364" t="s">
        <v>162</v>
      </c>
    </row>
    <row r="365" spans="1:50">
      <c r="A365" s="23" t="s">
        <v>22</v>
      </c>
      <c r="B365" s="23" t="s">
        <v>25</v>
      </c>
      <c r="C365" s="28">
        <v>44531.604166666664</v>
      </c>
      <c r="D365" s="23">
        <v>557.65</v>
      </c>
      <c r="E365" s="28">
        <v>44532.572916666664</v>
      </c>
      <c r="F365" s="23">
        <v>562.5</v>
      </c>
      <c r="G365" s="33">
        <v>8.6999999999999994E-3</v>
      </c>
      <c r="H365" s="23">
        <v>436.18</v>
      </c>
      <c r="I365" s="33">
        <v>8.6999999999999994E-3</v>
      </c>
      <c r="J365" s="23">
        <v>89.934550000000002</v>
      </c>
      <c r="K365" s="23">
        <v>50152</v>
      </c>
      <c r="L365" s="23">
        <v>30638.75</v>
      </c>
      <c r="M365" s="23">
        <v>26</v>
      </c>
      <c r="N365" s="23">
        <v>16.78</v>
      </c>
      <c r="O365" s="33">
        <v>-4.7999999999999996E-3</v>
      </c>
      <c r="P365" s="33">
        <v>1.77E-2</v>
      </c>
      <c r="Q365" s="23" t="s">
        <v>24</v>
      </c>
      <c r="R365" s="23">
        <v>0</v>
      </c>
      <c r="S365" s="23">
        <v>548.47</v>
      </c>
      <c r="U365" s="47">
        <v>44560</v>
      </c>
      <c r="V365" s="23" t="s">
        <v>105</v>
      </c>
      <c r="W365" s="23" t="s">
        <v>23</v>
      </c>
      <c r="X365" s="28">
        <v>44531.604166666664</v>
      </c>
      <c r="Y365" s="23">
        <v>6.15</v>
      </c>
      <c r="Z365" s="28">
        <v>44532.572916666664</v>
      </c>
      <c r="AA365" s="23">
        <v>4.9249999999999998</v>
      </c>
      <c r="AB365" s="33">
        <v>-0.19919999999999999</v>
      </c>
      <c r="AC365" s="23">
        <v>10776.02</v>
      </c>
      <c r="AD365" s="33">
        <v>0.19919999999999999</v>
      </c>
      <c r="AE365" s="23">
        <v>8796.7540000000008</v>
      </c>
      <c r="AF365" s="23">
        <v>54100.04</v>
      </c>
      <c r="AG365" s="23">
        <v>830783.89</v>
      </c>
      <c r="AH365" s="23">
        <v>26</v>
      </c>
      <c r="AI365" s="23">
        <v>414.46</v>
      </c>
      <c r="AJ365" s="33">
        <v>-3.2500000000000001E-2</v>
      </c>
      <c r="AK365" s="33">
        <v>0.22359999999999999</v>
      </c>
      <c r="AL365" s="23" t="s">
        <v>24</v>
      </c>
      <c r="AM365" s="23">
        <v>557.65</v>
      </c>
      <c r="AN365" s="23">
        <v>36313</v>
      </c>
      <c r="AO365" s="23">
        <v>548.47</v>
      </c>
      <c r="AQ365" s="50">
        <f t="shared" si="5"/>
        <v>1.1028422845871067E-2</v>
      </c>
      <c r="AR365" s="50"/>
      <c r="AS365" s="48"/>
      <c r="AT365" s="50"/>
      <c r="AV365" s="47">
        <v>44531</v>
      </c>
      <c r="AW365" s="51">
        <v>0.10416666666666667</v>
      </c>
      <c r="AX365" t="s">
        <v>163</v>
      </c>
    </row>
    <row r="366" spans="1:50">
      <c r="A366" s="23" t="s">
        <v>22</v>
      </c>
      <c r="B366" s="23" t="s">
        <v>23</v>
      </c>
      <c r="C366" s="28">
        <v>44532.572916666664</v>
      </c>
      <c r="D366" s="23">
        <v>562.5</v>
      </c>
      <c r="E366" s="28">
        <v>44532.625</v>
      </c>
      <c r="F366" s="23">
        <v>565.52499999999998</v>
      </c>
      <c r="G366" s="33">
        <v>5.4000000000000003E-3</v>
      </c>
      <c r="H366" s="23">
        <v>-269.72000000000003</v>
      </c>
      <c r="I366" s="33">
        <v>-5.4000000000000003E-3</v>
      </c>
      <c r="J366" s="23">
        <v>89.162639999999996</v>
      </c>
      <c r="K366" s="23">
        <v>50153.98</v>
      </c>
      <c r="L366" s="23">
        <v>30369.03</v>
      </c>
      <c r="M366" s="23">
        <v>6</v>
      </c>
      <c r="N366" s="23">
        <v>-44.95</v>
      </c>
      <c r="O366" s="33">
        <v>-5.4000000000000003E-3</v>
      </c>
      <c r="P366" s="33">
        <v>3.5000000000000001E-3</v>
      </c>
      <c r="Q366" s="23" t="s">
        <v>24</v>
      </c>
      <c r="R366" s="23">
        <v>0</v>
      </c>
      <c r="S366" s="23">
        <v>567.5</v>
      </c>
      <c r="U366" s="47">
        <v>44560</v>
      </c>
      <c r="V366" s="23" t="s">
        <v>110</v>
      </c>
      <c r="W366" s="23" t="s">
        <v>23</v>
      </c>
      <c r="X366" s="28">
        <v>44532.572916666664</v>
      </c>
      <c r="Y366" s="23">
        <v>3.35</v>
      </c>
      <c r="Z366" s="28">
        <v>44532.625</v>
      </c>
      <c r="AA366" s="23">
        <v>3.15</v>
      </c>
      <c r="AB366" s="33">
        <v>-5.9700000000000003E-2</v>
      </c>
      <c r="AC366" s="23">
        <v>3232.94</v>
      </c>
      <c r="AD366" s="33">
        <v>5.9700000000000003E-2</v>
      </c>
      <c r="AE366" s="23">
        <v>16164.69</v>
      </c>
      <c r="AF366" s="23">
        <v>54151.72</v>
      </c>
      <c r="AG366" s="23">
        <v>834016.83</v>
      </c>
      <c r="AH366" s="23">
        <v>6</v>
      </c>
      <c r="AI366" s="23">
        <v>538.82000000000005</v>
      </c>
      <c r="AJ366" s="33">
        <v>-4.48E-2</v>
      </c>
      <c r="AK366" s="33">
        <v>5.9700000000000003E-2</v>
      </c>
      <c r="AL366" s="23" t="s">
        <v>24</v>
      </c>
      <c r="AM366" s="23">
        <v>562.5</v>
      </c>
      <c r="AN366" s="23">
        <v>36349.65</v>
      </c>
      <c r="AO366" s="23">
        <v>567.5</v>
      </c>
      <c r="AQ366" s="50">
        <f t="shared" si="5"/>
        <v>5.9555555555555559E-3</v>
      </c>
      <c r="AR366" s="50"/>
      <c r="AS366" s="48"/>
      <c r="AT366" s="50"/>
      <c r="AV366" s="47">
        <v>44532</v>
      </c>
      <c r="AW366" s="51">
        <v>7.2916666666666671E-2</v>
      </c>
      <c r="AX366" t="s">
        <v>163</v>
      </c>
    </row>
    <row r="367" spans="1:50">
      <c r="A367" s="23" t="s">
        <v>22</v>
      </c>
      <c r="B367" s="23" t="s">
        <v>25</v>
      </c>
      <c r="C367" s="28">
        <v>44532.625</v>
      </c>
      <c r="D367" s="23">
        <v>565.52499999999998</v>
      </c>
      <c r="E367" s="28">
        <v>44533.520833333336</v>
      </c>
      <c r="F367" s="23">
        <v>569.07500000000005</v>
      </c>
      <c r="G367" s="33">
        <v>6.3E-3</v>
      </c>
      <c r="H367" s="23">
        <v>314.82</v>
      </c>
      <c r="I367" s="33">
        <v>6.3E-3</v>
      </c>
      <c r="J367" s="23">
        <v>88.682810000000003</v>
      </c>
      <c r="K367" s="23">
        <v>50152.35</v>
      </c>
      <c r="L367" s="23">
        <v>30683.86</v>
      </c>
      <c r="M367" s="23">
        <v>19</v>
      </c>
      <c r="N367" s="23">
        <v>16.57</v>
      </c>
      <c r="O367" s="33">
        <v>-2.7000000000000001E-3</v>
      </c>
      <c r="P367" s="33">
        <v>1.9400000000000001E-2</v>
      </c>
      <c r="Q367" s="23" t="s">
        <v>24</v>
      </c>
      <c r="R367" s="23">
        <v>0</v>
      </c>
      <c r="S367" s="23">
        <v>560.53</v>
      </c>
      <c r="U367" s="47">
        <v>44560</v>
      </c>
      <c r="V367" s="23" t="s">
        <v>105</v>
      </c>
      <c r="W367" s="23" t="s">
        <v>23</v>
      </c>
      <c r="X367" s="28">
        <v>44532.625</v>
      </c>
      <c r="Y367" s="23">
        <v>4.5750000000000002</v>
      </c>
      <c r="Z367" s="28">
        <v>44533.520833333336</v>
      </c>
      <c r="AA367" s="23">
        <v>3</v>
      </c>
      <c r="AB367" s="33">
        <v>-0.34429999999999999</v>
      </c>
      <c r="AC367" s="23">
        <v>18648.72</v>
      </c>
      <c r="AD367" s="33">
        <v>0.34429999999999999</v>
      </c>
      <c r="AE367" s="23">
        <v>11840.46</v>
      </c>
      <c r="AF367" s="23">
        <v>54170.09</v>
      </c>
      <c r="AG367" s="23">
        <v>852665.55</v>
      </c>
      <c r="AH367" s="23">
        <v>19</v>
      </c>
      <c r="AI367" s="23">
        <v>981.51</v>
      </c>
      <c r="AJ367" s="33">
        <v>-2.1899999999999999E-2</v>
      </c>
      <c r="AK367" s="33">
        <v>0.36070000000000002</v>
      </c>
      <c r="AL367" s="23" t="s">
        <v>24</v>
      </c>
      <c r="AM367" s="23">
        <v>565.53</v>
      </c>
      <c r="AN367" s="23">
        <v>36486.800000000003</v>
      </c>
      <c r="AO367" s="23">
        <v>560.53</v>
      </c>
      <c r="AQ367" s="50">
        <f t="shared" si="5"/>
        <v>8.0897565115908981E-3</v>
      </c>
      <c r="AR367" s="50"/>
      <c r="AS367" s="48"/>
      <c r="AT367" s="50"/>
      <c r="AV367" s="47">
        <v>44532</v>
      </c>
      <c r="AW367" s="51">
        <v>0.125</v>
      </c>
      <c r="AX367" t="s">
        <v>163</v>
      </c>
    </row>
    <row r="368" spans="1:50">
      <c r="A368" s="23" t="s">
        <v>22</v>
      </c>
      <c r="B368" s="23" t="s">
        <v>23</v>
      </c>
      <c r="C368" s="28">
        <v>44533.520833333336</v>
      </c>
      <c r="D368" s="23">
        <v>569.07500000000005</v>
      </c>
      <c r="E368" s="28">
        <v>44533.59375</v>
      </c>
      <c r="F368" s="23">
        <v>568</v>
      </c>
      <c r="G368" s="33">
        <v>-1.9E-3</v>
      </c>
      <c r="H368" s="23">
        <v>94.74</v>
      </c>
      <c r="I368" s="33">
        <v>1.9E-3</v>
      </c>
      <c r="J368" s="23">
        <v>88.132739999999998</v>
      </c>
      <c r="K368" s="23">
        <v>50154.14</v>
      </c>
      <c r="L368" s="23">
        <v>30778.6</v>
      </c>
      <c r="M368" s="23">
        <v>8</v>
      </c>
      <c r="N368" s="23">
        <v>11.84</v>
      </c>
      <c r="O368" s="33">
        <v>-5.7999999999999996E-3</v>
      </c>
      <c r="P368" s="33">
        <v>4.0099999999999997E-2</v>
      </c>
      <c r="Q368" s="23" t="s">
        <v>24</v>
      </c>
      <c r="R368" s="23">
        <v>0</v>
      </c>
      <c r="S368" s="23">
        <v>576.47</v>
      </c>
      <c r="U368" s="47">
        <v>44560</v>
      </c>
      <c r="V368" s="23" t="s">
        <v>137</v>
      </c>
      <c r="W368" s="23" t="s">
        <v>23</v>
      </c>
      <c r="X368" s="28">
        <v>44533.520833333336</v>
      </c>
      <c r="Y368" s="23">
        <v>26</v>
      </c>
      <c r="Z368" s="28">
        <v>44533.59375</v>
      </c>
      <c r="AA368" s="23">
        <v>23.375</v>
      </c>
      <c r="AB368" s="33">
        <v>-0.10100000000000001</v>
      </c>
      <c r="AC368" s="23">
        <v>5478.66</v>
      </c>
      <c r="AD368" s="33">
        <v>0.10100000000000001</v>
      </c>
      <c r="AE368" s="23">
        <v>2087.1080000000002</v>
      </c>
      <c r="AF368" s="23">
        <v>54264.800000000003</v>
      </c>
      <c r="AG368" s="23">
        <v>858144.2</v>
      </c>
      <c r="AH368" s="23">
        <v>8</v>
      </c>
      <c r="AI368" s="23">
        <v>684.83</v>
      </c>
      <c r="AJ368" s="33">
        <v>0</v>
      </c>
      <c r="AK368" s="33">
        <v>0.3654</v>
      </c>
      <c r="AL368" s="23" t="s">
        <v>24</v>
      </c>
      <c r="AM368" s="23">
        <v>569.08000000000004</v>
      </c>
      <c r="AN368" s="23">
        <v>36399.1</v>
      </c>
      <c r="AO368" s="23">
        <v>576.47</v>
      </c>
      <c r="AQ368" s="50">
        <f t="shared" si="5"/>
        <v>4.5687776762493845E-2</v>
      </c>
      <c r="AR368" s="50"/>
      <c r="AS368" s="48"/>
      <c r="AT368" s="50"/>
      <c r="AV368" s="47">
        <v>44533</v>
      </c>
      <c r="AW368" s="51">
        <v>0.52083333333333337</v>
      </c>
      <c r="AX368" t="s">
        <v>163</v>
      </c>
    </row>
    <row r="369" spans="1:50">
      <c r="A369" s="23" t="s">
        <v>22</v>
      </c>
      <c r="B369" s="23" t="s">
        <v>25</v>
      </c>
      <c r="C369" s="28">
        <v>44533.59375</v>
      </c>
      <c r="D369" s="23">
        <v>568</v>
      </c>
      <c r="E369" s="28">
        <v>44536.5625</v>
      </c>
      <c r="F369" s="23">
        <v>566.17499999999995</v>
      </c>
      <c r="G369" s="33">
        <v>-3.2000000000000002E-3</v>
      </c>
      <c r="H369" s="23">
        <v>-161.15</v>
      </c>
      <c r="I369" s="33">
        <v>-3.2000000000000002E-3</v>
      </c>
      <c r="J369" s="23">
        <v>88.301280000000006</v>
      </c>
      <c r="K369" s="23">
        <v>50155.13</v>
      </c>
      <c r="L369" s="23">
        <v>30617.45</v>
      </c>
      <c r="M369" s="23">
        <v>26</v>
      </c>
      <c r="N369" s="23">
        <v>-6.2</v>
      </c>
      <c r="O369" s="33">
        <v>-1.2E-2</v>
      </c>
      <c r="P369" s="33">
        <v>7.6E-3</v>
      </c>
      <c r="Q369" s="23" t="s">
        <v>24</v>
      </c>
      <c r="R369" s="23">
        <v>0</v>
      </c>
      <c r="S369" s="23">
        <v>546.25</v>
      </c>
      <c r="U369" s="47">
        <v>44560</v>
      </c>
      <c r="V369" s="23" t="s">
        <v>106</v>
      </c>
      <c r="W369" s="23" t="s">
        <v>23</v>
      </c>
      <c r="X369" s="28">
        <v>44533.59375</v>
      </c>
      <c r="Y369" s="23">
        <v>14.525</v>
      </c>
      <c r="Z369" s="28">
        <v>44536.5625</v>
      </c>
      <c r="AA369" s="23">
        <v>13.5</v>
      </c>
      <c r="AB369" s="33">
        <v>-7.0599999999999996E-2</v>
      </c>
      <c r="AC369" s="23">
        <v>3831.98</v>
      </c>
      <c r="AD369" s="33">
        <v>7.0599999999999996E-2</v>
      </c>
      <c r="AE369" s="23">
        <v>3738.5160000000001</v>
      </c>
      <c r="AF369" s="23">
        <v>54301.94</v>
      </c>
      <c r="AG369" s="23">
        <v>861976.18</v>
      </c>
      <c r="AH369" s="23">
        <v>26</v>
      </c>
      <c r="AI369" s="23">
        <v>147.38</v>
      </c>
      <c r="AJ369" s="33">
        <v>-0.19620000000000001</v>
      </c>
      <c r="AK369" s="33">
        <v>7.0599999999999996E-2</v>
      </c>
      <c r="AL369" s="23" t="s">
        <v>24</v>
      </c>
      <c r="AM369" s="23">
        <v>568</v>
      </c>
      <c r="AN369" s="23">
        <v>36172.65</v>
      </c>
      <c r="AO369" s="23">
        <v>546.25</v>
      </c>
      <c r="AQ369" s="50">
        <f t="shared" si="5"/>
        <v>2.557218309859155E-2</v>
      </c>
      <c r="AR369" s="50"/>
      <c r="AS369" s="48"/>
      <c r="AT369" s="50"/>
      <c r="AV369" s="47">
        <v>44533</v>
      </c>
      <c r="AW369" s="51">
        <v>9.375E-2</v>
      </c>
      <c r="AX369" t="s">
        <v>163</v>
      </c>
    </row>
    <row r="370" spans="1:50">
      <c r="A370" s="23" t="s">
        <v>22</v>
      </c>
      <c r="B370" s="23" t="s">
        <v>23</v>
      </c>
      <c r="C370" s="28">
        <v>44536.5625</v>
      </c>
      <c r="D370" s="23">
        <v>566.17499999999995</v>
      </c>
      <c r="E370" s="28">
        <v>44537.385416666664</v>
      </c>
      <c r="F370" s="23">
        <v>570.02499999999998</v>
      </c>
      <c r="G370" s="33">
        <v>6.7999999999999996E-3</v>
      </c>
      <c r="H370" s="23">
        <v>-341.04</v>
      </c>
      <c r="I370" s="33">
        <v>-6.7999999999999996E-3</v>
      </c>
      <c r="J370" s="23">
        <v>88.582970000000003</v>
      </c>
      <c r="K370" s="23">
        <v>50153.46</v>
      </c>
      <c r="L370" s="23">
        <v>30276.41</v>
      </c>
      <c r="M370" s="23">
        <v>12</v>
      </c>
      <c r="N370" s="23">
        <v>-28.42</v>
      </c>
      <c r="O370" s="33">
        <v>-6.7999999999999996E-3</v>
      </c>
      <c r="P370" s="33">
        <v>1.78E-2</v>
      </c>
      <c r="Q370" s="23" t="s">
        <v>24</v>
      </c>
      <c r="R370" s="23">
        <v>0</v>
      </c>
      <c r="S370" s="23">
        <v>572.17999999999995</v>
      </c>
      <c r="U370" s="47">
        <v>44560</v>
      </c>
      <c r="V370" s="23" t="s">
        <v>104</v>
      </c>
      <c r="W370" s="23" t="s">
        <v>23</v>
      </c>
      <c r="X370" s="28">
        <v>44536.5625</v>
      </c>
      <c r="Y370" s="23">
        <v>17.25</v>
      </c>
      <c r="Z370" s="28">
        <v>44537.385416666664</v>
      </c>
      <c r="AA370" s="23">
        <v>20.475000000000001</v>
      </c>
      <c r="AB370" s="33">
        <v>0.187</v>
      </c>
      <c r="AC370" s="23">
        <v>-10153.59</v>
      </c>
      <c r="AD370" s="33">
        <v>-0.187</v>
      </c>
      <c r="AE370" s="23">
        <v>3148.3989999999999</v>
      </c>
      <c r="AF370" s="23">
        <v>54309.88</v>
      </c>
      <c r="AG370" s="23">
        <v>851822.6</v>
      </c>
      <c r="AH370" s="23">
        <v>12</v>
      </c>
      <c r="AI370" s="23">
        <v>-846.13</v>
      </c>
      <c r="AJ370" s="33">
        <v>-0.187</v>
      </c>
      <c r="AK370" s="33">
        <v>0.18260000000000001</v>
      </c>
      <c r="AL370" s="23" t="s">
        <v>24</v>
      </c>
      <c r="AM370" s="23">
        <v>566.16999999999996</v>
      </c>
      <c r="AN370" s="23">
        <v>36080.9</v>
      </c>
      <c r="AO370" s="23">
        <v>572.17999999999995</v>
      </c>
      <c r="AQ370" s="50">
        <f t="shared" si="5"/>
        <v>3.0467880671883007E-2</v>
      </c>
      <c r="AR370" s="50"/>
      <c r="AS370" s="48"/>
      <c r="AT370" s="50"/>
      <c r="AV370" s="47">
        <v>44536</v>
      </c>
      <c r="AW370" s="51">
        <v>6.25E-2</v>
      </c>
      <c r="AX370" t="s">
        <v>163</v>
      </c>
    </row>
    <row r="371" spans="1:50">
      <c r="A371" s="23" t="s">
        <v>22</v>
      </c>
      <c r="B371" s="23" t="s">
        <v>25</v>
      </c>
      <c r="C371" s="28">
        <v>44537.385416666664</v>
      </c>
      <c r="D371" s="23">
        <v>570.02499999999998</v>
      </c>
      <c r="E371" s="28">
        <v>44537.458333333336</v>
      </c>
      <c r="F371" s="23">
        <v>564.5</v>
      </c>
      <c r="G371" s="33">
        <v>-9.7000000000000003E-3</v>
      </c>
      <c r="H371" s="23">
        <v>-486.12</v>
      </c>
      <c r="I371" s="33">
        <v>-9.7000000000000003E-3</v>
      </c>
      <c r="J371" s="23">
        <v>87.985309999999998</v>
      </c>
      <c r="K371" s="23">
        <v>50153.83</v>
      </c>
      <c r="L371" s="23">
        <v>29790.29</v>
      </c>
      <c r="M371" s="23">
        <v>8</v>
      </c>
      <c r="N371" s="23">
        <v>-60.76</v>
      </c>
      <c r="O371" s="33">
        <v>-1.67E-2</v>
      </c>
      <c r="P371" s="33">
        <v>1.0500000000000001E-2</v>
      </c>
      <c r="Q371" s="23" t="s">
        <v>24</v>
      </c>
      <c r="R371" s="23">
        <v>0</v>
      </c>
      <c r="S371" s="23">
        <v>556.79999999999995</v>
      </c>
      <c r="U371" s="47">
        <v>44560</v>
      </c>
      <c r="V371" s="23" t="s">
        <v>138</v>
      </c>
      <c r="W371" s="23" t="s">
        <v>23</v>
      </c>
      <c r="X371" s="28">
        <v>44537.385416666664</v>
      </c>
      <c r="Y371" s="23">
        <v>21.5</v>
      </c>
      <c r="Z371" s="28">
        <v>44537.458333333336</v>
      </c>
      <c r="AA371" s="23">
        <v>23.625</v>
      </c>
      <c r="AB371" s="33">
        <v>9.8799999999999999E-2</v>
      </c>
      <c r="AC371" s="23">
        <v>-5369.43</v>
      </c>
      <c r="AD371" s="33">
        <v>-9.8799999999999999E-2</v>
      </c>
      <c r="AE371" s="23">
        <v>2526.7919999999999</v>
      </c>
      <c r="AF371" s="23">
        <v>54326.02</v>
      </c>
      <c r="AG371" s="23">
        <v>846453.16</v>
      </c>
      <c r="AH371" s="23">
        <v>8</v>
      </c>
      <c r="AI371" s="23">
        <v>-671.18</v>
      </c>
      <c r="AJ371" s="33">
        <v>-0.1221</v>
      </c>
      <c r="AK371" s="33">
        <v>6.8599999999999994E-2</v>
      </c>
      <c r="AL371" s="23" t="s">
        <v>24</v>
      </c>
      <c r="AM371" s="23">
        <v>570.03</v>
      </c>
      <c r="AN371" s="23">
        <v>36141.050000000003</v>
      </c>
      <c r="AO371" s="23">
        <v>556.79999999999995</v>
      </c>
      <c r="AQ371" s="50">
        <f t="shared" si="5"/>
        <v>3.7717313123870673E-2</v>
      </c>
      <c r="AR371" s="50"/>
      <c r="AS371" s="48"/>
      <c r="AT371" s="50"/>
      <c r="AV371" s="47">
        <v>44537</v>
      </c>
      <c r="AW371" s="51">
        <v>0.38541666666666669</v>
      </c>
      <c r="AX371" t="s">
        <v>162</v>
      </c>
    </row>
    <row r="372" spans="1:50">
      <c r="A372" s="23" t="s">
        <v>22</v>
      </c>
      <c r="B372" s="23" t="s">
        <v>23</v>
      </c>
      <c r="C372" s="28">
        <v>44537.458333333336</v>
      </c>
      <c r="D372" s="23">
        <v>564.5</v>
      </c>
      <c r="E372" s="28">
        <v>44537.614583333336</v>
      </c>
      <c r="F372" s="23">
        <v>564.25</v>
      </c>
      <c r="G372" s="33">
        <v>-4.0000000000000002E-4</v>
      </c>
      <c r="H372" s="23">
        <v>22.21</v>
      </c>
      <c r="I372" s="33">
        <v>4.0000000000000002E-4</v>
      </c>
      <c r="J372" s="23">
        <v>88.837630000000004</v>
      </c>
      <c r="K372" s="23">
        <v>50148.84</v>
      </c>
      <c r="L372" s="23">
        <v>29812.5</v>
      </c>
      <c r="M372" s="23">
        <v>16</v>
      </c>
      <c r="N372" s="23">
        <v>1.39</v>
      </c>
      <c r="O372" s="33">
        <v>-3.8999999999999998E-3</v>
      </c>
      <c r="P372" s="33">
        <v>1.5900000000000001E-2</v>
      </c>
      <c r="Q372" s="23" t="s">
        <v>24</v>
      </c>
      <c r="R372" s="23">
        <v>0</v>
      </c>
      <c r="S372" s="23">
        <v>575.44000000000005</v>
      </c>
      <c r="U372" s="47">
        <v>44560</v>
      </c>
      <c r="V372" s="23" t="s">
        <v>126</v>
      </c>
      <c r="W372" s="23" t="s">
        <v>23</v>
      </c>
      <c r="X372" s="28">
        <v>44537.458333333336</v>
      </c>
      <c r="Y372" s="23">
        <v>24.75</v>
      </c>
      <c r="Z372" s="28">
        <v>44537.614583333336</v>
      </c>
      <c r="AA372" s="23">
        <v>25</v>
      </c>
      <c r="AB372" s="33">
        <v>1.01E-2</v>
      </c>
      <c r="AC372" s="23">
        <v>-547.79999999999995</v>
      </c>
      <c r="AD372" s="33">
        <v>-1.01E-2</v>
      </c>
      <c r="AE372" s="23">
        <v>2191.203</v>
      </c>
      <c r="AF372" s="23">
        <v>54232.27</v>
      </c>
      <c r="AG372" s="23">
        <v>845905.36</v>
      </c>
      <c r="AH372" s="23">
        <v>16</v>
      </c>
      <c r="AI372" s="23">
        <v>-34.24</v>
      </c>
      <c r="AJ372" s="33">
        <v>-8.0799999999999997E-2</v>
      </c>
      <c r="AK372" s="33">
        <v>6.9699999999999998E-2</v>
      </c>
      <c r="AL372" s="23" t="s">
        <v>24</v>
      </c>
      <c r="AM372" s="23">
        <v>564.5</v>
      </c>
      <c r="AN372" s="23">
        <v>36552.449999999997</v>
      </c>
      <c r="AO372" s="23">
        <v>575.44000000000005</v>
      </c>
      <c r="AQ372" s="50">
        <f t="shared" si="5"/>
        <v>4.3844109831709478E-2</v>
      </c>
      <c r="AR372" s="50"/>
      <c r="AS372" s="48"/>
      <c r="AT372" s="50"/>
      <c r="AV372" s="47">
        <v>44537</v>
      </c>
      <c r="AW372" s="51">
        <v>0.45833333333333331</v>
      </c>
      <c r="AX372" t="s">
        <v>162</v>
      </c>
    </row>
    <row r="373" spans="1:50">
      <c r="A373" s="23" t="s">
        <v>22</v>
      </c>
      <c r="B373" s="23" t="s">
        <v>25</v>
      </c>
      <c r="C373" s="28">
        <v>44537.614583333336</v>
      </c>
      <c r="D373" s="23">
        <v>564.25</v>
      </c>
      <c r="E373" s="28">
        <v>44539.59375</v>
      </c>
      <c r="F373" s="23">
        <v>584.45000000000005</v>
      </c>
      <c r="G373" s="33">
        <v>3.5799999999999998E-2</v>
      </c>
      <c r="H373" s="23">
        <v>1795.32</v>
      </c>
      <c r="I373" s="33">
        <v>3.5799999999999998E-2</v>
      </c>
      <c r="J373" s="23">
        <v>88.877179999999996</v>
      </c>
      <c r="K373" s="23">
        <v>50148.95</v>
      </c>
      <c r="L373" s="23">
        <v>31607.82</v>
      </c>
      <c r="M373" s="23">
        <v>56</v>
      </c>
      <c r="N373" s="23">
        <v>32.06</v>
      </c>
      <c r="O373" s="33">
        <v>-8.6999999999999994E-3</v>
      </c>
      <c r="P373" s="33">
        <v>4.7899999999999998E-2</v>
      </c>
      <c r="Q373" s="23" t="s">
        <v>24</v>
      </c>
      <c r="R373" s="23">
        <v>0</v>
      </c>
      <c r="S373" s="23">
        <v>555.71</v>
      </c>
      <c r="U373" s="47">
        <v>44560</v>
      </c>
      <c r="V373" s="23" t="s">
        <v>140</v>
      </c>
      <c r="W373" s="23" t="s">
        <v>23</v>
      </c>
      <c r="X373" s="28">
        <v>44537.614583333336</v>
      </c>
      <c r="Y373" s="23">
        <v>18.225000000000001</v>
      </c>
      <c r="Z373" s="28">
        <v>44539.59375</v>
      </c>
      <c r="AA373" s="23">
        <v>8.7750000000000004</v>
      </c>
      <c r="AB373" s="33">
        <v>-0.51849999999999996</v>
      </c>
      <c r="AC373" s="23">
        <v>28111.34</v>
      </c>
      <c r="AD373" s="33">
        <v>0.51849999999999996</v>
      </c>
      <c r="AE373" s="23">
        <v>2974.7449999999999</v>
      </c>
      <c r="AF373" s="23">
        <v>54214.73</v>
      </c>
      <c r="AG373" s="23">
        <v>874016.71</v>
      </c>
      <c r="AH373" s="23">
        <v>56</v>
      </c>
      <c r="AI373" s="23">
        <v>501.99</v>
      </c>
      <c r="AJ373" s="33">
        <v>-0.1125</v>
      </c>
      <c r="AK373" s="33">
        <v>0.62409999999999999</v>
      </c>
      <c r="AL373" s="23" t="s">
        <v>24</v>
      </c>
      <c r="AM373" s="23">
        <v>564.25</v>
      </c>
      <c r="AN373" s="23">
        <v>36740.1</v>
      </c>
      <c r="AO373" s="23">
        <v>555.71</v>
      </c>
      <c r="AQ373" s="50">
        <f t="shared" si="5"/>
        <v>3.2299512627381483E-2</v>
      </c>
      <c r="AR373" s="50"/>
      <c r="AS373" s="48"/>
      <c r="AT373" s="50"/>
      <c r="AV373" s="47">
        <v>44537</v>
      </c>
      <c r="AW373" s="51">
        <v>0.11458333333333333</v>
      </c>
      <c r="AX373" t="s">
        <v>163</v>
      </c>
    </row>
    <row r="374" spans="1:50">
      <c r="A374" s="23" t="s">
        <v>22</v>
      </c>
      <c r="B374" s="23" t="s">
        <v>23</v>
      </c>
      <c r="C374" s="28">
        <v>44539.59375</v>
      </c>
      <c r="D374" s="23">
        <v>584.45000000000005</v>
      </c>
      <c r="E374" s="28">
        <v>44540.4375</v>
      </c>
      <c r="F374" s="23">
        <v>584.5</v>
      </c>
      <c r="G374" s="33">
        <v>1E-4</v>
      </c>
      <c r="H374" s="23">
        <v>-4.29</v>
      </c>
      <c r="I374" s="33">
        <v>-1E-4</v>
      </c>
      <c r="J374" s="23">
        <v>85.822959999999995</v>
      </c>
      <c r="K374" s="23">
        <v>50159.23</v>
      </c>
      <c r="L374" s="23">
        <v>31603.53</v>
      </c>
      <c r="M374" s="23">
        <v>15</v>
      </c>
      <c r="N374" s="23">
        <v>-0.28999999999999998</v>
      </c>
      <c r="O374" s="33">
        <v>-4.7000000000000002E-3</v>
      </c>
      <c r="P374" s="33">
        <v>1.9400000000000001E-2</v>
      </c>
      <c r="Q374" s="23" t="s">
        <v>24</v>
      </c>
      <c r="R374" s="23">
        <v>0</v>
      </c>
      <c r="S374" s="23">
        <v>591</v>
      </c>
      <c r="U374" s="47">
        <v>44560</v>
      </c>
      <c r="V374" s="23" t="s">
        <v>115</v>
      </c>
      <c r="W374" s="23" t="s">
        <v>23</v>
      </c>
      <c r="X374" s="28">
        <v>44539.59375</v>
      </c>
      <c r="Y374" s="23">
        <v>17</v>
      </c>
      <c r="Z374" s="28">
        <v>44540.4375</v>
      </c>
      <c r="AA374" s="23">
        <v>15.85</v>
      </c>
      <c r="AB374" s="33">
        <v>-6.7599999999999993E-2</v>
      </c>
      <c r="AC374" s="23">
        <v>3677.98</v>
      </c>
      <c r="AD374" s="33">
        <v>6.7599999999999993E-2</v>
      </c>
      <c r="AE374" s="23">
        <v>3198.24</v>
      </c>
      <c r="AF374" s="23">
        <v>54370.09</v>
      </c>
      <c r="AG374" s="23">
        <v>877694.68</v>
      </c>
      <c r="AH374" s="23">
        <v>15</v>
      </c>
      <c r="AI374" s="23">
        <v>245.2</v>
      </c>
      <c r="AJ374" s="33">
        <v>-8.8200000000000001E-2</v>
      </c>
      <c r="AK374" s="33">
        <v>0.26319999999999999</v>
      </c>
      <c r="AL374" s="23" t="s">
        <v>24</v>
      </c>
      <c r="AM374" s="23">
        <v>584.45000000000005</v>
      </c>
      <c r="AN374" s="23">
        <v>37005.9</v>
      </c>
      <c r="AO374" s="23">
        <v>591</v>
      </c>
      <c r="AQ374" s="50">
        <f t="shared" si="5"/>
        <v>2.9087175977414659E-2</v>
      </c>
      <c r="AR374" s="50"/>
      <c r="AS374" s="48"/>
      <c r="AT374" s="50"/>
      <c r="AV374" s="47">
        <v>44539</v>
      </c>
      <c r="AW374" s="51">
        <v>9.375E-2</v>
      </c>
      <c r="AX374" t="s">
        <v>163</v>
      </c>
    </row>
    <row r="375" spans="1:50">
      <c r="A375" s="23" t="s">
        <v>22</v>
      </c>
      <c r="B375" s="23" t="s">
        <v>25</v>
      </c>
      <c r="C375" s="28">
        <v>44540.4375</v>
      </c>
      <c r="D375" s="23">
        <v>584.5</v>
      </c>
      <c r="E375" s="28">
        <v>44540.59375</v>
      </c>
      <c r="F375" s="23">
        <v>580.5</v>
      </c>
      <c r="G375" s="33">
        <v>-6.7999999999999996E-3</v>
      </c>
      <c r="H375" s="23">
        <v>-343.26</v>
      </c>
      <c r="I375" s="33">
        <v>-6.7999999999999996E-3</v>
      </c>
      <c r="J375" s="23">
        <v>85.813770000000005</v>
      </c>
      <c r="K375" s="23">
        <v>50158.15</v>
      </c>
      <c r="L375" s="23">
        <v>31260.27</v>
      </c>
      <c r="M375" s="23">
        <v>16</v>
      </c>
      <c r="N375" s="23">
        <v>-21.45</v>
      </c>
      <c r="O375" s="33">
        <v>-7.7000000000000002E-3</v>
      </c>
      <c r="P375" s="33">
        <v>1.6999999999999999E-3</v>
      </c>
      <c r="Q375" s="23" t="s">
        <v>24</v>
      </c>
      <c r="R375" s="23">
        <v>0</v>
      </c>
      <c r="S375" s="23">
        <v>573.59</v>
      </c>
      <c r="U375" s="47">
        <v>44560</v>
      </c>
      <c r="V375" s="23" t="s">
        <v>148</v>
      </c>
      <c r="W375" s="23" t="s">
        <v>23</v>
      </c>
      <c r="X375" s="28">
        <v>44540.4375</v>
      </c>
      <c r="Y375" s="23">
        <v>15.5</v>
      </c>
      <c r="Z375" s="28">
        <v>44540.59375</v>
      </c>
      <c r="AA375" s="23">
        <v>16.899999999999999</v>
      </c>
      <c r="AB375" s="33">
        <v>9.0300000000000005E-2</v>
      </c>
      <c r="AC375" s="23">
        <v>-4912.51</v>
      </c>
      <c r="AD375" s="33">
        <v>-9.0300000000000005E-2</v>
      </c>
      <c r="AE375" s="23">
        <v>3508.9340000000002</v>
      </c>
      <c r="AF375" s="23">
        <v>54388.47</v>
      </c>
      <c r="AG375" s="23">
        <v>872782.18</v>
      </c>
      <c r="AH375" s="23">
        <v>16</v>
      </c>
      <c r="AI375" s="23">
        <v>-307.02999999999997</v>
      </c>
      <c r="AJ375" s="33">
        <v>-9.6799999999999997E-2</v>
      </c>
      <c r="AK375" s="33">
        <v>1.6000000000000001E-3</v>
      </c>
      <c r="AL375" s="23" t="s">
        <v>24</v>
      </c>
      <c r="AM375" s="23">
        <v>584.5</v>
      </c>
      <c r="AN375" s="23">
        <v>36998.85</v>
      </c>
      <c r="AO375" s="23">
        <v>573.59</v>
      </c>
      <c r="AQ375" s="50">
        <f t="shared" si="5"/>
        <v>2.6518391787852865E-2</v>
      </c>
      <c r="AR375" s="50"/>
      <c r="AS375" s="48"/>
      <c r="AT375" s="50"/>
      <c r="AV375" s="47">
        <v>44540</v>
      </c>
      <c r="AW375" s="51">
        <v>0.4375</v>
      </c>
      <c r="AX375" t="s">
        <v>162</v>
      </c>
    </row>
    <row r="376" spans="1:50">
      <c r="A376" s="23" t="s">
        <v>22</v>
      </c>
      <c r="B376" s="23" t="s">
        <v>23</v>
      </c>
      <c r="C376" s="28">
        <v>44540.59375</v>
      </c>
      <c r="D376" s="23">
        <v>580.5</v>
      </c>
      <c r="E376" s="28">
        <v>44543.385416666664</v>
      </c>
      <c r="F376" s="23">
        <v>588.82500000000005</v>
      </c>
      <c r="G376" s="33">
        <v>1.43E-2</v>
      </c>
      <c r="H376" s="23">
        <v>-719.3</v>
      </c>
      <c r="I376" s="33">
        <v>-1.43E-2</v>
      </c>
      <c r="J376" s="23">
        <v>86.402820000000006</v>
      </c>
      <c r="K376" s="23">
        <v>50156.84</v>
      </c>
      <c r="L376" s="23">
        <v>30540.97</v>
      </c>
      <c r="M376" s="23">
        <v>9</v>
      </c>
      <c r="N376" s="23">
        <v>-79.92</v>
      </c>
      <c r="O376" s="33">
        <v>-1.43E-2</v>
      </c>
      <c r="P376" s="33">
        <v>4.1999999999999997E-3</v>
      </c>
      <c r="Q376" s="23" t="s">
        <v>24</v>
      </c>
      <c r="R376" s="23">
        <v>0</v>
      </c>
      <c r="S376" s="23">
        <v>585.29</v>
      </c>
      <c r="U376" s="47">
        <v>44560</v>
      </c>
      <c r="V376" s="23" t="s">
        <v>115</v>
      </c>
      <c r="W376" s="23" t="s">
        <v>23</v>
      </c>
      <c r="X376" s="28">
        <v>44540.59375</v>
      </c>
      <c r="Y376" s="23">
        <v>15</v>
      </c>
      <c r="Z376" s="28">
        <v>44543.385416666664</v>
      </c>
      <c r="AA376" s="23">
        <v>18.375</v>
      </c>
      <c r="AB376" s="33">
        <v>0.22500000000000001</v>
      </c>
      <c r="AC376" s="23">
        <v>-12231.88</v>
      </c>
      <c r="AD376" s="33">
        <v>-0.22500000000000001</v>
      </c>
      <c r="AE376" s="23">
        <v>3624.261</v>
      </c>
      <c r="AF376" s="23">
        <v>54363.91</v>
      </c>
      <c r="AG376" s="23">
        <v>860550.3</v>
      </c>
      <c r="AH376" s="23">
        <v>9</v>
      </c>
      <c r="AI376" s="23">
        <v>-1359.1</v>
      </c>
      <c r="AJ376" s="33">
        <v>-0.22500000000000001</v>
      </c>
      <c r="AK376" s="33">
        <v>6.5000000000000002E-2</v>
      </c>
      <c r="AL376" s="23" t="s">
        <v>24</v>
      </c>
      <c r="AM376" s="23">
        <v>580.5</v>
      </c>
      <c r="AN376" s="23">
        <v>36965.1</v>
      </c>
      <c r="AO376" s="23">
        <v>585.29</v>
      </c>
      <c r="AQ376" s="50">
        <f t="shared" si="5"/>
        <v>2.5839793281653745E-2</v>
      </c>
      <c r="AR376" s="50"/>
      <c r="AS376" s="48"/>
      <c r="AT376" s="50"/>
      <c r="AV376" s="47">
        <v>44540</v>
      </c>
      <c r="AW376" s="51">
        <v>9.375E-2</v>
      </c>
      <c r="AX376" t="s">
        <v>163</v>
      </c>
    </row>
    <row r="377" spans="1:50">
      <c r="A377" s="23" t="s">
        <v>22</v>
      </c>
      <c r="B377" s="23" t="s">
        <v>25</v>
      </c>
      <c r="C377" s="28">
        <v>44543.385416666664</v>
      </c>
      <c r="D377" s="23">
        <v>588.82500000000005</v>
      </c>
      <c r="E377" s="28">
        <v>44543.510416666664</v>
      </c>
      <c r="F377" s="23">
        <v>580.67499999999995</v>
      </c>
      <c r="G377" s="33">
        <v>-1.38E-2</v>
      </c>
      <c r="H377" s="23">
        <v>-694.2</v>
      </c>
      <c r="I377" s="33">
        <v>-1.38E-2</v>
      </c>
      <c r="J377" s="23">
        <v>85.178479999999993</v>
      </c>
      <c r="K377" s="23">
        <v>50155.22</v>
      </c>
      <c r="L377" s="23">
        <v>29846.76</v>
      </c>
      <c r="M377" s="23">
        <v>13</v>
      </c>
      <c r="N377" s="23">
        <v>-53.4</v>
      </c>
      <c r="O377" s="33">
        <v>-1.38E-2</v>
      </c>
      <c r="P377" s="33">
        <v>2.8E-3</v>
      </c>
      <c r="Q377" s="23" t="s">
        <v>24</v>
      </c>
      <c r="R377" s="23">
        <v>0</v>
      </c>
      <c r="S377" s="23">
        <v>578.44000000000005</v>
      </c>
      <c r="U377" s="47">
        <v>44560</v>
      </c>
      <c r="V377" s="23" t="s">
        <v>116</v>
      </c>
      <c r="W377" s="23" t="s">
        <v>23</v>
      </c>
      <c r="X377" s="28">
        <v>44543.385416666664</v>
      </c>
      <c r="Y377" s="23">
        <v>18</v>
      </c>
      <c r="Z377" s="28">
        <v>44543.510416666664</v>
      </c>
      <c r="AA377" s="23">
        <v>18.5</v>
      </c>
      <c r="AB377" s="33">
        <v>2.7799999999999998E-2</v>
      </c>
      <c r="AC377" s="23">
        <v>-1510.47</v>
      </c>
      <c r="AD377" s="33">
        <v>-2.7799999999999998E-2</v>
      </c>
      <c r="AE377" s="23">
        <v>3020.9470000000001</v>
      </c>
      <c r="AF377" s="23">
        <v>54377.05</v>
      </c>
      <c r="AG377" s="23">
        <v>859039.82</v>
      </c>
      <c r="AH377" s="23">
        <v>13</v>
      </c>
      <c r="AI377" s="23">
        <v>-116.19</v>
      </c>
      <c r="AJ377" s="33">
        <v>-2.7799999999999998E-2</v>
      </c>
      <c r="AK377" s="33">
        <v>7.0800000000000002E-2</v>
      </c>
      <c r="AL377" s="23" t="s">
        <v>24</v>
      </c>
      <c r="AM377" s="23">
        <v>588.83000000000004</v>
      </c>
      <c r="AN377" s="23">
        <v>37500.400000000001</v>
      </c>
      <c r="AO377" s="23">
        <v>578.44000000000005</v>
      </c>
      <c r="AQ377" s="50">
        <f t="shared" si="5"/>
        <v>3.0569094645313585E-2</v>
      </c>
      <c r="AR377" s="50"/>
      <c r="AS377" s="48"/>
      <c r="AT377" s="50"/>
      <c r="AV377" s="47">
        <v>44543</v>
      </c>
      <c r="AW377" s="51">
        <v>0.38541666666666669</v>
      </c>
      <c r="AX377" t="s">
        <v>162</v>
      </c>
    </row>
    <row r="378" spans="1:50">
      <c r="A378" s="23" t="s">
        <v>22</v>
      </c>
      <c r="B378" s="23" t="s">
        <v>23</v>
      </c>
      <c r="C378" s="28">
        <v>44543.510416666664</v>
      </c>
      <c r="D378" s="23">
        <v>580.67499999999995</v>
      </c>
      <c r="E378" s="28">
        <v>44543.635416666664</v>
      </c>
      <c r="F378" s="23">
        <v>580</v>
      </c>
      <c r="G378" s="33">
        <v>-1.1999999999999999E-3</v>
      </c>
      <c r="H378" s="23">
        <v>58.3</v>
      </c>
      <c r="I378" s="33">
        <v>1.1999999999999999E-3</v>
      </c>
      <c r="J378" s="23">
        <v>86.368530000000007</v>
      </c>
      <c r="K378" s="23">
        <v>50152.05</v>
      </c>
      <c r="L378" s="23">
        <v>29905.06</v>
      </c>
      <c r="M378" s="23">
        <v>13</v>
      </c>
      <c r="N378" s="23">
        <v>4.4800000000000004</v>
      </c>
      <c r="O378" s="33">
        <v>-1.1299999999999999E-2</v>
      </c>
      <c r="P378" s="33">
        <v>1.47E-2</v>
      </c>
      <c r="Q378" s="23" t="s">
        <v>24</v>
      </c>
      <c r="R378" s="23">
        <v>0</v>
      </c>
      <c r="S378" s="23">
        <v>590.30999999999995</v>
      </c>
      <c r="U378" s="47">
        <v>44560</v>
      </c>
      <c r="V378" s="23" t="s">
        <v>104</v>
      </c>
      <c r="W378" s="23" t="s">
        <v>23</v>
      </c>
      <c r="X378" s="28">
        <v>44543.510416666664</v>
      </c>
      <c r="Y378" s="23">
        <v>20.5</v>
      </c>
      <c r="Z378" s="28">
        <v>44543.635416666664</v>
      </c>
      <c r="AA378" s="23">
        <v>17.675000000000001</v>
      </c>
      <c r="AB378" s="33">
        <v>-0.13780000000000001</v>
      </c>
      <c r="AC378" s="23">
        <v>7483.18</v>
      </c>
      <c r="AD378" s="33">
        <v>0.13780000000000001</v>
      </c>
      <c r="AE378" s="23">
        <v>2648.915</v>
      </c>
      <c r="AF378" s="23">
        <v>54302.75</v>
      </c>
      <c r="AG378" s="23">
        <v>866523.01</v>
      </c>
      <c r="AH378" s="23">
        <v>13</v>
      </c>
      <c r="AI378" s="23">
        <v>575.63</v>
      </c>
      <c r="AJ378" s="33">
        <v>-0.122</v>
      </c>
      <c r="AK378" s="33">
        <v>0.23169999999999999</v>
      </c>
      <c r="AL378" s="23" t="s">
        <v>24</v>
      </c>
      <c r="AM378" s="23">
        <v>580.66999999999996</v>
      </c>
      <c r="AN378" s="23">
        <v>37182.75</v>
      </c>
      <c r="AO378" s="23">
        <v>590.30999999999995</v>
      </c>
      <c r="AQ378" s="50">
        <f t="shared" si="5"/>
        <v>3.5304045326949904E-2</v>
      </c>
      <c r="AR378" s="50"/>
      <c r="AS378" s="48"/>
      <c r="AT378" s="50"/>
      <c r="AV378" s="47">
        <v>44543</v>
      </c>
      <c r="AW378" s="51">
        <v>0.51041666666666663</v>
      </c>
      <c r="AX378" t="s">
        <v>163</v>
      </c>
    </row>
    <row r="379" spans="1:50">
      <c r="A379" s="23" t="s">
        <v>22</v>
      </c>
      <c r="B379" s="23" t="s">
        <v>25</v>
      </c>
      <c r="C379" s="28">
        <v>44543.635416666664</v>
      </c>
      <c r="D379" s="23">
        <v>580</v>
      </c>
      <c r="E379" s="28">
        <v>44544.604166666664</v>
      </c>
      <c r="F379" s="23">
        <v>585.75</v>
      </c>
      <c r="G379" s="33">
        <v>9.9000000000000008E-3</v>
      </c>
      <c r="H379" s="23">
        <v>497.17</v>
      </c>
      <c r="I379" s="33">
        <v>9.9000000000000008E-3</v>
      </c>
      <c r="J379" s="23">
        <v>86.464749999999995</v>
      </c>
      <c r="K379" s="23">
        <v>50149.55</v>
      </c>
      <c r="L379" s="23">
        <v>30402.23</v>
      </c>
      <c r="M379" s="23">
        <v>26</v>
      </c>
      <c r="N379" s="23">
        <v>19.12</v>
      </c>
      <c r="O379" s="33">
        <v>-8.6E-3</v>
      </c>
      <c r="P379" s="33">
        <v>2.1100000000000001E-2</v>
      </c>
      <c r="Q379" s="23" t="s">
        <v>24</v>
      </c>
      <c r="R379" s="23">
        <v>0</v>
      </c>
      <c r="S379" s="23">
        <v>572.35</v>
      </c>
      <c r="U379" s="47">
        <v>44560</v>
      </c>
      <c r="V379" s="23" t="s">
        <v>117</v>
      </c>
      <c r="W379" s="23" t="s">
        <v>23</v>
      </c>
      <c r="X379" s="28">
        <v>44543.635416666664</v>
      </c>
      <c r="Y379" s="23">
        <v>3</v>
      </c>
      <c r="Z379" s="28">
        <v>44544.604166666664</v>
      </c>
      <c r="AA379" s="23">
        <v>2</v>
      </c>
      <c r="AB379" s="33">
        <v>-0.33329999999999999</v>
      </c>
      <c r="AC379" s="23">
        <v>18110.87</v>
      </c>
      <c r="AD379" s="33">
        <v>0.33329999999999999</v>
      </c>
      <c r="AE379" s="23">
        <v>18110.87</v>
      </c>
      <c r="AF379" s="23">
        <v>54332.61</v>
      </c>
      <c r="AG379" s="23">
        <v>884633.88</v>
      </c>
      <c r="AH379" s="23">
        <v>26</v>
      </c>
      <c r="AI379" s="23">
        <v>696.57</v>
      </c>
      <c r="AJ379" s="33">
        <v>0</v>
      </c>
      <c r="AK379" s="33">
        <v>0.33329999999999999</v>
      </c>
      <c r="AL379" s="23" t="s">
        <v>24</v>
      </c>
      <c r="AM379" s="23">
        <v>580</v>
      </c>
      <c r="AN379" s="23">
        <v>36962.199999999997</v>
      </c>
      <c r="AO379" s="23">
        <v>572.35</v>
      </c>
      <c r="AQ379" s="50">
        <f t="shared" si="5"/>
        <v>5.1724137931034482E-3</v>
      </c>
      <c r="AR379" s="50"/>
      <c r="AS379" s="48"/>
      <c r="AT379" s="50"/>
      <c r="AV379" s="47">
        <v>44543</v>
      </c>
      <c r="AW379" s="51">
        <v>0.13541666666666666</v>
      </c>
      <c r="AX379" t="s">
        <v>163</v>
      </c>
    </row>
    <row r="380" spans="1:50">
      <c r="A380" s="23" t="s">
        <v>22</v>
      </c>
      <c r="B380" s="23" t="s">
        <v>23</v>
      </c>
      <c r="C380" s="28">
        <v>44544.604166666664</v>
      </c>
      <c r="D380" s="23">
        <v>585.75</v>
      </c>
      <c r="E380" s="28">
        <v>44545.385416666664</v>
      </c>
      <c r="F380" s="23">
        <v>592.27499999999998</v>
      </c>
      <c r="G380" s="33">
        <v>1.11E-2</v>
      </c>
      <c r="H380" s="23">
        <v>-558.66999999999996</v>
      </c>
      <c r="I380" s="33">
        <v>-1.11E-2</v>
      </c>
      <c r="J380" s="23">
        <v>85.620019999999997</v>
      </c>
      <c r="K380" s="23">
        <v>50151.93</v>
      </c>
      <c r="L380" s="23">
        <v>29843.56</v>
      </c>
      <c r="M380" s="23">
        <v>8</v>
      </c>
      <c r="N380" s="23">
        <v>-69.83</v>
      </c>
      <c r="O380" s="33">
        <v>-1.11E-2</v>
      </c>
      <c r="P380" s="33">
        <v>6.1000000000000004E-3</v>
      </c>
      <c r="Q380" s="23" t="s">
        <v>24</v>
      </c>
      <c r="R380" s="23">
        <v>0</v>
      </c>
      <c r="S380" s="23">
        <v>591.98</v>
      </c>
      <c r="U380" s="47">
        <v>44560</v>
      </c>
      <c r="V380" s="23" t="s">
        <v>115</v>
      </c>
      <c r="W380" s="23" t="s">
        <v>23</v>
      </c>
      <c r="X380" s="28">
        <v>44544.604166666664</v>
      </c>
      <c r="Y380" s="23">
        <v>16.375</v>
      </c>
      <c r="Z380" s="28">
        <v>44545.385416666664</v>
      </c>
      <c r="AA380" s="23">
        <v>19.225000000000001</v>
      </c>
      <c r="AB380" s="33">
        <v>0.17399999999999999</v>
      </c>
      <c r="AC380" s="23">
        <v>-9472.1200000000008</v>
      </c>
      <c r="AD380" s="33">
        <v>-0.17399999999999999</v>
      </c>
      <c r="AE380" s="23">
        <v>3323.5520000000001</v>
      </c>
      <c r="AF380" s="23">
        <v>54423.17</v>
      </c>
      <c r="AG380" s="23">
        <v>875161.75</v>
      </c>
      <c r="AH380" s="23">
        <v>8</v>
      </c>
      <c r="AI380" s="23">
        <v>-1184.02</v>
      </c>
      <c r="AJ380" s="33">
        <v>-0.17399999999999999</v>
      </c>
      <c r="AK380" s="33">
        <v>8.4000000000000005E-2</v>
      </c>
      <c r="AL380" s="23" t="s">
        <v>24</v>
      </c>
      <c r="AM380" s="23">
        <v>585.75</v>
      </c>
      <c r="AN380" s="23">
        <v>36816.800000000003</v>
      </c>
      <c r="AO380" s="23">
        <v>591.98</v>
      </c>
      <c r="AQ380" s="50">
        <f t="shared" si="5"/>
        <v>2.7955612462654718E-2</v>
      </c>
      <c r="AR380" s="50"/>
      <c r="AS380" s="48"/>
      <c r="AT380" s="50"/>
      <c r="AV380" s="47">
        <v>44544</v>
      </c>
      <c r="AW380" s="51">
        <v>0.10416666666666667</v>
      </c>
      <c r="AX380" t="s">
        <v>163</v>
      </c>
    </row>
    <row r="381" spans="1:50">
      <c r="A381" s="23" t="s">
        <v>22</v>
      </c>
      <c r="B381" s="23" t="s">
        <v>25</v>
      </c>
      <c r="C381" s="28">
        <v>44545.385416666664</v>
      </c>
      <c r="D381" s="23">
        <v>592.27499999999998</v>
      </c>
      <c r="E381" s="28">
        <v>44545.447916666664</v>
      </c>
      <c r="F381" s="23">
        <v>583.97500000000002</v>
      </c>
      <c r="G381" s="33">
        <v>-1.4E-2</v>
      </c>
      <c r="H381" s="23">
        <v>-702.81</v>
      </c>
      <c r="I381" s="33">
        <v>-1.4E-2</v>
      </c>
      <c r="J381" s="23">
        <v>84.675560000000004</v>
      </c>
      <c r="K381" s="23">
        <v>50151.22</v>
      </c>
      <c r="L381" s="23">
        <v>29140.76</v>
      </c>
      <c r="M381" s="23">
        <v>7</v>
      </c>
      <c r="N381" s="23">
        <v>-100.4</v>
      </c>
      <c r="O381" s="33">
        <v>-1.4E-2</v>
      </c>
      <c r="P381" s="33">
        <v>8.8000000000000005E-3</v>
      </c>
      <c r="Q381" s="23" t="s">
        <v>24</v>
      </c>
      <c r="R381" s="23">
        <v>0</v>
      </c>
      <c r="S381" s="23">
        <v>582.71</v>
      </c>
      <c r="U381" s="47">
        <v>44560</v>
      </c>
      <c r="V381" s="23" t="s">
        <v>116</v>
      </c>
      <c r="W381" s="23" t="s">
        <v>23</v>
      </c>
      <c r="X381" s="28">
        <v>44545.385416666664</v>
      </c>
      <c r="Y381" s="23">
        <v>16.899999999999999</v>
      </c>
      <c r="Z381" s="28">
        <v>44545.447916666664</v>
      </c>
      <c r="AA381" s="23">
        <v>20.875</v>
      </c>
      <c r="AB381" s="33">
        <v>0.23519999999999999</v>
      </c>
      <c r="AC381" s="23">
        <v>-12804.33</v>
      </c>
      <c r="AD381" s="33">
        <v>-0.23519999999999999</v>
      </c>
      <c r="AE381" s="23">
        <v>3221.2159999999999</v>
      </c>
      <c r="AF381" s="23">
        <v>54438.54</v>
      </c>
      <c r="AG381" s="23">
        <v>862357.42</v>
      </c>
      <c r="AH381" s="23">
        <v>7</v>
      </c>
      <c r="AI381" s="23">
        <v>-1829.19</v>
      </c>
      <c r="AJ381" s="33">
        <v>-0.23519999999999999</v>
      </c>
      <c r="AK381" s="33">
        <v>0.15090000000000001</v>
      </c>
      <c r="AL381" s="23" t="s">
        <v>24</v>
      </c>
      <c r="AM381" s="23">
        <v>592.28</v>
      </c>
      <c r="AN381" s="23">
        <v>36934.050000000003</v>
      </c>
      <c r="AO381" s="23">
        <v>582.71</v>
      </c>
      <c r="AQ381" s="50">
        <f t="shared" si="5"/>
        <v>2.8533801580333626E-2</v>
      </c>
      <c r="AR381" s="50"/>
      <c r="AS381" s="48"/>
      <c r="AT381" s="50"/>
      <c r="AV381" s="47">
        <v>44545</v>
      </c>
      <c r="AW381" s="51">
        <v>0.38541666666666669</v>
      </c>
      <c r="AX381" t="s">
        <v>162</v>
      </c>
    </row>
    <row r="382" spans="1:50">
      <c r="A382" s="23" t="s">
        <v>22</v>
      </c>
      <c r="B382" s="23" t="s">
        <v>23</v>
      </c>
      <c r="C382" s="28">
        <v>44545.447916666664</v>
      </c>
      <c r="D382" s="23">
        <v>583.97500000000002</v>
      </c>
      <c r="E382" s="28">
        <v>44546.385416666664</v>
      </c>
      <c r="F382" s="23">
        <v>586.75</v>
      </c>
      <c r="G382" s="33">
        <v>4.7999999999999996E-3</v>
      </c>
      <c r="H382" s="23">
        <v>-238.29</v>
      </c>
      <c r="I382" s="33">
        <v>-4.7999999999999996E-3</v>
      </c>
      <c r="J382" s="23">
        <v>85.871989999999997</v>
      </c>
      <c r="K382" s="23">
        <v>50147.09</v>
      </c>
      <c r="L382" s="23">
        <v>28902.46</v>
      </c>
      <c r="M382" s="23">
        <v>23</v>
      </c>
      <c r="N382" s="23">
        <v>-10.36</v>
      </c>
      <c r="O382" s="33">
        <v>-6.0000000000000001E-3</v>
      </c>
      <c r="P382" s="33">
        <v>1.2200000000000001E-2</v>
      </c>
      <c r="Q382" s="23" t="s">
        <v>24</v>
      </c>
      <c r="R382" s="23">
        <v>0</v>
      </c>
      <c r="S382" s="23">
        <v>596.94000000000005</v>
      </c>
      <c r="U382" s="47">
        <v>44560</v>
      </c>
      <c r="V382" s="23" t="s">
        <v>104</v>
      </c>
      <c r="W382" s="23" t="s">
        <v>23</v>
      </c>
      <c r="X382" s="28">
        <v>44545.447916666664</v>
      </c>
      <c r="Y382" s="23">
        <v>21.274999999999999</v>
      </c>
      <c r="Z382" s="28">
        <v>44546.385416666664</v>
      </c>
      <c r="AA382" s="23">
        <v>21.675000000000001</v>
      </c>
      <c r="AB382" s="33">
        <v>1.8800000000000001E-2</v>
      </c>
      <c r="AC382" s="23">
        <v>-1021.82</v>
      </c>
      <c r="AD382" s="33">
        <v>-1.8800000000000001E-2</v>
      </c>
      <c r="AE382" s="23">
        <v>2554.549</v>
      </c>
      <c r="AF382" s="23">
        <v>54348.02</v>
      </c>
      <c r="AG382" s="23">
        <v>861335.6</v>
      </c>
      <c r="AH382" s="23">
        <v>23</v>
      </c>
      <c r="AI382" s="23">
        <v>-44.43</v>
      </c>
      <c r="AJ382" s="33">
        <v>-7.7600000000000002E-2</v>
      </c>
      <c r="AK382" s="33">
        <v>0.1363</v>
      </c>
      <c r="AL382" s="23" t="s">
        <v>24</v>
      </c>
      <c r="AM382" s="23">
        <v>583.97</v>
      </c>
      <c r="AN382" s="23">
        <v>36873.949999999997</v>
      </c>
      <c r="AO382" s="23">
        <v>596.94000000000005</v>
      </c>
      <c r="AQ382" s="50">
        <f t="shared" si="5"/>
        <v>3.6431666010240248E-2</v>
      </c>
      <c r="AR382" s="50"/>
      <c r="AS382" s="48"/>
      <c r="AT382" s="50"/>
      <c r="AV382" s="47">
        <v>44545</v>
      </c>
      <c r="AW382" s="51">
        <v>0.44791666666666669</v>
      </c>
      <c r="AX382" t="s">
        <v>162</v>
      </c>
    </row>
    <row r="383" spans="1:50">
      <c r="A383" s="23" t="s">
        <v>22</v>
      </c>
      <c r="B383" s="23" t="s">
        <v>25</v>
      </c>
      <c r="C383" s="28">
        <v>44546.385416666664</v>
      </c>
      <c r="D383" s="23">
        <v>586.75</v>
      </c>
      <c r="E383" s="28">
        <v>44546.46875</v>
      </c>
      <c r="F383" s="23">
        <v>580.47500000000002</v>
      </c>
      <c r="G383" s="33">
        <v>-1.0699999999999999E-2</v>
      </c>
      <c r="H383" s="23">
        <v>-536.29</v>
      </c>
      <c r="I383" s="33">
        <v>-1.0699999999999999E-2</v>
      </c>
      <c r="J383" s="23">
        <v>85.464200000000005</v>
      </c>
      <c r="K383" s="23">
        <v>50146.12</v>
      </c>
      <c r="L383" s="23">
        <v>28366.17</v>
      </c>
      <c r="M383" s="23">
        <v>9</v>
      </c>
      <c r="N383" s="23">
        <v>-59.59</v>
      </c>
      <c r="O383" s="33">
        <v>-1.0699999999999999E-2</v>
      </c>
      <c r="P383" s="33">
        <v>7.6E-3</v>
      </c>
      <c r="Q383" s="23" t="s">
        <v>24</v>
      </c>
      <c r="R383" s="23">
        <v>0</v>
      </c>
      <c r="S383" s="23">
        <v>577.34</v>
      </c>
      <c r="U383" s="47">
        <v>44560</v>
      </c>
      <c r="V383" s="23" t="s">
        <v>116</v>
      </c>
      <c r="W383" s="23" t="s">
        <v>23</v>
      </c>
      <c r="X383" s="28">
        <v>44546.385416666664</v>
      </c>
      <c r="Y383" s="23">
        <v>17.149999999999999</v>
      </c>
      <c r="Z383" s="28">
        <v>44546.46875</v>
      </c>
      <c r="AA383" s="23">
        <v>21.2</v>
      </c>
      <c r="AB383" s="33">
        <v>0.23619999999999999</v>
      </c>
      <c r="AC383" s="23">
        <v>-12834.56</v>
      </c>
      <c r="AD383" s="33">
        <v>-0.23619999999999999</v>
      </c>
      <c r="AE383" s="23">
        <v>3169.0279999999998</v>
      </c>
      <c r="AF383" s="23">
        <v>54348.82</v>
      </c>
      <c r="AG383" s="23">
        <v>848501.04</v>
      </c>
      <c r="AH383" s="23">
        <v>9</v>
      </c>
      <c r="AI383" s="23">
        <v>-1426.06</v>
      </c>
      <c r="AJ383" s="33">
        <v>-0.23619999999999999</v>
      </c>
      <c r="AK383" s="33">
        <v>9.3299999999999994E-2</v>
      </c>
      <c r="AL383" s="23" t="s">
        <v>24</v>
      </c>
      <c r="AM383" s="23">
        <v>586.75</v>
      </c>
      <c r="AN383" s="23">
        <v>36975.35</v>
      </c>
      <c r="AO383" s="23">
        <v>577.34</v>
      </c>
      <c r="AQ383" s="50">
        <f t="shared" si="5"/>
        <v>2.9228802726885383E-2</v>
      </c>
      <c r="AR383" s="50"/>
      <c r="AS383" s="48"/>
      <c r="AT383" s="50"/>
      <c r="AV383" s="47">
        <v>44546</v>
      </c>
      <c r="AW383" s="51">
        <v>0.38541666666666669</v>
      </c>
      <c r="AX383" t="s">
        <v>162</v>
      </c>
    </row>
    <row r="384" spans="1:50">
      <c r="A384" s="23" t="s">
        <v>22</v>
      </c>
      <c r="B384" s="23" t="s">
        <v>23</v>
      </c>
      <c r="C384" s="28">
        <v>44546.46875</v>
      </c>
      <c r="D384" s="23">
        <v>580.47500000000002</v>
      </c>
      <c r="E384" s="28">
        <v>44547.489583333336</v>
      </c>
      <c r="F384" s="23">
        <v>571.52499999999998</v>
      </c>
      <c r="G384" s="33">
        <v>-1.54E-2</v>
      </c>
      <c r="H384" s="23">
        <v>773.14</v>
      </c>
      <c r="I384" s="33">
        <v>1.54E-2</v>
      </c>
      <c r="J384" s="23">
        <v>86.383949999999999</v>
      </c>
      <c r="K384" s="23">
        <v>50143.72</v>
      </c>
      <c r="L384" s="23">
        <v>29139.31</v>
      </c>
      <c r="M384" s="23">
        <v>32</v>
      </c>
      <c r="N384" s="23">
        <v>24.16</v>
      </c>
      <c r="O384" s="33">
        <v>-8.6999999999999994E-3</v>
      </c>
      <c r="P384" s="33">
        <v>3.3399999999999999E-2</v>
      </c>
      <c r="Q384" s="23" t="s">
        <v>24</v>
      </c>
      <c r="R384" s="23">
        <v>0</v>
      </c>
      <c r="S384" s="23">
        <v>590.98</v>
      </c>
      <c r="U384" s="47">
        <v>44560</v>
      </c>
      <c r="V384" s="23" t="s">
        <v>104</v>
      </c>
      <c r="W384" s="23" t="s">
        <v>23</v>
      </c>
      <c r="X384" s="28">
        <v>44546.46875</v>
      </c>
      <c r="Y384" s="23">
        <v>18.899999999999999</v>
      </c>
      <c r="Z384" s="28">
        <v>44547.489583333336</v>
      </c>
      <c r="AA384" s="23">
        <v>13.625</v>
      </c>
      <c r="AB384" s="33">
        <v>-0.27910000000000001</v>
      </c>
      <c r="AC384" s="23">
        <v>15148.84</v>
      </c>
      <c r="AD384" s="33">
        <v>0.27910000000000001</v>
      </c>
      <c r="AE384" s="23">
        <v>2871.8180000000002</v>
      </c>
      <c r="AF384" s="23">
        <v>54277.37</v>
      </c>
      <c r="AG384" s="23">
        <v>863649.88</v>
      </c>
      <c r="AH384" s="23">
        <v>32</v>
      </c>
      <c r="AI384" s="23">
        <v>473.4</v>
      </c>
      <c r="AJ384" s="33">
        <v>-9.7900000000000001E-2</v>
      </c>
      <c r="AK384" s="33">
        <v>0.48680000000000001</v>
      </c>
      <c r="AL384" s="23" t="s">
        <v>24</v>
      </c>
      <c r="AM384" s="23">
        <v>580.47</v>
      </c>
      <c r="AN384" s="23">
        <v>36677.9</v>
      </c>
      <c r="AO384" s="23">
        <v>590.98</v>
      </c>
      <c r="AQ384" s="50">
        <f t="shared" si="5"/>
        <v>3.2559822213034259E-2</v>
      </c>
      <c r="AR384" s="50"/>
      <c r="AS384" s="48"/>
      <c r="AT384" s="50"/>
      <c r="AV384" s="47">
        <v>44546</v>
      </c>
      <c r="AW384" s="51">
        <v>0.46875</v>
      </c>
      <c r="AX384" t="s">
        <v>162</v>
      </c>
    </row>
    <row r="385" spans="1:50">
      <c r="A385" s="23" t="s">
        <v>22</v>
      </c>
      <c r="B385" s="23" t="s">
        <v>25</v>
      </c>
      <c r="C385" s="28">
        <v>44547.489583333336</v>
      </c>
      <c r="D385" s="23">
        <v>571.52499999999998</v>
      </c>
      <c r="E385" s="28">
        <v>44547.552083333336</v>
      </c>
      <c r="F385" s="23">
        <v>567.42499999999995</v>
      </c>
      <c r="G385" s="33">
        <v>-7.1999999999999998E-3</v>
      </c>
      <c r="H385" s="23">
        <v>-359.75</v>
      </c>
      <c r="I385" s="33">
        <v>-7.1999999999999998E-3</v>
      </c>
      <c r="J385" s="23">
        <v>87.743009999999998</v>
      </c>
      <c r="K385" s="23">
        <v>50147.33</v>
      </c>
      <c r="L385" s="23">
        <v>28779.56</v>
      </c>
      <c r="M385" s="23">
        <v>7</v>
      </c>
      <c r="N385" s="23">
        <v>-51.39</v>
      </c>
      <c r="O385" s="33">
        <v>-1.03E-2</v>
      </c>
      <c r="P385" s="33">
        <v>1.3299999999999999E-2</v>
      </c>
      <c r="Q385" s="23" t="s">
        <v>24</v>
      </c>
      <c r="R385" s="23">
        <v>0</v>
      </c>
      <c r="S385" s="23">
        <v>561.08000000000004</v>
      </c>
      <c r="U385" s="47">
        <v>44560</v>
      </c>
      <c r="V385" s="23" t="s">
        <v>106</v>
      </c>
      <c r="W385" s="23" t="s">
        <v>23</v>
      </c>
      <c r="X385" s="28">
        <v>44547.489583333336</v>
      </c>
      <c r="Y385" s="23">
        <v>8.1</v>
      </c>
      <c r="Z385" s="28">
        <v>44547.552083333336</v>
      </c>
      <c r="AA385" s="23">
        <v>9.5</v>
      </c>
      <c r="AB385" s="33">
        <v>0.17280000000000001</v>
      </c>
      <c r="AC385" s="23">
        <v>-9393.61</v>
      </c>
      <c r="AD385" s="33">
        <v>-0.17280000000000001</v>
      </c>
      <c r="AE385" s="23">
        <v>6709.7240000000002</v>
      </c>
      <c r="AF385" s="23">
        <v>54348.77</v>
      </c>
      <c r="AG385" s="23">
        <v>854256.27</v>
      </c>
      <c r="AH385" s="23">
        <v>7</v>
      </c>
      <c r="AI385" s="23">
        <v>-1341.94</v>
      </c>
      <c r="AJ385" s="33">
        <v>-0.20680000000000001</v>
      </c>
      <c r="AK385" s="33">
        <v>0.1852</v>
      </c>
      <c r="AL385" s="23" t="s">
        <v>24</v>
      </c>
      <c r="AM385" s="23">
        <v>571.53</v>
      </c>
      <c r="AN385" s="23">
        <v>35844</v>
      </c>
      <c r="AO385" s="23">
        <v>561.08000000000004</v>
      </c>
      <c r="AQ385" s="50">
        <f t="shared" si="5"/>
        <v>1.4172484384021836E-2</v>
      </c>
      <c r="AR385" s="50"/>
      <c r="AS385" s="48"/>
      <c r="AT385" s="50"/>
      <c r="AV385" s="47">
        <v>44547</v>
      </c>
      <c r="AW385" s="51">
        <v>0.48958333333333331</v>
      </c>
      <c r="AX385" t="s">
        <v>162</v>
      </c>
    </row>
    <row r="386" spans="1:50">
      <c r="A386" s="23" t="s">
        <v>22</v>
      </c>
      <c r="B386" s="23" t="s">
        <v>23</v>
      </c>
      <c r="C386" s="28">
        <v>44547.552083333336</v>
      </c>
      <c r="D386" s="23">
        <v>567.42499999999995</v>
      </c>
      <c r="E386" s="28">
        <v>44551.395833333336</v>
      </c>
      <c r="F386" s="23">
        <v>511</v>
      </c>
      <c r="G386" s="33">
        <v>-9.9400000000000002E-2</v>
      </c>
      <c r="H386" s="23">
        <v>4986.38</v>
      </c>
      <c r="I386" s="33">
        <v>9.9400000000000002E-2</v>
      </c>
      <c r="J386" s="23">
        <v>88.371799999999993</v>
      </c>
      <c r="K386" s="23">
        <v>50144.37</v>
      </c>
      <c r="L386" s="23">
        <v>33765.94</v>
      </c>
      <c r="M386" s="23">
        <v>42</v>
      </c>
      <c r="N386" s="23">
        <v>118.72</v>
      </c>
      <c r="O386" s="33">
        <v>-6.3E-3</v>
      </c>
      <c r="P386" s="33">
        <v>0.1318</v>
      </c>
      <c r="Q386" s="23" t="s">
        <v>24</v>
      </c>
      <c r="R386" s="23">
        <v>0</v>
      </c>
      <c r="S386" s="23">
        <v>579.15</v>
      </c>
      <c r="U386" s="47">
        <v>44560</v>
      </c>
      <c r="V386" s="23" t="s">
        <v>137</v>
      </c>
      <c r="W386" s="23" t="s">
        <v>23</v>
      </c>
      <c r="X386" s="28">
        <v>44547.552083333336</v>
      </c>
      <c r="Y386" s="23">
        <v>16.225000000000001</v>
      </c>
      <c r="Z386" s="28">
        <v>44551.395833333336</v>
      </c>
      <c r="AA386" s="23">
        <v>2.2999999999999998</v>
      </c>
      <c r="AB386" s="33">
        <v>-0.85819999999999996</v>
      </c>
      <c r="AC386" s="23">
        <v>46577.25</v>
      </c>
      <c r="AD386" s="33">
        <v>0.85819999999999996</v>
      </c>
      <c r="AE386" s="23">
        <v>3344.8649999999998</v>
      </c>
      <c r="AF386" s="23">
        <v>54270.45</v>
      </c>
      <c r="AG386" s="23">
        <v>900833.52</v>
      </c>
      <c r="AH386" s="23">
        <v>42</v>
      </c>
      <c r="AI386" s="23">
        <v>1108.98</v>
      </c>
      <c r="AJ386" s="33">
        <v>-0.1017</v>
      </c>
      <c r="AK386" s="33">
        <v>0.85819999999999996</v>
      </c>
      <c r="AL386" s="23" t="s">
        <v>24</v>
      </c>
      <c r="AM386" s="23">
        <v>567.41999999999996</v>
      </c>
      <c r="AN386" s="23">
        <v>35924.1</v>
      </c>
      <c r="AO386" s="23">
        <v>579.15</v>
      </c>
      <c r="AQ386" s="50">
        <f t="shared" si="5"/>
        <v>2.8594339290120199E-2</v>
      </c>
      <c r="AR386" s="50"/>
      <c r="AS386" s="48"/>
      <c r="AT386" s="50"/>
      <c r="AV386" s="47">
        <v>44547</v>
      </c>
      <c r="AW386" s="51">
        <v>5.2083333333333336E-2</v>
      </c>
      <c r="AX386" t="s">
        <v>163</v>
      </c>
    </row>
    <row r="387" spans="1:50" s="21" customFormat="1">
      <c r="A387" s="24" t="s">
        <v>22</v>
      </c>
      <c r="B387" s="24" t="s">
        <v>25</v>
      </c>
      <c r="C387" s="29">
        <v>44551.395833333336</v>
      </c>
      <c r="D387" s="24">
        <v>511</v>
      </c>
      <c r="E387" s="29">
        <v>44551.59375</v>
      </c>
      <c r="F387" s="24">
        <v>518.75</v>
      </c>
      <c r="G387" s="34">
        <v>1.52E-2</v>
      </c>
      <c r="H387" s="24">
        <v>760.9</v>
      </c>
      <c r="I387" s="34">
        <v>1.52E-2</v>
      </c>
      <c r="J387" s="24">
        <v>98.180340000000001</v>
      </c>
      <c r="K387" s="24">
        <v>50170.16</v>
      </c>
      <c r="L387" s="24">
        <v>34526.839999999997</v>
      </c>
      <c r="M387" s="24">
        <v>20</v>
      </c>
      <c r="N387" s="24">
        <v>38.04</v>
      </c>
      <c r="O387" s="34">
        <v>-8.3000000000000001E-3</v>
      </c>
      <c r="P387" s="34">
        <v>4.0399999999999998E-2</v>
      </c>
      <c r="Q387" s="24" t="s">
        <v>24</v>
      </c>
      <c r="R387" s="24">
        <v>0</v>
      </c>
      <c r="S387" s="24">
        <v>493.02</v>
      </c>
      <c r="U387" s="47">
        <v>44560</v>
      </c>
      <c r="V387" s="24"/>
      <c r="W387" s="24"/>
      <c r="X387" s="29"/>
      <c r="Y387" s="24"/>
      <c r="Z387" s="29"/>
      <c r="AA387" s="24"/>
      <c r="AB387" s="34"/>
      <c r="AC387" s="24"/>
      <c r="AD387" s="34"/>
      <c r="AE387" s="24"/>
      <c r="AF387" s="24"/>
      <c r="AG387" s="24"/>
      <c r="AH387" s="24"/>
      <c r="AI387" s="24"/>
      <c r="AJ387" s="34"/>
      <c r="AK387" s="34"/>
      <c r="AL387" s="24"/>
      <c r="AM387" s="24"/>
      <c r="AN387" s="24"/>
      <c r="AO387" s="24"/>
      <c r="AQ387" s="50" t="e">
        <f t="shared" si="5"/>
        <v>#DIV/0!</v>
      </c>
      <c r="AR387" s="50"/>
      <c r="AS387" s="48"/>
      <c r="AT387" s="50"/>
      <c r="AV387" s="52">
        <v>44552</v>
      </c>
      <c r="AW387" s="53">
        <v>0.38541666666666669</v>
      </c>
      <c r="AX387" s="21" t="s">
        <v>162</v>
      </c>
    </row>
    <row r="388" spans="1:50">
      <c r="A388" s="25" t="s">
        <v>22</v>
      </c>
      <c r="B388" s="25" t="s">
        <v>23</v>
      </c>
      <c r="C388" s="30">
        <v>44551.59375</v>
      </c>
      <c r="D388" s="25">
        <v>518.75</v>
      </c>
      <c r="E388" s="30">
        <v>44552.416666666664</v>
      </c>
      <c r="F388" s="25">
        <v>523.77499999999998</v>
      </c>
      <c r="G388" s="35">
        <v>9.7000000000000003E-3</v>
      </c>
      <c r="H388" s="25">
        <v>-486.02</v>
      </c>
      <c r="I388" s="35">
        <v>-9.7000000000000003E-3</v>
      </c>
      <c r="J388" s="25">
        <v>96.719819999999999</v>
      </c>
      <c r="K388" s="25">
        <v>50173.41</v>
      </c>
      <c r="L388" s="25">
        <v>34040.82</v>
      </c>
      <c r="M388" s="25">
        <v>12</v>
      </c>
      <c r="N388" s="25">
        <v>-40.5</v>
      </c>
      <c r="O388" s="35">
        <v>-1.0699999999999999E-2</v>
      </c>
      <c r="P388" s="35">
        <v>1.5800000000000002E-2</v>
      </c>
      <c r="Q388" s="25" t="s">
        <v>24</v>
      </c>
      <c r="R388" s="25">
        <v>0</v>
      </c>
      <c r="S388" s="25">
        <v>531.63</v>
      </c>
      <c r="U388" s="47" t="e">
        <v>#N/A</v>
      </c>
      <c r="V388" s="25" t="s">
        <v>124</v>
      </c>
      <c r="W388" s="25" t="s">
        <v>23</v>
      </c>
      <c r="X388" s="30">
        <v>44552.385416666664</v>
      </c>
      <c r="Y388" s="25">
        <v>13</v>
      </c>
      <c r="Z388" s="30">
        <v>44552.416666666664</v>
      </c>
      <c r="AA388" s="25">
        <v>16</v>
      </c>
      <c r="AB388" s="35">
        <v>0.23080000000000001</v>
      </c>
      <c r="AC388" s="25">
        <v>-12577.89</v>
      </c>
      <c r="AD388" s="35">
        <v>-0.23080000000000001</v>
      </c>
      <c r="AE388" s="25">
        <v>4192.6279999999997</v>
      </c>
      <c r="AF388" s="25">
        <v>54504.17</v>
      </c>
      <c r="AG388" s="25">
        <v>888255.63</v>
      </c>
      <c r="AH388" s="25">
        <v>4</v>
      </c>
      <c r="AI388" s="25">
        <v>-3144.47</v>
      </c>
      <c r="AJ388" s="35">
        <v>-0.23080000000000001</v>
      </c>
      <c r="AK388" s="35">
        <v>9.6199999999999994E-2</v>
      </c>
      <c r="AL388" s="25" t="s">
        <v>24</v>
      </c>
      <c r="AM388" s="25">
        <v>515.38</v>
      </c>
      <c r="AN388" s="25">
        <v>34859.5</v>
      </c>
      <c r="AO388" s="25">
        <v>525.04</v>
      </c>
      <c r="AQ388" s="50">
        <f t="shared" si="5"/>
        <v>2.5224106484535682E-2</v>
      </c>
      <c r="AR388" s="50"/>
      <c r="AS388" s="48"/>
      <c r="AT388" s="50"/>
    </row>
    <row r="389" spans="1:50">
      <c r="A389" s="23" t="s">
        <v>22</v>
      </c>
      <c r="B389" s="23" t="s">
        <v>25</v>
      </c>
      <c r="C389" s="28">
        <v>44552.416666666664</v>
      </c>
      <c r="D389" s="23">
        <v>523.77499999999998</v>
      </c>
      <c r="E389" s="28">
        <v>44552.5</v>
      </c>
      <c r="F389" s="23">
        <v>515.54999999999995</v>
      </c>
      <c r="G389" s="33">
        <v>-1.5699999999999999E-2</v>
      </c>
      <c r="H389" s="23">
        <v>-787.89</v>
      </c>
      <c r="I389" s="33">
        <v>-1.5699999999999999E-2</v>
      </c>
      <c r="J389" s="23">
        <v>95.791629999999998</v>
      </c>
      <c r="K389" s="23">
        <v>50173.26</v>
      </c>
      <c r="L389" s="23">
        <v>33252.94</v>
      </c>
      <c r="M389" s="23">
        <v>9</v>
      </c>
      <c r="N389" s="23">
        <v>-87.54</v>
      </c>
      <c r="O389" s="33">
        <v>-1.5699999999999999E-2</v>
      </c>
      <c r="P389" s="33">
        <v>4.1000000000000003E-3</v>
      </c>
      <c r="Q389" s="23" t="s">
        <v>24</v>
      </c>
      <c r="R389" s="23">
        <v>0</v>
      </c>
      <c r="S389" s="23">
        <v>510.55</v>
      </c>
      <c r="U389" s="47">
        <v>44560</v>
      </c>
      <c r="V389" s="23" t="s">
        <v>117</v>
      </c>
      <c r="W389" s="23" t="s">
        <v>23</v>
      </c>
      <c r="X389" s="28">
        <v>44552.416666666664</v>
      </c>
      <c r="Y389" s="23">
        <v>10.3</v>
      </c>
      <c r="Z389" s="28">
        <v>44552.5</v>
      </c>
      <c r="AA389" s="23">
        <v>15.5</v>
      </c>
      <c r="AB389" s="33">
        <v>0.50490000000000002</v>
      </c>
      <c r="AC389" s="23">
        <v>-27515.61</v>
      </c>
      <c r="AD389" s="33">
        <v>-0.50490000000000002</v>
      </c>
      <c r="AE389" s="23">
        <v>5291.4629999999997</v>
      </c>
      <c r="AF389" s="23">
        <v>54502.07</v>
      </c>
      <c r="AG389" s="23">
        <v>860740.03</v>
      </c>
      <c r="AH389" s="23">
        <v>9</v>
      </c>
      <c r="AI389" s="23">
        <v>-3057.29</v>
      </c>
      <c r="AJ389" s="33">
        <v>-0.50490000000000002</v>
      </c>
      <c r="AK389" s="33">
        <v>2.9100000000000001E-2</v>
      </c>
      <c r="AL389" s="23" t="s">
        <v>24</v>
      </c>
      <c r="AM389" s="23">
        <v>523.78</v>
      </c>
      <c r="AN389" s="23">
        <v>34888.65</v>
      </c>
      <c r="AO389" s="23">
        <v>510.55</v>
      </c>
      <c r="AQ389" s="50">
        <f t="shared" si="5"/>
        <v>1.9664744740158085E-2</v>
      </c>
      <c r="AR389" s="50"/>
      <c r="AS389" s="48"/>
      <c r="AT389" s="50"/>
      <c r="AV389" s="47">
        <v>44552</v>
      </c>
      <c r="AW389" s="51">
        <v>0.41666666666666669</v>
      </c>
      <c r="AX389" t="s">
        <v>162</v>
      </c>
    </row>
    <row r="390" spans="1:50">
      <c r="A390" s="23" t="s">
        <v>22</v>
      </c>
      <c r="B390" s="23" t="s">
        <v>23</v>
      </c>
      <c r="C390" s="28">
        <v>44552.5</v>
      </c>
      <c r="D390" s="23">
        <v>515.54999999999995</v>
      </c>
      <c r="E390" s="28">
        <v>44553.385416666664</v>
      </c>
      <c r="F390" s="23">
        <v>517.9</v>
      </c>
      <c r="G390" s="33">
        <v>4.5999999999999999E-3</v>
      </c>
      <c r="H390" s="23">
        <v>-228.67</v>
      </c>
      <c r="I390" s="33">
        <v>-4.5999999999999999E-3</v>
      </c>
      <c r="J390" s="23">
        <v>97.308509999999998</v>
      </c>
      <c r="K390" s="23">
        <v>50167.4</v>
      </c>
      <c r="L390" s="23">
        <v>33024.26</v>
      </c>
      <c r="M390" s="23">
        <v>18</v>
      </c>
      <c r="N390" s="23">
        <v>-12.7</v>
      </c>
      <c r="O390" s="33">
        <v>-1.35E-2</v>
      </c>
      <c r="P390" s="33">
        <v>9.4000000000000004E-3</v>
      </c>
      <c r="Q390" s="23" t="s">
        <v>24</v>
      </c>
      <c r="R390" s="23">
        <v>0</v>
      </c>
      <c r="S390" s="23">
        <v>525.91999999999996</v>
      </c>
      <c r="U390" s="47">
        <v>44560</v>
      </c>
      <c r="V390" s="23" t="s">
        <v>124</v>
      </c>
      <c r="W390" s="23" t="s">
        <v>23</v>
      </c>
      <c r="X390" s="28">
        <v>44552.5</v>
      </c>
      <c r="Y390" s="23">
        <v>11.5</v>
      </c>
      <c r="Z390" s="28">
        <v>44553.385416666664</v>
      </c>
      <c r="AA390" s="23">
        <v>11.375</v>
      </c>
      <c r="AB390" s="33">
        <v>-1.09E-2</v>
      </c>
      <c r="AC390" s="23">
        <v>590.26</v>
      </c>
      <c r="AD390" s="33">
        <v>1.09E-2</v>
      </c>
      <c r="AE390" s="23">
        <v>4722.0609999999997</v>
      </c>
      <c r="AF390" s="23">
        <v>54303.7</v>
      </c>
      <c r="AG390" s="23">
        <v>861330.29</v>
      </c>
      <c r="AH390" s="23">
        <v>18</v>
      </c>
      <c r="AI390" s="23">
        <v>32.79</v>
      </c>
      <c r="AJ390" s="33">
        <v>-0.15870000000000001</v>
      </c>
      <c r="AK390" s="33">
        <v>0.20219999999999999</v>
      </c>
      <c r="AL390" s="23" t="s">
        <v>24</v>
      </c>
      <c r="AM390" s="23">
        <v>515.54999999999995</v>
      </c>
      <c r="AN390" s="23">
        <v>34853.050000000003</v>
      </c>
      <c r="AO390" s="23">
        <v>525.91999999999996</v>
      </c>
      <c r="AQ390" s="50">
        <f t="shared" si="5"/>
        <v>2.2306274852099701E-2</v>
      </c>
      <c r="AR390" s="50"/>
      <c r="AS390" s="48"/>
      <c r="AT390" s="50"/>
      <c r="AV390" s="47">
        <v>44552</v>
      </c>
      <c r="AW390" s="51">
        <v>0.5</v>
      </c>
      <c r="AX390" t="s">
        <v>163</v>
      </c>
    </row>
    <row r="391" spans="1:50">
      <c r="A391" s="23" t="s">
        <v>22</v>
      </c>
      <c r="B391" s="23" t="s">
        <v>25</v>
      </c>
      <c r="C391" s="28">
        <v>44553.385416666664</v>
      </c>
      <c r="D391" s="23">
        <v>517.9</v>
      </c>
      <c r="E391" s="28">
        <v>44553.4375</v>
      </c>
      <c r="F391" s="23">
        <v>514.22500000000002</v>
      </c>
      <c r="G391" s="33">
        <v>-7.1000000000000004E-3</v>
      </c>
      <c r="H391" s="23">
        <v>-355.95</v>
      </c>
      <c r="I391" s="33">
        <v>-7.1000000000000004E-3</v>
      </c>
      <c r="J391" s="23">
        <v>96.858239999999995</v>
      </c>
      <c r="K391" s="23">
        <v>50162.879999999997</v>
      </c>
      <c r="L391" s="23">
        <v>32668.31</v>
      </c>
      <c r="M391" s="23">
        <v>6</v>
      </c>
      <c r="N391" s="23">
        <v>-59.33</v>
      </c>
      <c r="O391" s="33">
        <v>-7.1000000000000004E-3</v>
      </c>
      <c r="P391" s="33">
        <v>7.7999999999999996E-3</v>
      </c>
      <c r="Q391" s="23" t="s">
        <v>24</v>
      </c>
      <c r="R391" s="23">
        <v>0</v>
      </c>
      <c r="S391" s="23">
        <v>511.39</v>
      </c>
      <c r="U391" s="47">
        <v>44560</v>
      </c>
      <c r="V391" s="23" t="s">
        <v>117</v>
      </c>
      <c r="W391" s="23" t="s">
        <v>23</v>
      </c>
      <c r="X391" s="28">
        <v>44553.385416666664</v>
      </c>
      <c r="Y391" s="23">
        <v>12.925000000000001</v>
      </c>
      <c r="Z391" s="28">
        <v>44553.4375</v>
      </c>
      <c r="AA391" s="23">
        <v>15.1</v>
      </c>
      <c r="AB391" s="33">
        <v>0.16830000000000001</v>
      </c>
      <c r="AC391" s="23">
        <v>-9140.83</v>
      </c>
      <c r="AD391" s="33">
        <v>-0.16830000000000001</v>
      </c>
      <c r="AE391" s="23">
        <v>4202.68</v>
      </c>
      <c r="AF391" s="23">
        <v>54319.64</v>
      </c>
      <c r="AG391" s="23">
        <v>852189.46</v>
      </c>
      <c r="AH391" s="23">
        <v>6</v>
      </c>
      <c r="AI391" s="23">
        <v>-1523.47</v>
      </c>
      <c r="AJ391" s="33">
        <v>-0.21079999999999999</v>
      </c>
      <c r="AK391" s="33">
        <v>9.0899999999999995E-2</v>
      </c>
      <c r="AL391" s="23" t="s">
        <v>24</v>
      </c>
      <c r="AM391" s="23">
        <v>517.9</v>
      </c>
      <c r="AN391" s="23">
        <v>35196.25</v>
      </c>
      <c r="AO391" s="23">
        <v>511.39</v>
      </c>
      <c r="AQ391" s="50">
        <f t="shared" si="5"/>
        <v>2.4956555319559762E-2</v>
      </c>
      <c r="AR391" s="50"/>
      <c r="AS391" s="48"/>
      <c r="AT391" s="50"/>
      <c r="AV391" s="47">
        <v>44553</v>
      </c>
      <c r="AW391" s="51">
        <v>0.38541666666666669</v>
      </c>
      <c r="AX391" t="s">
        <v>162</v>
      </c>
    </row>
    <row r="392" spans="1:50">
      <c r="A392" s="23" t="s">
        <v>22</v>
      </c>
      <c r="B392" s="23" t="s">
        <v>23</v>
      </c>
      <c r="C392" s="28">
        <v>44553.4375</v>
      </c>
      <c r="D392" s="23">
        <v>514.22500000000002</v>
      </c>
      <c r="E392" s="28">
        <v>44553.552083333336</v>
      </c>
      <c r="F392" s="23">
        <v>516.5</v>
      </c>
      <c r="G392" s="33">
        <v>4.4000000000000003E-3</v>
      </c>
      <c r="H392" s="23">
        <v>-221.93</v>
      </c>
      <c r="I392" s="33">
        <v>-4.4000000000000003E-3</v>
      </c>
      <c r="J392" s="23">
        <v>97.552509999999998</v>
      </c>
      <c r="K392" s="23">
        <v>50163.93</v>
      </c>
      <c r="L392" s="23">
        <v>32446.38</v>
      </c>
      <c r="M392" s="23">
        <v>12</v>
      </c>
      <c r="N392" s="23">
        <v>-18.489999999999998</v>
      </c>
      <c r="O392" s="33">
        <v>-4.4000000000000003E-3</v>
      </c>
      <c r="P392" s="33">
        <v>5.5999999999999999E-3</v>
      </c>
      <c r="Q392" s="23" t="s">
        <v>24</v>
      </c>
      <c r="R392" s="23">
        <v>0</v>
      </c>
      <c r="S392" s="23">
        <v>522.5</v>
      </c>
      <c r="U392" s="47">
        <v>44560</v>
      </c>
      <c r="V392" s="23" t="s">
        <v>124</v>
      </c>
      <c r="W392" s="23" t="s">
        <v>23</v>
      </c>
      <c r="X392" s="28">
        <v>44553.4375</v>
      </c>
      <c r="Y392" s="23">
        <v>9.4</v>
      </c>
      <c r="Z392" s="28">
        <v>44553.552083333336</v>
      </c>
      <c r="AA392" s="23">
        <v>10.725</v>
      </c>
      <c r="AB392" s="33">
        <v>0.14099999999999999</v>
      </c>
      <c r="AC392" s="23">
        <v>-7650.26</v>
      </c>
      <c r="AD392" s="33">
        <v>-0.14099999999999999</v>
      </c>
      <c r="AE392" s="23">
        <v>5773.7830000000004</v>
      </c>
      <c r="AF392" s="23">
        <v>54273.55</v>
      </c>
      <c r="AG392" s="23">
        <v>844539.19</v>
      </c>
      <c r="AH392" s="23">
        <v>12</v>
      </c>
      <c r="AI392" s="23">
        <v>-637.52</v>
      </c>
      <c r="AJ392" s="33">
        <v>-0.14099999999999999</v>
      </c>
      <c r="AK392" s="33">
        <v>0.1144</v>
      </c>
      <c r="AL392" s="23" t="s">
        <v>24</v>
      </c>
      <c r="AM392" s="23">
        <v>514.22</v>
      </c>
      <c r="AN392" s="23">
        <v>35138.75</v>
      </c>
      <c r="AO392" s="23">
        <v>522.5</v>
      </c>
      <c r="AQ392" s="50">
        <f t="shared" ref="AQ392:AQ455" si="6">Y392/AM392</f>
        <v>1.8280113570067286E-2</v>
      </c>
      <c r="AR392" s="50"/>
      <c r="AS392" s="48"/>
      <c r="AT392" s="50"/>
      <c r="AV392" s="47">
        <v>44553</v>
      </c>
      <c r="AW392" s="51">
        <v>0.4375</v>
      </c>
      <c r="AX392" t="s">
        <v>162</v>
      </c>
    </row>
    <row r="393" spans="1:50">
      <c r="A393" s="23" t="s">
        <v>22</v>
      </c>
      <c r="B393" s="23" t="s">
        <v>25</v>
      </c>
      <c r="C393" s="28">
        <v>44553.552083333336</v>
      </c>
      <c r="D393" s="23">
        <v>516.5</v>
      </c>
      <c r="E393" s="28">
        <v>44553.635416666664</v>
      </c>
      <c r="F393" s="23">
        <v>520.5</v>
      </c>
      <c r="G393" s="33">
        <v>7.7000000000000002E-3</v>
      </c>
      <c r="H393" s="23">
        <v>388.48</v>
      </c>
      <c r="I393" s="33">
        <v>7.7000000000000002E-3</v>
      </c>
      <c r="J393" s="23">
        <v>97.120990000000006</v>
      </c>
      <c r="K393" s="23">
        <v>50162.99</v>
      </c>
      <c r="L393" s="23">
        <v>32834.86</v>
      </c>
      <c r="M393" s="23">
        <v>9</v>
      </c>
      <c r="N393" s="23">
        <v>43.16</v>
      </c>
      <c r="O393" s="33">
        <v>-3.3E-3</v>
      </c>
      <c r="P393" s="33">
        <v>2.6100000000000002E-2</v>
      </c>
      <c r="Q393" s="23" t="s">
        <v>24</v>
      </c>
      <c r="R393" s="23">
        <v>0</v>
      </c>
      <c r="S393" s="23">
        <v>511.6</v>
      </c>
      <c r="U393" s="47">
        <v>44560</v>
      </c>
      <c r="V393" s="23" t="s">
        <v>125</v>
      </c>
      <c r="W393" s="23" t="s">
        <v>23</v>
      </c>
      <c r="X393" s="28">
        <v>44553.552083333336</v>
      </c>
      <c r="Y393" s="23">
        <v>8.5</v>
      </c>
      <c r="Z393" s="28">
        <v>44553.635416666664</v>
      </c>
      <c r="AA393" s="23">
        <v>8</v>
      </c>
      <c r="AB393" s="33">
        <v>-5.8799999999999998E-2</v>
      </c>
      <c r="AC393" s="23">
        <v>3191.61</v>
      </c>
      <c r="AD393" s="33">
        <v>5.8799999999999998E-2</v>
      </c>
      <c r="AE393" s="23">
        <v>6383.2160000000003</v>
      </c>
      <c r="AF393" s="23">
        <v>54257.34</v>
      </c>
      <c r="AG393" s="23">
        <v>847730.8</v>
      </c>
      <c r="AH393" s="23">
        <v>9</v>
      </c>
      <c r="AI393" s="23">
        <v>354.62</v>
      </c>
      <c r="AJ393" s="33">
        <v>-6.1800000000000001E-2</v>
      </c>
      <c r="AK393" s="33">
        <v>0.42349999999999999</v>
      </c>
      <c r="AL393" s="23" t="s">
        <v>24</v>
      </c>
      <c r="AM393" s="23">
        <v>516.5</v>
      </c>
      <c r="AN393" s="23">
        <v>35428.449999999997</v>
      </c>
      <c r="AO393" s="23">
        <v>511.6</v>
      </c>
      <c r="AQ393" s="50">
        <f t="shared" si="6"/>
        <v>1.6456921587608905E-2</v>
      </c>
      <c r="AR393" s="50"/>
      <c r="AS393" s="48"/>
      <c r="AT393" s="50"/>
      <c r="AV393" s="47">
        <v>44553</v>
      </c>
      <c r="AW393" s="51">
        <v>5.2083333333333336E-2</v>
      </c>
      <c r="AX393" t="s">
        <v>163</v>
      </c>
    </row>
    <row r="394" spans="1:50">
      <c r="A394" s="23" t="s">
        <v>22</v>
      </c>
      <c r="B394" s="23" t="s">
        <v>23</v>
      </c>
      <c r="C394" s="28">
        <v>44553.635416666664</v>
      </c>
      <c r="D394" s="23">
        <v>520.5</v>
      </c>
      <c r="E394" s="28">
        <v>44554.583333333336</v>
      </c>
      <c r="F394" s="23">
        <v>517.5</v>
      </c>
      <c r="G394" s="33">
        <v>-5.7999999999999996E-3</v>
      </c>
      <c r="H394" s="23">
        <v>289.14</v>
      </c>
      <c r="I394" s="33">
        <v>5.7999999999999996E-3</v>
      </c>
      <c r="J394" s="23">
        <v>96.379710000000003</v>
      </c>
      <c r="K394" s="23">
        <v>50165.64</v>
      </c>
      <c r="L394" s="23">
        <v>33124</v>
      </c>
      <c r="M394" s="23">
        <v>24</v>
      </c>
      <c r="N394" s="23">
        <v>12.05</v>
      </c>
      <c r="O394" s="33">
        <v>-8.8999999999999999E-3</v>
      </c>
      <c r="P394" s="33">
        <v>2.1899999999999999E-2</v>
      </c>
      <c r="Q394" s="23" t="s">
        <v>24</v>
      </c>
      <c r="R394" s="23">
        <v>0</v>
      </c>
      <c r="S394" s="23">
        <v>529.66</v>
      </c>
      <c r="U394" s="47">
        <v>44560</v>
      </c>
      <c r="V394" s="23" t="s">
        <v>124</v>
      </c>
      <c r="W394" s="23" t="s">
        <v>23</v>
      </c>
      <c r="X394" s="28">
        <v>44553.635416666664</v>
      </c>
      <c r="Y394" s="23">
        <v>12.75</v>
      </c>
      <c r="Z394" s="28">
        <v>44554.583333333336</v>
      </c>
      <c r="AA394" s="23">
        <v>10.25</v>
      </c>
      <c r="AB394" s="33">
        <v>-0.1961</v>
      </c>
      <c r="AC394" s="23">
        <v>10643.48</v>
      </c>
      <c r="AD394" s="33">
        <v>0.1961</v>
      </c>
      <c r="AE394" s="23">
        <v>4257.3919999999998</v>
      </c>
      <c r="AF394" s="23">
        <v>54281.74</v>
      </c>
      <c r="AG394" s="23">
        <v>858374.28</v>
      </c>
      <c r="AH394" s="23">
        <v>24</v>
      </c>
      <c r="AI394" s="23">
        <v>443.48</v>
      </c>
      <c r="AJ394" s="33">
        <v>-8.8200000000000001E-2</v>
      </c>
      <c r="AK394" s="33">
        <v>0.48039999999999999</v>
      </c>
      <c r="AL394" s="23" t="s">
        <v>24</v>
      </c>
      <c r="AM394" s="23">
        <v>520.5</v>
      </c>
      <c r="AN394" s="23">
        <v>35082.85</v>
      </c>
      <c r="AO394" s="23">
        <v>529.66</v>
      </c>
      <c r="AQ394" s="50">
        <f t="shared" si="6"/>
        <v>2.4495677233429394E-2</v>
      </c>
      <c r="AR394" s="50"/>
      <c r="AS394" s="48"/>
      <c r="AT394" s="50"/>
      <c r="AV394" s="47">
        <v>44553</v>
      </c>
      <c r="AW394" s="51">
        <v>0.13541666666666666</v>
      </c>
      <c r="AX394" t="s">
        <v>163</v>
      </c>
    </row>
    <row r="395" spans="1:50">
      <c r="A395" s="23" t="s">
        <v>22</v>
      </c>
      <c r="B395" s="23" t="s">
        <v>25</v>
      </c>
      <c r="C395" s="28">
        <v>44554.583333333336</v>
      </c>
      <c r="D395" s="23">
        <v>517.5</v>
      </c>
      <c r="E395" s="28">
        <v>44554.635416666664</v>
      </c>
      <c r="F395" s="23">
        <v>512.57500000000005</v>
      </c>
      <c r="G395" s="33">
        <v>-9.4999999999999998E-3</v>
      </c>
      <c r="H395" s="23">
        <v>-477.43</v>
      </c>
      <c r="I395" s="33">
        <v>-9.4999999999999998E-3</v>
      </c>
      <c r="J395" s="23">
        <v>96.939210000000003</v>
      </c>
      <c r="K395" s="23">
        <v>50166.04</v>
      </c>
      <c r="L395" s="23">
        <v>32646.57</v>
      </c>
      <c r="M395" s="23">
        <v>6</v>
      </c>
      <c r="N395" s="23">
        <v>-79.569999999999993</v>
      </c>
      <c r="O395" s="33">
        <v>-1.12E-2</v>
      </c>
      <c r="P395" s="33">
        <v>8.9999999999999998E-4</v>
      </c>
      <c r="Q395" s="23" t="s">
        <v>24</v>
      </c>
      <c r="R395" s="23">
        <v>0</v>
      </c>
      <c r="S395" s="23">
        <v>509.45</v>
      </c>
      <c r="U395" s="47">
        <v>44560</v>
      </c>
      <c r="V395" s="23" t="s">
        <v>117</v>
      </c>
      <c r="W395" s="23" t="s">
        <v>23</v>
      </c>
      <c r="X395" s="28">
        <v>44554.583333333336</v>
      </c>
      <c r="Y395" s="23">
        <v>11.5</v>
      </c>
      <c r="Z395" s="28">
        <v>44554.635416666664</v>
      </c>
      <c r="AA395" s="23">
        <v>14.525</v>
      </c>
      <c r="AB395" s="33">
        <v>0.26300000000000001</v>
      </c>
      <c r="AC395" s="23">
        <v>-14285.18</v>
      </c>
      <c r="AD395" s="33">
        <v>-0.26300000000000001</v>
      </c>
      <c r="AE395" s="23">
        <v>4722.375</v>
      </c>
      <c r="AF395" s="23">
        <v>54307.31</v>
      </c>
      <c r="AG395" s="23">
        <v>844089.1</v>
      </c>
      <c r="AH395" s="23">
        <v>6</v>
      </c>
      <c r="AI395" s="23">
        <v>-2380.86</v>
      </c>
      <c r="AJ395" s="33">
        <v>-0.26300000000000001</v>
      </c>
      <c r="AK395" s="33">
        <v>1.9599999999999999E-2</v>
      </c>
      <c r="AL395" s="23" t="s">
        <v>24</v>
      </c>
      <c r="AM395" s="23">
        <v>517.5</v>
      </c>
      <c r="AN395" s="23">
        <v>35020.65</v>
      </c>
      <c r="AO395" s="23">
        <v>509.45</v>
      </c>
      <c r="AQ395" s="50">
        <f t="shared" si="6"/>
        <v>2.2222222222222223E-2</v>
      </c>
      <c r="AR395" s="50"/>
      <c r="AS395" s="48"/>
      <c r="AT395" s="50"/>
      <c r="AV395" s="47">
        <v>44554</v>
      </c>
      <c r="AW395" s="51">
        <v>8.3333333333333329E-2</v>
      </c>
      <c r="AX395" t="s">
        <v>163</v>
      </c>
    </row>
    <row r="396" spans="1:50">
      <c r="A396" s="23" t="s">
        <v>22</v>
      </c>
      <c r="B396" s="23" t="s">
        <v>23</v>
      </c>
      <c r="C396" s="28">
        <v>44554.635416666664</v>
      </c>
      <c r="D396" s="23">
        <v>512.57500000000005</v>
      </c>
      <c r="E396" s="28">
        <v>44557.4375</v>
      </c>
      <c r="F396" s="23">
        <v>504.32499999999999</v>
      </c>
      <c r="G396" s="33">
        <v>-1.61E-2</v>
      </c>
      <c r="H396" s="23">
        <v>807.41</v>
      </c>
      <c r="I396" s="33">
        <v>1.61E-2</v>
      </c>
      <c r="J396" s="23">
        <v>97.867710000000002</v>
      </c>
      <c r="K396" s="23">
        <v>50164.54</v>
      </c>
      <c r="L396" s="23">
        <v>33453.980000000003</v>
      </c>
      <c r="M396" s="23">
        <v>10</v>
      </c>
      <c r="N396" s="23">
        <v>80.739999999999995</v>
      </c>
      <c r="O396" s="33">
        <v>-5.7000000000000002E-3</v>
      </c>
      <c r="P396" s="33">
        <v>9.7699999999999995E-2</v>
      </c>
      <c r="Q396" s="23" t="s">
        <v>24</v>
      </c>
      <c r="R396" s="23">
        <v>0</v>
      </c>
      <c r="S396" s="23">
        <v>517.82000000000005</v>
      </c>
      <c r="U396" s="47">
        <v>44560</v>
      </c>
      <c r="V396" s="23" t="s">
        <v>136</v>
      </c>
      <c r="W396" s="23" t="s">
        <v>23</v>
      </c>
      <c r="X396" s="28">
        <v>44554.635416666664</v>
      </c>
      <c r="Y396" s="23">
        <v>11.275</v>
      </c>
      <c r="Z396" s="28">
        <v>44557.4375</v>
      </c>
      <c r="AA396" s="23">
        <v>8.5749999999999993</v>
      </c>
      <c r="AB396" s="33">
        <v>-0.23949999999999999</v>
      </c>
      <c r="AC396" s="23">
        <v>12994.51</v>
      </c>
      <c r="AD396" s="33">
        <v>0.23949999999999999</v>
      </c>
      <c r="AE396" s="23">
        <v>4812.7830000000004</v>
      </c>
      <c r="AF396" s="23">
        <v>54264.13</v>
      </c>
      <c r="AG396" s="23">
        <v>857083.61</v>
      </c>
      <c r="AH396" s="23">
        <v>10</v>
      </c>
      <c r="AI396" s="23">
        <v>1299.45</v>
      </c>
      <c r="AJ396" s="33">
        <v>-0.2417</v>
      </c>
      <c r="AK396" s="33">
        <v>0.89359999999999995</v>
      </c>
      <c r="AL396" s="23" t="s">
        <v>24</v>
      </c>
      <c r="AM396" s="23">
        <v>512.58000000000004</v>
      </c>
      <c r="AN396" s="23">
        <v>34879.65</v>
      </c>
      <c r="AO396" s="23">
        <v>517.82000000000005</v>
      </c>
      <c r="AQ396" s="50">
        <f t="shared" si="6"/>
        <v>2.1996566389636738E-2</v>
      </c>
      <c r="AR396" s="50"/>
      <c r="AS396" s="48"/>
      <c r="AT396" s="50"/>
      <c r="AV396" s="47">
        <v>44554</v>
      </c>
      <c r="AW396" s="51">
        <v>0.13541666666666666</v>
      </c>
      <c r="AX396" t="s">
        <v>163</v>
      </c>
    </row>
    <row r="397" spans="1:50">
      <c r="A397" s="23" t="s">
        <v>22</v>
      </c>
      <c r="B397" s="23" t="s">
        <v>25</v>
      </c>
      <c r="C397" s="28">
        <v>44557.4375</v>
      </c>
      <c r="D397" s="23">
        <v>504.32499999999999</v>
      </c>
      <c r="E397" s="28">
        <v>44558.416666666664</v>
      </c>
      <c r="F397" s="23">
        <v>501.25</v>
      </c>
      <c r="G397" s="33">
        <v>-6.1000000000000004E-3</v>
      </c>
      <c r="H397" s="23">
        <v>-305.89999999999998</v>
      </c>
      <c r="I397" s="33">
        <v>-6.1000000000000004E-3</v>
      </c>
      <c r="J397" s="23">
        <v>99.478890000000007</v>
      </c>
      <c r="K397" s="23">
        <v>50169.69</v>
      </c>
      <c r="L397" s="23">
        <v>33148.080000000002</v>
      </c>
      <c r="M397" s="23">
        <v>27</v>
      </c>
      <c r="N397" s="23">
        <v>-11.33</v>
      </c>
      <c r="O397" s="33">
        <v>-1.2500000000000001E-2</v>
      </c>
      <c r="P397" s="33">
        <v>2.1000000000000001E-2</v>
      </c>
      <c r="Q397" s="23" t="s">
        <v>24</v>
      </c>
      <c r="R397" s="23">
        <v>0</v>
      </c>
      <c r="S397" s="23">
        <v>463.32</v>
      </c>
      <c r="U397" s="47">
        <v>44560</v>
      </c>
      <c r="V397" s="23" t="s">
        <v>105</v>
      </c>
      <c r="W397" s="23" t="s">
        <v>23</v>
      </c>
      <c r="X397" s="28">
        <v>44557.4375</v>
      </c>
      <c r="Y397" s="23">
        <v>9.1</v>
      </c>
      <c r="Z397" s="28">
        <v>44558.416666666664</v>
      </c>
      <c r="AA397" s="23">
        <v>8.6750000000000007</v>
      </c>
      <c r="AB397" s="33">
        <v>-4.6699999999999998E-2</v>
      </c>
      <c r="AC397" s="23">
        <v>2537.84</v>
      </c>
      <c r="AD397" s="33">
        <v>4.6699999999999998E-2</v>
      </c>
      <c r="AE397" s="23">
        <v>5971.38</v>
      </c>
      <c r="AF397" s="23">
        <v>54339.56</v>
      </c>
      <c r="AG397" s="23">
        <v>859621.45</v>
      </c>
      <c r="AH397" s="23">
        <v>27</v>
      </c>
      <c r="AI397" s="23">
        <v>93.99</v>
      </c>
      <c r="AJ397" s="33">
        <v>-0.37359999999999999</v>
      </c>
      <c r="AK397" s="33">
        <v>0.41760000000000003</v>
      </c>
      <c r="AL397" s="23" t="s">
        <v>24</v>
      </c>
      <c r="AM397" s="23">
        <v>504.33</v>
      </c>
      <c r="AN397" s="23">
        <v>34743.550000000003</v>
      </c>
      <c r="AO397" s="23">
        <v>463.32</v>
      </c>
      <c r="AQ397" s="50">
        <f t="shared" si="6"/>
        <v>1.804374120119763E-2</v>
      </c>
      <c r="AR397" s="50"/>
      <c r="AS397" s="48"/>
      <c r="AT397" s="50"/>
      <c r="AV397" s="47">
        <v>44557</v>
      </c>
      <c r="AW397" s="51">
        <v>0.4375</v>
      </c>
      <c r="AX397" t="s">
        <v>162</v>
      </c>
    </row>
    <row r="398" spans="1:50">
      <c r="A398" s="23" t="s">
        <v>22</v>
      </c>
      <c r="B398" s="23" t="s">
        <v>23</v>
      </c>
      <c r="C398" s="28">
        <v>44558.416666666664</v>
      </c>
      <c r="D398" s="23">
        <v>501.25</v>
      </c>
      <c r="E398" s="28">
        <v>44559.385416666664</v>
      </c>
      <c r="F398" s="23">
        <v>498.42500000000001</v>
      </c>
      <c r="G398" s="33">
        <v>-5.5999999999999999E-3</v>
      </c>
      <c r="H398" s="23">
        <v>282.73</v>
      </c>
      <c r="I398" s="33">
        <v>5.5999999999999999E-3</v>
      </c>
      <c r="J398" s="23">
        <v>100.0817</v>
      </c>
      <c r="K398" s="23">
        <v>50165.95</v>
      </c>
      <c r="L398" s="23">
        <v>33430.81</v>
      </c>
      <c r="M398" s="23">
        <v>26</v>
      </c>
      <c r="N398" s="23">
        <v>10.87</v>
      </c>
      <c r="O398" s="33">
        <v>-5.8999999999999999E-3</v>
      </c>
      <c r="P398" s="33">
        <v>2.0400000000000001E-2</v>
      </c>
      <c r="Q398" s="23" t="s">
        <v>24</v>
      </c>
      <c r="R398" s="23">
        <v>0</v>
      </c>
      <c r="S398" s="23">
        <v>514.26</v>
      </c>
      <c r="U398" s="47">
        <v>44560</v>
      </c>
      <c r="V398" s="23" t="s">
        <v>135</v>
      </c>
      <c r="W398" s="23" t="s">
        <v>23</v>
      </c>
      <c r="X398" s="28">
        <v>44558.416666666664</v>
      </c>
      <c r="Y398" s="23">
        <v>10.025</v>
      </c>
      <c r="Z398" s="28">
        <v>44559.385416666664</v>
      </c>
      <c r="AA398" s="23">
        <v>6.9749999999999996</v>
      </c>
      <c r="AB398" s="33">
        <v>-0.30420000000000003</v>
      </c>
      <c r="AC398" s="23">
        <v>16518.259999999998</v>
      </c>
      <c r="AD398" s="33">
        <v>0.30420000000000003</v>
      </c>
      <c r="AE398" s="23">
        <v>5415.8239999999996</v>
      </c>
      <c r="AF398" s="23">
        <v>54293.63</v>
      </c>
      <c r="AG398" s="23">
        <v>876139.71</v>
      </c>
      <c r="AH398" s="23">
        <v>26</v>
      </c>
      <c r="AI398" s="23">
        <v>635.32000000000005</v>
      </c>
      <c r="AJ398" s="33">
        <v>-0.32419999999999999</v>
      </c>
      <c r="AK398" s="33">
        <v>0.34910000000000002</v>
      </c>
      <c r="AL398" s="23" t="s">
        <v>24</v>
      </c>
      <c r="AM398" s="23">
        <v>501.25</v>
      </c>
      <c r="AN398" s="23">
        <v>35239.800000000003</v>
      </c>
      <c r="AO398" s="23">
        <v>514.26</v>
      </c>
      <c r="AQ398" s="50">
        <f t="shared" si="6"/>
        <v>0.02</v>
      </c>
      <c r="AR398" s="50"/>
      <c r="AS398" s="48"/>
      <c r="AT398" s="50"/>
      <c r="AV398" s="47">
        <v>44558</v>
      </c>
      <c r="AW398" s="51">
        <v>0.41666666666666669</v>
      </c>
      <c r="AX398" t="s">
        <v>162</v>
      </c>
    </row>
    <row r="399" spans="1:50">
      <c r="A399" s="23" t="s">
        <v>22</v>
      </c>
      <c r="B399" s="23" t="s">
        <v>25</v>
      </c>
      <c r="C399" s="28">
        <v>44559.385416666664</v>
      </c>
      <c r="D399" s="23">
        <v>498.42500000000001</v>
      </c>
      <c r="E399" s="28">
        <v>44559.635416666664</v>
      </c>
      <c r="F399" s="23">
        <v>503.1</v>
      </c>
      <c r="G399" s="33">
        <v>9.4000000000000004E-3</v>
      </c>
      <c r="H399" s="23">
        <v>470.57</v>
      </c>
      <c r="I399" s="33">
        <v>9.4000000000000004E-3</v>
      </c>
      <c r="J399" s="23">
        <v>100.6558</v>
      </c>
      <c r="K399" s="23">
        <v>50169.37</v>
      </c>
      <c r="L399" s="23">
        <v>33901.379999999997</v>
      </c>
      <c r="M399" s="23">
        <v>25</v>
      </c>
      <c r="N399" s="23">
        <v>18.82</v>
      </c>
      <c r="O399" s="33">
        <v>-2.2599999999999999E-2</v>
      </c>
      <c r="P399" s="33">
        <v>1.9199999999999998E-2</v>
      </c>
      <c r="Q399" s="23" t="s">
        <v>24</v>
      </c>
      <c r="R399" s="23">
        <v>0</v>
      </c>
      <c r="S399" s="23">
        <v>487.17</v>
      </c>
      <c r="U399" s="47">
        <v>44560</v>
      </c>
      <c r="V399" s="23" t="s">
        <v>105</v>
      </c>
      <c r="W399" s="23" t="s">
        <v>23</v>
      </c>
      <c r="X399" s="28">
        <v>44559.385416666664</v>
      </c>
      <c r="Y399" s="23">
        <v>8.25</v>
      </c>
      <c r="Z399" s="28">
        <v>44559.635416666664</v>
      </c>
      <c r="AA399" s="23">
        <v>3.75</v>
      </c>
      <c r="AB399" s="33">
        <v>-0.54549999999999998</v>
      </c>
      <c r="AC399" s="23">
        <v>29668.84</v>
      </c>
      <c r="AD399" s="33">
        <v>0.54549999999999998</v>
      </c>
      <c r="AE399" s="23">
        <v>6593.0770000000002</v>
      </c>
      <c r="AF399" s="23">
        <v>54392.88</v>
      </c>
      <c r="AG399" s="23">
        <v>905808.56</v>
      </c>
      <c r="AH399" s="23">
        <v>25</v>
      </c>
      <c r="AI399" s="23">
        <v>1186.75</v>
      </c>
      <c r="AJ399" s="33">
        <v>-1.0606</v>
      </c>
      <c r="AK399" s="33">
        <v>0.75760000000000005</v>
      </c>
      <c r="AL399" s="23" t="s">
        <v>24</v>
      </c>
      <c r="AM399" s="23">
        <v>498.42</v>
      </c>
      <c r="AN399" s="23">
        <v>35274.5</v>
      </c>
      <c r="AO399" s="23">
        <v>487.17</v>
      </c>
      <c r="AQ399" s="50">
        <f t="shared" si="6"/>
        <v>1.6552305284699649E-2</v>
      </c>
      <c r="AR399" s="50"/>
      <c r="AS399" s="48"/>
      <c r="AT399" s="50"/>
      <c r="AV399" s="47">
        <v>44559</v>
      </c>
      <c r="AW399" s="51">
        <v>0.38541666666666669</v>
      </c>
      <c r="AX399" t="s">
        <v>162</v>
      </c>
    </row>
    <row r="400" spans="1:50">
      <c r="A400" s="23" t="s">
        <v>22</v>
      </c>
      <c r="B400" s="23" t="s">
        <v>23</v>
      </c>
      <c r="C400" s="28">
        <v>44559.635416666664</v>
      </c>
      <c r="D400" s="23">
        <v>503.1</v>
      </c>
      <c r="E400" s="28">
        <v>44560.395833333336</v>
      </c>
      <c r="F400" s="23">
        <v>506.55</v>
      </c>
      <c r="G400" s="33">
        <v>6.8999999999999999E-3</v>
      </c>
      <c r="H400" s="23">
        <v>-344.04</v>
      </c>
      <c r="I400" s="33">
        <v>-6.8999999999999999E-3</v>
      </c>
      <c r="J400" s="23">
        <v>99.723020000000005</v>
      </c>
      <c r="K400" s="23">
        <v>50170.65</v>
      </c>
      <c r="L400" s="23">
        <v>33557.339999999997</v>
      </c>
      <c r="M400" s="23">
        <v>6</v>
      </c>
      <c r="N400" s="23">
        <v>-57.34</v>
      </c>
      <c r="O400" s="33">
        <v>-1.01E-2</v>
      </c>
      <c r="P400" s="33">
        <v>6.1999999999999998E-3</v>
      </c>
      <c r="Q400" s="23" t="s">
        <v>24</v>
      </c>
      <c r="R400" s="23">
        <v>0</v>
      </c>
      <c r="S400" s="23">
        <v>508.2</v>
      </c>
      <c r="U400" s="47">
        <v>44560</v>
      </c>
      <c r="V400" s="23" t="s">
        <v>135</v>
      </c>
      <c r="W400" s="23" t="s">
        <v>23</v>
      </c>
      <c r="X400" s="28">
        <v>44559.635416666664</v>
      </c>
      <c r="Y400" s="23">
        <v>6.3</v>
      </c>
      <c r="Z400" s="28">
        <v>44560.395833333336</v>
      </c>
      <c r="AA400" s="23">
        <v>9.3000000000000007</v>
      </c>
      <c r="AB400" s="33">
        <v>0.47620000000000001</v>
      </c>
      <c r="AC400" s="23">
        <v>-25989.759999999998</v>
      </c>
      <c r="AD400" s="33">
        <v>-0.47620000000000001</v>
      </c>
      <c r="AE400" s="23">
        <v>8663.2520000000004</v>
      </c>
      <c r="AF400" s="23">
        <v>54578.49</v>
      </c>
      <c r="AG400" s="23">
        <v>879818.8</v>
      </c>
      <c r="AH400" s="23">
        <v>6</v>
      </c>
      <c r="AI400" s="23">
        <v>-4331.63</v>
      </c>
      <c r="AJ400" s="33">
        <v>-0.53569999999999995</v>
      </c>
      <c r="AK400" s="33">
        <v>8.3299999999999999E-2</v>
      </c>
      <c r="AL400" s="23" t="s">
        <v>24</v>
      </c>
      <c r="AM400" s="23">
        <v>503.1</v>
      </c>
      <c r="AN400" s="23">
        <v>34946.449999999997</v>
      </c>
      <c r="AO400" s="23">
        <v>508.2</v>
      </c>
      <c r="AQ400" s="50">
        <f t="shared" si="6"/>
        <v>1.2522361359570661E-2</v>
      </c>
      <c r="AR400" s="50"/>
      <c r="AS400" s="48"/>
      <c r="AT400" s="50"/>
      <c r="AV400" s="47">
        <v>44559</v>
      </c>
      <c r="AW400" s="51">
        <v>0.13541666666666666</v>
      </c>
      <c r="AX400" t="s">
        <v>163</v>
      </c>
    </row>
    <row r="401" spans="1:50">
      <c r="A401" s="23" t="s">
        <v>22</v>
      </c>
      <c r="B401" s="23" t="s">
        <v>25</v>
      </c>
      <c r="C401" s="28">
        <v>44560.395833333336</v>
      </c>
      <c r="D401" s="23">
        <v>506.55</v>
      </c>
      <c r="E401" s="28">
        <v>44560.697916666664</v>
      </c>
      <c r="F401" s="23">
        <v>521.67499999999995</v>
      </c>
      <c r="G401" s="33">
        <v>2.9899999999999999E-2</v>
      </c>
      <c r="H401" s="23">
        <v>1497.99</v>
      </c>
      <c r="I401" s="33">
        <v>2.9899999999999999E-2</v>
      </c>
      <c r="J401" s="23">
        <v>99.040440000000004</v>
      </c>
      <c r="K401" s="23">
        <v>50168.93</v>
      </c>
      <c r="L401" s="23">
        <v>35055.32</v>
      </c>
      <c r="M401" s="23">
        <v>26</v>
      </c>
      <c r="N401" s="23">
        <v>57.61</v>
      </c>
      <c r="O401" s="33">
        <v>-5.0000000000000001E-3</v>
      </c>
      <c r="P401" s="33">
        <v>4.7699999999999999E-2</v>
      </c>
      <c r="Q401" s="23" t="s">
        <v>24</v>
      </c>
      <c r="R401" s="23">
        <v>0</v>
      </c>
      <c r="S401" s="23">
        <v>500</v>
      </c>
      <c r="U401" s="47">
        <v>44560</v>
      </c>
      <c r="V401" s="23" t="s">
        <v>105</v>
      </c>
      <c r="W401" s="23" t="s">
        <v>23</v>
      </c>
      <c r="X401" s="28">
        <v>44560.395833333336</v>
      </c>
      <c r="Y401" s="23">
        <v>1.9750000000000001</v>
      </c>
      <c r="Z401" s="28">
        <v>44560.697916666664</v>
      </c>
      <c r="AA401" s="23">
        <v>2.5000000000000001E-2</v>
      </c>
      <c r="AB401" s="33">
        <v>-0.98729999999999996</v>
      </c>
      <c r="AC401" s="23">
        <v>53861.25</v>
      </c>
      <c r="AD401" s="33">
        <v>0.98729999999999996</v>
      </c>
      <c r="AE401" s="23">
        <v>27621.16</v>
      </c>
      <c r="AF401" s="23">
        <v>54551.79</v>
      </c>
      <c r="AG401" s="23">
        <v>933680.06</v>
      </c>
      <c r="AH401" s="23">
        <v>26</v>
      </c>
      <c r="AI401" s="23">
        <v>2071.59</v>
      </c>
      <c r="AJ401" s="33">
        <v>-0.26579999999999998</v>
      </c>
      <c r="AK401" s="33">
        <v>0.98729999999999996</v>
      </c>
      <c r="AL401" s="23" t="s">
        <v>24</v>
      </c>
      <c r="AM401" s="23">
        <v>506.55</v>
      </c>
      <c r="AN401" s="23">
        <v>35000.449999999997</v>
      </c>
      <c r="AO401" s="23">
        <v>500</v>
      </c>
      <c r="AQ401" s="50">
        <f t="shared" si="6"/>
        <v>3.8989240943638338E-3</v>
      </c>
      <c r="AR401" s="50"/>
      <c r="AS401" s="48"/>
      <c r="AT401" s="50"/>
      <c r="AV401" s="47">
        <v>44560</v>
      </c>
      <c r="AW401" s="51">
        <v>0.39583333333333331</v>
      </c>
      <c r="AX401" t="s">
        <v>162</v>
      </c>
    </row>
    <row r="402" spans="1:50">
      <c r="A402" s="23" t="s">
        <v>22</v>
      </c>
      <c r="B402" s="23" t="s">
        <v>25</v>
      </c>
      <c r="C402" s="28">
        <v>44561.385416666664</v>
      </c>
      <c r="D402" s="23">
        <v>518</v>
      </c>
      <c r="E402" s="28">
        <v>44561.46875</v>
      </c>
      <c r="F402" s="23">
        <v>522.47500000000002</v>
      </c>
      <c r="G402" s="33">
        <v>8.6E-3</v>
      </c>
      <c r="H402" s="23">
        <v>433.46</v>
      </c>
      <c r="I402" s="33">
        <v>8.6E-3</v>
      </c>
      <c r="J402" s="23">
        <v>96.863470000000007</v>
      </c>
      <c r="K402" s="23">
        <v>50175.28</v>
      </c>
      <c r="L402" s="23">
        <v>35488.79</v>
      </c>
      <c r="M402" s="23">
        <v>9</v>
      </c>
      <c r="N402" s="23">
        <v>48.16</v>
      </c>
      <c r="O402" s="33">
        <v>-7.4000000000000003E-3</v>
      </c>
      <c r="P402" s="33">
        <v>1.61E-2</v>
      </c>
      <c r="Q402" s="23" t="s">
        <v>24</v>
      </c>
      <c r="R402" s="23">
        <v>0</v>
      </c>
      <c r="S402" s="23">
        <v>513.54</v>
      </c>
      <c r="U402" s="47">
        <v>44588</v>
      </c>
      <c r="V402" s="23" t="s">
        <v>125</v>
      </c>
      <c r="W402" s="23" t="s">
        <v>23</v>
      </c>
      <c r="X402" s="28">
        <v>44561.385416666664</v>
      </c>
      <c r="Y402" s="23">
        <v>22.65</v>
      </c>
      <c r="Z402" s="28">
        <v>44561.46875</v>
      </c>
      <c r="AA402" s="23">
        <v>18.125</v>
      </c>
      <c r="AB402" s="33">
        <v>-0.19980000000000001</v>
      </c>
      <c r="AC402" s="23">
        <v>10921.61</v>
      </c>
      <c r="AD402" s="33">
        <v>0.19980000000000001</v>
      </c>
      <c r="AE402" s="23">
        <v>2413.616</v>
      </c>
      <c r="AF402" s="23">
        <v>54668.4</v>
      </c>
      <c r="AG402" s="23">
        <v>944601.67</v>
      </c>
      <c r="AH402" s="23">
        <v>9</v>
      </c>
      <c r="AI402" s="23">
        <v>1213.51</v>
      </c>
      <c r="AJ402" s="33">
        <v>-0.13800000000000001</v>
      </c>
      <c r="AK402" s="33">
        <v>0.19980000000000001</v>
      </c>
      <c r="AL402" s="23" t="s">
        <v>24</v>
      </c>
      <c r="AM402" s="23">
        <v>518</v>
      </c>
      <c r="AN402" s="23">
        <v>35370.400000000001</v>
      </c>
      <c r="AO402" s="23">
        <v>513.54</v>
      </c>
      <c r="AQ402" s="50">
        <f t="shared" si="6"/>
        <v>4.372586872586872E-2</v>
      </c>
      <c r="AR402" s="50"/>
      <c r="AS402" s="48"/>
      <c r="AT402" s="50"/>
      <c r="AV402" s="47">
        <v>44561</v>
      </c>
      <c r="AW402" s="51">
        <v>0.38541666666666669</v>
      </c>
      <c r="AX402" t="s">
        <v>162</v>
      </c>
    </row>
    <row r="403" spans="1:50">
      <c r="A403" s="23" t="s">
        <v>22</v>
      </c>
      <c r="B403" s="23" t="s">
        <v>23</v>
      </c>
      <c r="C403" s="28">
        <v>44561.46875</v>
      </c>
      <c r="D403" s="23">
        <v>522.47500000000002</v>
      </c>
      <c r="E403" s="28">
        <v>44564.385416666664</v>
      </c>
      <c r="F403" s="23">
        <v>524.02499999999998</v>
      </c>
      <c r="G403" s="33">
        <v>3.0000000000000001E-3</v>
      </c>
      <c r="H403" s="23">
        <v>-148.86000000000001</v>
      </c>
      <c r="I403" s="33">
        <v>-3.0000000000000001E-3</v>
      </c>
      <c r="J403" s="23">
        <v>96.036760000000001</v>
      </c>
      <c r="K403" s="23">
        <v>50176.800000000003</v>
      </c>
      <c r="L403" s="23">
        <v>35339.93</v>
      </c>
      <c r="M403" s="23">
        <v>21</v>
      </c>
      <c r="N403" s="23">
        <v>-7.09</v>
      </c>
      <c r="O403" s="33">
        <v>-9.1000000000000004E-3</v>
      </c>
      <c r="P403" s="33">
        <v>1.24E-2</v>
      </c>
      <c r="Q403" s="23" t="s">
        <v>24</v>
      </c>
      <c r="R403" s="23">
        <v>0</v>
      </c>
      <c r="S403" s="23">
        <v>530.48</v>
      </c>
      <c r="U403" s="47">
        <v>44588</v>
      </c>
      <c r="V403" s="23" t="s">
        <v>124</v>
      </c>
      <c r="W403" s="23" t="s">
        <v>23</v>
      </c>
      <c r="X403" s="28">
        <v>44561.46875</v>
      </c>
      <c r="Y403" s="23">
        <v>26.475000000000001</v>
      </c>
      <c r="Z403" s="28">
        <v>44564.385416666664</v>
      </c>
      <c r="AA403" s="23">
        <v>25.625</v>
      </c>
      <c r="AB403" s="33">
        <v>-3.2099999999999997E-2</v>
      </c>
      <c r="AC403" s="23">
        <v>1756.7</v>
      </c>
      <c r="AD403" s="33">
        <v>3.2099999999999997E-2</v>
      </c>
      <c r="AE403" s="23">
        <v>2066.7069999999999</v>
      </c>
      <c r="AF403" s="23">
        <v>54716.07</v>
      </c>
      <c r="AG403" s="23">
        <v>946358.37</v>
      </c>
      <c r="AH403" s="23">
        <v>21</v>
      </c>
      <c r="AI403" s="23">
        <v>83.65</v>
      </c>
      <c r="AJ403" s="33">
        <v>-8.5000000000000006E-2</v>
      </c>
      <c r="AK403" s="33">
        <v>0.16900000000000001</v>
      </c>
      <c r="AL403" s="23" t="s">
        <v>24</v>
      </c>
      <c r="AM403" s="23">
        <v>522.47</v>
      </c>
      <c r="AN403" s="23">
        <v>35464.400000000001</v>
      </c>
      <c r="AO403" s="23">
        <v>530.48</v>
      </c>
      <c r="AQ403" s="50">
        <f t="shared" si="6"/>
        <v>5.0672765900434472E-2</v>
      </c>
      <c r="AR403" s="50"/>
      <c r="AS403" s="48"/>
      <c r="AT403" s="50"/>
      <c r="AV403" s="47">
        <v>44561</v>
      </c>
      <c r="AW403" s="51">
        <v>0.46875</v>
      </c>
      <c r="AX403" t="s">
        <v>162</v>
      </c>
    </row>
    <row r="404" spans="1:50">
      <c r="A404" s="23" t="s">
        <v>22</v>
      </c>
      <c r="B404" s="23" t="s">
        <v>25</v>
      </c>
      <c r="C404" s="28">
        <v>44564.385416666664</v>
      </c>
      <c r="D404" s="23">
        <v>524.02499999999998</v>
      </c>
      <c r="E404" s="28">
        <v>44564.614583333336</v>
      </c>
      <c r="F404" s="23">
        <v>529.75</v>
      </c>
      <c r="G404" s="33">
        <v>1.09E-2</v>
      </c>
      <c r="H404" s="23">
        <v>548.20000000000005</v>
      </c>
      <c r="I404" s="33">
        <v>1.09E-2</v>
      </c>
      <c r="J404" s="23">
        <v>95.756219999999999</v>
      </c>
      <c r="K404" s="23">
        <v>50178.66</v>
      </c>
      <c r="L404" s="23">
        <v>35888.129999999997</v>
      </c>
      <c r="M404" s="23">
        <v>23</v>
      </c>
      <c r="N404" s="23">
        <v>23.83</v>
      </c>
      <c r="O404" s="33">
        <v>-4.0000000000000001E-3</v>
      </c>
      <c r="P404" s="33">
        <v>3.6700000000000003E-2</v>
      </c>
      <c r="Q404" s="23" t="s">
        <v>24</v>
      </c>
      <c r="R404" s="23">
        <v>0</v>
      </c>
      <c r="S404" s="23">
        <v>516.4</v>
      </c>
      <c r="U404" s="47">
        <v>44588</v>
      </c>
      <c r="V404" s="23" t="s">
        <v>117</v>
      </c>
      <c r="W404" s="23" t="s">
        <v>23</v>
      </c>
      <c r="X404" s="28">
        <v>44564.385416666664</v>
      </c>
      <c r="Y404" s="23">
        <v>20.774999999999999</v>
      </c>
      <c r="Z404" s="28">
        <v>44564.614583333336</v>
      </c>
      <c r="AA404" s="23">
        <v>16.5</v>
      </c>
      <c r="AB404" s="33">
        <v>-0.20580000000000001</v>
      </c>
      <c r="AC404" s="23">
        <v>11266.11</v>
      </c>
      <c r="AD404" s="33">
        <v>0.20580000000000001</v>
      </c>
      <c r="AE404" s="23">
        <v>2635.348</v>
      </c>
      <c r="AF404" s="23">
        <v>54749.36</v>
      </c>
      <c r="AG404" s="23">
        <v>957624.48</v>
      </c>
      <c r="AH404" s="23">
        <v>23</v>
      </c>
      <c r="AI404" s="23">
        <v>489.83</v>
      </c>
      <c r="AJ404" s="33">
        <v>-3.3700000000000001E-2</v>
      </c>
      <c r="AK404" s="33">
        <v>0.38150000000000001</v>
      </c>
      <c r="AL404" s="23" t="s">
        <v>24</v>
      </c>
      <c r="AM404" s="23">
        <v>524.03</v>
      </c>
      <c r="AN404" s="23">
        <v>35600.85</v>
      </c>
      <c r="AO404" s="23">
        <v>516.4</v>
      </c>
      <c r="AQ404" s="50">
        <f t="shared" si="6"/>
        <v>3.9644676831479111E-2</v>
      </c>
      <c r="AR404" s="50"/>
      <c r="AS404" s="48"/>
      <c r="AT404" s="50"/>
      <c r="AV404" s="47">
        <v>44564</v>
      </c>
      <c r="AW404" s="51">
        <v>0.38541666666666669</v>
      </c>
      <c r="AX404" t="s">
        <v>162</v>
      </c>
    </row>
    <row r="405" spans="1:50">
      <c r="A405" s="23" t="s">
        <v>22</v>
      </c>
      <c r="B405" s="23" t="s">
        <v>23</v>
      </c>
      <c r="C405" s="28">
        <v>44564.614583333336</v>
      </c>
      <c r="D405" s="23">
        <v>529.75</v>
      </c>
      <c r="E405" s="28">
        <v>44565.385416666664</v>
      </c>
      <c r="F405" s="23">
        <v>549.20000000000005</v>
      </c>
      <c r="G405" s="33">
        <v>3.6700000000000003E-2</v>
      </c>
      <c r="H405" s="23">
        <v>-1842.44</v>
      </c>
      <c r="I405" s="33">
        <v>-3.6700000000000003E-2</v>
      </c>
      <c r="J405" s="23">
        <v>94.727209999999999</v>
      </c>
      <c r="K405" s="23">
        <v>50181.74</v>
      </c>
      <c r="L405" s="23">
        <v>34045.69</v>
      </c>
      <c r="M405" s="23">
        <v>7</v>
      </c>
      <c r="N405" s="23">
        <v>-263.20999999999998</v>
      </c>
      <c r="O405" s="33">
        <v>-3.6700000000000003E-2</v>
      </c>
      <c r="P405" s="33">
        <v>1E-4</v>
      </c>
      <c r="Q405" s="23" t="s">
        <v>24</v>
      </c>
      <c r="R405" s="23">
        <v>0</v>
      </c>
      <c r="S405" s="23">
        <v>542.79</v>
      </c>
      <c r="U405" s="47">
        <v>44588</v>
      </c>
      <c r="V405" s="23" t="s">
        <v>127</v>
      </c>
      <c r="W405" s="23" t="s">
        <v>23</v>
      </c>
      <c r="X405" s="28">
        <v>44564.614583333336</v>
      </c>
      <c r="Y405" s="23">
        <v>24.6</v>
      </c>
      <c r="Z405" s="28">
        <v>44565.385416666664</v>
      </c>
      <c r="AA405" s="23">
        <v>34.5</v>
      </c>
      <c r="AB405" s="33">
        <v>0.40239999999999998</v>
      </c>
      <c r="AC405" s="23">
        <v>-22054.84</v>
      </c>
      <c r="AD405" s="33">
        <v>-0.40239999999999998</v>
      </c>
      <c r="AE405" s="23">
        <v>2227.7620000000002</v>
      </c>
      <c r="AF405" s="23">
        <v>54802.95</v>
      </c>
      <c r="AG405" s="23">
        <v>935569.64</v>
      </c>
      <c r="AH405" s="23">
        <v>7</v>
      </c>
      <c r="AI405" s="23">
        <v>-3150.69</v>
      </c>
      <c r="AJ405" s="33">
        <v>-0.40239999999999998</v>
      </c>
      <c r="AK405" s="33">
        <v>0</v>
      </c>
      <c r="AL405" s="23" t="s">
        <v>24</v>
      </c>
      <c r="AM405" s="23">
        <v>529.75</v>
      </c>
      <c r="AN405" s="23">
        <v>36376.550000000003</v>
      </c>
      <c r="AO405" s="23">
        <v>542.79</v>
      </c>
      <c r="AQ405" s="50">
        <f t="shared" si="6"/>
        <v>4.6436998584237853E-2</v>
      </c>
      <c r="AR405" s="50"/>
      <c r="AS405" s="48"/>
      <c r="AT405" s="50"/>
      <c r="AV405" s="47">
        <v>44564</v>
      </c>
      <c r="AW405" s="51">
        <v>0.11458333333333333</v>
      </c>
      <c r="AX405" t="s">
        <v>163</v>
      </c>
    </row>
    <row r="406" spans="1:50">
      <c r="A406" s="23" t="s">
        <v>22</v>
      </c>
      <c r="B406" s="23" t="s">
        <v>25</v>
      </c>
      <c r="C406" s="28">
        <v>44565.385416666664</v>
      </c>
      <c r="D406" s="23">
        <v>549.20000000000005</v>
      </c>
      <c r="E406" s="28">
        <v>44565.552083333336</v>
      </c>
      <c r="F406" s="23">
        <v>544.22500000000002</v>
      </c>
      <c r="G406" s="33">
        <v>-9.1000000000000004E-3</v>
      </c>
      <c r="H406" s="23">
        <v>-454.53</v>
      </c>
      <c r="I406" s="33">
        <v>-9.1000000000000004E-3</v>
      </c>
      <c r="J406" s="23">
        <v>91.362620000000007</v>
      </c>
      <c r="K406" s="23">
        <v>50176.35</v>
      </c>
      <c r="L406" s="23">
        <v>33591.160000000003</v>
      </c>
      <c r="M406" s="23">
        <v>17</v>
      </c>
      <c r="N406" s="23">
        <v>-26.74</v>
      </c>
      <c r="O406" s="33">
        <v>-2.41E-2</v>
      </c>
      <c r="P406" s="33">
        <v>5.7999999999999996E-3</v>
      </c>
      <c r="Q406" s="23" t="s">
        <v>24</v>
      </c>
      <c r="R406" s="23">
        <v>0</v>
      </c>
      <c r="S406" s="23">
        <v>530.25</v>
      </c>
      <c r="U406" s="47">
        <v>44588</v>
      </c>
      <c r="V406" s="23" t="s">
        <v>106</v>
      </c>
      <c r="W406" s="23" t="s">
        <v>23</v>
      </c>
      <c r="X406" s="28">
        <v>44565.385416666664</v>
      </c>
      <c r="Y406" s="23">
        <v>22</v>
      </c>
      <c r="Z406" s="28">
        <v>44565.552083333336</v>
      </c>
      <c r="AA406" s="23">
        <v>22.824999999999999</v>
      </c>
      <c r="AB406" s="33">
        <v>3.7499999999999999E-2</v>
      </c>
      <c r="AC406" s="23">
        <v>-2052.66</v>
      </c>
      <c r="AD406" s="33">
        <v>-3.7499999999999999E-2</v>
      </c>
      <c r="AE406" s="23">
        <v>2488.078</v>
      </c>
      <c r="AF406" s="23">
        <v>54737.72</v>
      </c>
      <c r="AG406" s="23">
        <v>933516.98</v>
      </c>
      <c r="AH406" s="23">
        <v>17</v>
      </c>
      <c r="AI406" s="23">
        <v>-120.74</v>
      </c>
      <c r="AJ406" s="33">
        <v>-0.16819999999999999</v>
      </c>
      <c r="AK406" s="33">
        <v>6.7000000000000004E-2</v>
      </c>
      <c r="AL406" s="23" t="s">
        <v>24</v>
      </c>
      <c r="AM406" s="23">
        <v>549.20000000000005</v>
      </c>
      <c r="AN406" s="23">
        <v>36650.1</v>
      </c>
      <c r="AO406" s="23">
        <v>530.25</v>
      </c>
      <c r="AQ406" s="50">
        <f t="shared" si="6"/>
        <v>4.0058266569555717E-2</v>
      </c>
      <c r="AR406" s="50"/>
      <c r="AS406" s="48"/>
      <c r="AT406" s="50"/>
      <c r="AV406" s="47">
        <v>44565</v>
      </c>
      <c r="AW406" s="51">
        <v>0.38541666666666669</v>
      </c>
      <c r="AX406" t="s">
        <v>162</v>
      </c>
    </row>
    <row r="407" spans="1:50">
      <c r="A407" s="23" t="s">
        <v>22</v>
      </c>
      <c r="B407" s="23" t="s">
        <v>23</v>
      </c>
      <c r="C407" s="28">
        <v>44565.552083333336</v>
      </c>
      <c r="D407" s="23">
        <v>544.22500000000002</v>
      </c>
      <c r="E407" s="28">
        <v>44565.635416666664</v>
      </c>
      <c r="F407" s="23">
        <v>548.95000000000005</v>
      </c>
      <c r="G407" s="33">
        <v>8.6999999999999994E-3</v>
      </c>
      <c r="H407" s="23">
        <v>-435.56</v>
      </c>
      <c r="I407" s="33">
        <v>-8.6999999999999994E-3</v>
      </c>
      <c r="J407" s="23">
        <v>92.182590000000005</v>
      </c>
      <c r="K407" s="23">
        <v>50168.07</v>
      </c>
      <c r="L407" s="23">
        <v>33155.599999999999</v>
      </c>
      <c r="M407" s="23">
        <v>9</v>
      </c>
      <c r="N407" s="23">
        <v>-48.4</v>
      </c>
      <c r="O407" s="33">
        <v>-8.6999999999999994E-3</v>
      </c>
      <c r="P407" s="33">
        <v>6.6E-3</v>
      </c>
      <c r="Q407" s="23" t="s">
        <v>24</v>
      </c>
      <c r="R407" s="23">
        <v>0</v>
      </c>
      <c r="S407" s="23">
        <v>552.04</v>
      </c>
      <c r="U407" s="47">
        <v>44588</v>
      </c>
      <c r="V407" s="23" t="s">
        <v>123</v>
      </c>
      <c r="W407" s="23" t="s">
        <v>23</v>
      </c>
      <c r="X407" s="28">
        <v>44565.552083333336</v>
      </c>
      <c r="Y407" s="23">
        <v>24.55</v>
      </c>
      <c r="Z407" s="28">
        <v>44565.635416666664</v>
      </c>
      <c r="AA407" s="23">
        <v>25.85</v>
      </c>
      <c r="AB407" s="33">
        <v>5.2999999999999999E-2</v>
      </c>
      <c r="AC407" s="23">
        <v>-2894.74</v>
      </c>
      <c r="AD407" s="33">
        <v>-5.2999999999999999E-2</v>
      </c>
      <c r="AE407" s="23">
        <v>2226.7220000000002</v>
      </c>
      <c r="AF407" s="23">
        <v>54666.03</v>
      </c>
      <c r="AG407" s="23">
        <v>930622.24</v>
      </c>
      <c r="AH407" s="23">
        <v>9</v>
      </c>
      <c r="AI407" s="23">
        <v>-321.64</v>
      </c>
      <c r="AJ407" s="33">
        <v>-5.91E-2</v>
      </c>
      <c r="AK407" s="33">
        <v>9.98E-2</v>
      </c>
      <c r="AL407" s="23" t="s">
        <v>24</v>
      </c>
      <c r="AM407" s="23">
        <v>544.22</v>
      </c>
      <c r="AN407" s="23">
        <v>36657.15</v>
      </c>
      <c r="AO407" s="23">
        <v>552.04</v>
      </c>
      <c r="AQ407" s="50">
        <f t="shared" si="6"/>
        <v>4.5110433280658557E-2</v>
      </c>
      <c r="AR407" s="50"/>
      <c r="AS407" s="48"/>
      <c r="AT407" s="50"/>
      <c r="AV407" s="47">
        <v>44565</v>
      </c>
      <c r="AW407" s="51">
        <v>5.2083333333333336E-2</v>
      </c>
      <c r="AX407" t="s">
        <v>163</v>
      </c>
    </row>
    <row r="408" spans="1:50">
      <c r="A408" s="23" t="s">
        <v>22</v>
      </c>
      <c r="B408" s="23" t="s">
        <v>25</v>
      </c>
      <c r="C408" s="28">
        <v>44565.635416666664</v>
      </c>
      <c r="D408" s="23">
        <v>548.95000000000005</v>
      </c>
      <c r="E408" s="28">
        <v>44566.5625</v>
      </c>
      <c r="F408" s="23">
        <v>588.375</v>
      </c>
      <c r="G408" s="33">
        <v>7.1800000000000003E-2</v>
      </c>
      <c r="H408" s="23">
        <v>3602.89</v>
      </c>
      <c r="I408" s="33">
        <v>7.1800000000000003E-2</v>
      </c>
      <c r="J408" s="23">
        <v>91.386039999999994</v>
      </c>
      <c r="K408" s="23">
        <v>50166.37</v>
      </c>
      <c r="L408" s="23">
        <v>36758.49</v>
      </c>
      <c r="M408" s="23">
        <v>22</v>
      </c>
      <c r="N408" s="23">
        <v>163.77000000000001</v>
      </c>
      <c r="O408" s="33">
        <v>-2.8999999999999998E-3</v>
      </c>
      <c r="P408" s="33">
        <v>0.13800000000000001</v>
      </c>
      <c r="Q408" s="23" t="s">
        <v>24</v>
      </c>
      <c r="R408" s="23">
        <v>0</v>
      </c>
      <c r="S408" s="23">
        <v>541.02</v>
      </c>
      <c r="U408" s="47">
        <v>44588</v>
      </c>
      <c r="V408" s="23" t="s">
        <v>106</v>
      </c>
      <c r="W408" s="23" t="s">
        <v>23</v>
      </c>
      <c r="X408" s="28">
        <v>44565.635416666664</v>
      </c>
      <c r="Y408" s="23">
        <v>20.2</v>
      </c>
      <c r="Z408" s="28">
        <v>44566.5625</v>
      </c>
      <c r="AA408" s="23">
        <v>9.85</v>
      </c>
      <c r="AB408" s="33">
        <v>-0.51239999999999997</v>
      </c>
      <c r="AC408" s="23">
        <v>28002.81</v>
      </c>
      <c r="AD408" s="33">
        <v>0.51239999999999997</v>
      </c>
      <c r="AE408" s="23">
        <v>2705.5859999999998</v>
      </c>
      <c r="AF408" s="23">
        <v>54652.83</v>
      </c>
      <c r="AG408" s="23">
        <v>958625.05</v>
      </c>
      <c r="AH408" s="23">
        <v>22</v>
      </c>
      <c r="AI408" s="23">
        <v>1272.8599999999999</v>
      </c>
      <c r="AJ408" s="33">
        <v>-5.1999999999999998E-2</v>
      </c>
      <c r="AK408" s="33">
        <v>0.67330000000000001</v>
      </c>
      <c r="AL408" s="23" t="s">
        <v>24</v>
      </c>
      <c r="AM408" s="23">
        <v>548.95000000000005</v>
      </c>
      <c r="AN408" s="23">
        <v>36856.75</v>
      </c>
      <c r="AO408" s="23">
        <v>541.02</v>
      </c>
      <c r="AQ408" s="50">
        <f t="shared" si="6"/>
        <v>3.6797522543036705E-2</v>
      </c>
      <c r="AR408" s="50"/>
      <c r="AS408" s="48"/>
      <c r="AT408" s="50"/>
      <c r="AV408" s="47">
        <v>44565</v>
      </c>
      <c r="AW408" s="51">
        <v>0.13541666666666666</v>
      </c>
      <c r="AX408" t="s">
        <v>163</v>
      </c>
    </row>
    <row r="409" spans="1:50">
      <c r="A409" s="23" t="s">
        <v>22</v>
      </c>
      <c r="B409" s="23" t="s">
        <v>23</v>
      </c>
      <c r="C409" s="28">
        <v>44566.5625</v>
      </c>
      <c r="D409" s="23">
        <v>588.375</v>
      </c>
      <c r="E409" s="28">
        <v>44567.583333333336</v>
      </c>
      <c r="F409" s="23">
        <v>581.4</v>
      </c>
      <c r="G409" s="33">
        <v>-1.1900000000000001E-2</v>
      </c>
      <c r="H409" s="23">
        <v>594.91999999999996</v>
      </c>
      <c r="I409" s="33">
        <v>1.1900000000000001E-2</v>
      </c>
      <c r="J409" s="23">
        <v>85.293360000000007</v>
      </c>
      <c r="K409" s="23">
        <v>50184.480000000003</v>
      </c>
      <c r="L409" s="23">
        <v>37353.410000000003</v>
      </c>
      <c r="M409" s="23">
        <v>31</v>
      </c>
      <c r="N409" s="23">
        <v>19.190000000000001</v>
      </c>
      <c r="O409" s="33">
        <v>-9.5999999999999992E-3</v>
      </c>
      <c r="P409" s="33">
        <v>3.0200000000000001E-2</v>
      </c>
      <c r="Q409" s="23" t="s">
        <v>24</v>
      </c>
      <c r="R409" s="23">
        <v>0</v>
      </c>
      <c r="S409" s="23">
        <v>623.96</v>
      </c>
      <c r="U409" s="47">
        <v>44588</v>
      </c>
      <c r="V409" s="23" t="s">
        <v>115</v>
      </c>
      <c r="W409" s="23" t="s">
        <v>23</v>
      </c>
      <c r="X409" s="28">
        <v>44566.5625</v>
      </c>
      <c r="Y409" s="23">
        <v>26</v>
      </c>
      <c r="Z409" s="28">
        <v>44567.583333333336</v>
      </c>
      <c r="AA409" s="23">
        <v>22.45</v>
      </c>
      <c r="AB409" s="33">
        <v>-0.13650000000000001</v>
      </c>
      <c r="AC409" s="23">
        <v>7481.69</v>
      </c>
      <c r="AD409" s="33">
        <v>0.13650000000000001</v>
      </c>
      <c r="AE409" s="23">
        <v>2107.5189999999998</v>
      </c>
      <c r="AF409" s="23">
        <v>54795.5</v>
      </c>
      <c r="AG409" s="23">
        <v>966106.74</v>
      </c>
      <c r="AH409" s="23">
        <v>31</v>
      </c>
      <c r="AI409" s="23">
        <v>241.34</v>
      </c>
      <c r="AJ409" s="33">
        <v>-0.15290000000000001</v>
      </c>
      <c r="AK409" s="33">
        <v>0.26729999999999998</v>
      </c>
      <c r="AL409" s="23" t="s">
        <v>24</v>
      </c>
      <c r="AM409" s="23">
        <v>588.38</v>
      </c>
      <c r="AN409" s="23">
        <v>37737.050000000003</v>
      </c>
      <c r="AO409" s="23">
        <v>623.96</v>
      </c>
      <c r="AQ409" s="50">
        <f t="shared" si="6"/>
        <v>4.4189129474149359E-2</v>
      </c>
      <c r="AR409" s="50"/>
      <c r="AS409" s="48"/>
      <c r="AT409" s="50"/>
      <c r="AV409" s="47">
        <v>44566</v>
      </c>
      <c r="AW409" s="51">
        <v>6.25E-2</v>
      </c>
      <c r="AX409" t="s">
        <v>163</v>
      </c>
    </row>
    <row r="410" spans="1:50">
      <c r="A410" s="23" t="s">
        <v>22</v>
      </c>
      <c r="B410" s="23" t="s">
        <v>25</v>
      </c>
      <c r="C410" s="28">
        <v>44567.583333333336</v>
      </c>
      <c r="D410" s="23">
        <v>581.4</v>
      </c>
      <c r="E410" s="28">
        <v>44571.489583333336</v>
      </c>
      <c r="F410" s="23">
        <v>613.67499999999995</v>
      </c>
      <c r="G410" s="33">
        <v>5.5500000000000001E-2</v>
      </c>
      <c r="H410" s="23">
        <v>2786.03</v>
      </c>
      <c r="I410" s="33">
        <v>5.5500000000000001E-2</v>
      </c>
      <c r="J410" s="23">
        <v>86.321619999999996</v>
      </c>
      <c r="K410" s="23">
        <v>50187.39</v>
      </c>
      <c r="L410" s="23">
        <v>40139.440000000002</v>
      </c>
      <c r="M410" s="23">
        <v>48</v>
      </c>
      <c r="N410" s="23">
        <v>58.04</v>
      </c>
      <c r="O410" s="33">
        <v>-5.3E-3</v>
      </c>
      <c r="P410" s="33">
        <v>7.1999999999999995E-2</v>
      </c>
      <c r="Q410" s="23" t="s">
        <v>24</v>
      </c>
      <c r="R410" s="23">
        <v>0</v>
      </c>
      <c r="S410" s="23">
        <v>570.63</v>
      </c>
      <c r="U410" s="47">
        <v>44588</v>
      </c>
      <c r="V410" s="23" t="s">
        <v>148</v>
      </c>
      <c r="W410" s="23" t="s">
        <v>23</v>
      </c>
      <c r="X410" s="28">
        <v>44567.583333333336</v>
      </c>
      <c r="Y410" s="23">
        <v>22.5</v>
      </c>
      <c r="Z410" s="28">
        <v>44571.489583333336</v>
      </c>
      <c r="AA410" s="23">
        <v>9.6999999999999993</v>
      </c>
      <c r="AB410" s="33">
        <v>-0.56889999999999996</v>
      </c>
      <c r="AC410" s="23">
        <v>31198.18</v>
      </c>
      <c r="AD410" s="33">
        <v>0.56889999999999996</v>
      </c>
      <c r="AE410" s="23">
        <v>2437.357</v>
      </c>
      <c r="AF410" s="23">
        <v>54840.54</v>
      </c>
      <c r="AG410" s="23">
        <v>997304.92</v>
      </c>
      <c r="AH410" s="23">
        <v>48</v>
      </c>
      <c r="AI410" s="23">
        <v>649.96</v>
      </c>
      <c r="AJ410" s="33">
        <v>-5.7799999999999997E-2</v>
      </c>
      <c r="AK410" s="33">
        <v>0.65329999999999999</v>
      </c>
      <c r="AL410" s="23" t="s">
        <v>24</v>
      </c>
      <c r="AM410" s="23">
        <v>581.4</v>
      </c>
      <c r="AN410" s="23">
        <v>37478.85</v>
      </c>
      <c r="AO410" s="23">
        <v>570.63</v>
      </c>
      <c r="AQ410" s="50">
        <f t="shared" si="6"/>
        <v>3.8699690402476783E-2</v>
      </c>
      <c r="AR410" s="50"/>
      <c r="AS410" s="48"/>
      <c r="AT410" s="50"/>
      <c r="AV410" s="47">
        <v>44567</v>
      </c>
      <c r="AW410" s="51">
        <v>8.3333333333333329E-2</v>
      </c>
      <c r="AX410" t="s">
        <v>163</v>
      </c>
    </row>
    <row r="411" spans="1:50">
      <c r="A411" s="23" t="s">
        <v>22</v>
      </c>
      <c r="B411" s="23" t="s">
        <v>23</v>
      </c>
      <c r="C411" s="28">
        <v>44571.489583333336</v>
      </c>
      <c r="D411" s="23">
        <v>613.67499999999995</v>
      </c>
      <c r="E411" s="28">
        <v>44571.625</v>
      </c>
      <c r="F411" s="23">
        <v>618.27499999999998</v>
      </c>
      <c r="G411" s="33">
        <v>7.4999999999999997E-3</v>
      </c>
      <c r="H411" s="23">
        <v>-376.3</v>
      </c>
      <c r="I411" s="33">
        <v>-7.4999999999999997E-3</v>
      </c>
      <c r="J411" s="23">
        <v>81.803979999999996</v>
      </c>
      <c r="K411" s="23">
        <v>50201.05</v>
      </c>
      <c r="L411" s="23">
        <v>39763.15</v>
      </c>
      <c r="M411" s="23">
        <v>14</v>
      </c>
      <c r="N411" s="23">
        <v>-26.88</v>
      </c>
      <c r="O411" s="33">
        <v>-7.4999999999999997E-3</v>
      </c>
      <c r="P411" s="33">
        <v>2.7000000000000001E-3</v>
      </c>
      <c r="Q411" s="23" t="s">
        <v>24</v>
      </c>
      <c r="R411" s="23">
        <v>0</v>
      </c>
      <c r="S411" s="23">
        <v>623.25</v>
      </c>
      <c r="U411" s="47">
        <v>44588</v>
      </c>
      <c r="V411" s="23" t="s">
        <v>114</v>
      </c>
      <c r="W411" s="23" t="s">
        <v>23</v>
      </c>
      <c r="X411" s="28">
        <v>44571.489583333336</v>
      </c>
      <c r="Y411" s="23">
        <v>24.5</v>
      </c>
      <c r="Z411" s="28">
        <v>44571.625</v>
      </c>
      <c r="AA411" s="23">
        <v>26.85</v>
      </c>
      <c r="AB411" s="33">
        <v>9.5899999999999999E-2</v>
      </c>
      <c r="AC411" s="23">
        <v>-5274.83</v>
      </c>
      <c r="AD411" s="33">
        <v>-9.5899999999999999E-2</v>
      </c>
      <c r="AE411" s="23">
        <v>2244.6089999999999</v>
      </c>
      <c r="AF411" s="23">
        <v>54992.92</v>
      </c>
      <c r="AG411" s="23">
        <v>992030.08</v>
      </c>
      <c r="AH411" s="23">
        <v>14</v>
      </c>
      <c r="AI411" s="23">
        <v>-376.77</v>
      </c>
      <c r="AJ411" s="33">
        <v>-0.12239999999999999</v>
      </c>
      <c r="AK411" s="33">
        <v>1.3299999999999999E-2</v>
      </c>
      <c r="AL411" s="23" t="s">
        <v>24</v>
      </c>
      <c r="AM411" s="23">
        <v>613.66999999999996</v>
      </c>
      <c r="AN411" s="23">
        <v>37988.65</v>
      </c>
      <c r="AO411" s="23">
        <v>623.25</v>
      </c>
      <c r="AQ411" s="50">
        <f t="shared" si="6"/>
        <v>3.9923737513647403E-2</v>
      </c>
      <c r="AR411" s="50"/>
      <c r="AS411" s="48"/>
      <c r="AT411" s="50"/>
      <c r="AV411" s="47">
        <v>44571</v>
      </c>
      <c r="AW411" s="51">
        <v>0.48958333333333331</v>
      </c>
      <c r="AX411" t="s">
        <v>162</v>
      </c>
    </row>
    <row r="412" spans="1:50">
      <c r="A412" s="23" t="s">
        <v>22</v>
      </c>
      <c r="B412" s="23" t="s">
        <v>25</v>
      </c>
      <c r="C412" s="28">
        <v>44571.625</v>
      </c>
      <c r="D412" s="23">
        <v>618.27499999999998</v>
      </c>
      <c r="E412" s="28">
        <v>44573.53125</v>
      </c>
      <c r="F412" s="23">
        <v>649.85</v>
      </c>
      <c r="G412" s="33">
        <v>5.11E-2</v>
      </c>
      <c r="H412" s="23">
        <v>2563.67</v>
      </c>
      <c r="I412" s="33">
        <v>5.11E-2</v>
      </c>
      <c r="J412" s="23">
        <v>81.193119999999993</v>
      </c>
      <c r="K412" s="23">
        <v>50199.68</v>
      </c>
      <c r="L412" s="23">
        <v>42326.82</v>
      </c>
      <c r="M412" s="23">
        <v>48</v>
      </c>
      <c r="N412" s="23">
        <v>53.41</v>
      </c>
      <c r="O412" s="33">
        <v>-5.3E-3</v>
      </c>
      <c r="P412" s="33">
        <v>6.2700000000000006E-2</v>
      </c>
      <c r="Q412" s="23" t="s">
        <v>24</v>
      </c>
      <c r="R412" s="23">
        <v>0</v>
      </c>
      <c r="S412" s="23">
        <v>612.25</v>
      </c>
      <c r="U412" s="47">
        <v>44588</v>
      </c>
      <c r="V412" s="23" t="s">
        <v>112</v>
      </c>
      <c r="W412" s="23" t="s">
        <v>23</v>
      </c>
      <c r="X412" s="28">
        <v>44571.625</v>
      </c>
      <c r="Y412" s="23">
        <v>23</v>
      </c>
      <c r="Z412" s="28">
        <v>44573.53125</v>
      </c>
      <c r="AA412" s="23">
        <v>11</v>
      </c>
      <c r="AB412" s="33">
        <v>-0.52170000000000005</v>
      </c>
      <c r="AC412" s="23">
        <v>28679.11</v>
      </c>
      <c r="AD412" s="33">
        <v>0.52170000000000005</v>
      </c>
      <c r="AE412" s="23">
        <v>2389.9259999999999</v>
      </c>
      <c r="AF412" s="23">
        <v>54968.29</v>
      </c>
      <c r="AG412" s="23">
        <v>1020709.19</v>
      </c>
      <c r="AH412" s="23">
        <v>48</v>
      </c>
      <c r="AI412" s="23">
        <v>597.48</v>
      </c>
      <c r="AJ412" s="33">
        <v>-4.02E-2</v>
      </c>
      <c r="AK412" s="33">
        <v>0.58260000000000001</v>
      </c>
      <c r="AL412" s="23" t="s">
        <v>24</v>
      </c>
      <c r="AM412" s="23">
        <v>618.28</v>
      </c>
      <c r="AN412" s="23">
        <v>38356.75</v>
      </c>
      <c r="AO412" s="23">
        <v>612.25</v>
      </c>
      <c r="AQ412" s="50">
        <f t="shared" si="6"/>
        <v>3.7199974121757136E-2</v>
      </c>
      <c r="AR412" s="50"/>
      <c r="AS412" s="48"/>
      <c r="AT412" s="50"/>
      <c r="AV412" s="47">
        <v>44571</v>
      </c>
      <c r="AW412" s="51">
        <v>0.125</v>
      </c>
      <c r="AX412" t="s">
        <v>163</v>
      </c>
    </row>
    <row r="413" spans="1:50">
      <c r="A413" s="23" t="s">
        <v>22</v>
      </c>
      <c r="B413" s="23" t="s">
        <v>23</v>
      </c>
      <c r="C413" s="28">
        <v>44573.53125</v>
      </c>
      <c r="D413" s="23">
        <v>649.85</v>
      </c>
      <c r="E413" s="28">
        <v>44574.385416666664</v>
      </c>
      <c r="F413" s="23">
        <v>653.35</v>
      </c>
      <c r="G413" s="33">
        <v>5.4000000000000003E-3</v>
      </c>
      <c r="H413" s="23">
        <v>-270.44</v>
      </c>
      <c r="I413" s="33">
        <v>-5.4000000000000003E-3</v>
      </c>
      <c r="J413" s="23">
        <v>77.267679999999999</v>
      </c>
      <c r="K413" s="23">
        <v>50212.4</v>
      </c>
      <c r="L413" s="23">
        <v>42056.38</v>
      </c>
      <c r="M413" s="23">
        <v>15</v>
      </c>
      <c r="N413" s="23">
        <v>-18.03</v>
      </c>
      <c r="O413" s="33">
        <v>-5.4000000000000003E-3</v>
      </c>
      <c r="P413" s="33">
        <v>5.8999999999999999E-3</v>
      </c>
      <c r="Q413" s="23" t="s">
        <v>24</v>
      </c>
      <c r="R413" s="23">
        <v>0</v>
      </c>
      <c r="S413" s="23">
        <v>656.74</v>
      </c>
      <c r="U413" s="47">
        <v>44588</v>
      </c>
      <c r="V413" s="23" t="s">
        <v>110</v>
      </c>
      <c r="W413" s="23" t="s">
        <v>23</v>
      </c>
      <c r="X413" s="28">
        <v>44573.53125</v>
      </c>
      <c r="Y413" s="23">
        <v>23.35</v>
      </c>
      <c r="Z413" s="28">
        <v>44574.385416666664</v>
      </c>
      <c r="AA413" s="23">
        <v>25</v>
      </c>
      <c r="AB413" s="33">
        <v>7.0699999999999999E-2</v>
      </c>
      <c r="AC413" s="23">
        <v>-3894.21</v>
      </c>
      <c r="AD413" s="33">
        <v>-7.0699999999999999E-2</v>
      </c>
      <c r="AE413" s="23">
        <v>2360.125</v>
      </c>
      <c r="AF413" s="23">
        <v>55108.93</v>
      </c>
      <c r="AG413" s="23">
        <v>1016814.98</v>
      </c>
      <c r="AH413" s="23">
        <v>15</v>
      </c>
      <c r="AI413" s="23">
        <v>-259.61</v>
      </c>
      <c r="AJ413" s="33">
        <v>-7.0699999999999999E-2</v>
      </c>
      <c r="AK413" s="33">
        <v>8.2400000000000001E-2</v>
      </c>
      <c r="AL413" s="23" t="s">
        <v>24</v>
      </c>
      <c r="AM413" s="23">
        <v>649.85</v>
      </c>
      <c r="AN413" s="23">
        <v>38772.75</v>
      </c>
      <c r="AO413" s="23">
        <v>656.74</v>
      </c>
      <c r="AQ413" s="50">
        <f t="shared" si="6"/>
        <v>3.5931368777410169E-2</v>
      </c>
      <c r="AR413" s="50"/>
      <c r="AS413" s="48"/>
      <c r="AT413" s="50"/>
      <c r="AV413" s="47">
        <v>44573</v>
      </c>
      <c r="AW413" s="51">
        <v>0.53125</v>
      </c>
      <c r="AX413" t="s">
        <v>163</v>
      </c>
    </row>
    <row r="414" spans="1:50">
      <c r="A414" s="23" t="s">
        <v>22</v>
      </c>
      <c r="B414" s="23" t="s">
        <v>25</v>
      </c>
      <c r="C414" s="28">
        <v>44574.385416666664</v>
      </c>
      <c r="D414" s="23">
        <v>653.35</v>
      </c>
      <c r="E414" s="28">
        <v>44574.520833333336</v>
      </c>
      <c r="F414" s="23">
        <v>653.85</v>
      </c>
      <c r="G414" s="33">
        <v>8.0000000000000004E-4</v>
      </c>
      <c r="H414" s="23">
        <v>38.43</v>
      </c>
      <c r="I414" s="33">
        <v>8.0000000000000004E-4</v>
      </c>
      <c r="J414" s="23">
        <v>76.853970000000004</v>
      </c>
      <c r="K414" s="23">
        <v>50212.54</v>
      </c>
      <c r="L414" s="23">
        <v>42094.81</v>
      </c>
      <c r="M414" s="23">
        <v>14</v>
      </c>
      <c r="N414" s="23">
        <v>2.74</v>
      </c>
      <c r="O414" s="33">
        <v>-1.12E-2</v>
      </c>
      <c r="P414" s="33">
        <v>9.9000000000000008E-3</v>
      </c>
      <c r="Q414" s="23" t="s">
        <v>24</v>
      </c>
      <c r="R414" s="23">
        <v>0</v>
      </c>
      <c r="S414" s="23">
        <v>646.03</v>
      </c>
      <c r="U414" s="47">
        <v>44588</v>
      </c>
      <c r="V414" s="23" t="s">
        <v>142</v>
      </c>
      <c r="W414" s="23" t="s">
        <v>23</v>
      </c>
      <c r="X414" s="28">
        <v>44574.385416666664</v>
      </c>
      <c r="Y414" s="23">
        <v>20.425000000000001</v>
      </c>
      <c r="Z414" s="28">
        <v>44574.520833333336</v>
      </c>
      <c r="AA414" s="23">
        <v>19.95</v>
      </c>
      <c r="AB414" s="33">
        <v>-2.3300000000000001E-2</v>
      </c>
      <c r="AC414" s="23">
        <v>1281.8499999999999</v>
      </c>
      <c r="AD414" s="33">
        <v>2.3300000000000001E-2</v>
      </c>
      <c r="AE414" s="23">
        <v>2698.6280000000002</v>
      </c>
      <c r="AF414" s="23">
        <v>55119.48</v>
      </c>
      <c r="AG414" s="23">
        <v>1018096.83</v>
      </c>
      <c r="AH414" s="23">
        <v>14</v>
      </c>
      <c r="AI414" s="23">
        <v>91.56</v>
      </c>
      <c r="AJ414" s="33">
        <v>-0.11020000000000001</v>
      </c>
      <c r="AK414" s="33">
        <v>0.13339999999999999</v>
      </c>
      <c r="AL414" s="23" t="s">
        <v>24</v>
      </c>
      <c r="AM414" s="23">
        <v>653.35</v>
      </c>
      <c r="AN414" s="23">
        <v>38538.699999999997</v>
      </c>
      <c r="AO414" s="23">
        <v>646.03</v>
      </c>
      <c r="AQ414" s="50">
        <f t="shared" si="6"/>
        <v>3.1261957603122371E-2</v>
      </c>
      <c r="AR414" s="50"/>
      <c r="AS414" s="48"/>
      <c r="AT414" s="50"/>
      <c r="AV414" s="47">
        <v>44574</v>
      </c>
      <c r="AW414" s="51">
        <v>0.38541666666666669</v>
      </c>
      <c r="AX414" t="s">
        <v>162</v>
      </c>
    </row>
    <row r="415" spans="1:50">
      <c r="A415" s="23" t="s">
        <v>22</v>
      </c>
      <c r="B415" s="23" t="s">
        <v>23</v>
      </c>
      <c r="C415" s="28">
        <v>44574.520833333336</v>
      </c>
      <c r="D415" s="23">
        <v>653.85</v>
      </c>
      <c r="E415" s="28">
        <v>44574.625</v>
      </c>
      <c r="F415" s="23">
        <v>654.97500000000002</v>
      </c>
      <c r="G415" s="33">
        <v>1.6999999999999999E-3</v>
      </c>
      <c r="H415" s="23">
        <v>-86.39</v>
      </c>
      <c r="I415" s="33">
        <v>-1.6999999999999999E-3</v>
      </c>
      <c r="J415" s="23">
        <v>76.791719999999998</v>
      </c>
      <c r="K415" s="23">
        <v>50210.26</v>
      </c>
      <c r="L415" s="23">
        <v>42008.42</v>
      </c>
      <c r="M415" s="23">
        <v>11</v>
      </c>
      <c r="N415" s="23">
        <v>-7.85</v>
      </c>
      <c r="O415" s="33">
        <v>-1.6999999999999999E-3</v>
      </c>
      <c r="P415" s="33">
        <v>8.0000000000000002E-3</v>
      </c>
      <c r="Q415" s="23" t="s">
        <v>24</v>
      </c>
      <c r="R415" s="23">
        <v>0</v>
      </c>
      <c r="S415" s="23">
        <v>659.56</v>
      </c>
      <c r="U415" s="47">
        <v>44588</v>
      </c>
      <c r="V415" s="23" t="s">
        <v>110</v>
      </c>
      <c r="W415" s="23" t="s">
        <v>23</v>
      </c>
      <c r="X415" s="28">
        <v>44574.520833333336</v>
      </c>
      <c r="Y415" s="23">
        <v>23.9</v>
      </c>
      <c r="Z415" s="28">
        <v>44574.625</v>
      </c>
      <c r="AA415" s="23">
        <v>23.875</v>
      </c>
      <c r="AB415" s="33">
        <v>-1E-3</v>
      </c>
      <c r="AC415" s="23">
        <v>57.63</v>
      </c>
      <c r="AD415" s="33">
        <v>1E-3</v>
      </c>
      <c r="AE415" s="23">
        <v>2305.0129999999999</v>
      </c>
      <c r="AF415" s="23">
        <v>55089.81</v>
      </c>
      <c r="AG415" s="23">
        <v>1018154.46</v>
      </c>
      <c r="AH415" s="23">
        <v>11</v>
      </c>
      <c r="AI415" s="23">
        <v>5.24</v>
      </c>
      <c r="AJ415" s="33">
        <v>-4.1999999999999997E-3</v>
      </c>
      <c r="AK415" s="33">
        <v>0.12239999999999999</v>
      </c>
      <c r="AL415" s="23" t="s">
        <v>24</v>
      </c>
      <c r="AM415" s="23">
        <v>653.85</v>
      </c>
      <c r="AN415" s="23">
        <v>38469.35</v>
      </c>
      <c r="AO415" s="23">
        <v>659.56</v>
      </c>
      <c r="AQ415" s="50">
        <f t="shared" si="6"/>
        <v>3.6552726160434347E-2</v>
      </c>
      <c r="AR415" s="50"/>
      <c r="AS415" s="48"/>
      <c r="AT415" s="50"/>
      <c r="AV415" s="47">
        <v>44574</v>
      </c>
      <c r="AW415" s="51">
        <v>0.52083333333333337</v>
      </c>
      <c r="AX415" t="s">
        <v>163</v>
      </c>
    </row>
    <row r="416" spans="1:50">
      <c r="A416" s="23" t="s">
        <v>22</v>
      </c>
      <c r="B416" s="23" t="s">
        <v>25</v>
      </c>
      <c r="C416" s="28">
        <v>44574.625</v>
      </c>
      <c r="D416" s="23">
        <v>654.97500000000002</v>
      </c>
      <c r="E416" s="28">
        <v>44575.385416666664</v>
      </c>
      <c r="F416" s="23">
        <v>645.5</v>
      </c>
      <c r="G416" s="33">
        <v>-1.4500000000000001E-2</v>
      </c>
      <c r="H416" s="23">
        <v>-726.37</v>
      </c>
      <c r="I416" s="33">
        <v>-1.4500000000000001E-2</v>
      </c>
      <c r="J416" s="23">
        <v>76.661779999999993</v>
      </c>
      <c r="K416" s="23">
        <v>50211.55</v>
      </c>
      <c r="L416" s="23">
        <v>41282.050000000003</v>
      </c>
      <c r="M416" s="23">
        <v>6</v>
      </c>
      <c r="N416" s="23">
        <v>-121.06</v>
      </c>
      <c r="O416" s="33">
        <v>-1.4500000000000001E-2</v>
      </c>
      <c r="P416" s="33">
        <v>1.2999999999999999E-3</v>
      </c>
      <c r="Q416" s="23" t="s">
        <v>24</v>
      </c>
      <c r="R416" s="23">
        <v>0</v>
      </c>
      <c r="S416" s="23">
        <v>648.63</v>
      </c>
      <c r="U416" s="47">
        <v>44588</v>
      </c>
      <c r="V416" s="23" t="s">
        <v>142</v>
      </c>
      <c r="W416" s="23" t="s">
        <v>23</v>
      </c>
      <c r="X416" s="28">
        <v>44574.625</v>
      </c>
      <c r="Y416" s="23">
        <v>18.75</v>
      </c>
      <c r="Z416" s="28">
        <v>44575.385416666664</v>
      </c>
      <c r="AA416" s="23">
        <v>22.25</v>
      </c>
      <c r="AB416" s="33">
        <v>0.1867</v>
      </c>
      <c r="AC416" s="23">
        <v>-10286.620000000001</v>
      </c>
      <c r="AD416" s="33">
        <v>-0.1867</v>
      </c>
      <c r="AE416" s="23">
        <v>2939.0349999999999</v>
      </c>
      <c r="AF416" s="23">
        <v>55106.91</v>
      </c>
      <c r="AG416" s="23">
        <v>1007867.84</v>
      </c>
      <c r="AH416" s="23">
        <v>6</v>
      </c>
      <c r="AI416" s="23">
        <v>-1714.44</v>
      </c>
      <c r="AJ416" s="33">
        <v>-0.25600000000000001</v>
      </c>
      <c r="AK416" s="33">
        <v>2.53E-2</v>
      </c>
      <c r="AL416" s="23" t="s">
        <v>24</v>
      </c>
      <c r="AM416" s="23">
        <v>654.97</v>
      </c>
      <c r="AN416" s="23">
        <v>38494.949999999997</v>
      </c>
      <c r="AO416" s="23">
        <v>648.63</v>
      </c>
      <c r="AQ416" s="50">
        <f t="shared" si="6"/>
        <v>2.8627265370933019E-2</v>
      </c>
      <c r="AR416" s="50"/>
      <c r="AS416" s="48"/>
      <c r="AT416" s="50"/>
      <c r="AV416" s="47">
        <v>44574</v>
      </c>
      <c r="AW416" s="51">
        <v>0.125</v>
      </c>
      <c r="AX416" t="s">
        <v>163</v>
      </c>
    </row>
    <row r="417" spans="1:50">
      <c r="A417" s="23" t="s">
        <v>22</v>
      </c>
      <c r="B417" s="23" t="s">
        <v>23</v>
      </c>
      <c r="C417" s="28">
        <v>44575.385416666664</v>
      </c>
      <c r="D417" s="23">
        <v>645.5</v>
      </c>
      <c r="E417" s="28">
        <v>44578.385416666664</v>
      </c>
      <c r="F417" s="23">
        <v>638.29999999999995</v>
      </c>
      <c r="G417" s="33">
        <v>-1.12E-2</v>
      </c>
      <c r="H417" s="23">
        <v>560.03</v>
      </c>
      <c r="I417" s="33">
        <v>1.12E-2</v>
      </c>
      <c r="J417" s="23">
        <v>77.782520000000005</v>
      </c>
      <c r="K417" s="23">
        <v>50208.61</v>
      </c>
      <c r="L417" s="23">
        <v>41842.080000000002</v>
      </c>
      <c r="M417" s="23">
        <v>29</v>
      </c>
      <c r="N417" s="23">
        <v>19.309999999999999</v>
      </c>
      <c r="O417" s="33">
        <v>-8.8999999999999999E-3</v>
      </c>
      <c r="P417" s="33">
        <v>2.4799999999999999E-2</v>
      </c>
      <c r="Q417" s="23" t="s">
        <v>24</v>
      </c>
      <c r="R417" s="23">
        <v>0</v>
      </c>
      <c r="S417" s="23">
        <v>655.20000000000005</v>
      </c>
      <c r="U417" s="47">
        <v>44588</v>
      </c>
      <c r="V417" s="23" t="s">
        <v>110</v>
      </c>
      <c r="W417" s="23" t="s">
        <v>23</v>
      </c>
      <c r="X417" s="28">
        <v>44575.385416666664</v>
      </c>
      <c r="Y417" s="23">
        <v>18.45</v>
      </c>
      <c r="Z417" s="28">
        <v>44578.385416666664</v>
      </c>
      <c r="AA417" s="23">
        <v>15</v>
      </c>
      <c r="AB417" s="33">
        <v>-0.187</v>
      </c>
      <c r="AC417" s="23">
        <v>10299.049999999999</v>
      </c>
      <c r="AD417" s="33">
        <v>0.187</v>
      </c>
      <c r="AE417" s="23">
        <v>2985.2330000000002</v>
      </c>
      <c r="AF417" s="23">
        <v>55077.55</v>
      </c>
      <c r="AG417" s="23">
        <v>1018166.89</v>
      </c>
      <c r="AH417" s="23">
        <v>29</v>
      </c>
      <c r="AI417" s="23">
        <v>355.14</v>
      </c>
      <c r="AJ417" s="33">
        <v>-0.12470000000000001</v>
      </c>
      <c r="AK417" s="33">
        <v>0.36449999999999999</v>
      </c>
      <c r="AL417" s="23" t="s">
        <v>24</v>
      </c>
      <c r="AM417" s="23">
        <v>645.5</v>
      </c>
      <c r="AN417" s="23">
        <v>38208.1</v>
      </c>
      <c r="AO417" s="23">
        <v>655.20000000000005</v>
      </c>
      <c r="AQ417" s="50">
        <f t="shared" si="6"/>
        <v>2.8582494190549961E-2</v>
      </c>
      <c r="AR417" s="50"/>
      <c r="AS417" s="48"/>
      <c r="AT417" s="50"/>
      <c r="AV417" s="47">
        <v>44575</v>
      </c>
      <c r="AW417" s="51">
        <v>0.38541666666666669</v>
      </c>
      <c r="AX417" t="s">
        <v>162</v>
      </c>
    </row>
    <row r="418" spans="1:50">
      <c r="A418" s="23" t="s">
        <v>22</v>
      </c>
      <c r="B418" s="23" t="s">
        <v>25</v>
      </c>
      <c r="C418" s="28">
        <v>44578.385416666664</v>
      </c>
      <c r="D418" s="23">
        <v>638.29999999999995</v>
      </c>
      <c r="E418" s="28">
        <v>44578.510416666664</v>
      </c>
      <c r="F418" s="23">
        <v>637.65</v>
      </c>
      <c r="G418" s="33">
        <v>-1E-3</v>
      </c>
      <c r="H418" s="23">
        <v>-51.13</v>
      </c>
      <c r="I418" s="33">
        <v>-1E-3</v>
      </c>
      <c r="J418" s="23">
        <v>78.66516</v>
      </c>
      <c r="K418" s="23">
        <v>50211.97</v>
      </c>
      <c r="L418" s="23">
        <v>41790.949999999997</v>
      </c>
      <c r="M418" s="23">
        <v>13</v>
      </c>
      <c r="N418" s="23">
        <v>-3.93</v>
      </c>
      <c r="O418" s="33">
        <v>-1.3299999999999999E-2</v>
      </c>
      <c r="P418" s="33">
        <v>6.4999999999999997E-3</v>
      </c>
      <c r="Q418" s="23" t="s">
        <v>24</v>
      </c>
      <c r="R418" s="23">
        <v>0</v>
      </c>
      <c r="S418" s="23">
        <v>629.79999999999995</v>
      </c>
      <c r="U418" s="47">
        <v>44588</v>
      </c>
      <c r="V418" s="23" t="s">
        <v>149</v>
      </c>
      <c r="W418" s="23" t="s">
        <v>23</v>
      </c>
      <c r="X418" s="28">
        <v>44578.385416666664</v>
      </c>
      <c r="Y418" s="23">
        <v>20</v>
      </c>
      <c r="Z418" s="28">
        <v>44578.510416666664</v>
      </c>
      <c r="AA418" s="23">
        <v>18.45</v>
      </c>
      <c r="AB418" s="33">
        <v>-7.7499999999999999E-2</v>
      </c>
      <c r="AC418" s="23">
        <v>4272.43</v>
      </c>
      <c r="AD418" s="33">
        <v>7.7499999999999999E-2</v>
      </c>
      <c r="AE418" s="23">
        <v>2756.4070000000002</v>
      </c>
      <c r="AF418" s="23">
        <v>55128.15</v>
      </c>
      <c r="AG418" s="23">
        <v>1022439.32</v>
      </c>
      <c r="AH418" s="23">
        <v>13</v>
      </c>
      <c r="AI418" s="23">
        <v>328.65</v>
      </c>
      <c r="AJ418" s="33">
        <v>-0.12620000000000001</v>
      </c>
      <c r="AK418" s="33">
        <v>0.14499999999999999</v>
      </c>
      <c r="AL418" s="23" t="s">
        <v>24</v>
      </c>
      <c r="AM418" s="23">
        <v>638.29999999999995</v>
      </c>
      <c r="AN418" s="23">
        <v>38352.9</v>
      </c>
      <c r="AO418" s="23">
        <v>629.79999999999995</v>
      </c>
      <c r="AQ418" s="50">
        <f t="shared" si="6"/>
        <v>3.1333228889237036E-2</v>
      </c>
      <c r="AR418" s="50"/>
      <c r="AS418" s="48"/>
      <c r="AT418" s="50"/>
      <c r="AV418" s="47">
        <v>44578</v>
      </c>
      <c r="AW418" s="51">
        <v>0.38541666666666669</v>
      </c>
      <c r="AX418" t="s">
        <v>162</v>
      </c>
    </row>
    <row r="419" spans="1:50">
      <c r="A419" s="23" t="s">
        <v>22</v>
      </c>
      <c r="B419" s="23" t="s">
        <v>23</v>
      </c>
      <c r="C419" s="28">
        <v>44578.510416666664</v>
      </c>
      <c r="D419" s="23">
        <v>637.65</v>
      </c>
      <c r="E419" s="28">
        <v>44578.625</v>
      </c>
      <c r="F419" s="23">
        <v>636.72500000000002</v>
      </c>
      <c r="G419" s="33">
        <v>-1.5E-3</v>
      </c>
      <c r="H419" s="23">
        <v>72.83</v>
      </c>
      <c r="I419" s="33">
        <v>1.5E-3</v>
      </c>
      <c r="J419" s="23">
        <v>78.739590000000007</v>
      </c>
      <c r="K419" s="23">
        <v>50208.3</v>
      </c>
      <c r="L419" s="23">
        <v>41863.78</v>
      </c>
      <c r="M419" s="23">
        <v>12</v>
      </c>
      <c r="N419" s="23">
        <v>6.07</v>
      </c>
      <c r="O419" s="33">
        <v>-1.6000000000000001E-3</v>
      </c>
      <c r="P419" s="33">
        <v>6.4999999999999997E-3</v>
      </c>
      <c r="Q419" s="23" t="s">
        <v>24</v>
      </c>
      <c r="R419" s="23">
        <v>0</v>
      </c>
      <c r="S419" s="23">
        <v>642.17999999999995</v>
      </c>
      <c r="U419" s="47">
        <v>44588</v>
      </c>
      <c r="V419" s="23" t="s">
        <v>108</v>
      </c>
      <c r="W419" s="23" t="s">
        <v>23</v>
      </c>
      <c r="X419" s="28">
        <v>44578.510416666664</v>
      </c>
      <c r="Y419" s="23">
        <v>18.5</v>
      </c>
      <c r="Z419" s="28">
        <v>44578.625</v>
      </c>
      <c r="AA419" s="23">
        <v>18.175000000000001</v>
      </c>
      <c r="AB419" s="33">
        <v>-1.7600000000000001E-2</v>
      </c>
      <c r="AC419" s="23">
        <v>968.06</v>
      </c>
      <c r="AD419" s="33">
        <v>1.7600000000000001E-2</v>
      </c>
      <c r="AE419" s="23">
        <v>2978.6460000000002</v>
      </c>
      <c r="AF419" s="23">
        <v>55104.959999999999</v>
      </c>
      <c r="AG419" s="23">
        <v>1023407.38</v>
      </c>
      <c r="AH419" s="23">
        <v>12</v>
      </c>
      <c r="AI419" s="23">
        <v>80.67</v>
      </c>
      <c r="AJ419" s="33">
        <v>-3.5099999999999999E-2</v>
      </c>
      <c r="AK419" s="33">
        <v>0.13239999999999999</v>
      </c>
      <c r="AL419" s="23" t="s">
        <v>24</v>
      </c>
      <c r="AM419" s="23">
        <v>637.65</v>
      </c>
      <c r="AN419" s="23">
        <v>38219.85</v>
      </c>
      <c r="AO419" s="23">
        <v>642.17999999999995</v>
      </c>
      <c r="AQ419" s="50">
        <f t="shared" si="6"/>
        <v>2.901278130635929E-2</v>
      </c>
      <c r="AR419" s="50"/>
      <c r="AS419" s="48"/>
      <c r="AT419" s="50"/>
      <c r="AV419" s="47">
        <v>44578</v>
      </c>
      <c r="AW419" s="51">
        <v>0.51041666666666663</v>
      </c>
      <c r="AX419" t="s">
        <v>163</v>
      </c>
    </row>
    <row r="420" spans="1:50">
      <c r="A420" s="23" t="s">
        <v>22</v>
      </c>
      <c r="B420" s="23" t="s">
        <v>25</v>
      </c>
      <c r="C420" s="28">
        <v>44578.625</v>
      </c>
      <c r="D420" s="23">
        <v>636.72500000000002</v>
      </c>
      <c r="E420" s="28">
        <v>44579.489583333336</v>
      </c>
      <c r="F420" s="23">
        <v>643.75</v>
      </c>
      <c r="G420" s="33">
        <v>1.0999999999999999E-2</v>
      </c>
      <c r="H420" s="23">
        <v>553.96</v>
      </c>
      <c r="I420" s="33">
        <v>1.0999999999999999E-2</v>
      </c>
      <c r="J420" s="23">
        <v>78.856110000000001</v>
      </c>
      <c r="K420" s="23">
        <v>50209.66</v>
      </c>
      <c r="L420" s="23">
        <v>42417.75</v>
      </c>
      <c r="M420" s="23">
        <v>16</v>
      </c>
      <c r="N420" s="23">
        <v>34.619999999999997</v>
      </c>
      <c r="O420" s="33">
        <v>-4.0000000000000001E-3</v>
      </c>
      <c r="P420" s="33">
        <v>3.2199999999999999E-2</v>
      </c>
      <c r="Q420" s="23" t="s">
        <v>24</v>
      </c>
      <c r="R420" s="23">
        <v>0</v>
      </c>
      <c r="S420" s="23">
        <v>633.5</v>
      </c>
      <c r="U420" s="47">
        <v>44588</v>
      </c>
      <c r="V420" s="23" t="s">
        <v>149</v>
      </c>
      <c r="W420" s="23" t="s">
        <v>23</v>
      </c>
      <c r="X420" s="28">
        <v>44578.625</v>
      </c>
      <c r="Y420" s="23">
        <v>17.95</v>
      </c>
      <c r="Z420" s="28">
        <v>44579.489583333336</v>
      </c>
      <c r="AA420" s="23">
        <v>15.175000000000001</v>
      </c>
      <c r="AB420" s="33">
        <v>-0.15459999999999999</v>
      </c>
      <c r="AC420" s="23">
        <v>8521.7999999999993</v>
      </c>
      <c r="AD420" s="33">
        <v>0.15459999999999999</v>
      </c>
      <c r="AE420" s="23">
        <v>3070.9189999999999</v>
      </c>
      <c r="AF420" s="23">
        <v>55122.99</v>
      </c>
      <c r="AG420" s="23">
        <v>1031929.18</v>
      </c>
      <c r="AH420" s="23">
        <v>16</v>
      </c>
      <c r="AI420" s="23">
        <v>532.61</v>
      </c>
      <c r="AJ420" s="33">
        <v>-5.0099999999999999E-2</v>
      </c>
      <c r="AK420" s="33">
        <v>0.38719999999999999</v>
      </c>
      <c r="AL420" s="23" t="s">
        <v>24</v>
      </c>
      <c r="AM420" s="23">
        <v>636.72</v>
      </c>
      <c r="AN420" s="23">
        <v>38194.75</v>
      </c>
      <c r="AO420" s="23">
        <v>633.5</v>
      </c>
      <c r="AQ420" s="50">
        <f t="shared" si="6"/>
        <v>2.8191355697952003E-2</v>
      </c>
      <c r="AR420" s="50"/>
      <c r="AS420" s="48"/>
      <c r="AT420" s="50"/>
      <c r="AV420" s="47">
        <v>44578</v>
      </c>
      <c r="AW420" s="51">
        <v>0.125</v>
      </c>
      <c r="AX420" t="s">
        <v>163</v>
      </c>
    </row>
    <row r="421" spans="1:50">
      <c r="A421" s="23" t="s">
        <v>22</v>
      </c>
      <c r="B421" s="23" t="s">
        <v>23</v>
      </c>
      <c r="C421" s="28">
        <v>44579.489583333336</v>
      </c>
      <c r="D421" s="23">
        <v>643.75</v>
      </c>
      <c r="E421" s="28">
        <v>44580.489583333336</v>
      </c>
      <c r="F421" s="23">
        <v>630.29999999999995</v>
      </c>
      <c r="G421" s="33">
        <v>-2.0899999999999998E-2</v>
      </c>
      <c r="H421" s="23">
        <v>1049.0899999999999</v>
      </c>
      <c r="I421" s="33">
        <v>2.0899999999999998E-2</v>
      </c>
      <c r="J421" s="23">
        <v>77.999619999999993</v>
      </c>
      <c r="K421" s="23">
        <v>50212.25</v>
      </c>
      <c r="L421" s="23">
        <v>43466.84</v>
      </c>
      <c r="M421" s="23">
        <v>29</v>
      </c>
      <c r="N421" s="23">
        <v>36.18</v>
      </c>
      <c r="O421" s="33">
        <v>-1.6000000000000001E-3</v>
      </c>
      <c r="P421" s="33">
        <v>3.49E-2</v>
      </c>
      <c r="Q421" s="23" t="s">
        <v>24</v>
      </c>
      <c r="R421" s="23">
        <v>0</v>
      </c>
      <c r="S421" s="23">
        <v>656.62</v>
      </c>
      <c r="U421" s="47">
        <v>44588</v>
      </c>
      <c r="V421" s="23" t="s">
        <v>108</v>
      </c>
      <c r="W421" s="23" t="s">
        <v>23</v>
      </c>
      <c r="X421" s="28">
        <v>44579.489583333336</v>
      </c>
      <c r="Y421" s="23">
        <v>21.05</v>
      </c>
      <c r="Z421" s="28">
        <v>44580.489583333336</v>
      </c>
      <c r="AA421" s="23">
        <v>12.125</v>
      </c>
      <c r="AB421" s="33">
        <v>-0.42399999999999999</v>
      </c>
      <c r="AC421" s="23">
        <v>23376.26</v>
      </c>
      <c r="AD421" s="33">
        <v>0.42399999999999999</v>
      </c>
      <c r="AE421" s="23">
        <v>2619.1889999999999</v>
      </c>
      <c r="AF421" s="23">
        <v>55133.93</v>
      </c>
      <c r="AG421" s="23">
        <v>1055305.44</v>
      </c>
      <c r="AH421" s="23">
        <v>29</v>
      </c>
      <c r="AI421" s="23">
        <v>806.08</v>
      </c>
      <c r="AJ421" s="33">
        <v>-3.5999999999999999E-3</v>
      </c>
      <c r="AK421" s="33">
        <v>0.55940000000000001</v>
      </c>
      <c r="AL421" s="23" t="s">
        <v>24</v>
      </c>
      <c r="AM421" s="23">
        <v>643.75</v>
      </c>
      <c r="AN421" s="23">
        <v>38439</v>
      </c>
      <c r="AO421" s="23">
        <v>656.62</v>
      </c>
      <c r="AQ421" s="50">
        <f t="shared" si="6"/>
        <v>3.2699029126213593E-2</v>
      </c>
      <c r="AR421" s="50"/>
      <c r="AS421" s="48"/>
      <c r="AT421" s="50"/>
      <c r="AV421" s="47">
        <v>44579</v>
      </c>
      <c r="AW421" s="51">
        <v>0.48958333333333331</v>
      </c>
      <c r="AX421" t="s">
        <v>162</v>
      </c>
    </row>
    <row r="422" spans="1:50">
      <c r="A422" s="23" t="s">
        <v>22</v>
      </c>
      <c r="B422" s="23" t="s">
        <v>25</v>
      </c>
      <c r="C422" s="28">
        <v>44580.489583333336</v>
      </c>
      <c r="D422" s="23">
        <v>630.29999999999995</v>
      </c>
      <c r="E422" s="28">
        <v>44580.572916666664</v>
      </c>
      <c r="F422" s="23">
        <v>628.07500000000005</v>
      </c>
      <c r="G422" s="33">
        <v>-3.5000000000000001E-3</v>
      </c>
      <c r="H422" s="23">
        <v>-177.27</v>
      </c>
      <c r="I422" s="33">
        <v>-3.5000000000000001E-3</v>
      </c>
      <c r="J422" s="23">
        <v>79.672120000000007</v>
      </c>
      <c r="K422" s="23">
        <v>50217.34</v>
      </c>
      <c r="L422" s="23">
        <v>43289.57</v>
      </c>
      <c r="M422" s="23">
        <v>9</v>
      </c>
      <c r="N422" s="23">
        <v>-19.7</v>
      </c>
      <c r="O422" s="33">
        <v>-6.7999999999999996E-3</v>
      </c>
      <c r="P422" s="33">
        <v>1.14E-2</v>
      </c>
      <c r="Q422" s="23" t="s">
        <v>24</v>
      </c>
      <c r="R422" s="23">
        <v>0</v>
      </c>
      <c r="S422" s="23">
        <v>621.91999999999996</v>
      </c>
      <c r="U422" s="47">
        <v>44588</v>
      </c>
      <c r="V422" s="23" t="s">
        <v>141</v>
      </c>
      <c r="W422" s="23" t="s">
        <v>23</v>
      </c>
      <c r="X422" s="28">
        <v>44580.489583333336</v>
      </c>
      <c r="Y422" s="23">
        <v>16.524999999999999</v>
      </c>
      <c r="Z422" s="28">
        <v>44580.572916666664</v>
      </c>
      <c r="AA422" s="23">
        <v>17.149999999999999</v>
      </c>
      <c r="AB422" s="33">
        <v>3.78E-2</v>
      </c>
      <c r="AC422" s="23">
        <v>-2090.88</v>
      </c>
      <c r="AD422" s="33">
        <v>-3.78E-2</v>
      </c>
      <c r="AE422" s="23">
        <v>3345.4009999999998</v>
      </c>
      <c r="AF422" s="23">
        <v>55282.75</v>
      </c>
      <c r="AG422" s="23">
        <v>1053214.56</v>
      </c>
      <c r="AH422" s="23">
        <v>9</v>
      </c>
      <c r="AI422" s="23">
        <v>-232.32</v>
      </c>
      <c r="AJ422" s="33">
        <v>-7.7200000000000005E-2</v>
      </c>
      <c r="AK422" s="33">
        <v>0.22839999999999999</v>
      </c>
      <c r="AL422" s="23" t="s">
        <v>24</v>
      </c>
      <c r="AM422" s="23">
        <v>630.29999999999995</v>
      </c>
      <c r="AN422" s="23">
        <v>38081.75</v>
      </c>
      <c r="AO422" s="23">
        <v>621.91999999999996</v>
      </c>
      <c r="AQ422" s="50">
        <f t="shared" si="6"/>
        <v>2.6217674123433284E-2</v>
      </c>
      <c r="AR422" s="50"/>
      <c r="AS422" s="48"/>
      <c r="AT422" s="50"/>
      <c r="AV422" s="47">
        <v>44580</v>
      </c>
      <c r="AW422" s="51">
        <v>0.48958333333333331</v>
      </c>
      <c r="AX422" t="s">
        <v>162</v>
      </c>
    </row>
    <row r="423" spans="1:50">
      <c r="A423" s="23" t="s">
        <v>22</v>
      </c>
      <c r="B423" s="23" t="s">
        <v>23</v>
      </c>
      <c r="C423" s="28">
        <v>44580.572916666664</v>
      </c>
      <c r="D423" s="23">
        <v>628.07500000000005</v>
      </c>
      <c r="E423" s="28">
        <v>44580.635416666664</v>
      </c>
      <c r="F423" s="23">
        <v>633.65</v>
      </c>
      <c r="G423" s="33">
        <v>8.8999999999999999E-3</v>
      </c>
      <c r="H423" s="23">
        <v>-445.74</v>
      </c>
      <c r="I423" s="33">
        <v>-8.8999999999999999E-3</v>
      </c>
      <c r="J423" s="23">
        <v>79.953199999999995</v>
      </c>
      <c r="K423" s="23">
        <v>50216.61</v>
      </c>
      <c r="L423" s="23">
        <v>42843.83</v>
      </c>
      <c r="M423" s="23">
        <v>7</v>
      </c>
      <c r="N423" s="23">
        <v>-63.68</v>
      </c>
      <c r="O423" s="33">
        <v>-8.8999999999999999E-3</v>
      </c>
      <c r="P423" s="33">
        <v>1.6000000000000001E-3</v>
      </c>
      <c r="Q423" s="23" t="s">
        <v>24</v>
      </c>
      <c r="R423" s="23">
        <v>0</v>
      </c>
      <c r="S423" s="23">
        <v>637.09</v>
      </c>
      <c r="U423" s="47">
        <v>44588</v>
      </c>
      <c r="V423" s="23" t="s">
        <v>111</v>
      </c>
      <c r="W423" s="23" t="s">
        <v>23</v>
      </c>
      <c r="X423" s="28">
        <v>44580.572916666664</v>
      </c>
      <c r="Y423" s="23">
        <v>15.675000000000001</v>
      </c>
      <c r="Z423" s="28">
        <v>44580.635416666664</v>
      </c>
      <c r="AA423" s="23">
        <v>16.399999999999999</v>
      </c>
      <c r="AB423" s="33">
        <v>4.6300000000000001E-2</v>
      </c>
      <c r="AC423" s="23">
        <v>-2556.73</v>
      </c>
      <c r="AD423" s="33">
        <v>-4.6300000000000001E-2</v>
      </c>
      <c r="AE423" s="23">
        <v>3526.52</v>
      </c>
      <c r="AF423" s="23">
        <v>55278.2</v>
      </c>
      <c r="AG423" s="23">
        <v>1050657.8400000001</v>
      </c>
      <c r="AH423" s="23">
        <v>7</v>
      </c>
      <c r="AI423" s="23">
        <v>-365.25</v>
      </c>
      <c r="AJ423" s="33">
        <v>-6.8599999999999994E-2</v>
      </c>
      <c r="AK423" s="33">
        <v>4.1500000000000002E-2</v>
      </c>
      <c r="AL423" s="23" t="s">
        <v>24</v>
      </c>
      <c r="AM423" s="23">
        <v>628.08000000000004</v>
      </c>
      <c r="AN423" s="23">
        <v>37834.199999999997</v>
      </c>
      <c r="AO423" s="23">
        <v>637.09</v>
      </c>
      <c r="AQ423" s="50">
        <f t="shared" si="6"/>
        <v>2.4957011845624762E-2</v>
      </c>
      <c r="AR423" s="50"/>
      <c r="AS423" s="48"/>
      <c r="AT423" s="50"/>
      <c r="AV423" s="47">
        <v>44580</v>
      </c>
      <c r="AW423" s="51">
        <v>7.2916666666666671E-2</v>
      </c>
      <c r="AX423" t="s">
        <v>163</v>
      </c>
    </row>
    <row r="424" spans="1:50">
      <c r="A424" s="23" t="s">
        <v>22</v>
      </c>
      <c r="B424" s="23" t="s">
        <v>25</v>
      </c>
      <c r="C424" s="28">
        <v>44580.635416666664</v>
      </c>
      <c r="D424" s="23">
        <v>633.65</v>
      </c>
      <c r="E424" s="28">
        <v>44581.5625</v>
      </c>
      <c r="F424" s="23">
        <v>634.65</v>
      </c>
      <c r="G424" s="33">
        <v>1.6000000000000001E-3</v>
      </c>
      <c r="H424" s="23">
        <v>79.25</v>
      </c>
      <c r="I424" s="33">
        <v>1.6000000000000001E-3</v>
      </c>
      <c r="J424" s="23">
        <v>79.247060000000005</v>
      </c>
      <c r="K424" s="23">
        <v>50214.9</v>
      </c>
      <c r="L424" s="23">
        <v>42923.08</v>
      </c>
      <c r="M424" s="23">
        <v>22</v>
      </c>
      <c r="N424" s="23">
        <v>3.6</v>
      </c>
      <c r="O424" s="33">
        <v>-7.7000000000000002E-3</v>
      </c>
      <c r="P424" s="33">
        <v>7.7000000000000002E-3</v>
      </c>
      <c r="Q424" s="23" t="s">
        <v>24</v>
      </c>
      <c r="R424" s="23">
        <v>0</v>
      </c>
      <c r="S424" s="23">
        <v>627.34</v>
      </c>
      <c r="U424" s="47">
        <v>44588</v>
      </c>
      <c r="V424" s="23" t="s">
        <v>141</v>
      </c>
      <c r="W424" s="23" t="s">
        <v>23</v>
      </c>
      <c r="X424" s="28">
        <v>44580.635416666664</v>
      </c>
      <c r="Y424" s="23">
        <v>13.85</v>
      </c>
      <c r="Z424" s="28">
        <v>44581.5625</v>
      </c>
      <c r="AA424" s="23">
        <v>12.05</v>
      </c>
      <c r="AB424" s="33">
        <v>-0.13</v>
      </c>
      <c r="AC424" s="23">
        <v>7181.79</v>
      </c>
      <c r="AD424" s="33">
        <v>0.13</v>
      </c>
      <c r="AE424" s="23">
        <v>3989.8850000000002</v>
      </c>
      <c r="AF424" s="23">
        <v>55259.9</v>
      </c>
      <c r="AG424" s="23">
        <v>1057839.6299999999</v>
      </c>
      <c r="AH424" s="23">
        <v>22</v>
      </c>
      <c r="AI424" s="23">
        <v>326.45</v>
      </c>
      <c r="AJ424" s="33">
        <v>-8.1199999999999994E-2</v>
      </c>
      <c r="AK424" s="33">
        <v>0.23469999999999999</v>
      </c>
      <c r="AL424" s="23" t="s">
        <v>24</v>
      </c>
      <c r="AM424" s="23">
        <v>633.65</v>
      </c>
      <c r="AN424" s="23">
        <v>38058.85</v>
      </c>
      <c r="AO424" s="23">
        <v>627.34</v>
      </c>
      <c r="AQ424" s="50">
        <f t="shared" si="6"/>
        <v>2.1857492306478338E-2</v>
      </c>
      <c r="AR424" s="50"/>
      <c r="AS424" s="48"/>
      <c r="AT424" s="50"/>
      <c r="AV424" s="47">
        <v>44580</v>
      </c>
      <c r="AW424" s="51">
        <v>0.13541666666666666</v>
      </c>
      <c r="AX424" t="s">
        <v>163</v>
      </c>
    </row>
    <row r="425" spans="1:50">
      <c r="A425" s="23" t="s">
        <v>22</v>
      </c>
      <c r="B425" s="23" t="s">
        <v>23</v>
      </c>
      <c r="C425" s="28">
        <v>44581.5625</v>
      </c>
      <c r="D425" s="23">
        <v>634.65</v>
      </c>
      <c r="E425" s="28">
        <v>44582.458333333336</v>
      </c>
      <c r="F425" s="23">
        <v>627.85</v>
      </c>
      <c r="G425" s="33">
        <v>-1.0699999999999999E-2</v>
      </c>
      <c r="H425" s="23">
        <v>538.03</v>
      </c>
      <c r="I425" s="33">
        <v>1.0699999999999999E-2</v>
      </c>
      <c r="J425" s="23">
        <v>79.12191</v>
      </c>
      <c r="K425" s="23">
        <v>50214.720000000001</v>
      </c>
      <c r="L425" s="23">
        <v>43461.11</v>
      </c>
      <c r="M425" s="23">
        <v>19</v>
      </c>
      <c r="N425" s="23">
        <v>28.32</v>
      </c>
      <c r="O425" s="33">
        <v>-3.3E-3</v>
      </c>
      <c r="P425" s="33">
        <v>3.0800000000000001E-2</v>
      </c>
      <c r="Q425" s="23" t="s">
        <v>24</v>
      </c>
      <c r="R425" s="23">
        <v>0</v>
      </c>
      <c r="S425" s="23">
        <v>638.41999999999996</v>
      </c>
      <c r="U425" s="47">
        <v>44588</v>
      </c>
      <c r="V425" s="23" t="s">
        <v>111</v>
      </c>
      <c r="W425" s="23" t="s">
        <v>23</v>
      </c>
      <c r="X425" s="28">
        <v>44581.5625</v>
      </c>
      <c r="Y425" s="23">
        <v>16.149999999999999</v>
      </c>
      <c r="Z425" s="28">
        <v>44582.458333333336</v>
      </c>
      <c r="AA425" s="23">
        <v>11.275</v>
      </c>
      <c r="AB425" s="33">
        <v>-0.3019</v>
      </c>
      <c r="AC425" s="23">
        <v>16692.63</v>
      </c>
      <c r="AD425" s="33">
        <v>0.3019</v>
      </c>
      <c r="AE425" s="23">
        <v>3424.1280000000002</v>
      </c>
      <c r="AF425" s="23">
        <v>55299.67</v>
      </c>
      <c r="AG425" s="23">
        <v>1074532.26</v>
      </c>
      <c r="AH425" s="23">
        <v>19</v>
      </c>
      <c r="AI425" s="23">
        <v>878.56</v>
      </c>
      <c r="AJ425" s="33">
        <v>-0.13</v>
      </c>
      <c r="AK425" s="33">
        <v>0.57120000000000004</v>
      </c>
      <c r="AL425" s="23" t="s">
        <v>24</v>
      </c>
      <c r="AM425" s="23">
        <v>634.65</v>
      </c>
      <c r="AN425" s="23">
        <v>37649</v>
      </c>
      <c r="AO425" s="23">
        <v>638.41999999999996</v>
      </c>
      <c r="AQ425" s="50">
        <f t="shared" si="6"/>
        <v>2.5447096825021664E-2</v>
      </c>
      <c r="AR425" s="50"/>
      <c r="AS425" s="48"/>
      <c r="AT425" s="50"/>
      <c r="AV425" s="47">
        <v>44581</v>
      </c>
      <c r="AW425" s="51">
        <v>6.25E-2</v>
      </c>
      <c r="AX425" t="s">
        <v>163</v>
      </c>
    </row>
    <row r="426" spans="1:50">
      <c r="A426" s="23" t="s">
        <v>22</v>
      </c>
      <c r="B426" s="23" t="s">
        <v>25</v>
      </c>
      <c r="C426" s="28">
        <v>44582.458333333336</v>
      </c>
      <c r="D426" s="23">
        <v>627.85</v>
      </c>
      <c r="E426" s="28">
        <v>44582.614583333336</v>
      </c>
      <c r="F426" s="23">
        <v>622.625</v>
      </c>
      <c r="G426" s="33">
        <v>-8.3000000000000001E-3</v>
      </c>
      <c r="H426" s="23">
        <v>-417.92</v>
      </c>
      <c r="I426" s="33">
        <v>-8.3000000000000001E-3</v>
      </c>
      <c r="J426" s="23">
        <v>79.985439999999997</v>
      </c>
      <c r="K426" s="23">
        <v>50218.86</v>
      </c>
      <c r="L426" s="23">
        <v>43043.19</v>
      </c>
      <c r="M426" s="23">
        <v>16</v>
      </c>
      <c r="N426" s="23">
        <v>-26.12</v>
      </c>
      <c r="O426" s="33">
        <v>-8.3000000000000001E-3</v>
      </c>
      <c r="P426" s="33">
        <v>1.1900000000000001E-2</v>
      </c>
      <c r="Q426" s="23" t="s">
        <v>24</v>
      </c>
      <c r="R426" s="23">
        <v>0</v>
      </c>
      <c r="S426" s="23">
        <v>615.6</v>
      </c>
      <c r="U426" s="47">
        <v>44588</v>
      </c>
      <c r="V426" s="23" t="s">
        <v>141</v>
      </c>
      <c r="W426" s="23" t="s">
        <v>23</v>
      </c>
      <c r="X426" s="28">
        <v>44582.458333333336</v>
      </c>
      <c r="Y426" s="23">
        <v>14.4</v>
      </c>
      <c r="Z426" s="28">
        <v>44582.614583333336</v>
      </c>
      <c r="AA426" s="23">
        <v>15.025</v>
      </c>
      <c r="AB426" s="33">
        <v>4.3400000000000001E-2</v>
      </c>
      <c r="AC426" s="23">
        <v>-2404.31</v>
      </c>
      <c r="AD426" s="33">
        <v>-4.3400000000000001E-2</v>
      </c>
      <c r="AE426" s="23">
        <v>3846.8989999999999</v>
      </c>
      <c r="AF426" s="23">
        <v>55395.35</v>
      </c>
      <c r="AG426" s="23">
        <v>1072127.94</v>
      </c>
      <c r="AH426" s="23">
        <v>16</v>
      </c>
      <c r="AI426" s="23">
        <v>-150.27000000000001</v>
      </c>
      <c r="AJ426" s="33">
        <v>-0.1285</v>
      </c>
      <c r="AK426" s="33">
        <v>0.30730000000000002</v>
      </c>
      <c r="AL426" s="23" t="s">
        <v>24</v>
      </c>
      <c r="AM426" s="23">
        <v>627.85</v>
      </c>
      <c r="AN426" s="23">
        <v>37389.449999999997</v>
      </c>
      <c r="AO426" s="23">
        <v>615.6</v>
      </c>
      <c r="AQ426" s="50">
        <f t="shared" si="6"/>
        <v>2.2935414509835151E-2</v>
      </c>
      <c r="AR426" s="50"/>
      <c r="AS426" s="48"/>
      <c r="AT426" s="50"/>
      <c r="AV426" s="47">
        <v>44582</v>
      </c>
      <c r="AW426" s="51">
        <v>0.45833333333333331</v>
      </c>
      <c r="AX426" t="s">
        <v>162</v>
      </c>
    </row>
    <row r="427" spans="1:50">
      <c r="A427" s="23" t="s">
        <v>22</v>
      </c>
      <c r="B427" s="23" t="s">
        <v>23</v>
      </c>
      <c r="C427" s="28">
        <v>44582.614583333336</v>
      </c>
      <c r="D427" s="23">
        <v>622.625</v>
      </c>
      <c r="E427" s="28">
        <v>44585.385416666664</v>
      </c>
      <c r="F427" s="23">
        <v>627.875</v>
      </c>
      <c r="G427" s="33">
        <v>8.3999999999999995E-3</v>
      </c>
      <c r="H427" s="23">
        <v>-423.44</v>
      </c>
      <c r="I427" s="33">
        <v>-8.3999999999999995E-3</v>
      </c>
      <c r="J427" s="23">
        <v>80.655299999999997</v>
      </c>
      <c r="K427" s="23">
        <v>50218</v>
      </c>
      <c r="L427" s="23">
        <v>42619.75</v>
      </c>
      <c r="M427" s="23">
        <v>7</v>
      </c>
      <c r="N427" s="23">
        <v>-60.49</v>
      </c>
      <c r="O427" s="33">
        <v>-1.26E-2</v>
      </c>
      <c r="P427" s="33">
        <v>8.9999999999999998E-4</v>
      </c>
      <c r="Q427" s="23" t="s">
        <v>24</v>
      </c>
      <c r="R427" s="23">
        <v>0</v>
      </c>
      <c r="S427" s="23">
        <v>634.82000000000005</v>
      </c>
      <c r="U427" s="47">
        <v>44588</v>
      </c>
      <c r="V427" s="23" t="s">
        <v>113</v>
      </c>
      <c r="W427" s="23" t="s">
        <v>23</v>
      </c>
      <c r="X427" s="28">
        <v>44582.614583333336</v>
      </c>
      <c r="Y427" s="23">
        <v>12.7</v>
      </c>
      <c r="Z427" s="28">
        <v>44585.385416666664</v>
      </c>
      <c r="AA427" s="23">
        <v>16</v>
      </c>
      <c r="AB427" s="33">
        <v>0.25979999999999998</v>
      </c>
      <c r="AC427" s="23">
        <v>-14385.17</v>
      </c>
      <c r="AD427" s="33">
        <v>-0.25979999999999998</v>
      </c>
      <c r="AE427" s="23">
        <v>4359.1440000000002</v>
      </c>
      <c r="AF427" s="23">
        <v>55361.120000000003</v>
      </c>
      <c r="AG427" s="23">
        <v>1057742.77</v>
      </c>
      <c r="AH427" s="23">
        <v>7</v>
      </c>
      <c r="AI427" s="23">
        <v>-2055.02</v>
      </c>
      <c r="AJ427" s="33">
        <v>-0.25979999999999998</v>
      </c>
      <c r="AK427" s="33">
        <v>4.1300000000000003E-2</v>
      </c>
      <c r="AL427" s="23" t="s">
        <v>24</v>
      </c>
      <c r="AM427" s="23">
        <v>622.63</v>
      </c>
      <c r="AN427" s="23">
        <v>37262</v>
      </c>
      <c r="AO427" s="23">
        <v>634.82000000000005</v>
      </c>
      <c r="AQ427" s="50">
        <f t="shared" si="6"/>
        <v>2.0397346738833658E-2</v>
      </c>
      <c r="AR427" s="50"/>
      <c r="AS427" s="48"/>
      <c r="AT427" s="50"/>
      <c r="AV427" s="47">
        <v>44582</v>
      </c>
      <c r="AW427" s="51">
        <v>0.11458333333333333</v>
      </c>
      <c r="AX427" t="s">
        <v>163</v>
      </c>
    </row>
    <row r="428" spans="1:50">
      <c r="A428" s="23" t="s">
        <v>22</v>
      </c>
      <c r="B428" s="23" t="s">
        <v>25</v>
      </c>
      <c r="C428" s="28">
        <v>44585.385416666664</v>
      </c>
      <c r="D428" s="23">
        <v>627.875</v>
      </c>
      <c r="E428" s="28">
        <v>44585.427083333336</v>
      </c>
      <c r="F428" s="23">
        <v>623.92499999999995</v>
      </c>
      <c r="G428" s="33">
        <v>-6.3E-3</v>
      </c>
      <c r="H428" s="23">
        <v>-315.89</v>
      </c>
      <c r="I428" s="33">
        <v>-6.3E-3</v>
      </c>
      <c r="J428" s="23">
        <v>79.97278</v>
      </c>
      <c r="K428" s="23">
        <v>50212.91</v>
      </c>
      <c r="L428" s="23">
        <v>42303.85</v>
      </c>
      <c r="M428" s="23">
        <v>5</v>
      </c>
      <c r="N428" s="23">
        <v>-63.18</v>
      </c>
      <c r="O428" s="33">
        <v>-8.6E-3</v>
      </c>
      <c r="P428" s="33">
        <v>1.0800000000000001E-2</v>
      </c>
      <c r="Q428" s="23" t="s">
        <v>24</v>
      </c>
      <c r="R428" s="23">
        <v>0</v>
      </c>
      <c r="S428" s="23">
        <v>622.5</v>
      </c>
      <c r="U428" s="47">
        <v>44588</v>
      </c>
      <c r="V428" s="23" t="s">
        <v>141</v>
      </c>
      <c r="W428" s="23" t="s">
        <v>23</v>
      </c>
      <c r="X428" s="28">
        <v>44585.385416666664</v>
      </c>
      <c r="Y428" s="23">
        <v>11.925000000000001</v>
      </c>
      <c r="Z428" s="28">
        <v>44585.427083333336</v>
      </c>
      <c r="AA428" s="23">
        <v>15.5</v>
      </c>
      <c r="AB428" s="33">
        <v>0.29980000000000001</v>
      </c>
      <c r="AC428" s="23">
        <v>-16588.09</v>
      </c>
      <c r="AD428" s="33">
        <v>-0.29980000000000001</v>
      </c>
      <c r="AE428" s="23">
        <v>4640.0249999999996</v>
      </c>
      <c r="AF428" s="23">
        <v>55332.3</v>
      </c>
      <c r="AG428" s="23">
        <v>1041154.68</v>
      </c>
      <c r="AH428" s="23">
        <v>5</v>
      </c>
      <c r="AI428" s="23">
        <v>-3317.62</v>
      </c>
      <c r="AJ428" s="33">
        <v>-0.29980000000000001</v>
      </c>
      <c r="AK428" s="33">
        <v>0.25580000000000003</v>
      </c>
      <c r="AL428" s="23" t="s">
        <v>24</v>
      </c>
      <c r="AM428" s="23">
        <v>627.88</v>
      </c>
      <c r="AN428" s="23">
        <v>37467.9</v>
      </c>
      <c r="AO428" s="23">
        <v>622.5</v>
      </c>
      <c r="AQ428" s="50">
        <f t="shared" si="6"/>
        <v>1.8992482639994906E-2</v>
      </c>
      <c r="AR428" s="50"/>
      <c r="AS428" s="48"/>
      <c r="AT428" s="50"/>
      <c r="AV428" s="47">
        <v>44585</v>
      </c>
      <c r="AW428" s="51">
        <v>0.38541666666666669</v>
      </c>
      <c r="AX428" t="s">
        <v>162</v>
      </c>
    </row>
    <row r="429" spans="1:50">
      <c r="A429" s="23" t="s">
        <v>22</v>
      </c>
      <c r="B429" s="23" t="s">
        <v>23</v>
      </c>
      <c r="C429" s="28">
        <v>44585.427083333336</v>
      </c>
      <c r="D429" s="23">
        <v>623.92499999999995</v>
      </c>
      <c r="E429" s="28">
        <v>44586.416666666664</v>
      </c>
      <c r="F429" s="23">
        <v>618.25</v>
      </c>
      <c r="G429" s="33">
        <v>-9.1000000000000004E-3</v>
      </c>
      <c r="H429" s="23">
        <v>456.72</v>
      </c>
      <c r="I429" s="33">
        <v>9.1000000000000004E-3</v>
      </c>
      <c r="J429" s="23">
        <v>80.479529999999997</v>
      </c>
      <c r="K429" s="23">
        <v>50213.19</v>
      </c>
      <c r="L429" s="23">
        <v>42760.57</v>
      </c>
      <c r="M429" s="23">
        <v>28</v>
      </c>
      <c r="N429" s="23">
        <v>16.309999999999999</v>
      </c>
      <c r="O429" s="33">
        <v>-7.1000000000000004E-3</v>
      </c>
      <c r="P429" s="33">
        <v>3.6700000000000003E-2</v>
      </c>
      <c r="Q429" s="23" t="s">
        <v>24</v>
      </c>
      <c r="R429" s="23">
        <v>0</v>
      </c>
      <c r="S429" s="23">
        <v>634.23</v>
      </c>
      <c r="U429" s="47">
        <v>44588</v>
      </c>
      <c r="V429" s="23" t="s">
        <v>113</v>
      </c>
      <c r="W429" s="23" t="s">
        <v>23</v>
      </c>
      <c r="X429" s="28">
        <v>44585.427083333336</v>
      </c>
      <c r="Y429" s="23">
        <v>13.824999999999999</v>
      </c>
      <c r="Z429" s="28">
        <v>44586.416666666664</v>
      </c>
      <c r="AA429" s="23">
        <v>8.7750000000000004</v>
      </c>
      <c r="AB429" s="33">
        <v>-0.36530000000000001</v>
      </c>
      <c r="AC429" s="23">
        <v>20191.43</v>
      </c>
      <c r="AD429" s="33">
        <v>0.36530000000000001</v>
      </c>
      <c r="AE429" s="23">
        <v>3998.3029999999999</v>
      </c>
      <c r="AF429" s="23">
        <v>55276.54</v>
      </c>
      <c r="AG429" s="23">
        <v>1061346.1100000001</v>
      </c>
      <c r="AH429" s="23">
        <v>28</v>
      </c>
      <c r="AI429" s="23">
        <v>721.12</v>
      </c>
      <c r="AJ429" s="33">
        <v>-0.1754</v>
      </c>
      <c r="AK429" s="33">
        <v>0.70889999999999997</v>
      </c>
      <c r="AL429" s="23" t="s">
        <v>24</v>
      </c>
      <c r="AM429" s="23">
        <v>623.91999999999996</v>
      </c>
      <c r="AN429" s="23">
        <v>37383.4</v>
      </c>
      <c r="AO429" s="23">
        <v>634.23</v>
      </c>
      <c r="AQ429" s="50">
        <f t="shared" si="6"/>
        <v>2.2158289524297988E-2</v>
      </c>
      <c r="AR429" s="50"/>
      <c r="AS429" s="48"/>
      <c r="AT429" s="50"/>
      <c r="AV429" s="47">
        <v>44585</v>
      </c>
      <c r="AW429" s="51">
        <v>0.42708333333333331</v>
      </c>
      <c r="AX429" t="s">
        <v>162</v>
      </c>
    </row>
    <row r="430" spans="1:50">
      <c r="A430" s="23" t="s">
        <v>22</v>
      </c>
      <c r="B430" s="23" t="s">
        <v>25</v>
      </c>
      <c r="C430" s="28">
        <v>44586.416666666664</v>
      </c>
      <c r="D430" s="23">
        <v>618.25</v>
      </c>
      <c r="E430" s="28">
        <v>44588.385416666664</v>
      </c>
      <c r="F430" s="23">
        <v>619.15</v>
      </c>
      <c r="G430" s="33">
        <v>1.5E-3</v>
      </c>
      <c r="H430" s="23">
        <v>73.099999999999994</v>
      </c>
      <c r="I430" s="33">
        <v>1.5E-3</v>
      </c>
      <c r="J430" s="23">
        <v>81.223839999999996</v>
      </c>
      <c r="K430" s="23">
        <v>50216.639999999999</v>
      </c>
      <c r="L430" s="23">
        <v>42833.68</v>
      </c>
      <c r="M430" s="23">
        <v>26</v>
      </c>
      <c r="N430" s="23">
        <v>2.81</v>
      </c>
      <c r="O430" s="33">
        <v>-1.6799999999999999E-2</v>
      </c>
      <c r="P430" s="33">
        <v>2.1399999999999999E-2</v>
      </c>
      <c r="Q430" s="23" t="s">
        <v>24</v>
      </c>
      <c r="R430" s="23">
        <v>0</v>
      </c>
      <c r="S430" s="23">
        <v>601.36</v>
      </c>
      <c r="U430" s="47">
        <v>44588</v>
      </c>
      <c r="V430" s="23" t="s">
        <v>119</v>
      </c>
      <c r="W430" s="23" t="s">
        <v>23</v>
      </c>
      <c r="X430" s="28">
        <v>44586.416666666664</v>
      </c>
      <c r="Y430" s="23">
        <v>5</v>
      </c>
      <c r="Z430" s="28">
        <v>44588.385416666664</v>
      </c>
      <c r="AA430" s="23">
        <v>1.5</v>
      </c>
      <c r="AB430" s="33">
        <v>-0.7</v>
      </c>
      <c r="AC430" s="23">
        <v>38752.5</v>
      </c>
      <c r="AD430" s="33">
        <v>0.7</v>
      </c>
      <c r="AE430" s="23">
        <v>11072.14</v>
      </c>
      <c r="AF430" s="23">
        <v>55360.71</v>
      </c>
      <c r="AG430" s="23">
        <v>1100098.6000000001</v>
      </c>
      <c r="AH430" s="23">
        <v>26</v>
      </c>
      <c r="AI430" s="23">
        <v>1490.48</v>
      </c>
      <c r="AJ430" s="33">
        <v>-0.7</v>
      </c>
      <c r="AK430" s="33">
        <v>0.755</v>
      </c>
      <c r="AL430" s="23" t="s">
        <v>24</v>
      </c>
      <c r="AM430" s="23">
        <v>618.25</v>
      </c>
      <c r="AN430" s="23">
        <v>37113.949999999997</v>
      </c>
      <c r="AO430" s="23">
        <v>601.36</v>
      </c>
      <c r="AQ430" s="50">
        <f t="shared" si="6"/>
        <v>8.087343307723413E-3</v>
      </c>
      <c r="AR430" s="50"/>
      <c r="AS430" s="48"/>
      <c r="AT430" s="50"/>
      <c r="AV430" s="47">
        <v>44586</v>
      </c>
      <c r="AW430" s="51">
        <v>0.41666666666666669</v>
      </c>
      <c r="AX430" t="s">
        <v>162</v>
      </c>
    </row>
    <row r="431" spans="1:50">
      <c r="A431" s="23" t="s">
        <v>22</v>
      </c>
      <c r="B431" s="23" t="s">
        <v>23</v>
      </c>
      <c r="C431" s="28">
        <v>44588.385416666664</v>
      </c>
      <c r="D431" s="23">
        <v>619.15</v>
      </c>
      <c r="E431" s="28">
        <v>44588.427083333336</v>
      </c>
      <c r="F431" s="23">
        <v>627.5</v>
      </c>
      <c r="G431" s="33">
        <v>1.35E-2</v>
      </c>
      <c r="H431" s="23">
        <v>-677.19</v>
      </c>
      <c r="I431" s="33">
        <v>-1.35E-2</v>
      </c>
      <c r="J431" s="23">
        <v>81.100700000000003</v>
      </c>
      <c r="K431" s="23">
        <v>50213.5</v>
      </c>
      <c r="L431" s="23">
        <v>42156.480000000003</v>
      </c>
      <c r="M431" s="23">
        <v>5</v>
      </c>
      <c r="N431" s="23">
        <v>-135.44</v>
      </c>
      <c r="O431" s="33">
        <v>-1.9099999999999999E-2</v>
      </c>
      <c r="P431" s="33">
        <v>8.9999999999999993E-3</v>
      </c>
      <c r="Q431" s="23" t="s">
        <v>24</v>
      </c>
      <c r="R431" s="23">
        <v>0</v>
      </c>
      <c r="S431" s="23">
        <v>631</v>
      </c>
      <c r="U431" s="47">
        <v>44588</v>
      </c>
      <c r="V431" s="23" t="s">
        <v>113</v>
      </c>
      <c r="W431" s="23" t="s">
        <v>23</v>
      </c>
      <c r="X431" s="28">
        <v>44588.385416666664</v>
      </c>
      <c r="Y431" s="23">
        <v>6.3</v>
      </c>
      <c r="Z431" s="28">
        <v>44588.427083333336</v>
      </c>
      <c r="AA431" s="23">
        <v>8.35</v>
      </c>
      <c r="AB431" s="33">
        <v>0.32540000000000002</v>
      </c>
      <c r="AC431" s="23">
        <v>-18059.68</v>
      </c>
      <c r="AD431" s="33">
        <v>-0.32540000000000002</v>
      </c>
      <c r="AE431" s="23">
        <v>8809.6020000000008</v>
      </c>
      <c r="AF431" s="23">
        <v>55500.49</v>
      </c>
      <c r="AG431" s="23">
        <v>1082038.92</v>
      </c>
      <c r="AH431" s="23">
        <v>5</v>
      </c>
      <c r="AI431" s="23">
        <v>-3611.94</v>
      </c>
      <c r="AJ431" s="33">
        <v>-0.36899999999999999</v>
      </c>
      <c r="AK431" s="33">
        <v>0.53169999999999995</v>
      </c>
      <c r="AL431" s="23" t="s">
        <v>24</v>
      </c>
      <c r="AM431" s="23">
        <v>619.15</v>
      </c>
      <c r="AN431" s="23">
        <v>37351.949999999997</v>
      </c>
      <c r="AO431" s="23">
        <v>631</v>
      </c>
      <c r="AQ431" s="50">
        <f t="shared" si="6"/>
        <v>1.0175240248728096E-2</v>
      </c>
      <c r="AR431" s="50"/>
      <c r="AS431" s="48"/>
      <c r="AT431" s="50"/>
      <c r="AV431" s="47">
        <v>44588</v>
      </c>
      <c r="AW431" s="51">
        <v>0.38541666666666669</v>
      </c>
      <c r="AX431" t="s">
        <v>162</v>
      </c>
    </row>
    <row r="432" spans="1:50">
      <c r="A432" s="23" t="s">
        <v>22</v>
      </c>
      <c r="B432" s="23" t="s">
        <v>25</v>
      </c>
      <c r="C432" s="28">
        <v>44588.427083333336</v>
      </c>
      <c r="D432" s="23">
        <v>627.5</v>
      </c>
      <c r="E432" s="28">
        <v>44588.5</v>
      </c>
      <c r="F432" s="23">
        <v>619.54999999999995</v>
      </c>
      <c r="G432" s="33">
        <v>-1.2699999999999999E-2</v>
      </c>
      <c r="H432" s="23">
        <v>-636.15</v>
      </c>
      <c r="I432" s="33">
        <v>-1.2699999999999999E-2</v>
      </c>
      <c r="J432" s="23">
        <v>80.018389999999997</v>
      </c>
      <c r="K432" s="23">
        <v>50211.54</v>
      </c>
      <c r="L432" s="23">
        <v>41520.339999999997</v>
      </c>
      <c r="M432" s="23">
        <v>8</v>
      </c>
      <c r="N432" s="23">
        <v>-79.52</v>
      </c>
      <c r="O432" s="33">
        <v>-1.2699999999999999E-2</v>
      </c>
      <c r="P432" s="33">
        <v>1.2E-2</v>
      </c>
      <c r="Q432" s="23" t="s">
        <v>24</v>
      </c>
      <c r="R432" s="23">
        <v>0</v>
      </c>
      <c r="S432" s="23">
        <v>614.17999999999995</v>
      </c>
      <c r="U432" s="47">
        <v>44588</v>
      </c>
      <c r="V432" s="23" t="s">
        <v>109</v>
      </c>
      <c r="W432" s="23" t="s">
        <v>23</v>
      </c>
      <c r="X432" s="28">
        <v>44588.427083333336</v>
      </c>
      <c r="Y432" s="23">
        <v>0.3</v>
      </c>
      <c r="Z432" s="28">
        <v>44588.5</v>
      </c>
      <c r="AA432" s="23">
        <v>1</v>
      </c>
      <c r="AB432" s="33">
        <v>2.3332999999999999</v>
      </c>
      <c r="AC432" s="23">
        <v>-129344.4</v>
      </c>
      <c r="AD432" s="33">
        <v>-2.3332999999999999</v>
      </c>
      <c r="AE432" s="23">
        <v>184777.7</v>
      </c>
      <c r="AF432" s="23">
        <v>55433.32</v>
      </c>
      <c r="AG432" s="23">
        <v>952694.52</v>
      </c>
      <c r="AH432" s="23">
        <v>8</v>
      </c>
      <c r="AI432" s="23">
        <v>-16168.05</v>
      </c>
      <c r="AJ432" s="33">
        <v>-3.1667000000000001</v>
      </c>
      <c r="AK432" s="33">
        <v>0.58330000000000004</v>
      </c>
      <c r="AL432" s="23" t="s">
        <v>24</v>
      </c>
      <c r="AM432" s="23">
        <v>627.5</v>
      </c>
      <c r="AN432" s="23">
        <v>37288.85</v>
      </c>
      <c r="AO432" s="23">
        <v>614.17999999999995</v>
      </c>
      <c r="AQ432" s="50">
        <f t="shared" si="6"/>
        <v>4.780876494023904E-4</v>
      </c>
      <c r="AR432" s="50"/>
      <c r="AS432" s="48"/>
      <c r="AT432" s="50"/>
      <c r="AV432" s="47">
        <v>44588</v>
      </c>
      <c r="AW432" s="51">
        <v>0.42708333333333331</v>
      </c>
      <c r="AX432" t="s">
        <v>162</v>
      </c>
    </row>
    <row r="433" spans="1:50">
      <c r="A433" s="23" t="s">
        <v>22</v>
      </c>
      <c r="B433" s="23" t="s">
        <v>23</v>
      </c>
      <c r="C433" s="28">
        <v>44588.5</v>
      </c>
      <c r="D433" s="23">
        <v>619.54999999999995</v>
      </c>
      <c r="E433" s="28">
        <v>44588.604166666664</v>
      </c>
      <c r="F433" s="23">
        <v>633.67499999999995</v>
      </c>
      <c r="G433" s="33">
        <v>2.2800000000000001E-2</v>
      </c>
      <c r="H433" s="23">
        <v>-1144.73</v>
      </c>
      <c r="I433" s="33">
        <v>-2.2800000000000001E-2</v>
      </c>
      <c r="J433" s="23">
        <v>81.042500000000004</v>
      </c>
      <c r="K433" s="23">
        <v>50209.88</v>
      </c>
      <c r="L433" s="23">
        <v>40375.61</v>
      </c>
      <c r="M433" s="23">
        <v>11</v>
      </c>
      <c r="N433" s="23">
        <v>-104.07</v>
      </c>
      <c r="O433" s="33">
        <v>-2.2800000000000001E-2</v>
      </c>
      <c r="P433" s="33">
        <v>1.9E-3</v>
      </c>
      <c r="Q433" s="23" t="s">
        <v>24</v>
      </c>
      <c r="R433" s="23">
        <v>0</v>
      </c>
      <c r="S433" s="23">
        <v>635</v>
      </c>
      <c r="U433" s="47">
        <v>44588</v>
      </c>
      <c r="V433" s="23" t="s">
        <v>115</v>
      </c>
      <c r="W433" s="23" t="s">
        <v>23</v>
      </c>
      <c r="X433" s="28">
        <v>44588.5</v>
      </c>
      <c r="Y433" s="23">
        <v>32.5</v>
      </c>
      <c r="Z433" s="28">
        <v>44588.604166666664</v>
      </c>
      <c r="AA433" s="23">
        <v>35.75</v>
      </c>
      <c r="AB433" s="33">
        <v>0.1</v>
      </c>
      <c r="AC433" s="23">
        <v>-5478.66</v>
      </c>
      <c r="AD433" s="33">
        <v>-0.1</v>
      </c>
      <c r="AE433" s="23">
        <v>1685.741</v>
      </c>
      <c r="AF433" s="23">
        <v>54786.57</v>
      </c>
      <c r="AG433" s="23">
        <v>947215.86</v>
      </c>
      <c r="AH433" s="23">
        <v>11</v>
      </c>
      <c r="AI433" s="23">
        <v>-498.06</v>
      </c>
      <c r="AJ433" s="33">
        <v>-0.13150000000000001</v>
      </c>
      <c r="AK433" s="33">
        <v>0</v>
      </c>
      <c r="AL433" s="23" t="s">
        <v>24</v>
      </c>
      <c r="AM433" s="23">
        <v>619.54999999999995</v>
      </c>
      <c r="AN433" s="23">
        <v>37067.050000000003</v>
      </c>
      <c r="AO433" s="23">
        <v>635</v>
      </c>
      <c r="AQ433" s="50">
        <f t="shared" si="6"/>
        <v>5.2457428778952472E-2</v>
      </c>
      <c r="AR433" s="50"/>
      <c r="AS433" s="48"/>
      <c r="AT433" s="50"/>
      <c r="AV433" s="47">
        <v>44588</v>
      </c>
      <c r="AW433" s="51">
        <v>0.5</v>
      </c>
      <c r="AX433" t="s">
        <v>163</v>
      </c>
    </row>
    <row r="434" spans="1:50">
      <c r="A434" s="23" t="s">
        <v>22</v>
      </c>
      <c r="B434" s="23" t="s">
        <v>25</v>
      </c>
      <c r="C434" s="28">
        <v>44588.604166666664</v>
      </c>
      <c r="D434" s="23">
        <v>633.67499999999995</v>
      </c>
      <c r="E434" s="28">
        <v>44588.6875</v>
      </c>
      <c r="F434" s="23">
        <v>637.85</v>
      </c>
      <c r="G434" s="33">
        <v>6.6E-3</v>
      </c>
      <c r="H434" s="23">
        <v>330.77</v>
      </c>
      <c r="I434" s="33">
        <v>6.6E-3</v>
      </c>
      <c r="J434" s="23">
        <v>79.227450000000005</v>
      </c>
      <c r="K434" s="23">
        <v>50204.45</v>
      </c>
      <c r="L434" s="23">
        <v>40706.39</v>
      </c>
      <c r="M434" s="23">
        <v>6</v>
      </c>
      <c r="N434" s="23">
        <v>55.13</v>
      </c>
      <c r="O434" s="33">
        <v>-1.09E-2</v>
      </c>
      <c r="P434" s="33">
        <v>1.35E-2</v>
      </c>
      <c r="Q434" s="23" t="s">
        <v>24</v>
      </c>
      <c r="R434" s="23">
        <v>0</v>
      </c>
      <c r="S434" s="23">
        <v>618.89</v>
      </c>
      <c r="U434" s="47">
        <v>44588</v>
      </c>
      <c r="V434" s="23" t="s">
        <v>112</v>
      </c>
      <c r="W434" s="23" t="s">
        <v>23</v>
      </c>
      <c r="X434" s="28">
        <v>44588.604166666664</v>
      </c>
      <c r="Y434" s="23">
        <v>0.5</v>
      </c>
      <c r="Z434" s="28">
        <v>44588.6875</v>
      </c>
      <c r="AA434" s="23">
        <v>2.5000000000000001E-2</v>
      </c>
      <c r="AB434" s="33">
        <v>-0.95</v>
      </c>
      <c r="AC434" s="23">
        <v>51999.27</v>
      </c>
      <c r="AD434" s="33">
        <v>0.95</v>
      </c>
      <c r="AE434" s="23">
        <v>109472.2</v>
      </c>
      <c r="AF434" s="23">
        <v>54736.08</v>
      </c>
      <c r="AG434" s="23">
        <v>999215.13</v>
      </c>
      <c r="AH434" s="23">
        <v>6</v>
      </c>
      <c r="AI434" s="23">
        <v>8666.5499999999993</v>
      </c>
      <c r="AJ434" s="33">
        <v>-2.5</v>
      </c>
      <c r="AK434" s="33">
        <v>0.95</v>
      </c>
      <c r="AL434" s="23" t="s">
        <v>24</v>
      </c>
      <c r="AM434" s="23">
        <v>633.66999999999996</v>
      </c>
      <c r="AN434" s="23">
        <v>38019.699999999997</v>
      </c>
      <c r="AO434" s="23">
        <v>618.89</v>
      </c>
      <c r="AQ434" s="50">
        <f t="shared" si="6"/>
        <v>7.8905423958842936E-4</v>
      </c>
      <c r="AR434" s="50"/>
      <c r="AS434" s="48"/>
      <c r="AT434" s="50"/>
      <c r="AV434" s="47">
        <v>44588</v>
      </c>
      <c r="AW434" s="51">
        <v>0.10416666666666667</v>
      </c>
      <c r="AX434" t="s">
        <v>163</v>
      </c>
    </row>
    <row r="435" spans="1:50">
      <c r="A435" s="23" t="s">
        <v>22</v>
      </c>
      <c r="B435" s="23" t="s">
        <v>25</v>
      </c>
      <c r="C435" s="28">
        <v>44589.385416666664</v>
      </c>
      <c r="D435" s="23">
        <v>640.77499999999998</v>
      </c>
      <c r="E435" s="28">
        <v>44589.572916666664</v>
      </c>
      <c r="F435" s="23">
        <v>641.85</v>
      </c>
      <c r="G435" s="33">
        <v>1.6999999999999999E-3</v>
      </c>
      <c r="H435" s="23">
        <v>84.22</v>
      </c>
      <c r="I435" s="33">
        <v>1.6999999999999999E-3</v>
      </c>
      <c r="J435" s="23">
        <v>78.348140000000001</v>
      </c>
      <c r="K435" s="23">
        <v>50203.54</v>
      </c>
      <c r="L435" s="23">
        <v>40790.61</v>
      </c>
      <c r="M435" s="23">
        <v>19</v>
      </c>
      <c r="N435" s="23">
        <v>4.43</v>
      </c>
      <c r="O435" s="33">
        <v>-8.2000000000000007E-3</v>
      </c>
      <c r="P435" s="33">
        <v>1.44E-2</v>
      </c>
      <c r="Q435" s="23" t="s">
        <v>24</v>
      </c>
      <c r="R435" s="23">
        <v>0</v>
      </c>
      <c r="S435" s="23">
        <v>625.16999999999996</v>
      </c>
      <c r="U435" s="47">
        <v>44616</v>
      </c>
      <c r="V435" s="23" t="s">
        <v>142</v>
      </c>
      <c r="W435" s="23" t="s">
        <v>23</v>
      </c>
      <c r="X435" s="28">
        <v>44589.385416666664</v>
      </c>
      <c r="Y435" s="23">
        <v>37.35</v>
      </c>
      <c r="Z435" s="28">
        <v>44589.572916666664</v>
      </c>
      <c r="AA435" s="23">
        <v>34.15</v>
      </c>
      <c r="AB435" s="33">
        <v>-8.5699999999999998E-2</v>
      </c>
      <c r="AC435" s="23">
        <v>4711.8500000000004</v>
      </c>
      <c r="AD435" s="33">
        <v>8.5699999999999998E-2</v>
      </c>
      <c r="AE435" s="23">
        <v>1472.452</v>
      </c>
      <c r="AF435" s="23">
        <v>54996.08</v>
      </c>
      <c r="AG435" s="23">
        <v>1003926.98</v>
      </c>
      <c r="AH435" s="23">
        <v>19</v>
      </c>
      <c r="AI435" s="23">
        <v>247.99</v>
      </c>
      <c r="AJ435" s="33">
        <v>-6.3600000000000004E-2</v>
      </c>
      <c r="AK435" s="33">
        <v>0.18740000000000001</v>
      </c>
      <c r="AL435" s="23" t="s">
        <v>24</v>
      </c>
      <c r="AM435" s="23">
        <v>640.78</v>
      </c>
      <c r="AN435" s="23">
        <v>38221.699999999997</v>
      </c>
      <c r="AO435" s="23">
        <v>625.16999999999996</v>
      </c>
      <c r="AQ435" s="50">
        <f t="shared" si="6"/>
        <v>5.8288336090389845E-2</v>
      </c>
      <c r="AR435" s="50"/>
      <c r="AS435" s="48"/>
      <c r="AT435" s="50"/>
      <c r="AV435" s="47">
        <v>44589</v>
      </c>
      <c r="AW435" s="51">
        <v>0.38541666666666669</v>
      </c>
      <c r="AX435" t="s">
        <v>162</v>
      </c>
    </row>
    <row r="436" spans="1:50">
      <c r="A436" s="23" t="s">
        <v>22</v>
      </c>
      <c r="B436" s="23" t="s">
        <v>23</v>
      </c>
      <c r="C436" s="28">
        <v>44589.572916666664</v>
      </c>
      <c r="D436" s="23">
        <v>641.85</v>
      </c>
      <c r="E436" s="28">
        <v>44592.385416666664</v>
      </c>
      <c r="F436" s="23">
        <v>641.1</v>
      </c>
      <c r="G436" s="33">
        <v>-1.1999999999999999E-3</v>
      </c>
      <c r="H436" s="23">
        <v>58.66</v>
      </c>
      <c r="I436" s="33">
        <v>1.1999999999999999E-3</v>
      </c>
      <c r="J436" s="23">
        <v>78.218609999999998</v>
      </c>
      <c r="K436" s="23">
        <v>50204.61</v>
      </c>
      <c r="L436" s="23">
        <v>40849.279999999999</v>
      </c>
      <c r="M436" s="23">
        <v>11</v>
      </c>
      <c r="N436" s="23">
        <v>5.33</v>
      </c>
      <c r="O436" s="33">
        <v>-2.5999999999999999E-3</v>
      </c>
      <c r="P436" s="33">
        <v>1.8200000000000001E-2</v>
      </c>
      <c r="Q436" s="23" t="s">
        <v>24</v>
      </c>
      <c r="R436" s="23">
        <v>0</v>
      </c>
      <c r="S436" s="23">
        <v>649.55999999999995</v>
      </c>
      <c r="U436" s="47">
        <v>44616</v>
      </c>
      <c r="V436" s="23" t="s">
        <v>108</v>
      </c>
      <c r="W436" s="23" t="s">
        <v>23</v>
      </c>
      <c r="X436" s="28">
        <v>44589.572916666664</v>
      </c>
      <c r="Y436" s="23">
        <v>35.5</v>
      </c>
      <c r="Z436" s="28">
        <v>44592.385416666664</v>
      </c>
      <c r="AA436" s="23">
        <v>31.274999999999999</v>
      </c>
      <c r="AB436" s="33">
        <v>-0.11899999999999999</v>
      </c>
      <c r="AC436" s="23">
        <v>6548.35</v>
      </c>
      <c r="AD436" s="33">
        <v>0.11899999999999999</v>
      </c>
      <c r="AE436" s="23">
        <v>1549.9059999999999</v>
      </c>
      <c r="AF436" s="23">
        <v>55021.66</v>
      </c>
      <c r="AG436" s="23">
        <v>1010475.33</v>
      </c>
      <c r="AH436" s="23">
        <v>11</v>
      </c>
      <c r="AI436" s="23">
        <v>595.29999999999995</v>
      </c>
      <c r="AJ436" s="33">
        <v>0</v>
      </c>
      <c r="AK436" s="33">
        <v>0.18940000000000001</v>
      </c>
      <c r="AL436" s="23" t="s">
        <v>24</v>
      </c>
      <c r="AM436" s="23">
        <v>641.85</v>
      </c>
      <c r="AN436" s="23">
        <v>38073.050000000003</v>
      </c>
      <c r="AO436" s="23">
        <v>649.55999999999995</v>
      </c>
      <c r="AQ436" s="50">
        <f t="shared" si="6"/>
        <v>5.5308872789592581E-2</v>
      </c>
      <c r="AR436" s="50"/>
      <c r="AS436" s="48"/>
      <c r="AT436" s="50"/>
      <c r="AV436" s="47">
        <v>44589</v>
      </c>
      <c r="AW436" s="51">
        <v>7.2916666666666671E-2</v>
      </c>
      <c r="AX436" t="s">
        <v>163</v>
      </c>
    </row>
    <row r="437" spans="1:50">
      <c r="A437" s="23" t="s">
        <v>22</v>
      </c>
      <c r="B437" s="23" t="s">
        <v>25</v>
      </c>
      <c r="C437" s="28">
        <v>44592.385416666664</v>
      </c>
      <c r="D437" s="23">
        <v>641.1</v>
      </c>
      <c r="E437" s="28">
        <v>44592.416666666664</v>
      </c>
      <c r="F437" s="23">
        <v>636.75</v>
      </c>
      <c r="G437" s="33">
        <v>-6.7999999999999996E-3</v>
      </c>
      <c r="H437" s="23">
        <v>-340.66</v>
      </c>
      <c r="I437" s="33">
        <v>-6.7999999999999996E-3</v>
      </c>
      <c r="J437" s="23">
        <v>78.31326</v>
      </c>
      <c r="K437" s="23">
        <v>50206.63</v>
      </c>
      <c r="L437" s="23">
        <v>40508.61</v>
      </c>
      <c r="M437" s="23">
        <v>4</v>
      </c>
      <c r="N437" s="23">
        <v>-85.17</v>
      </c>
      <c r="O437" s="33">
        <v>-1.67E-2</v>
      </c>
      <c r="P437" s="33">
        <v>2.93E-2</v>
      </c>
      <c r="Q437" s="23" t="s">
        <v>24</v>
      </c>
      <c r="R437" s="23">
        <v>0</v>
      </c>
      <c r="S437" s="23">
        <v>630.38</v>
      </c>
      <c r="U437" s="47">
        <v>44616</v>
      </c>
      <c r="V437" s="23" t="s">
        <v>149</v>
      </c>
      <c r="W437" s="23" t="s">
        <v>23</v>
      </c>
      <c r="X437" s="28">
        <v>44592.385416666664</v>
      </c>
      <c r="Y437" s="23">
        <v>30.074999999999999</v>
      </c>
      <c r="Z437" s="28">
        <v>44592.416666666664</v>
      </c>
      <c r="AA437" s="23">
        <v>31.75</v>
      </c>
      <c r="AB437" s="33">
        <v>5.57E-2</v>
      </c>
      <c r="AC437" s="23">
        <v>-3066.1</v>
      </c>
      <c r="AD437" s="33">
        <v>-5.57E-2</v>
      </c>
      <c r="AE437" s="23">
        <v>1830.509</v>
      </c>
      <c r="AF437" s="23">
        <v>55052.57</v>
      </c>
      <c r="AG437" s="23">
        <v>1007409.23</v>
      </c>
      <c r="AH437" s="23">
        <v>4</v>
      </c>
      <c r="AI437" s="23">
        <v>-766.53</v>
      </c>
      <c r="AJ437" s="33">
        <v>-6.9000000000000006E-2</v>
      </c>
      <c r="AK437" s="33">
        <v>0.30840000000000001</v>
      </c>
      <c r="AL437" s="23" t="s">
        <v>24</v>
      </c>
      <c r="AM437" s="23">
        <v>641.1</v>
      </c>
      <c r="AN437" s="23">
        <v>37991.300000000003</v>
      </c>
      <c r="AO437" s="23">
        <v>630.38</v>
      </c>
      <c r="AQ437" s="50">
        <f t="shared" si="6"/>
        <v>4.6911558259241926E-2</v>
      </c>
      <c r="AR437" s="50"/>
      <c r="AS437" s="48"/>
      <c r="AT437" s="50"/>
      <c r="AV437" s="47">
        <v>44592</v>
      </c>
      <c r="AW437" s="51">
        <v>0.38541666666666669</v>
      </c>
      <c r="AX437" t="s">
        <v>162</v>
      </c>
    </row>
    <row r="438" spans="1:50">
      <c r="A438" s="23" t="s">
        <v>22</v>
      </c>
      <c r="B438" s="23" t="s">
        <v>23</v>
      </c>
      <c r="C438" s="28">
        <v>44592.416666666664</v>
      </c>
      <c r="D438" s="23">
        <v>636.75</v>
      </c>
      <c r="E438" s="28">
        <v>44592.447916666664</v>
      </c>
      <c r="F438" s="23">
        <v>654.45000000000005</v>
      </c>
      <c r="G438" s="33">
        <v>2.7799999999999998E-2</v>
      </c>
      <c r="H438" s="23">
        <v>-1395.5</v>
      </c>
      <c r="I438" s="33">
        <v>-2.7799999999999998E-2</v>
      </c>
      <c r="J438" s="23">
        <v>78.841750000000005</v>
      </c>
      <c r="K438" s="23">
        <v>50202.48</v>
      </c>
      <c r="L438" s="23">
        <v>39113.11</v>
      </c>
      <c r="M438" s="23">
        <v>4</v>
      </c>
      <c r="N438" s="23">
        <v>-348.87</v>
      </c>
      <c r="O438" s="33">
        <v>-2.7799999999999998E-2</v>
      </c>
      <c r="P438" s="33">
        <v>5.8999999999999999E-3</v>
      </c>
      <c r="Q438" s="23" t="s">
        <v>24</v>
      </c>
      <c r="R438" s="23">
        <v>0</v>
      </c>
      <c r="S438" s="23">
        <v>658.83</v>
      </c>
      <c r="U438" s="47">
        <v>44616</v>
      </c>
      <c r="V438" s="23" t="s">
        <v>108</v>
      </c>
      <c r="W438" s="23" t="s">
        <v>23</v>
      </c>
      <c r="X438" s="28">
        <v>44592.416666666664</v>
      </c>
      <c r="Y438" s="23">
        <v>28.074999999999999</v>
      </c>
      <c r="Z438" s="28">
        <v>44592.447916666664</v>
      </c>
      <c r="AA438" s="23">
        <v>38.950000000000003</v>
      </c>
      <c r="AB438" s="33">
        <v>0.38740000000000002</v>
      </c>
      <c r="AC438" s="23">
        <v>-21317.47</v>
      </c>
      <c r="AD438" s="33">
        <v>-0.38740000000000002</v>
      </c>
      <c r="AE438" s="23">
        <v>1960.2270000000001</v>
      </c>
      <c r="AF438" s="23">
        <v>55033.39</v>
      </c>
      <c r="AG438" s="23">
        <v>986091.76</v>
      </c>
      <c r="AH438" s="23">
        <v>4</v>
      </c>
      <c r="AI438" s="23">
        <v>-5329.37</v>
      </c>
      <c r="AJ438" s="33">
        <v>-0.38740000000000002</v>
      </c>
      <c r="AK438" s="33">
        <v>4.1000000000000002E-2</v>
      </c>
      <c r="AL438" s="23" t="s">
        <v>24</v>
      </c>
      <c r="AM438" s="23">
        <v>636.75</v>
      </c>
      <c r="AN438" s="23">
        <v>37855.85</v>
      </c>
      <c r="AO438" s="23">
        <v>658.83</v>
      </c>
      <c r="AQ438" s="50">
        <f t="shared" si="6"/>
        <v>4.4091087553985081E-2</v>
      </c>
      <c r="AR438" s="50"/>
      <c r="AS438" s="48"/>
      <c r="AT438" s="50"/>
      <c r="AV438" s="47">
        <v>44592</v>
      </c>
      <c r="AW438" s="51">
        <v>0.41666666666666669</v>
      </c>
      <c r="AX438" t="s">
        <v>162</v>
      </c>
    </row>
    <row r="439" spans="1:50">
      <c r="A439" s="23" t="s">
        <v>22</v>
      </c>
      <c r="B439" s="23" t="s">
        <v>25</v>
      </c>
      <c r="C439" s="28">
        <v>44592.447916666664</v>
      </c>
      <c r="D439" s="23">
        <v>654.45000000000005</v>
      </c>
      <c r="E439" s="28">
        <v>44592.59375</v>
      </c>
      <c r="F439" s="23">
        <v>653</v>
      </c>
      <c r="G439" s="33">
        <v>-2.2000000000000001E-3</v>
      </c>
      <c r="H439" s="23">
        <v>-111.22</v>
      </c>
      <c r="I439" s="33">
        <v>-2.2000000000000001E-3</v>
      </c>
      <c r="J439" s="23">
        <v>76.701530000000005</v>
      </c>
      <c r="K439" s="23">
        <v>50197.32</v>
      </c>
      <c r="L439" s="23">
        <v>39001.9</v>
      </c>
      <c r="M439" s="23">
        <v>15</v>
      </c>
      <c r="N439" s="23">
        <v>-7.41</v>
      </c>
      <c r="O439" s="33">
        <v>-1.0200000000000001E-2</v>
      </c>
      <c r="P439" s="33">
        <v>2.2200000000000001E-2</v>
      </c>
      <c r="Q439" s="23" t="s">
        <v>24</v>
      </c>
      <c r="R439" s="23">
        <v>0</v>
      </c>
      <c r="S439" s="23">
        <v>633</v>
      </c>
      <c r="U439" s="47">
        <v>44616</v>
      </c>
      <c r="V439" s="23" t="s">
        <v>142</v>
      </c>
      <c r="W439" s="23" t="s">
        <v>23</v>
      </c>
      <c r="X439" s="28">
        <v>44592.447916666664</v>
      </c>
      <c r="Y439" s="23">
        <v>28</v>
      </c>
      <c r="Z439" s="28">
        <v>44592.59375</v>
      </c>
      <c r="AA439" s="23">
        <v>26.1</v>
      </c>
      <c r="AB439" s="33">
        <v>-6.7900000000000002E-2</v>
      </c>
      <c r="AC439" s="23">
        <v>3729.69</v>
      </c>
      <c r="AD439" s="33">
        <v>6.7900000000000002E-2</v>
      </c>
      <c r="AE439" s="23">
        <v>1962.992</v>
      </c>
      <c r="AF439" s="23">
        <v>54963.78</v>
      </c>
      <c r="AG439" s="23">
        <v>989821.43999999994</v>
      </c>
      <c r="AH439" s="23">
        <v>15</v>
      </c>
      <c r="AI439" s="23">
        <v>248.65</v>
      </c>
      <c r="AJ439" s="33">
        <v>-0.125</v>
      </c>
      <c r="AK439" s="33">
        <v>0.24110000000000001</v>
      </c>
      <c r="AL439" s="23" t="s">
        <v>24</v>
      </c>
      <c r="AM439" s="23">
        <v>654.45000000000005</v>
      </c>
      <c r="AN439" s="23">
        <v>37712.300000000003</v>
      </c>
      <c r="AO439" s="23">
        <v>633</v>
      </c>
      <c r="AQ439" s="50">
        <f t="shared" si="6"/>
        <v>4.278401711360684E-2</v>
      </c>
      <c r="AR439" s="50"/>
      <c r="AS439" s="48"/>
      <c r="AT439" s="50"/>
      <c r="AV439" s="47">
        <v>44592</v>
      </c>
      <c r="AW439" s="51">
        <v>0.44791666666666669</v>
      </c>
      <c r="AX439" t="s">
        <v>162</v>
      </c>
    </row>
    <row r="440" spans="1:50">
      <c r="A440" s="23" t="s">
        <v>22</v>
      </c>
      <c r="B440" s="23" t="s">
        <v>23</v>
      </c>
      <c r="C440" s="28">
        <v>44592.59375</v>
      </c>
      <c r="D440" s="23">
        <v>653</v>
      </c>
      <c r="E440" s="28">
        <v>44593.385416666664</v>
      </c>
      <c r="F440" s="23">
        <v>674.5</v>
      </c>
      <c r="G440" s="33">
        <v>3.2899999999999999E-2</v>
      </c>
      <c r="H440" s="23">
        <v>-1652.68</v>
      </c>
      <c r="I440" s="33">
        <v>-3.2899999999999999E-2</v>
      </c>
      <c r="J440" s="23">
        <v>76.868859999999998</v>
      </c>
      <c r="K440" s="23">
        <v>50195.360000000001</v>
      </c>
      <c r="L440" s="23">
        <v>37349.22</v>
      </c>
      <c r="M440" s="23">
        <v>9</v>
      </c>
      <c r="N440" s="23">
        <v>-183.63</v>
      </c>
      <c r="O440" s="33">
        <v>-3.2899999999999999E-2</v>
      </c>
      <c r="P440" s="33">
        <v>7.0000000000000001E-3</v>
      </c>
      <c r="Q440" s="23" t="s">
        <v>24</v>
      </c>
      <c r="R440" s="23">
        <v>0</v>
      </c>
      <c r="S440" s="23">
        <v>668.32</v>
      </c>
      <c r="U440" s="47">
        <v>44616</v>
      </c>
      <c r="V440" s="23" t="s">
        <v>110</v>
      </c>
      <c r="W440" s="23" t="s">
        <v>23</v>
      </c>
      <c r="X440" s="28">
        <v>44592.59375</v>
      </c>
      <c r="Y440" s="23">
        <v>30.2</v>
      </c>
      <c r="Z440" s="28">
        <v>44593.385416666664</v>
      </c>
      <c r="AA440" s="23">
        <v>41.525010000000002</v>
      </c>
      <c r="AB440" s="33">
        <v>0.375</v>
      </c>
      <c r="AC440" s="23">
        <v>-20605.55</v>
      </c>
      <c r="AD440" s="33">
        <v>-0.375</v>
      </c>
      <c r="AE440" s="23">
        <v>1819.4739999999999</v>
      </c>
      <c r="AF440" s="23">
        <v>54948.13</v>
      </c>
      <c r="AG440" s="23">
        <v>969215.89</v>
      </c>
      <c r="AH440" s="23">
        <v>9</v>
      </c>
      <c r="AI440" s="23">
        <v>-2289.5100000000002</v>
      </c>
      <c r="AJ440" s="33">
        <v>-0.4073</v>
      </c>
      <c r="AK440" s="33">
        <v>0.1118</v>
      </c>
      <c r="AL440" s="23" t="s">
        <v>24</v>
      </c>
      <c r="AM440" s="23">
        <v>653</v>
      </c>
      <c r="AN440" s="23">
        <v>38064.65</v>
      </c>
      <c r="AO440" s="23">
        <v>668.32</v>
      </c>
      <c r="AQ440" s="50">
        <f t="shared" si="6"/>
        <v>4.6248085758039813E-2</v>
      </c>
      <c r="AR440" s="50"/>
      <c r="AS440" s="48"/>
      <c r="AT440" s="50"/>
      <c r="AV440" s="47">
        <v>44592</v>
      </c>
      <c r="AW440" s="51">
        <v>9.375E-2</v>
      </c>
      <c r="AX440" t="s">
        <v>163</v>
      </c>
    </row>
    <row r="441" spans="1:50">
      <c r="A441" s="23" t="s">
        <v>22</v>
      </c>
      <c r="B441" s="23" t="s">
        <v>25</v>
      </c>
      <c r="C441" s="28">
        <v>44593.385416666664</v>
      </c>
      <c r="D441" s="23">
        <v>674.5</v>
      </c>
      <c r="E441" s="28">
        <v>44593.541666666664</v>
      </c>
      <c r="F441" s="23">
        <v>660.67499999999995</v>
      </c>
      <c r="G441" s="33">
        <v>-2.0500000000000001E-2</v>
      </c>
      <c r="H441" s="23">
        <v>-1028.76</v>
      </c>
      <c r="I441" s="33">
        <v>-2.0500000000000001E-2</v>
      </c>
      <c r="J441" s="23">
        <v>74.412970000000001</v>
      </c>
      <c r="K441" s="23">
        <v>50191.55</v>
      </c>
      <c r="L441" s="23">
        <v>36320.46</v>
      </c>
      <c r="M441" s="23">
        <v>16</v>
      </c>
      <c r="N441" s="23">
        <v>-64.3</v>
      </c>
      <c r="O441" s="33">
        <v>-3.5499999999999997E-2</v>
      </c>
      <c r="P441" s="33">
        <v>5.8999999999999999E-3</v>
      </c>
      <c r="Q441" s="23" t="s">
        <v>24</v>
      </c>
      <c r="R441" s="23">
        <v>0</v>
      </c>
      <c r="S441" s="23">
        <v>649.24</v>
      </c>
      <c r="U441" s="47">
        <v>44616</v>
      </c>
      <c r="V441" s="23" t="s">
        <v>146</v>
      </c>
      <c r="W441" s="23" t="s">
        <v>23</v>
      </c>
      <c r="X441" s="28">
        <v>44593.385416666664</v>
      </c>
      <c r="Y441" s="23">
        <v>28.024999999999999</v>
      </c>
      <c r="Z441" s="28">
        <v>44593.541666666664</v>
      </c>
      <c r="AA441" s="23">
        <v>35.524999999999999</v>
      </c>
      <c r="AB441" s="33">
        <v>0.2676</v>
      </c>
      <c r="AC441" s="23">
        <v>-14701</v>
      </c>
      <c r="AD441" s="33">
        <v>-0.2676</v>
      </c>
      <c r="AE441" s="23">
        <v>1960.133</v>
      </c>
      <c r="AF441" s="23">
        <v>54932.73</v>
      </c>
      <c r="AG441" s="23">
        <v>954514.9</v>
      </c>
      <c r="AH441" s="23">
        <v>16</v>
      </c>
      <c r="AI441" s="23">
        <v>-918.81</v>
      </c>
      <c r="AJ441" s="33">
        <v>-0.2712</v>
      </c>
      <c r="AK441" s="33">
        <v>8.8300000000000003E-2</v>
      </c>
      <c r="AL441" s="23" t="s">
        <v>24</v>
      </c>
      <c r="AM441" s="23">
        <v>674.5</v>
      </c>
      <c r="AN441" s="23">
        <v>38571.1</v>
      </c>
      <c r="AO441" s="23">
        <v>649.24</v>
      </c>
      <c r="AQ441" s="50">
        <f t="shared" si="6"/>
        <v>4.1549295774647887E-2</v>
      </c>
      <c r="AR441" s="50"/>
      <c r="AS441" s="48"/>
      <c r="AT441" s="50"/>
      <c r="AV441" s="47">
        <v>44593</v>
      </c>
      <c r="AW441" s="51">
        <v>0.38541666666666669</v>
      </c>
      <c r="AX441" t="s">
        <v>162</v>
      </c>
    </row>
    <row r="442" spans="1:50">
      <c r="A442" s="23" t="s">
        <v>22</v>
      </c>
      <c r="B442" s="23" t="s">
        <v>23</v>
      </c>
      <c r="C442" s="28">
        <v>44593.541666666664</v>
      </c>
      <c r="D442" s="23">
        <v>660.67499999999995</v>
      </c>
      <c r="E442" s="28">
        <v>44593.604166666664</v>
      </c>
      <c r="F442" s="23">
        <v>673.55</v>
      </c>
      <c r="G442" s="33">
        <v>1.95E-2</v>
      </c>
      <c r="H442" s="23">
        <v>-977.98</v>
      </c>
      <c r="I442" s="33">
        <v>-1.95E-2</v>
      </c>
      <c r="J442" s="23">
        <v>75.959460000000007</v>
      </c>
      <c r="K442" s="23">
        <v>50184.51</v>
      </c>
      <c r="L442" s="23">
        <v>35342.480000000003</v>
      </c>
      <c r="M442" s="23">
        <v>7</v>
      </c>
      <c r="N442" s="23">
        <v>-139.71</v>
      </c>
      <c r="O442" s="33">
        <v>-1.95E-2</v>
      </c>
      <c r="P442" s="33">
        <v>1E-3</v>
      </c>
      <c r="Q442" s="23" t="s">
        <v>24</v>
      </c>
      <c r="R442" s="23">
        <v>0</v>
      </c>
      <c r="S442" s="23">
        <v>677.93</v>
      </c>
      <c r="U442" s="47">
        <v>44616</v>
      </c>
      <c r="V442" s="23" t="s">
        <v>143</v>
      </c>
      <c r="W442" s="23" t="s">
        <v>23</v>
      </c>
      <c r="X442" s="28">
        <v>44593.541666666664</v>
      </c>
      <c r="Y442" s="23">
        <v>25.625</v>
      </c>
      <c r="Z442" s="28">
        <v>44593.604166666664</v>
      </c>
      <c r="AA442" s="23">
        <v>33.575000000000003</v>
      </c>
      <c r="AB442" s="33">
        <v>0.31019999999999998</v>
      </c>
      <c r="AC442" s="23">
        <v>-17010.57</v>
      </c>
      <c r="AD442" s="33">
        <v>-0.31019999999999998</v>
      </c>
      <c r="AE442" s="23">
        <v>2139.694</v>
      </c>
      <c r="AF442" s="23">
        <v>54829.66</v>
      </c>
      <c r="AG442" s="23">
        <v>937504.33</v>
      </c>
      <c r="AH442" s="23">
        <v>7</v>
      </c>
      <c r="AI442" s="23">
        <v>-2430.08</v>
      </c>
      <c r="AJ442" s="33">
        <v>-0.31019999999999998</v>
      </c>
      <c r="AK442" s="33">
        <v>2.1499999999999998E-2</v>
      </c>
      <c r="AL442" s="23" t="s">
        <v>24</v>
      </c>
      <c r="AM442" s="23">
        <v>660.67</v>
      </c>
      <c r="AN442" s="23">
        <v>37761.699999999997</v>
      </c>
      <c r="AO442" s="23">
        <v>677.93</v>
      </c>
      <c r="AQ442" s="50">
        <f t="shared" si="6"/>
        <v>3.8786383519760242E-2</v>
      </c>
      <c r="AR442" s="50"/>
      <c r="AS442" s="48"/>
      <c r="AT442" s="50"/>
      <c r="AV442" s="47">
        <v>44593</v>
      </c>
      <c r="AW442" s="51">
        <v>4.1666666666666664E-2</v>
      </c>
      <c r="AX442" t="s">
        <v>163</v>
      </c>
    </row>
    <row r="443" spans="1:50">
      <c r="A443" s="23" t="s">
        <v>22</v>
      </c>
      <c r="B443" s="23" t="s">
        <v>25</v>
      </c>
      <c r="C443" s="28">
        <v>44593.604166666664</v>
      </c>
      <c r="D443" s="23">
        <v>673.55</v>
      </c>
      <c r="E443" s="28">
        <v>44595.385416666664</v>
      </c>
      <c r="F443" s="23">
        <v>693.375</v>
      </c>
      <c r="G443" s="33">
        <v>2.9399999999999999E-2</v>
      </c>
      <c r="H443" s="23">
        <v>1476.93</v>
      </c>
      <c r="I443" s="33">
        <v>2.9399999999999999E-2</v>
      </c>
      <c r="J443" s="23">
        <v>74.498589999999993</v>
      </c>
      <c r="K443" s="23">
        <v>50178.52</v>
      </c>
      <c r="L443" s="23">
        <v>36819.410000000003</v>
      </c>
      <c r="M443" s="23">
        <v>36</v>
      </c>
      <c r="N443" s="23">
        <v>41.03</v>
      </c>
      <c r="O443" s="33">
        <v>-8.2000000000000007E-3</v>
      </c>
      <c r="P443" s="33">
        <v>4.2299999999999997E-2</v>
      </c>
      <c r="Q443" s="23" t="s">
        <v>24</v>
      </c>
      <c r="R443" s="23">
        <v>0</v>
      </c>
      <c r="S443" s="23">
        <v>660</v>
      </c>
      <c r="U443" s="47">
        <v>44616</v>
      </c>
      <c r="V443" s="23" t="s">
        <v>146</v>
      </c>
      <c r="W443" s="23" t="s">
        <v>23</v>
      </c>
      <c r="X443" s="28">
        <v>44593.604166666664</v>
      </c>
      <c r="Y443" s="23">
        <v>27.274999999999999</v>
      </c>
      <c r="Z443" s="28">
        <v>44595.385416666664</v>
      </c>
      <c r="AA443" s="23">
        <v>17.5</v>
      </c>
      <c r="AB443" s="33">
        <v>-0.3584</v>
      </c>
      <c r="AC443" s="23">
        <v>19609.54</v>
      </c>
      <c r="AD443" s="33">
        <v>0.3584</v>
      </c>
      <c r="AE443" s="23">
        <v>2006.0909999999999</v>
      </c>
      <c r="AF443" s="23">
        <v>54716.14</v>
      </c>
      <c r="AG443" s="23">
        <v>957113.87</v>
      </c>
      <c r="AH443" s="23">
        <v>36</v>
      </c>
      <c r="AI443" s="23">
        <v>544.71</v>
      </c>
      <c r="AJ443" s="33">
        <v>-0.15029999999999999</v>
      </c>
      <c r="AK443" s="33">
        <v>0.4299</v>
      </c>
      <c r="AL443" s="23" t="s">
        <v>24</v>
      </c>
      <c r="AM443" s="23">
        <v>673.55</v>
      </c>
      <c r="AN443" s="23">
        <v>38598.699999999997</v>
      </c>
      <c r="AO443" s="23">
        <v>660</v>
      </c>
      <c r="AQ443" s="50">
        <f t="shared" si="6"/>
        <v>4.0494395367827188E-2</v>
      </c>
      <c r="AR443" s="50"/>
      <c r="AS443" s="48"/>
      <c r="AT443" s="50"/>
      <c r="AV443" s="47">
        <v>44593</v>
      </c>
      <c r="AW443" s="51">
        <v>0.10416666666666667</v>
      </c>
      <c r="AX443" t="s">
        <v>163</v>
      </c>
    </row>
    <row r="444" spans="1:50">
      <c r="A444" s="23" t="s">
        <v>22</v>
      </c>
      <c r="B444" s="23" t="s">
        <v>23</v>
      </c>
      <c r="C444" s="28">
        <v>44595.385416666664</v>
      </c>
      <c r="D444" s="23">
        <v>693.375</v>
      </c>
      <c r="E444" s="28">
        <v>44595.40625</v>
      </c>
      <c r="F444" s="23">
        <v>701.72500000000002</v>
      </c>
      <c r="G444" s="33">
        <v>1.2E-2</v>
      </c>
      <c r="H444" s="23">
        <v>-604.36</v>
      </c>
      <c r="I444" s="33">
        <v>-1.2E-2</v>
      </c>
      <c r="J444" s="23">
        <v>72.378780000000006</v>
      </c>
      <c r="K444" s="23">
        <v>50185.63</v>
      </c>
      <c r="L444" s="23">
        <v>36215.050000000003</v>
      </c>
      <c r="M444" s="23">
        <v>3</v>
      </c>
      <c r="N444" s="23">
        <v>-201.45</v>
      </c>
      <c r="O444" s="33">
        <v>-1.2E-2</v>
      </c>
      <c r="P444" s="33">
        <v>3.0999999999999999E-3</v>
      </c>
      <c r="Q444" s="23" t="s">
        <v>24</v>
      </c>
      <c r="R444" s="23">
        <v>0</v>
      </c>
      <c r="S444" s="23">
        <v>701.6</v>
      </c>
      <c r="U444" s="47">
        <v>44616</v>
      </c>
      <c r="V444" s="23" t="s">
        <v>150</v>
      </c>
      <c r="W444" s="23" t="s">
        <v>23</v>
      </c>
      <c r="X444" s="28">
        <v>44595.385416666664</v>
      </c>
      <c r="Y444" s="23">
        <v>26.35</v>
      </c>
      <c r="Z444" s="28">
        <v>44595.40625</v>
      </c>
      <c r="AA444" s="23">
        <v>32.125</v>
      </c>
      <c r="AB444" s="33">
        <v>0.21920000000000001</v>
      </c>
      <c r="AC444" s="23">
        <v>-12010.55</v>
      </c>
      <c r="AD444" s="33">
        <v>-0.21920000000000001</v>
      </c>
      <c r="AE444" s="23">
        <v>2079.748</v>
      </c>
      <c r="AF444" s="23">
        <v>54801.37</v>
      </c>
      <c r="AG444" s="23">
        <v>945103.32</v>
      </c>
      <c r="AH444" s="23">
        <v>3</v>
      </c>
      <c r="AI444" s="23">
        <v>-4003.52</v>
      </c>
      <c r="AJ444" s="33">
        <v>-0.21920000000000001</v>
      </c>
      <c r="AK444" s="33">
        <v>9.4999999999999998E-3</v>
      </c>
      <c r="AL444" s="23" t="s">
        <v>24</v>
      </c>
      <c r="AM444" s="23">
        <v>693.38</v>
      </c>
      <c r="AN444" s="23">
        <v>39281.85</v>
      </c>
      <c r="AO444" s="23">
        <v>701.6</v>
      </c>
      <c r="AQ444" s="50">
        <f t="shared" si="6"/>
        <v>3.8002249848567884E-2</v>
      </c>
      <c r="AR444" s="50"/>
      <c r="AS444" s="48"/>
      <c r="AT444" s="50"/>
      <c r="AV444" s="47">
        <v>44595</v>
      </c>
      <c r="AW444" s="51">
        <v>0.38541666666666669</v>
      </c>
      <c r="AX444" t="s">
        <v>162</v>
      </c>
    </row>
    <row r="445" spans="1:50">
      <c r="A445" s="23" t="s">
        <v>22</v>
      </c>
      <c r="B445" s="23" t="s">
        <v>25</v>
      </c>
      <c r="C445" s="28">
        <v>44595.40625</v>
      </c>
      <c r="D445" s="23">
        <v>701.72500000000002</v>
      </c>
      <c r="E445" s="28">
        <v>44595.46875</v>
      </c>
      <c r="F445" s="23">
        <v>698.97500000000002</v>
      </c>
      <c r="G445" s="33">
        <v>-3.8999999999999998E-3</v>
      </c>
      <c r="H445" s="23">
        <v>-196.66</v>
      </c>
      <c r="I445" s="33">
        <v>-3.8999999999999998E-3</v>
      </c>
      <c r="J445" s="23">
        <v>71.513310000000004</v>
      </c>
      <c r="K445" s="23">
        <v>50182.68</v>
      </c>
      <c r="L445" s="23">
        <v>36018.39</v>
      </c>
      <c r="M445" s="23">
        <v>7</v>
      </c>
      <c r="N445" s="23">
        <v>-28.09</v>
      </c>
      <c r="O445" s="33">
        <v>-8.9999999999999993E-3</v>
      </c>
      <c r="P445" s="33">
        <v>1.2500000000000001E-2</v>
      </c>
      <c r="Q445" s="23" t="s">
        <v>24</v>
      </c>
      <c r="R445" s="23">
        <v>0</v>
      </c>
      <c r="S445" s="23">
        <v>691.58</v>
      </c>
      <c r="U445" s="47">
        <v>44616</v>
      </c>
      <c r="V445" s="23" t="s">
        <v>151</v>
      </c>
      <c r="W445" s="23" t="s">
        <v>23</v>
      </c>
      <c r="X445" s="28">
        <v>44595.40625</v>
      </c>
      <c r="Y445" s="23">
        <v>28.45</v>
      </c>
      <c r="Z445" s="28">
        <v>44595.46875</v>
      </c>
      <c r="AA445" s="23">
        <v>28.5</v>
      </c>
      <c r="AB445" s="33">
        <v>1.8E-3</v>
      </c>
      <c r="AC445" s="23">
        <v>-96.22</v>
      </c>
      <c r="AD445" s="33">
        <v>-1.8E-3</v>
      </c>
      <c r="AE445" s="23">
        <v>1924.482</v>
      </c>
      <c r="AF445" s="23">
        <v>54751.51</v>
      </c>
      <c r="AG445" s="23">
        <v>945007.1</v>
      </c>
      <c r="AH445" s="23">
        <v>7</v>
      </c>
      <c r="AI445" s="23">
        <v>-13.75</v>
      </c>
      <c r="AJ445" s="33">
        <v>-0.12130000000000001</v>
      </c>
      <c r="AK445" s="33">
        <v>0.15640000000000001</v>
      </c>
      <c r="AL445" s="23" t="s">
        <v>24</v>
      </c>
      <c r="AM445" s="23">
        <v>701.72</v>
      </c>
      <c r="AN445" s="23">
        <v>39266.15</v>
      </c>
      <c r="AO445" s="23">
        <v>691.58</v>
      </c>
      <c r="AQ445" s="50">
        <f t="shared" si="6"/>
        <v>4.0543236618594311E-2</v>
      </c>
      <c r="AR445" s="50"/>
      <c r="AS445" s="48"/>
      <c r="AT445" s="50"/>
      <c r="AV445" s="47">
        <v>44595</v>
      </c>
      <c r="AW445" s="51">
        <v>0.40625</v>
      </c>
      <c r="AX445" t="s">
        <v>162</v>
      </c>
    </row>
    <row r="446" spans="1:50">
      <c r="A446" s="23" t="s">
        <v>22</v>
      </c>
      <c r="B446" s="23" t="s">
        <v>23</v>
      </c>
      <c r="C446" s="28">
        <v>44595.46875</v>
      </c>
      <c r="D446" s="23">
        <v>698.97500000000002</v>
      </c>
      <c r="E446" s="28">
        <v>44599.385416666664</v>
      </c>
      <c r="F446" s="23">
        <v>675.5</v>
      </c>
      <c r="G446" s="33">
        <v>-3.3599999999999998E-2</v>
      </c>
      <c r="H446" s="23">
        <v>1685.3</v>
      </c>
      <c r="I446" s="33">
        <v>3.3599999999999998E-2</v>
      </c>
      <c r="J446" s="23">
        <v>71.791290000000004</v>
      </c>
      <c r="K446" s="23">
        <v>50180.32</v>
      </c>
      <c r="L446" s="23">
        <v>37703.69</v>
      </c>
      <c r="M446" s="23">
        <v>49</v>
      </c>
      <c r="N446" s="23">
        <v>34.39</v>
      </c>
      <c r="O446" s="33">
        <v>-5.7000000000000002E-3</v>
      </c>
      <c r="P446" s="33">
        <v>4.5999999999999999E-2</v>
      </c>
      <c r="Q446" s="23" t="s">
        <v>24</v>
      </c>
      <c r="R446" s="23">
        <v>0</v>
      </c>
      <c r="S446" s="23">
        <v>710.23</v>
      </c>
      <c r="U446" s="47">
        <v>44616</v>
      </c>
      <c r="V446" s="23" t="s">
        <v>152</v>
      </c>
      <c r="W446" s="23" t="s">
        <v>23</v>
      </c>
      <c r="X446" s="28">
        <v>44595.46875</v>
      </c>
      <c r="Y446" s="23">
        <v>25.45</v>
      </c>
      <c r="Z446" s="28">
        <v>44599.385416666664</v>
      </c>
      <c r="AA446" s="23">
        <v>13.625</v>
      </c>
      <c r="AB446" s="33">
        <v>-0.46460000000000001</v>
      </c>
      <c r="AC446" s="23">
        <v>25429.040000000001</v>
      </c>
      <c r="AD446" s="33">
        <v>0.46460000000000001</v>
      </c>
      <c r="AE446" s="23">
        <v>2150.4470000000001</v>
      </c>
      <c r="AF446" s="23">
        <v>54728.88</v>
      </c>
      <c r="AG446" s="23">
        <v>970436.14</v>
      </c>
      <c r="AH446" s="23">
        <v>49</v>
      </c>
      <c r="AI446" s="23">
        <v>518.96</v>
      </c>
      <c r="AJ446" s="33">
        <v>-0.1208</v>
      </c>
      <c r="AK446" s="33">
        <v>0.46460000000000001</v>
      </c>
      <c r="AL446" s="23" t="s">
        <v>24</v>
      </c>
      <c r="AM446" s="23">
        <v>698.97</v>
      </c>
      <c r="AN446" s="23">
        <v>39236.15</v>
      </c>
      <c r="AO446" s="23">
        <v>710.23</v>
      </c>
      <c r="AQ446" s="50">
        <f t="shared" si="6"/>
        <v>3.6410718628839572E-2</v>
      </c>
      <c r="AR446" s="50"/>
      <c r="AS446" s="48"/>
      <c r="AT446" s="50"/>
      <c r="AV446" s="47">
        <v>44595</v>
      </c>
      <c r="AW446" s="51">
        <v>0.46875</v>
      </c>
      <c r="AX446" t="s">
        <v>162</v>
      </c>
    </row>
    <row r="447" spans="1:50">
      <c r="A447" s="23" t="s">
        <v>22</v>
      </c>
      <c r="B447" s="23" t="s">
        <v>25</v>
      </c>
      <c r="C447" s="28">
        <v>44599.385416666664</v>
      </c>
      <c r="D447" s="23">
        <v>675.5</v>
      </c>
      <c r="E447" s="28">
        <v>44599.395833333336</v>
      </c>
      <c r="F447" s="23">
        <v>669.75</v>
      </c>
      <c r="G447" s="33">
        <v>-8.5000000000000006E-3</v>
      </c>
      <c r="H447" s="23">
        <v>-427.21</v>
      </c>
      <c r="I447" s="33">
        <v>-8.5000000000000006E-3</v>
      </c>
      <c r="J447" s="23">
        <v>74.298220000000001</v>
      </c>
      <c r="K447" s="23">
        <v>50188.45</v>
      </c>
      <c r="L447" s="23">
        <v>37276.480000000003</v>
      </c>
      <c r="M447" s="23">
        <v>2</v>
      </c>
      <c r="N447" s="23">
        <v>-213.61</v>
      </c>
      <c r="O447" s="33">
        <v>-1.0999999999999999E-2</v>
      </c>
      <c r="P447" s="33">
        <v>9.5999999999999992E-3</v>
      </c>
      <c r="Q447" s="23" t="s">
        <v>24</v>
      </c>
      <c r="R447" s="23">
        <v>0</v>
      </c>
      <c r="S447" s="23">
        <v>667.38</v>
      </c>
      <c r="U447" s="47">
        <v>44616</v>
      </c>
      <c r="V447" s="23" t="s">
        <v>147</v>
      </c>
      <c r="W447" s="23" t="s">
        <v>23</v>
      </c>
      <c r="X447" s="28">
        <v>44599.385416666664</v>
      </c>
      <c r="Y447" s="23">
        <v>28.7</v>
      </c>
      <c r="Z447" s="28">
        <v>44599.395833333336</v>
      </c>
      <c r="AA447" s="23">
        <v>32.174999999999997</v>
      </c>
      <c r="AB447" s="33">
        <v>0.1211</v>
      </c>
      <c r="AC447" s="23">
        <v>-6640.18</v>
      </c>
      <c r="AD447" s="33">
        <v>-0.1211</v>
      </c>
      <c r="AE447" s="23">
        <v>1910.8420000000001</v>
      </c>
      <c r="AF447" s="23">
        <v>54841.16</v>
      </c>
      <c r="AG447" s="23">
        <v>963795.96</v>
      </c>
      <c r="AH447" s="23">
        <v>2</v>
      </c>
      <c r="AI447" s="23">
        <v>-3320.09</v>
      </c>
      <c r="AJ447" s="33">
        <v>-0.1211</v>
      </c>
      <c r="AK447" s="33">
        <v>0.108</v>
      </c>
      <c r="AL447" s="23" t="s">
        <v>24</v>
      </c>
      <c r="AM447" s="23">
        <v>675.5</v>
      </c>
      <c r="AN447" s="23">
        <v>38726.1</v>
      </c>
      <c r="AO447" s="23">
        <v>667.38</v>
      </c>
      <c r="AQ447" s="50">
        <f t="shared" si="6"/>
        <v>4.2487046632124353E-2</v>
      </c>
      <c r="AR447" s="50"/>
      <c r="AS447" s="48"/>
      <c r="AT447" s="50"/>
      <c r="AV447" s="47">
        <v>44599</v>
      </c>
      <c r="AW447" s="51">
        <v>0.38541666666666669</v>
      </c>
      <c r="AX447" t="s">
        <v>162</v>
      </c>
    </row>
    <row r="448" spans="1:50">
      <c r="A448" s="23" t="s">
        <v>22</v>
      </c>
      <c r="B448" s="23" t="s">
        <v>23</v>
      </c>
      <c r="C448" s="28">
        <v>44599.395833333336</v>
      </c>
      <c r="D448" s="23">
        <v>669.75</v>
      </c>
      <c r="E448" s="28">
        <v>44599.4375</v>
      </c>
      <c r="F448" s="23">
        <v>677.6</v>
      </c>
      <c r="G448" s="33">
        <v>1.17E-2</v>
      </c>
      <c r="H448" s="23">
        <v>-588.25</v>
      </c>
      <c r="I448" s="33">
        <v>-1.17E-2</v>
      </c>
      <c r="J448" s="23">
        <v>74.936199999999999</v>
      </c>
      <c r="K448" s="23">
        <v>50188.52</v>
      </c>
      <c r="L448" s="23">
        <v>36688.230000000003</v>
      </c>
      <c r="M448" s="23">
        <v>5</v>
      </c>
      <c r="N448" s="23">
        <v>-117.65</v>
      </c>
      <c r="O448" s="33">
        <v>-1.17E-2</v>
      </c>
      <c r="P448" s="33">
        <v>4.1000000000000003E-3</v>
      </c>
      <c r="Q448" s="23" t="s">
        <v>24</v>
      </c>
      <c r="R448" s="23">
        <v>0</v>
      </c>
      <c r="S448" s="23">
        <v>681.7</v>
      </c>
      <c r="U448" s="47">
        <v>44616</v>
      </c>
      <c r="V448" s="23" t="s">
        <v>145</v>
      </c>
      <c r="W448" s="23" t="s">
        <v>23</v>
      </c>
      <c r="X448" s="28">
        <v>44599.395833333336</v>
      </c>
      <c r="Y448" s="23">
        <v>22.95</v>
      </c>
      <c r="Z448" s="28">
        <v>44599.4375</v>
      </c>
      <c r="AA448" s="23">
        <v>26.8</v>
      </c>
      <c r="AB448" s="33">
        <v>0.1678</v>
      </c>
      <c r="AC448" s="23">
        <v>-9201.7800000000007</v>
      </c>
      <c r="AD448" s="33">
        <v>-0.1678</v>
      </c>
      <c r="AE448" s="23">
        <v>2390.0729999999999</v>
      </c>
      <c r="AF448" s="23">
        <v>54852.18</v>
      </c>
      <c r="AG448" s="23">
        <v>954594.18</v>
      </c>
      <c r="AH448" s="23">
        <v>5</v>
      </c>
      <c r="AI448" s="23">
        <v>-1840.36</v>
      </c>
      <c r="AJ448" s="33">
        <v>-0.1678</v>
      </c>
      <c r="AK448" s="33">
        <v>4.6800000000000001E-2</v>
      </c>
      <c r="AL448" s="23" t="s">
        <v>24</v>
      </c>
      <c r="AM448" s="23">
        <v>669.75</v>
      </c>
      <c r="AN448" s="23">
        <v>38635.15</v>
      </c>
      <c r="AO448" s="23">
        <v>681.7</v>
      </c>
      <c r="AQ448" s="50">
        <f t="shared" si="6"/>
        <v>3.4266517357222845E-2</v>
      </c>
      <c r="AR448" s="50"/>
      <c r="AS448" s="48"/>
      <c r="AT448" s="50"/>
      <c r="AV448" s="47">
        <v>44599</v>
      </c>
      <c r="AW448" s="51">
        <v>0.39583333333333331</v>
      </c>
      <c r="AX448" t="s">
        <v>162</v>
      </c>
    </row>
    <row r="449" spans="1:50">
      <c r="A449" s="23" t="s">
        <v>22</v>
      </c>
      <c r="B449" s="23" t="s">
        <v>25</v>
      </c>
      <c r="C449" s="28">
        <v>44599.4375</v>
      </c>
      <c r="D449" s="23">
        <v>677.6</v>
      </c>
      <c r="E449" s="28">
        <v>44599.5</v>
      </c>
      <c r="F449" s="23">
        <v>670.625</v>
      </c>
      <c r="G449" s="33">
        <v>-1.03E-2</v>
      </c>
      <c r="H449" s="23">
        <v>-516.57000000000005</v>
      </c>
      <c r="I449" s="33">
        <v>-1.03E-2</v>
      </c>
      <c r="J449" s="23">
        <v>74.060890000000001</v>
      </c>
      <c r="K449" s="23">
        <v>50183.66</v>
      </c>
      <c r="L449" s="23">
        <v>36171.65</v>
      </c>
      <c r="M449" s="23">
        <v>7</v>
      </c>
      <c r="N449" s="23">
        <v>-73.8</v>
      </c>
      <c r="O449" s="33">
        <v>-1.2E-2</v>
      </c>
      <c r="P449" s="33">
        <v>2.8E-3</v>
      </c>
      <c r="Q449" s="23" t="s">
        <v>24</v>
      </c>
      <c r="R449" s="23">
        <v>0</v>
      </c>
      <c r="S449" s="23">
        <v>667</v>
      </c>
      <c r="U449" s="47">
        <v>44616</v>
      </c>
      <c r="V449" s="23" t="s">
        <v>147</v>
      </c>
      <c r="W449" s="23" t="s">
        <v>23</v>
      </c>
      <c r="X449" s="28">
        <v>44599.4375</v>
      </c>
      <c r="Y449" s="23">
        <v>27</v>
      </c>
      <c r="Z449" s="28">
        <v>44599.5</v>
      </c>
      <c r="AA449" s="23">
        <v>30.175000000000001</v>
      </c>
      <c r="AB449" s="33">
        <v>0.1176</v>
      </c>
      <c r="AC449" s="23">
        <v>-6442.05</v>
      </c>
      <c r="AD449" s="33">
        <v>-0.1176</v>
      </c>
      <c r="AE449" s="23">
        <v>2028.9939999999999</v>
      </c>
      <c r="AF449" s="23">
        <v>54782.83</v>
      </c>
      <c r="AG449" s="23">
        <v>948152.13</v>
      </c>
      <c r="AH449" s="23">
        <v>7</v>
      </c>
      <c r="AI449" s="23">
        <v>-920.29</v>
      </c>
      <c r="AJ449" s="33">
        <v>-0.1583</v>
      </c>
      <c r="AK449" s="33">
        <v>7.4099999999999999E-2</v>
      </c>
      <c r="AL449" s="23" t="s">
        <v>24</v>
      </c>
      <c r="AM449" s="23">
        <v>677.6</v>
      </c>
      <c r="AN449" s="23">
        <v>38613.15</v>
      </c>
      <c r="AO449" s="23">
        <v>667</v>
      </c>
      <c r="AQ449" s="50">
        <f t="shared" si="6"/>
        <v>3.984651711924439E-2</v>
      </c>
      <c r="AR449" s="50"/>
      <c r="AS449" s="48"/>
      <c r="AT449" s="50"/>
      <c r="AV449" s="47">
        <v>44599</v>
      </c>
      <c r="AW449" s="51">
        <v>0.4375</v>
      </c>
      <c r="AX449" t="s">
        <v>162</v>
      </c>
    </row>
    <row r="450" spans="1:50">
      <c r="A450" s="23" t="s">
        <v>22</v>
      </c>
      <c r="B450" s="23" t="s">
        <v>23</v>
      </c>
      <c r="C450" s="28">
        <v>44599.5</v>
      </c>
      <c r="D450" s="23">
        <v>670.625</v>
      </c>
      <c r="E450" s="28">
        <v>44599.635416666664</v>
      </c>
      <c r="F450" s="23">
        <v>667.25</v>
      </c>
      <c r="G450" s="33">
        <v>-5.0000000000000001E-3</v>
      </c>
      <c r="H450" s="23">
        <v>252.55</v>
      </c>
      <c r="I450" s="33">
        <v>5.0000000000000001E-3</v>
      </c>
      <c r="J450" s="23">
        <v>74.829599999999999</v>
      </c>
      <c r="K450" s="23">
        <v>50182.6</v>
      </c>
      <c r="L450" s="23">
        <v>36424.199999999997</v>
      </c>
      <c r="M450" s="23">
        <v>14</v>
      </c>
      <c r="N450" s="23">
        <v>18.04</v>
      </c>
      <c r="O450" s="33">
        <v>-7.6E-3</v>
      </c>
      <c r="P450" s="33">
        <v>1.7000000000000001E-2</v>
      </c>
      <c r="Q450" s="23" t="s">
        <v>24</v>
      </c>
      <c r="R450" s="23">
        <v>0</v>
      </c>
      <c r="S450" s="23">
        <v>679.32</v>
      </c>
      <c r="U450" s="47">
        <v>44616</v>
      </c>
      <c r="V450" s="23" t="s">
        <v>145</v>
      </c>
      <c r="W450" s="23" t="s">
        <v>23</v>
      </c>
      <c r="X450" s="28">
        <v>44599.5</v>
      </c>
      <c r="Y450" s="23">
        <v>22.95</v>
      </c>
      <c r="Z450" s="28">
        <v>44599.635416666664</v>
      </c>
      <c r="AA450" s="23">
        <v>22.574999999999999</v>
      </c>
      <c r="AB450" s="33">
        <v>-1.6299999999999999E-2</v>
      </c>
      <c r="AC450" s="23">
        <v>894.78</v>
      </c>
      <c r="AD450" s="33">
        <v>1.6299999999999999E-2</v>
      </c>
      <c r="AE450" s="23">
        <v>2386.08</v>
      </c>
      <c r="AF450" s="23">
        <v>54760.55</v>
      </c>
      <c r="AG450" s="23">
        <v>949046.91</v>
      </c>
      <c r="AH450" s="23">
        <v>14</v>
      </c>
      <c r="AI450" s="23">
        <v>63.91</v>
      </c>
      <c r="AJ450" s="33">
        <v>-0.1242</v>
      </c>
      <c r="AK450" s="33">
        <v>0.16009999999999999</v>
      </c>
      <c r="AL450" s="23" t="s">
        <v>24</v>
      </c>
      <c r="AM450" s="23">
        <v>670.63</v>
      </c>
      <c r="AN450" s="23">
        <v>38286.9</v>
      </c>
      <c r="AO450" s="23">
        <v>679.32</v>
      </c>
      <c r="AQ450" s="50">
        <f t="shared" si="6"/>
        <v>3.4221552868198557E-2</v>
      </c>
      <c r="AR450" s="50"/>
      <c r="AS450" s="48"/>
      <c r="AT450" s="50"/>
      <c r="AV450" s="47">
        <v>44599</v>
      </c>
      <c r="AW450" s="51">
        <v>0.5</v>
      </c>
      <c r="AX450" t="s">
        <v>163</v>
      </c>
    </row>
    <row r="451" spans="1:50">
      <c r="A451" s="23" t="s">
        <v>22</v>
      </c>
      <c r="B451" s="23" t="s">
        <v>25</v>
      </c>
      <c r="C451" s="28">
        <v>44599.635416666664</v>
      </c>
      <c r="D451" s="23">
        <v>667.25</v>
      </c>
      <c r="E451" s="28">
        <v>44600.427083333336</v>
      </c>
      <c r="F451" s="23">
        <v>660.9</v>
      </c>
      <c r="G451" s="33">
        <v>-9.4999999999999998E-3</v>
      </c>
      <c r="H451" s="23">
        <v>-477.56</v>
      </c>
      <c r="I451" s="33">
        <v>-9.4999999999999998E-3</v>
      </c>
      <c r="J451" s="23">
        <v>75.206000000000003</v>
      </c>
      <c r="K451" s="23">
        <v>50181.2</v>
      </c>
      <c r="L451" s="23">
        <v>35946.639999999999</v>
      </c>
      <c r="M451" s="23">
        <v>9</v>
      </c>
      <c r="N451" s="23">
        <v>-53.06</v>
      </c>
      <c r="O451" s="33">
        <v>-9.4999999999999998E-3</v>
      </c>
      <c r="P451" s="33">
        <v>0.02</v>
      </c>
      <c r="Q451" s="23" t="s">
        <v>24</v>
      </c>
      <c r="R451" s="23">
        <v>0</v>
      </c>
      <c r="S451" s="23">
        <v>659.44</v>
      </c>
      <c r="U451" s="47">
        <v>44616</v>
      </c>
      <c r="V451" s="23" t="s">
        <v>146</v>
      </c>
      <c r="W451" s="23" t="s">
        <v>23</v>
      </c>
      <c r="X451" s="28">
        <v>44599.635416666664</v>
      </c>
      <c r="Y451" s="23">
        <v>24.824999999999999</v>
      </c>
      <c r="Z451" s="28">
        <v>44600.427083333336</v>
      </c>
      <c r="AA451" s="23">
        <v>27.5</v>
      </c>
      <c r="AB451" s="33">
        <v>0.10780000000000001</v>
      </c>
      <c r="AC451" s="23">
        <v>-5897.84</v>
      </c>
      <c r="AD451" s="33">
        <v>-0.10780000000000001</v>
      </c>
      <c r="AE451" s="23">
        <v>2204.8020000000001</v>
      </c>
      <c r="AF451" s="23">
        <v>54734.2</v>
      </c>
      <c r="AG451" s="23">
        <v>943149.06</v>
      </c>
      <c r="AH451" s="23">
        <v>9</v>
      </c>
      <c r="AI451" s="23">
        <v>-655.32000000000005</v>
      </c>
      <c r="AJ451" s="33">
        <v>-0.10780000000000001</v>
      </c>
      <c r="AK451" s="33">
        <v>0.2145</v>
      </c>
      <c r="AL451" s="23" t="s">
        <v>24</v>
      </c>
      <c r="AM451" s="23">
        <v>667.25</v>
      </c>
      <c r="AN451" s="23">
        <v>37990.199999999997</v>
      </c>
      <c r="AO451" s="23">
        <v>659.44</v>
      </c>
      <c r="AQ451" s="50">
        <f t="shared" si="6"/>
        <v>3.720494567253653E-2</v>
      </c>
      <c r="AR451" s="50"/>
      <c r="AS451" s="48"/>
      <c r="AT451" s="50"/>
      <c r="AV451" s="47">
        <v>44599</v>
      </c>
      <c r="AW451" s="51">
        <v>0.13541666666666666</v>
      </c>
      <c r="AX451" t="s">
        <v>163</v>
      </c>
    </row>
    <row r="452" spans="1:50">
      <c r="A452" s="23" t="s">
        <v>22</v>
      </c>
      <c r="B452" s="23" t="s">
        <v>23</v>
      </c>
      <c r="C452" s="28">
        <v>44600.427083333336</v>
      </c>
      <c r="D452" s="23">
        <v>660.9</v>
      </c>
      <c r="E452" s="28">
        <v>44600.604166666664</v>
      </c>
      <c r="F452" s="23">
        <v>664.85</v>
      </c>
      <c r="G452" s="33">
        <v>6.0000000000000001E-3</v>
      </c>
      <c r="H452" s="23">
        <v>-299.92</v>
      </c>
      <c r="I452" s="33">
        <v>-6.0000000000000001E-3</v>
      </c>
      <c r="J452" s="23">
        <v>75.929760000000002</v>
      </c>
      <c r="K452" s="23">
        <v>50181.98</v>
      </c>
      <c r="L452" s="23">
        <v>35646.720000000001</v>
      </c>
      <c r="M452" s="23">
        <v>18</v>
      </c>
      <c r="N452" s="23">
        <v>-16.66</v>
      </c>
      <c r="O452" s="33">
        <v>-8.9999999999999993E-3</v>
      </c>
      <c r="P452" s="33">
        <v>1.4200000000000001E-2</v>
      </c>
      <c r="Q452" s="23" t="s">
        <v>24</v>
      </c>
      <c r="R452" s="23">
        <v>0</v>
      </c>
      <c r="S452" s="23">
        <v>679.95</v>
      </c>
      <c r="U452" s="47">
        <v>44616</v>
      </c>
      <c r="V452" s="23" t="s">
        <v>145</v>
      </c>
      <c r="W452" s="23" t="s">
        <v>23</v>
      </c>
      <c r="X452" s="28">
        <v>44600.427083333336</v>
      </c>
      <c r="Y452" s="23">
        <v>17.899999999999999</v>
      </c>
      <c r="Z452" s="28">
        <v>44600.604166666664</v>
      </c>
      <c r="AA452" s="23">
        <v>20.100000000000001</v>
      </c>
      <c r="AB452" s="33">
        <v>0.1229</v>
      </c>
      <c r="AC452" s="23">
        <v>-6726.2</v>
      </c>
      <c r="AD452" s="33">
        <v>-0.1229</v>
      </c>
      <c r="AE452" s="23">
        <v>3057.3620000000001</v>
      </c>
      <c r="AF452" s="23">
        <v>54726.77</v>
      </c>
      <c r="AG452" s="23">
        <v>936422.87</v>
      </c>
      <c r="AH452" s="23">
        <v>18</v>
      </c>
      <c r="AI452" s="23">
        <v>-373.68</v>
      </c>
      <c r="AJ452" s="33">
        <v>-0.17879999999999999</v>
      </c>
      <c r="AK452" s="33">
        <v>0.16619999999999999</v>
      </c>
      <c r="AL452" s="23" t="s">
        <v>24</v>
      </c>
      <c r="AM452" s="23">
        <v>660.9</v>
      </c>
      <c r="AN452" s="23">
        <v>37608.449999999997</v>
      </c>
      <c r="AO452" s="23">
        <v>679.95</v>
      </c>
      <c r="AQ452" s="50">
        <f t="shared" si="6"/>
        <v>2.7084279013466484E-2</v>
      </c>
      <c r="AR452" s="50"/>
      <c r="AS452" s="48"/>
      <c r="AT452" s="50"/>
      <c r="AV452" s="47">
        <v>44600</v>
      </c>
      <c r="AW452" s="51">
        <v>0.42708333333333331</v>
      </c>
      <c r="AX452" t="s">
        <v>162</v>
      </c>
    </row>
    <row r="453" spans="1:50">
      <c r="A453" s="23" t="s">
        <v>22</v>
      </c>
      <c r="B453" s="23" t="s">
        <v>25</v>
      </c>
      <c r="C453" s="28">
        <v>44600.604166666664</v>
      </c>
      <c r="D453" s="23">
        <v>664.85</v>
      </c>
      <c r="E453" s="28">
        <v>44602.385416666664</v>
      </c>
      <c r="F453" s="23">
        <v>678.875</v>
      </c>
      <c r="G453" s="33">
        <v>2.1100000000000001E-2</v>
      </c>
      <c r="H453" s="23">
        <v>1058.54</v>
      </c>
      <c r="I453" s="33">
        <v>2.1100000000000001E-2</v>
      </c>
      <c r="J453" s="23">
        <v>75.474990000000005</v>
      </c>
      <c r="K453" s="23">
        <v>50179.55</v>
      </c>
      <c r="L453" s="23">
        <v>36705.26</v>
      </c>
      <c r="M453" s="23">
        <v>36</v>
      </c>
      <c r="N453" s="23">
        <v>29.4</v>
      </c>
      <c r="O453" s="33">
        <v>-5.7999999999999996E-3</v>
      </c>
      <c r="P453" s="33">
        <v>3.3099999999999997E-2</v>
      </c>
      <c r="Q453" s="23" t="s">
        <v>24</v>
      </c>
      <c r="R453" s="23">
        <v>0</v>
      </c>
      <c r="S453" s="23">
        <v>652.04999999999995</v>
      </c>
      <c r="U453" s="47">
        <v>44616</v>
      </c>
      <c r="V453" s="23" t="s">
        <v>144</v>
      </c>
      <c r="W453" s="23" t="s">
        <v>23</v>
      </c>
      <c r="X453" s="28">
        <v>44600.604166666664</v>
      </c>
      <c r="Y453" s="23">
        <v>20.6</v>
      </c>
      <c r="Z453" s="28">
        <v>44602.385416666664</v>
      </c>
      <c r="AA453" s="23">
        <v>13.25</v>
      </c>
      <c r="AB453" s="33">
        <v>-0.35680000000000001</v>
      </c>
      <c r="AC453" s="23">
        <v>19520.46</v>
      </c>
      <c r="AD453" s="33">
        <v>0.35680000000000001</v>
      </c>
      <c r="AE453" s="23">
        <v>2655.8440000000001</v>
      </c>
      <c r="AF453" s="23">
        <v>54710.400000000001</v>
      </c>
      <c r="AG453" s="23">
        <v>955943.32</v>
      </c>
      <c r="AH453" s="23">
        <v>36</v>
      </c>
      <c r="AI453" s="23">
        <v>542.23</v>
      </c>
      <c r="AJ453" s="33">
        <v>-9.5899999999999999E-2</v>
      </c>
      <c r="AK453" s="33">
        <v>0.4672</v>
      </c>
      <c r="AL453" s="23" t="s">
        <v>24</v>
      </c>
      <c r="AM453" s="23">
        <v>664.85</v>
      </c>
      <c r="AN453" s="23">
        <v>37787.300000000003</v>
      </c>
      <c r="AO453" s="23">
        <v>652.04999999999995</v>
      </c>
      <c r="AQ453" s="50">
        <f t="shared" si="6"/>
        <v>3.0984432578777168E-2</v>
      </c>
      <c r="AR453" s="50"/>
      <c r="AS453" s="48"/>
      <c r="AT453" s="50"/>
      <c r="AV453" s="47">
        <v>44600</v>
      </c>
      <c r="AW453" s="51">
        <v>0.10416666666666667</v>
      </c>
      <c r="AX453" t="s">
        <v>163</v>
      </c>
    </row>
    <row r="454" spans="1:50">
      <c r="A454" s="23" t="s">
        <v>22</v>
      </c>
      <c r="B454" s="23" t="s">
        <v>23</v>
      </c>
      <c r="C454" s="28">
        <v>44602.385416666664</v>
      </c>
      <c r="D454" s="23">
        <v>678.875</v>
      </c>
      <c r="E454" s="28">
        <v>44602.427083333336</v>
      </c>
      <c r="F454" s="23">
        <v>686.32500000000005</v>
      </c>
      <c r="G454" s="33">
        <v>1.0999999999999999E-2</v>
      </c>
      <c r="H454" s="23">
        <v>-550.74</v>
      </c>
      <c r="I454" s="33">
        <v>-1.0999999999999999E-2</v>
      </c>
      <c r="J454" s="23">
        <v>73.924449999999993</v>
      </c>
      <c r="K454" s="23">
        <v>50185.46</v>
      </c>
      <c r="L454" s="23">
        <v>36154.519999999997</v>
      </c>
      <c r="M454" s="23">
        <v>5</v>
      </c>
      <c r="N454" s="23">
        <v>-110.15</v>
      </c>
      <c r="O454" s="33">
        <v>-1.4500000000000001E-2</v>
      </c>
      <c r="P454" s="33">
        <v>5.9999999999999995E-4</v>
      </c>
      <c r="Q454" s="23" t="s">
        <v>24</v>
      </c>
      <c r="R454" s="23">
        <v>0</v>
      </c>
      <c r="S454" s="23">
        <v>688.7</v>
      </c>
      <c r="U454" s="47">
        <v>44616</v>
      </c>
      <c r="V454" s="23" t="s">
        <v>102</v>
      </c>
      <c r="W454" s="23" t="s">
        <v>23</v>
      </c>
      <c r="X454" s="28">
        <v>44602.385416666664</v>
      </c>
      <c r="Y454" s="23">
        <v>20.95</v>
      </c>
      <c r="Z454" s="28">
        <v>44602.427083333336</v>
      </c>
      <c r="AA454" s="23">
        <v>24</v>
      </c>
      <c r="AB454" s="33">
        <v>0.14560000000000001</v>
      </c>
      <c r="AC454" s="23">
        <v>-7978.47</v>
      </c>
      <c r="AD454" s="33">
        <v>-0.14560000000000001</v>
      </c>
      <c r="AE454" s="23">
        <v>2615.893</v>
      </c>
      <c r="AF454" s="23">
        <v>54802.96</v>
      </c>
      <c r="AG454" s="23">
        <v>947964.85</v>
      </c>
      <c r="AH454" s="23">
        <v>5</v>
      </c>
      <c r="AI454" s="23">
        <v>-1595.69</v>
      </c>
      <c r="AJ454" s="33">
        <v>-0.26250000000000001</v>
      </c>
      <c r="AK454" s="33">
        <v>2.1499999999999998E-2</v>
      </c>
      <c r="AL454" s="23" t="s">
        <v>24</v>
      </c>
      <c r="AM454" s="23">
        <v>678.88</v>
      </c>
      <c r="AN454" s="23">
        <v>38641.4</v>
      </c>
      <c r="AO454" s="23">
        <v>688.7</v>
      </c>
      <c r="AQ454" s="50">
        <f t="shared" si="6"/>
        <v>3.0859651190195615E-2</v>
      </c>
      <c r="AR454" s="50"/>
      <c r="AS454" s="48"/>
      <c r="AT454" s="50"/>
      <c r="AV454" s="47">
        <v>44602</v>
      </c>
      <c r="AW454" s="51">
        <v>0.38541666666666669</v>
      </c>
      <c r="AX454" t="s">
        <v>162</v>
      </c>
    </row>
    <row r="455" spans="1:50">
      <c r="A455" s="23" t="s">
        <v>22</v>
      </c>
      <c r="B455" s="23" t="s">
        <v>25</v>
      </c>
      <c r="C455" s="28">
        <v>44602.427083333336</v>
      </c>
      <c r="D455" s="23">
        <v>686.32500000000005</v>
      </c>
      <c r="E455" s="28">
        <v>44602.635416666664</v>
      </c>
      <c r="F455" s="23">
        <v>688.27499999999998</v>
      </c>
      <c r="G455" s="33">
        <v>2.8E-3</v>
      </c>
      <c r="H455" s="23">
        <v>142.58000000000001</v>
      </c>
      <c r="I455" s="33">
        <v>2.8E-3</v>
      </c>
      <c r="J455" s="23">
        <v>73.117230000000006</v>
      </c>
      <c r="K455" s="23">
        <v>50182.19</v>
      </c>
      <c r="L455" s="23">
        <v>36297.1</v>
      </c>
      <c r="M455" s="23">
        <v>21</v>
      </c>
      <c r="N455" s="23">
        <v>6.79</v>
      </c>
      <c r="O455" s="33">
        <v>-8.0999999999999996E-3</v>
      </c>
      <c r="P455" s="33">
        <v>8.2000000000000007E-3</v>
      </c>
      <c r="Q455" s="23" t="s">
        <v>24</v>
      </c>
      <c r="R455" s="23">
        <v>0</v>
      </c>
      <c r="S455" s="23">
        <v>678.5</v>
      </c>
      <c r="U455" s="47">
        <v>44616</v>
      </c>
      <c r="V455" s="23" t="s">
        <v>153</v>
      </c>
      <c r="W455" s="23" t="s">
        <v>23</v>
      </c>
      <c r="X455" s="28">
        <v>44602.427083333336</v>
      </c>
      <c r="Y455" s="23">
        <v>23.5</v>
      </c>
      <c r="Z455" s="28">
        <v>44602.635416666664</v>
      </c>
      <c r="AA455" s="23">
        <v>20.975000000000001</v>
      </c>
      <c r="AB455" s="33">
        <v>-0.1074</v>
      </c>
      <c r="AC455" s="23">
        <v>5883.94</v>
      </c>
      <c r="AD455" s="33">
        <v>0.1074</v>
      </c>
      <c r="AE455" s="23">
        <v>2330.2719999999999</v>
      </c>
      <c r="AF455" s="23">
        <v>54761.4</v>
      </c>
      <c r="AG455" s="23">
        <v>953848.79</v>
      </c>
      <c r="AH455" s="23">
        <v>21</v>
      </c>
      <c r="AI455" s="23">
        <v>280.19</v>
      </c>
      <c r="AJ455" s="33">
        <v>-0.12130000000000001</v>
      </c>
      <c r="AK455" s="33">
        <v>0.1298</v>
      </c>
      <c r="AL455" s="23" t="s">
        <v>24</v>
      </c>
      <c r="AM455" s="23">
        <v>686.33</v>
      </c>
      <c r="AN455" s="23">
        <v>38899.599999999999</v>
      </c>
      <c r="AO455" s="23">
        <v>678.5</v>
      </c>
      <c r="AQ455" s="50">
        <f t="shared" si="6"/>
        <v>3.4240088587122811E-2</v>
      </c>
      <c r="AR455" s="50"/>
      <c r="AS455" s="48"/>
      <c r="AT455" s="50"/>
      <c r="AV455" s="47">
        <v>44602</v>
      </c>
      <c r="AW455" s="51">
        <v>0.42708333333333331</v>
      </c>
      <c r="AX455" t="s">
        <v>162</v>
      </c>
    </row>
    <row r="456" spans="1:50">
      <c r="A456" s="23" t="s">
        <v>22</v>
      </c>
      <c r="B456" s="23" t="s">
        <v>23</v>
      </c>
      <c r="C456" s="28">
        <v>44602.635416666664</v>
      </c>
      <c r="D456" s="23">
        <v>688.27499999999998</v>
      </c>
      <c r="E456" s="28">
        <v>44607.385416666664</v>
      </c>
      <c r="F456" s="23">
        <v>633</v>
      </c>
      <c r="G456" s="33">
        <v>-8.0299999999999996E-2</v>
      </c>
      <c r="H456" s="23">
        <v>4030.06</v>
      </c>
      <c r="I456" s="33">
        <v>8.0299999999999996E-2</v>
      </c>
      <c r="J456" s="23">
        <v>72.909220000000005</v>
      </c>
      <c r="K456" s="23">
        <v>50181.59</v>
      </c>
      <c r="L456" s="23">
        <v>40327.160000000003</v>
      </c>
      <c r="M456" s="23">
        <v>61</v>
      </c>
      <c r="N456" s="23">
        <v>66.069999999999993</v>
      </c>
      <c r="O456" s="33">
        <v>-2.3E-3</v>
      </c>
      <c r="P456" s="33">
        <v>9.3899999999999997E-2</v>
      </c>
      <c r="Q456" s="23" t="s">
        <v>24</v>
      </c>
      <c r="R456" s="23">
        <v>0</v>
      </c>
      <c r="S456" s="23">
        <v>691.92</v>
      </c>
      <c r="U456" s="47">
        <v>44616</v>
      </c>
      <c r="V456" s="23" t="s">
        <v>150</v>
      </c>
      <c r="W456" s="23" t="s">
        <v>23</v>
      </c>
      <c r="X456" s="28">
        <v>44602.635416666664</v>
      </c>
      <c r="Y456" s="23">
        <v>18.5</v>
      </c>
      <c r="Z456" s="28">
        <v>44607.385416666664</v>
      </c>
      <c r="AA456" s="23">
        <v>3.7749999999999999</v>
      </c>
      <c r="AB456" s="33">
        <v>-0.79590000000000005</v>
      </c>
      <c r="AC456" s="23">
        <v>43594.29</v>
      </c>
      <c r="AD456" s="33">
        <v>0.79590000000000005</v>
      </c>
      <c r="AE456" s="23">
        <v>2960.5630000000001</v>
      </c>
      <c r="AF456" s="23">
        <v>54770.41</v>
      </c>
      <c r="AG456" s="23">
        <v>997443.08</v>
      </c>
      <c r="AH456" s="23">
        <v>61</v>
      </c>
      <c r="AI456" s="23">
        <v>714.66</v>
      </c>
      <c r="AJ456" s="33">
        <v>-9.4999999999999998E-3</v>
      </c>
      <c r="AK456" s="33">
        <v>0.8095</v>
      </c>
      <c r="AL456" s="23" t="s">
        <v>24</v>
      </c>
      <c r="AM456" s="23">
        <v>688.28</v>
      </c>
      <c r="AN456" s="23">
        <v>38962.25</v>
      </c>
      <c r="AO456" s="23">
        <v>691.92</v>
      </c>
      <c r="AQ456" s="50">
        <f t="shared" ref="AQ456:AQ519" si="7">Y456/AM456</f>
        <v>2.6878595920265008E-2</v>
      </c>
      <c r="AR456" s="50"/>
      <c r="AS456" s="48"/>
      <c r="AT456" s="50"/>
      <c r="AV456" s="47">
        <v>44602</v>
      </c>
      <c r="AW456" s="51">
        <v>0.13541666666666666</v>
      </c>
      <c r="AX456" t="s">
        <v>163</v>
      </c>
    </row>
    <row r="457" spans="1:50">
      <c r="A457" s="23" t="s">
        <v>22</v>
      </c>
      <c r="B457" s="23" t="s">
        <v>25</v>
      </c>
      <c r="C457" s="28">
        <v>44607.385416666664</v>
      </c>
      <c r="D457" s="23">
        <v>633</v>
      </c>
      <c r="E457" s="28">
        <v>44607.416666666664</v>
      </c>
      <c r="F457" s="23">
        <v>625.375</v>
      </c>
      <c r="G457" s="33">
        <v>-1.2E-2</v>
      </c>
      <c r="H457" s="23">
        <v>-604.74</v>
      </c>
      <c r="I457" s="33">
        <v>-1.2E-2</v>
      </c>
      <c r="J457" s="23">
        <v>79.310649999999995</v>
      </c>
      <c r="K457" s="23">
        <v>50203.64</v>
      </c>
      <c r="L457" s="23">
        <v>39722.410000000003</v>
      </c>
      <c r="M457" s="23">
        <v>4</v>
      </c>
      <c r="N457" s="23">
        <v>-151.19</v>
      </c>
      <c r="O457" s="33">
        <v>-1.2E-2</v>
      </c>
      <c r="P457" s="33">
        <v>5.8999999999999999E-3</v>
      </c>
      <c r="Q457" s="23" t="s">
        <v>24</v>
      </c>
      <c r="R457" s="23">
        <v>0</v>
      </c>
      <c r="S457" s="23">
        <v>623.94000000000005</v>
      </c>
      <c r="U457" s="47">
        <v>44616</v>
      </c>
      <c r="V457" s="23" t="s">
        <v>141</v>
      </c>
      <c r="W457" s="23" t="s">
        <v>23</v>
      </c>
      <c r="X457" s="28">
        <v>44607.385416666664</v>
      </c>
      <c r="Y457" s="23">
        <v>17.95</v>
      </c>
      <c r="Z457" s="28">
        <v>44607.416666666664</v>
      </c>
      <c r="AA457" s="23">
        <v>21</v>
      </c>
      <c r="AB457" s="33">
        <v>0.1699</v>
      </c>
      <c r="AC457" s="23">
        <v>-9343.61</v>
      </c>
      <c r="AD457" s="33">
        <v>-0.1699</v>
      </c>
      <c r="AE457" s="23">
        <v>3063.4780000000001</v>
      </c>
      <c r="AF457" s="23">
        <v>54989.440000000002</v>
      </c>
      <c r="AG457" s="23">
        <v>988099.47</v>
      </c>
      <c r="AH457" s="23">
        <v>4</v>
      </c>
      <c r="AI457" s="23">
        <v>-2335.9</v>
      </c>
      <c r="AJ457" s="33">
        <v>-0.1699</v>
      </c>
      <c r="AK457" s="33">
        <v>7.9399999999999998E-2</v>
      </c>
      <c r="AL457" s="23" t="s">
        <v>24</v>
      </c>
      <c r="AM457" s="23">
        <v>633</v>
      </c>
      <c r="AN457" s="23">
        <v>36967.050000000003</v>
      </c>
      <c r="AO457" s="23">
        <v>623.94000000000005</v>
      </c>
      <c r="AQ457" s="50">
        <f t="shared" si="7"/>
        <v>2.8357030015797789E-2</v>
      </c>
      <c r="AR457" s="50"/>
      <c r="AS457" s="48"/>
      <c r="AT457" s="50"/>
      <c r="AV457" s="47">
        <v>44607</v>
      </c>
      <c r="AW457" s="51">
        <v>0.38541666666666669</v>
      </c>
      <c r="AX457" t="s">
        <v>162</v>
      </c>
    </row>
    <row r="458" spans="1:50">
      <c r="A458" s="23" t="s">
        <v>22</v>
      </c>
      <c r="B458" s="23" t="s">
        <v>23</v>
      </c>
      <c r="C458" s="28">
        <v>44607.416666666664</v>
      </c>
      <c r="D458" s="23">
        <v>625.375</v>
      </c>
      <c r="E458" s="28">
        <v>44607.479166666664</v>
      </c>
      <c r="F458" s="23">
        <v>632.02499999999998</v>
      </c>
      <c r="G458" s="33">
        <v>1.06E-2</v>
      </c>
      <c r="H458" s="23">
        <v>-533.79999999999995</v>
      </c>
      <c r="I458" s="33">
        <v>-1.06E-2</v>
      </c>
      <c r="J458" s="23">
        <v>80.270970000000005</v>
      </c>
      <c r="K458" s="23">
        <v>50199.46</v>
      </c>
      <c r="L458" s="23">
        <v>39188.61</v>
      </c>
      <c r="M458" s="23">
        <v>7</v>
      </c>
      <c r="N458" s="23">
        <v>-76.260000000000005</v>
      </c>
      <c r="O458" s="33">
        <v>-1.06E-2</v>
      </c>
      <c r="P458" s="33">
        <v>6.1999999999999998E-3</v>
      </c>
      <c r="Q458" s="23" t="s">
        <v>24</v>
      </c>
      <c r="R458" s="23">
        <v>0</v>
      </c>
      <c r="S458" s="23">
        <v>636.27</v>
      </c>
      <c r="U458" s="47">
        <v>44616</v>
      </c>
      <c r="V458" s="23" t="s">
        <v>111</v>
      </c>
      <c r="W458" s="23" t="s">
        <v>23</v>
      </c>
      <c r="X458" s="28">
        <v>44607.416666666664</v>
      </c>
      <c r="Y458" s="23">
        <v>16.649999999999999</v>
      </c>
      <c r="Z458" s="28">
        <v>44607.479166666664</v>
      </c>
      <c r="AA458" s="23">
        <v>19.600000000000001</v>
      </c>
      <c r="AB458" s="33">
        <v>0.1772</v>
      </c>
      <c r="AC458" s="23">
        <v>-9736.3700000000008</v>
      </c>
      <c r="AD458" s="33">
        <v>-0.1772</v>
      </c>
      <c r="AE458" s="23">
        <v>3300.4659999999999</v>
      </c>
      <c r="AF458" s="23">
        <v>54952.75</v>
      </c>
      <c r="AG458" s="23">
        <v>978363.09</v>
      </c>
      <c r="AH458" s="23">
        <v>7</v>
      </c>
      <c r="AI458" s="23">
        <v>-1390.91</v>
      </c>
      <c r="AJ458" s="33">
        <v>-0.1772</v>
      </c>
      <c r="AK458" s="33">
        <v>8.2600000000000007E-2</v>
      </c>
      <c r="AL458" s="23" t="s">
        <v>24</v>
      </c>
      <c r="AM458" s="23">
        <v>625.38</v>
      </c>
      <c r="AN458" s="23">
        <v>36785.300000000003</v>
      </c>
      <c r="AO458" s="23">
        <v>636.27</v>
      </c>
      <c r="AQ458" s="50">
        <f t="shared" si="7"/>
        <v>2.6623812721865103E-2</v>
      </c>
      <c r="AR458" s="50"/>
      <c r="AS458" s="48"/>
      <c r="AT458" s="50"/>
      <c r="AV458" s="47">
        <v>44607</v>
      </c>
      <c r="AW458" s="51">
        <v>0.41666666666666669</v>
      </c>
      <c r="AX458" t="s">
        <v>162</v>
      </c>
    </row>
    <row r="459" spans="1:50">
      <c r="A459" s="23" t="s">
        <v>22</v>
      </c>
      <c r="B459" s="23" t="s">
        <v>25</v>
      </c>
      <c r="C459" s="28">
        <v>44607.479166666664</v>
      </c>
      <c r="D459" s="23">
        <v>632.02499999999998</v>
      </c>
      <c r="E459" s="28">
        <v>44608.458333333336</v>
      </c>
      <c r="F459" s="23">
        <v>646</v>
      </c>
      <c r="G459" s="33">
        <v>2.2100000000000002E-2</v>
      </c>
      <c r="H459" s="23">
        <v>1109.95</v>
      </c>
      <c r="I459" s="33">
        <v>2.2100000000000002E-2</v>
      </c>
      <c r="J459" s="23">
        <v>79.424090000000007</v>
      </c>
      <c r="K459" s="23">
        <v>50198.01</v>
      </c>
      <c r="L459" s="23">
        <v>40298.559999999998</v>
      </c>
      <c r="M459" s="23">
        <v>27</v>
      </c>
      <c r="N459" s="23">
        <v>41.11</v>
      </c>
      <c r="O459" s="33">
        <v>-8.0000000000000002E-3</v>
      </c>
      <c r="P459" s="33">
        <v>4.19E-2</v>
      </c>
      <c r="Q459" s="23" t="s">
        <v>24</v>
      </c>
      <c r="R459" s="23">
        <v>0</v>
      </c>
      <c r="S459" s="23">
        <v>621.72</v>
      </c>
      <c r="U459" s="47">
        <v>44616</v>
      </c>
      <c r="V459" s="23" t="s">
        <v>141</v>
      </c>
      <c r="W459" s="23" t="s">
        <v>23</v>
      </c>
      <c r="X459" s="28">
        <v>44607.479166666664</v>
      </c>
      <c r="Y459" s="23">
        <v>17</v>
      </c>
      <c r="Z459" s="28">
        <v>44608.458333333336</v>
      </c>
      <c r="AA459" s="23">
        <v>8.35</v>
      </c>
      <c r="AB459" s="33">
        <v>-0.50880000000000003</v>
      </c>
      <c r="AC459" s="23">
        <v>27950.19</v>
      </c>
      <c r="AD459" s="33">
        <v>0.50880000000000003</v>
      </c>
      <c r="AE459" s="23">
        <v>3231.2359999999999</v>
      </c>
      <c r="AF459" s="23">
        <v>54931.01</v>
      </c>
      <c r="AG459" s="23">
        <v>1006313.28</v>
      </c>
      <c r="AH459" s="23">
        <v>27</v>
      </c>
      <c r="AI459" s="23">
        <v>1035.19</v>
      </c>
      <c r="AJ459" s="33">
        <v>-0.14560000000000001</v>
      </c>
      <c r="AK459" s="33">
        <v>0.67649999999999999</v>
      </c>
      <c r="AL459" s="23" t="s">
        <v>24</v>
      </c>
      <c r="AM459" s="23">
        <v>632.03</v>
      </c>
      <c r="AN459" s="23">
        <v>37023.4</v>
      </c>
      <c r="AO459" s="23">
        <v>621.72</v>
      </c>
      <c r="AQ459" s="50">
        <f t="shared" si="7"/>
        <v>2.6897457399174093E-2</v>
      </c>
      <c r="AR459" s="50"/>
      <c r="AS459" s="48"/>
      <c r="AT459" s="50"/>
      <c r="AV459" s="47">
        <v>44607</v>
      </c>
      <c r="AW459" s="51">
        <v>0.47916666666666669</v>
      </c>
      <c r="AX459" t="s">
        <v>162</v>
      </c>
    </row>
    <row r="460" spans="1:50">
      <c r="A460" s="23" t="s">
        <v>22</v>
      </c>
      <c r="B460" s="23" t="s">
        <v>23</v>
      </c>
      <c r="C460" s="28">
        <v>44608.458333333336</v>
      </c>
      <c r="D460" s="23">
        <v>646</v>
      </c>
      <c r="E460" s="28">
        <v>44608.572916666664</v>
      </c>
      <c r="F460" s="23">
        <v>649.35</v>
      </c>
      <c r="G460" s="33">
        <v>5.1999999999999998E-3</v>
      </c>
      <c r="H460" s="23">
        <v>-260.33</v>
      </c>
      <c r="I460" s="33">
        <v>-5.1999999999999998E-3</v>
      </c>
      <c r="J460" s="23">
        <v>77.711290000000005</v>
      </c>
      <c r="K460" s="23">
        <v>50201.49</v>
      </c>
      <c r="L460" s="23">
        <v>40038.230000000003</v>
      </c>
      <c r="M460" s="23">
        <v>12</v>
      </c>
      <c r="N460" s="23">
        <v>-21.69</v>
      </c>
      <c r="O460" s="33">
        <v>-1.0800000000000001E-2</v>
      </c>
      <c r="P460" s="33">
        <v>2.8E-3</v>
      </c>
      <c r="Q460" s="23" t="s">
        <v>24</v>
      </c>
      <c r="R460" s="23">
        <v>0</v>
      </c>
      <c r="S460" s="23">
        <v>657.93</v>
      </c>
      <c r="U460" s="47">
        <v>44616</v>
      </c>
      <c r="V460" s="23" t="s">
        <v>110</v>
      </c>
      <c r="W460" s="23" t="s">
        <v>23</v>
      </c>
      <c r="X460" s="28">
        <v>44608.458333333336</v>
      </c>
      <c r="Y460" s="23">
        <v>14.225</v>
      </c>
      <c r="Z460" s="28">
        <v>44608.572916666664</v>
      </c>
      <c r="AA460" s="23">
        <v>17</v>
      </c>
      <c r="AB460" s="33">
        <v>0.1951</v>
      </c>
      <c r="AC460" s="23">
        <v>-10736.3</v>
      </c>
      <c r="AD460" s="33">
        <v>-0.1951</v>
      </c>
      <c r="AE460" s="23">
        <v>3868.9349999999999</v>
      </c>
      <c r="AF460" s="23">
        <v>55035.61</v>
      </c>
      <c r="AG460" s="23">
        <v>995576.99</v>
      </c>
      <c r="AH460" s="23">
        <v>12</v>
      </c>
      <c r="AI460" s="23">
        <v>-894.69</v>
      </c>
      <c r="AJ460" s="33">
        <v>-0.28120000000000001</v>
      </c>
      <c r="AK460" s="33">
        <v>5.0999999999999997E-2</v>
      </c>
      <c r="AL460" s="23" t="s">
        <v>24</v>
      </c>
      <c r="AM460" s="23">
        <v>646</v>
      </c>
      <c r="AN460" s="23">
        <v>37864.1</v>
      </c>
      <c r="AO460" s="23">
        <v>657.93</v>
      </c>
      <c r="AQ460" s="50">
        <f t="shared" si="7"/>
        <v>2.2020123839009288E-2</v>
      </c>
      <c r="AR460" s="50"/>
      <c r="AS460" s="48"/>
      <c r="AT460" s="50"/>
      <c r="AV460" s="47">
        <v>44608</v>
      </c>
      <c r="AW460" s="51">
        <v>0.45833333333333331</v>
      </c>
      <c r="AX460" t="s">
        <v>162</v>
      </c>
    </row>
    <row r="461" spans="1:50">
      <c r="A461" s="23" t="s">
        <v>22</v>
      </c>
      <c r="B461" s="23" t="s">
        <v>25</v>
      </c>
      <c r="C461" s="28">
        <v>44608.572916666664</v>
      </c>
      <c r="D461" s="23">
        <v>649.35</v>
      </c>
      <c r="E461" s="28">
        <v>44608.59375</v>
      </c>
      <c r="F461" s="23">
        <v>647.52499999999998</v>
      </c>
      <c r="G461" s="33">
        <v>-2.8E-3</v>
      </c>
      <c r="H461" s="23">
        <v>-141.09</v>
      </c>
      <c r="I461" s="33">
        <v>-2.8E-3</v>
      </c>
      <c r="J461" s="23">
        <v>77.308090000000007</v>
      </c>
      <c r="K461" s="23">
        <v>50200.01</v>
      </c>
      <c r="L461" s="23">
        <v>39897.14</v>
      </c>
      <c r="M461" s="23">
        <v>3</v>
      </c>
      <c r="N461" s="23">
        <v>-47.03</v>
      </c>
      <c r="O461" s="33">
        <v>-5.4999999999999997E-3</v>
      </c>
      <c r="P461" s="33">
        <v>3.7000000000000002E-3</v>
      </c>
      <c r="Q461" s="23" t="s">
        <v>24</v>
      </c>
      <c r="R461" s="23">
        <v>0</v>
      </c>
      <c r="S461" s="23">
        <v>644.33000000000004</v>
      </c>
      <c r="U461" s="47">
        <v>44616</v>
      </c>
      <c r="V461" s="23" t="s">
        <v>149</v>
      </c>
      <c r="W461" s="23" t="s">
        <v>23</v>
      </c>
      <c r="X461" s="28">
        <v>44608.572916666664</v>
      </c>
      <c r="Y461" s="23">
        <v>10.775</v>
      </c>
      <c r="Z461" s="28">
        <v>44608.59375</v>
      </c>
      <c r="AA461" s="23">
        <v>12.1</v>
      </c>
      <c r="AB461" s="33">
        <v>0.123</v>
      </c>
      <c r="AC461" s="23">
        <v>-6761.57</v>
      </c>
      <c r="AD461" s="33">
        <v>-0.123</v>
      </c>
      <c r="AE461" s="23">
        <v>5103.0739999999996</v>
      </c>
      <c r="AF461" s="23">
        <v>54985.62</v>
      </c>
      <c r="AG461" s="23">
        <v>988815.41</v>
      </c>
      <c r="AH461" s="23">
        <v>3</v>
      </c>
      <c r="AI461" s="23">
        <v>-2253.86</v>
      </c>
      <c r="AJ461" s="33">
        <v>-0.123</v>
      </c>
      <c r="AK461" s="33">
        <v>2.5499999999999998E-2</v>
      </c>
      <c r="AL461" s="23" t="s">
        <v>24</v>
      </c>
      <c r="AM461" s="23">
        <v>649.35</v>
      </c>
      <c r="AN461" s="23">
        <v>38413.550000000003</v>
      </c>
      <c r="AO461" s="23">
        <v>644.33000000000004</v>
      </c>
      <c r="AQ461" s="50">
        <f t="shared" si="7"/>
        <v>1.6593516593516593E-2</v>
      </c>
      <c r="AR461" s="50"/>
      <c r="AS461" s="48"/>
      <c r="AT461" s="50"/>
      <c r="AV461" s="47">
        <v>44608</v>
      </c>
      <c r="AW461" s="51">
        <v>7.2916666666666671E-2</v>
      </c>
      <c r="AX461" t="s">
        <v>163</v>
      </c>
    </row>
    <row r="462" spans="1:50">
      <c r="A462" s="23" t="s">
        <v>22</v>
      </c>
      <c r="B462" s="23" t="s">
        <v>23</v>
      </c>
      <c r="C462" s="28">
        <v>44608.59375</v>
      </c>
      <c r="D462" s="23">
        <v>647.52499999999998</v>
      </c>
      <c r="E462" s="28">
        <v>44609.5</v>
      </c>
      <c r="F462" s="23">
        <v>638.20000000000005</v>
      </c>
      <c r="G462" s="33">
        <v>-1.44E-2</v>
      </c>
      <c r="H462" s="23">
        <v>722.92</v>
      </c>
      <c r="I462" s="33">
        <v>1.44E-2</v>
      </c>
      <c r="J462" s="23">
        <v>77.52534</v>
      </c>
      <c r="K462" s="23">
        <v>50199.6</v>
      </c>
      <c r="L462" s="23">
        <v>40620.07</v>
      </c>
      <c r="M462" s="23">
        <v>20</v>
      </c>
      <c r="N462" s="23">
        <v>36.15</v>
      </c>
      <c r="O462" s="33">
        <v>-1.5E-3</v>
      </c>
      <c r="P462" s="33">
        <v>3.32E-2</v>
      </c>
      <c r="Q462" s="23" t="s">
        <v>24</v>
      </c>
      <c r="R462" s="23">
        <v>0</v>
      </c>
      <c r="S462" s="23">
        <v>651.59</v>
      </c>
      <c r="U462" s="47">
        <v>44616</v>
      </c>
      <c r="V462" s="23" t="s">
        <v>110</v>
      </c>
      <c r="W462" s="23" t="s">
        <v>23</v>
      </c>
      <c r="X462" s="28">
        <v>44608.59375</v>
      </c>
      <c r="Y462" s="23">
        <v>16.45</v>
      </c>
      <c r="Z462" s="28">
        <v>44609.5</v>
      </c>
      <c r="AA462" s="23">
        <v>10.45</v>
      </c>
      <c r="AB462" s="33">
        <v>-0.36470000000000002</v>
      </c>
      <c r="AC462" s="23">
        <v>20041.09</v>
      </c>
      <c r="AD462" s="33">
        <v>0.36470000000000002</v>
      </c>
      <c r="AE462" s="23">
        <v>3340.1819999999998</v>
      </c>
      <c r="AF462" s="23">
        <v>54945.99</v>
      </c>
      <c r="AG462" s="23">
        <v>1008856.5</v>
      </c>
      <c r="AH462" s="23">
        <v>20</v>
      </c>
      <c r="AI462" s="23">
        <v>1002.05</v>
      </c>
      <c r="AJ462" s="33">
        <v>-3.0000000000000001E-3</v>
      </c>
      <c r="AK462" s="33">
        <v>0.54259999999999997</v>
      </c>
      <c r="AL462" s="23" t="s">
        <v>24</v>
      </c>
      <c r="AM462" s="23">
        <v>647.53</v>
      </c>
      <c r="AN462" s="23">
        <v>38302.050000000003</v>
      </c>
      <c r="AO462" s="23">
        <v>651.59</v>
      </c>
      <c r="AQ462" s="50">
        <f t="shared" si="7"/>
        <v>2.540422837551928E-2</v>
      </c>
      <c r="AR462" s="50"/>
      <c r="AS462" s="48"/>
      <c r="AT462" s="50"/>
      <c r="AV462" s="47">
        <v>44608</v>
      </c>
      <c r="AW462" s="51">
        <v>9.375E-2</v>
      </c>
      <c r="AX462" t="s">
        <v>163</v>
      </c>
    </row>
    <row r="463" spans="1:50">
      <c r="A463" s="23" t="s">
        <v>22</v>
      </c>
      <c r="B463" s="23" t="s">
        <v>25</v>
      </c>
      <c r="C463" s="28">
        <v>44609.5</v>
      </c>
      <c r="D463" s="23">
        <v>638.20000000000005</v>
      </c>
      <c r="E463" s="28">
        <v>44609.614583333336</v>
      </c>
      <c r="F463" s="23">
        <v>634.82500000000005</v>
      </c>
      <c r="G463" s="33">
        <v>-5.3E-3</v>
      </c>
      <c r="H463" s="23">
        <v>-265.49</v>
      </c>
      <c r="I463" s="33">
        <v>-5.3E-3</v>
      </c>
      <c r="J463" s="23">
        <v>78.665180000000007</v>
      </c>
      <c r="K463" s="23">
        <v>50204.12</v>
      </c>
      <c r="L463" s="23">
        <v>40354.57</v>
      </c>
      <c r="M463" s="23">
        <v>12</v>
      </c>
      <c r="N463" s="23">
        <v>-22.12</v>
      </c>
      <c r="O463" s="33">
        <v>-5.3E-3</v>
      </c>
      <c r="P463" s="33">
        <v>1.2200000000000001E-2</v>
      </c>
      <c r="Q463" s="23" t="s">
        <v>24</v>
      </c>
      <c r="R463" s="23">
        <v>0</v>
      </c>
      <c r="S463" s="23">
        <v>626.04999999999995</v>
      </c>
      <c r="U463" s="47">
        <v>44616</v>
      </c>
      <c r="V463" s="23" t="s">
        <v>149</v>
      </c>
      <c r="W463" s="23" t="s">
        <v>23</v>
      </c>
      <c r="X463" s="28">
        <v>44609.5</v>
      </c>
      <c r="Y463" s="23">
        <v>16.5</v>
      </c>
      <c r="Z463" s="28">
        <v>44609.614583333336</v>
      </c>
      <c r="AA463" s="23">
        <v>18.625</v>
      </c>
      <c r="AB463" s="33">
        <v>0.1288</v>
      </c>
      <c r="AC463" s="23">
        <v>-7090</v>
      </c>
      <c r="AD463" s="33">
        <v>-0.1288</v>
      </c>
      <c r="AE463" s="23">
        <v>3336.473</v>
      </c>
      <c r="AF463" s="23">
        <v>55051.8</v>
      </c>
      <c r="AG463" s="23">
        <v>1001766.5</v>
      </c>
      <c r="AH463" s="23">
        <v>12</v>
      </c>
      <c r="AI463" s="23">
        <v>-590.83000000000004</v>
      </c>
      <c r="AJ463" s="33">
        <v>-0.1288</v>
      </c>
      <c r="AK463" s="33">
        <v>0.21970000000000001</v>
      </c>
      <c r="AL463" s="23" t="s">
        <v>24</v>
      </c>
      <c r="AM463" s="23">
        <v>638.20000000000005</v>
      </c>
      <c r="AN463" s="23">
        <v>37808.15</v>
      </c>
      <c r="AO463" s="23">
        <v>626.04999999999995</v>
      </c>
      <c r="AQ463" s="50">
        <f t="shared" si="7"/>
        <v>2.5853964274522093E-2</v>
      </c>
      <c r="AR463" s="50"/>
      <c r="AS463" s="48"/>
      <c r="AT463" s="50"/>
      <c r="AV463" s="47">
        <v>44609</v>
      </c>
      <c r="AW463" s="51">
        <v>0.5</v>
      </c>
      <c r="AX463" t="s">
        <v>163</v>
      </c>
    </row>
    <row r="464" spans="1:50">
      <c r="A464" s="23" t="s">
        <v>22</v>
      </c>
      <c r="B464" s="23" t="s">
        <v>23</v>
      </c>
      <c r="C464" s="28">
        <v>44609.614583333336</v>
      </c>
      <c r="D464" s="23">
        <v>634.82500000000005</v>
      </c>
      <c r="E464" s="28">
        <v>44610.46875</v>
      </c>
      <c r="F464" s="23">
        <v>636</v>
      </c>
      <c r="G464" s="33">
        <v>1.9E-3</v>
      </c>
      <c r="H464" s="23">
        <v>-92.92</v>
      </c>
      <c r="I464" s="33">
        <v>-1.9E-3</v>
      </c>
      <c r="J464" s="23">
        <v>79.080489999999998</v>
      </c>
      <c r="K464" s="23">
        <v>50202.27</v>
      </c>
      <c r="L464" s="23">
        <v>40261.65</v>
      </c>
      <c r="M464" s="23">
        <v>15</v>
      </c>
      <c r="N464" s="23">
        <v>-6.19</v>
      </c>
      <c r="O464" s="33">
        <v>-6.6E-3</v>
      </c>
      <c r="P464" s="33">
        <v>1.3100000000000001E-2</v>
      </c>
      <c r="Q464" s="23" t="s">
        <v>24</v>
      </c>
      <c r="R464" s="23">
        <v>0</v>
      </c>
      <c r="S464" s="23">
        <v>645.52</v>
      </c>
      <c r="U464" s="47">
        <v>44616</v>
      </c>
      <c r="V464" s="23" t="s">
        <v>111</v>
      </c>
      <c r="W464" s="23" t="s">
        <v>23</v>
      </c>
      <c r="X464" s="28">
        <v>44609.614583333336</v>
      </c>
      <c r="Y464" s="23">
        <v>16.55</v>
      </c>
      <c r="Z464" s="28">
        <v>44610.46875</v>
      </c>
      <c r="AA464" s="23">
        <v>17</v>
      </c>
      <c r="AB464" s="33">
        <v>2.7199999999999998E-2</v>
      </c>
      <c r="AC464" s="23">
        <v>-1496.22</v>
      </c>
      <c r="AD464" s="33">
        <v>-2.7199999999999998E-2</v>
      </c>
      <c r="AE464" s="23">
        <v>3324.931</v>
      </c>
      <c r="AF464" s="23">
        <v>55027.6</v>
      </c>
      <c r="AG464" s="23">
        <v>1000270.28</v>
      </c>
      <c r="AH464" s="23">
        <v>15</v>
      </c>
      <c r="AI464" s="23">
        <v>-99.75</v>
      </c>
      <c r="AJ464" s="33">
        <v>-8.4599999999999995E-2</v>
      </c>
      <c r="AK464" s="33">
        <v>0.1148</v>
      </c>
      <c r="AL464" s="23" t="s">
        <v>24</v>
      </c>
      <c r="AM464" s="23">
        <v>634.83000000000004</v>
      </c>
      <c r="AN464" s="23">
        <v>37601.050000000003</v>
      </c>
      <c r="AO464" s="23">
        <v>645.52</v>
      </c>
      <c r="AQ464" s="50">
        <f t="shared" si="7"/>
        <v>2.6069971488429974E-2</v>
      </c>
      <c r="AR464" s="50"/>
      <c r="AS464" s="48"/>
      <c r="AT464" s="50"/>
      <c r="AV464" s="47">
        <v>44609</v>
      </c>
      <c r="AW464" s="51">
        <v>0.11458333333333333</v>
      </c>
      <c r="AX464" t="s">
        <v>163</v>
      </c>
    </row>
    <row r="465" spans="1:50">
      <c r="A465" s="23" t="s">
        <v>22</v>
      </c>
      <c r="B465" s="23" t="s">
        <v>25</v>
      </c>
      <c r="C465" s="28">
        <v>44610.46875</v>
      </c>
      <c r="D465" s="23">
        <v>636</v>
      </c>
      <c r="E465" s="28">
        <v>44610.583333333336</v>
      </c>
      <c r="F465" s="23">
        <v>632.5</v>
      </c>
      <c r="G465" s="33">
        <v>-5.4999999999999997E-3</v>
      </c>
      <c r="H465" s="23">
        <v>-276.27</v>
      </c>
      <c r="I465" s="33">
        <v>-5.4999999999999997E-3</v>
      </c>
      <c r="J465" s="23">
        <v>78.933009999999996</v>
      </c>
      <c r="K465" s="23">
        <v>50201.4</v>
      </c>
      <c r="L465" s="23">
        <v>39985.39</v>
      </c>
      <c r="M465" s="23">
        <v>12</v>
      </c>
      <c r="N465" s="23">
        <v>-23.02</v>
      </c>
      <c r="O465" s="33">
        <v>-5.4999999999999997E-3</v>
      </c>
      <c r="P465" s="33">
        <v>6.3E-3</v>
      </c>
      <c r="Q465" s="23" t="s">
        <v>24</v>
      </c>
      <c r="R465" s="23">
        <v>0</v>
      </c>
      <c r="S465" s="23">
        <v>626.95000000000005</v>
      </c>
      <c r="U465" s="47">
        <v>44616</v>
      </c>
      <c r="V465" s="23" t="s">
        <v>149</v>
      </c>
      <c r="W465" s="23" t="s">
        <v>23</v>
      </c>
      <c r="X465" s="28">
        <v>44610.46875</v>
      </c>
      <c r="Y465" s="23">
        <v>16.425000000000001</v>
      </c>
      <c r="Z465" s="28">
        <v>44610.583333333336</v>
      </c>
      <c r="AA465" s="23">
        <v>17</v>
      </c>
      <c r="AB465" s="33">
        <v>3.5000000000000003E-2</v>
      </c>
      <c r="AC465" s="23">
        <v>-1925.64</v>
      </c>
      <c r="AD465" s="33">
        <v>-3.5000000000000003E-2</v>
      </c>
      <c r="AE465" s="23">
        <v>3348.94</v>
      </c>
      <c r="AF465" s="23">
        <v>55006.34</v>
      </c>
      <c r="AG465" s="23">
        <v>998344.64</v>
      </c>
      <c r="AH465" s="23">
        <v>12</v>
      </c>
      <c r="AI465" s="23">
        <v>-160.47</v>
      </c>
      <c r="AJ465" s="33">
        <v>-7.0000000000000007E-2</v>
      </c>
      <c r="AK465" s="33">
        <v>0.16289999999999999</v>
      </c>
      <c r="AL465" s="23" t="s">
        <v>24</v>
      </c>
      <c r="AM465" s="23">
        <v>636</v>
      </c>
      <c r="AN465" s="23">
        <v>37560.6</v>
      </c>
      <c r="AO465" s="23">
        <v>626.95000000000005</v>
      </c>
      <c r="AQ465" s="50">
        <f t="shared" si="7"/>
        <v>2.5825471698113209E-2</v>
      </c>
      <c r="AR465" s="50"/>
      <c r="AS465" s="48"/>
      <c r="AT465" s="50"/>
      <c r="AV465" s="47">
        <v>44610</v>
      </c>
      <c r="AW465" s="51">
        <v>0.46875</v>
      </c>
      <c r="AX465" t="s">
        <v>162</v>
      </c>
    </row>
    <row r="466" spans="1:50">
      <c r="A466" s="23" t="s">
        <v>22</v>
      </c>
      <c r="B466" s="23" t="s">
        <v>23</v>
      </c>
      <c r="C466" s="28">
        <v>44610.583333333336</v>
      </c>
      <c r="D466" s="23">
        <v>632.5</v>
      </c>
      <c r="E466" s="28">
        <v>44613.4375</v>
      </c>
      <c r="F466" s="23">
        <v>631.4</v>
      </c>
      <c r="G466" s="33">
        <v>-1.6999999999999999E-3</v>
      </c>
      <c r="H466" s="23">
        <v>87.31</v>
      </c>
      <c r="I466" s="33">
        <v>1.6999999999999999E-3</v>
      </c>
      <c r="J466" s="23">
        <v>79.369320000000002</v>
      </c>
      <c r="K466" s="23">
        <v>50201.09</v>
      </c>
      <c r="L466" s="23">
        <v>40072.69</v>
      </c>
      <c r="M466" s="23">
        <v>15</v>
      </c>
      <c r="N466" s="23">
        <v>5.82</v>
      </c>
      <c r="O466" s="33">
        <v>-5.4999999999999997E-3</v>
      </c>
      <c r="P466" s="33">
        <v>1.7000000000000001E-2</v>
      </c>
      <c r="Q466" s="23" t="s">
        <v>24</v>
      </c>
      <c r="R466" s="23">
        <v>0</v>
      </c>
      <c r="S466" s="23">
        <v>640</v>
      </c>
      <c r="U466" s="47">
        <v>44616</v>
      </c>
      <c r="V466" s="23" t="s">
        <v>111</v>
      </c>
      <c r="W466" s="23" t="s">
        <v>23</v>
      </c>
      <c r="X466" s="28">
        <v>44610.583333333336</v>
      </c>
      <c r="Y466" s="23">
        <v>14.8</v>
      </c>
      <c r="Z466" s="28">
        <v>44613.4375</v>
      </c>
      <c r="AA466" s="23">
        <v>11.25</v>
      </c>
      <c r="AB466" s="33">
        <v>-0.2399</v>
      </c>
      <c r="AC466" s="23">
        <v>13192.79</v>
      </c>
      <c r="AD466" s="33">
        <v>0.2399</v>
      </c>
      <c r="AE466" s="23">
        <v>3716.279</v>
      </c>
      <c r="AF466" s="23">
        <v>55000.93</v>
      </c>
      <c r="AG466" s="23">
        <v>1011537.43</v>
      </c>
      <c r="AH466" s="23">
        <v>15</v>
      </c>
      <c r="AI466" s="23">
        <v>879.52</v>
      </c>
      <c r="AJ466" s="33">
        <v>-3.5499999999999997E-2</v>
      </c>
      <c r="AK466" s="33">
        <v>0.47639999999999999</v>
      </c>
      <c r="AL466" s="23" t="s">
        <v>24</v>
      </c>
      <c r="AM466" s="23">
        <v>632.5</v>
      </c>
      <c r="AN466" s="23">
        <v>37665.050000000003</v>
      </c>
      <c r="AO466" s="23">
        <v>640</v>
      </c>
      <c r="AQ466" s="50">
        <f t="shared" si="7"/>
        <v>2.3399209486166007E-2</v>
      </c>
      <c r="AR466" s="50"/>
      <c r="AS466" s="48"/>
      <c r="AT466" s="50"/>
      <c r="AV466" s="47">
        <v>44610</v>
      </c>
      <c r="AW466" s="51">
        <v>8.3333333333333329E-2</v>
      </c>
      <c r="AX466" t="s">
        <v>163</v>
      </c>
    </row>
    <row r="467" spans="1:50">
      <c r="A467" s="23" t="s">
        <v>22</v>
      </c>
      <c r="B467" s="23" t="s">
        <v>25</v>
      </c>
      <c r="C467" s="28">
        <v>44613.4375</v>
      </c>
      <c r="D467" s="23">
        <v>631.4</v>
      </c>
      <c r="E467" s="28">
        <v>44613.59375</v>
      </c>
      <c r="F467" s="23">
        <v>631.02499999999998</v>
      </c>
      <c r="G467" s="33">
        <v>-5.9999999999999995E-4</v>
      </c>
      <c r="H467" s="23">
        <v>-29.82</v>
      </c>
      <c r="I467" s="33">
        <v>-5.9999999999999995E-4</v>
      </c>
      <c r="J467" s="23">
        <v>79.508290000000002</v>
      </c>
      <c r="K467" s="23">
        <v>50201.54</v>
      </c>
      <c r="L467" s="23">
        <v>40042.879999999997</v>
      </c>
      <c r="M467" s="23">
        <v>16</v>
      </c>
      <c r="N467" s="23">
        <v>-1.86</v>
      </c>
      <c r="O467" s="33">
        <v>-5.4999999999999997E-3</v>
      </c>
      <c r="P467" s="33">
        <v>1.11E-2</v>
      </c>
      <c r="Q467" s="23" t="s">
        <v>24</v>
      </c>
      <c r="R467" s="23">
        <v>0</v>
      </c>
      <c r="S467" s="23">
        <v>621.78</v>
      </c>
      <c r="U467" s="47">
        <v>44616</v>
      </c>
      <c r="V467" s="23" t="s">
        <v>112</v>
      </c>
      <c r="W467" s="23" t="s">
        <v>23</v>
      </c>
      <c r="X467" s="28">
        <v>44613.4375</v>
      </c>
      <c r="Y467" s="23">
        <v>7.75</v>
      </c>
      <c r="Z467" s="28">
        <v>44613.59375</v>
      </c>
      <c r="AA467" s="23">
        <v>7.1</v>
      </c>
      <c r="AB467" s="33">
        <v>-8.3900000000000002E-2</v>
      </c>
      <c r="AC467" s="23">
        <v>4619.96</v>
      </c>
      <c r="AD467" s="33">
        <v>8.3900000000000002E-2</v>
      </c>
      <c r="AE467" s="23">
        <v>7107.634</v>
      </c>
      <c r="AF467" s="23">
        <v>55084.160000000003</v>
      </c>
      <c r="AG467" s="23">
        <v>1016157.39</v>
      </c>
      <c r="AH467" s="23">
        <v>16</v>
      </c>
      <c r="AI467" s="23">
        <v>288.75</v>
      </c>
      <c r="AJ467" s="33">
        <v>0</v>
      </c>
      <c r="AK467" s="33">
        <v>0.3548</v>
      </c>
      <c r="AL467" s="23" t="s">
        <v>24</v>
      </c>
      <c r="AM467" s="23">
        <v>631.4</v>
      </c>
      <c r="AN467" s="23">
        <v>37671.85</v>
      </c>
      <c r="AO467" s="23">
        <v>621.78</v>
      </c>
      <c r="AQ467" s="50">
        <f t="shared" si="7"/>
        <v>1.2274311054798859E-2</v>
      </c>
      <c r="AR467" s="50"/>
      <c r="AS467" s="48"/>
      <c r="AT467" s="50"/>
      <c r="AV467" s="47">
        <v>44613</v>
      </c>
      <c r="AW467" s="51">
        <v>0.4375</v>
      </c>
      <c r="AX467" t="s">
        <v>162</v>
      </c>
    </row>
    <row r="468" spans="1:50">
      <c r="A468" s="23" t="s">
        <v>22</v>
      </c>
      <c r="B468" s="23" t="s">
        <v>23</v>
      </c>
      <c r="C468" s="28">
        <v>44613.59375</v>
      </c>
      <c r="D468" s="23">
        <v>631.02499999999998</v>
      </c>
      <c r="E468" s="28">
        <v>44614.46875</v>
      </c>
      <c r="F468" s="23">
        <v>624</v>
      </c>
      <c r="G468" s="33">
        <v>-1.11E-2</v>
      </c>
      <c r="H468" s="23">
        <v>558.87</v>
      </c>
      <c r="I468" s="33">
        <v>1.11E-2</v>
      </c>
      <c r="J468" s="23">
        <v>79.553740000000005</v>
      </c>
      <c r="K468" s="23">
        <v>50200.4</v>
      </c>
      <c r="L468" s="23">
        <v>40601.74</v>
      </c>
      <c r="M468" s="23">
        <v>18</v>
      </c>
      <c r="N468" s="23">
        <v>31.05</v>
      </c>
      <c r="O468" s="33">
        <v>-6.3E-3</v>
      </c>
      <c r="P468" s="33">
        <v>2.8400000000000002E-2</v>
      </c>
      <c r="Q468" s="23" t="s">
        <v>24</v>
      </c>
      <c r="R468" s="23">
        <v>0</v>
      </c>
      <c r="S468" s="23">
        <v>638.41999999999996</v>
      </c>
      <c r="U468" s="47">
        <v>44616</v>
      </c>
      <c r="V468" s="23" t="s">
        <v>111</v>
      </c>
      <c r="W468" s="23" t="s">
        <v>23</v>
      </c>
      <c r="X468" s="28">
        <v>44613.59375</v>
      </c>
      <c r="Y468" s="23">
        <v>11.6</v>
      </c>
      <c r="Z468" s="28">
        <v>44614.46875</v>
      </c>
      <c r="AA468" s="23">
        <v>6.7249999999999996</v>
      </c>
      <c r="AB468" s="33">
        <v>-0.42030000000000001</v>
      </c>
      <c r="AC468" s="23">
        <v>23159.38</v>
      </c>
      <c r="AD468" s="33">
        <v>0.42030000000000001</v>
      </c>
      <c r="AE468" s="23">
        <v>4750.6409999999996</v>
      </c>
      <c r="AF468" s="23">
        <v>55107.44</v>
      </c>
      <c r="AG468" s="23">
        <v>1039316.77</v>
      </c>
      <c r="AH468" s="23">
        <v>18</v>
      </c>
      <c r="AI468" s="23">
        <v>1286.6300000000001</v>
      </c>
      <c r="AJ468" s="33">
        <v>-9.7000000000000003E-2</v>
      </c>
      <c r="AK468" s="33">
        <v>0.68320000000000003</v>
      </c>
      <c r="AL468" s="23" t="s">
        <v>24</v>
      </c>
      <c r="AM468" s="23">
        <v>631.03</v>
      </c>
      <c r="AN468" s="23">
        <v>37773.449999999997</v>
      </c>
      <c r="AO468" s="23">
        <v>638.41999999999996</v>
      </c>
      <c r="AQ468" s="50">
        <f t="shared" si="7"/>
        <v>1.8382644248292473E-2</v>
      </c>
      <c r="AR468" s="50"/>
      <c r="AS468" s="48"/>
      <c r="AT468" s="50"/>
      <c r="AV468" s="47">
        <v>44613</v>
      </c>
      <c r="AW468" s="51">
        <v>9.375E-2</v>
      </c>
      <c r="AX468" t="s">
        <v>163</v>
      </c>
    </row>
    <row r="469" spans="1:50">
      <c r="A469" s="23" t="s">
        <v>22</v>
      </c>
      <c r="B469" s="23" t="s">
        <v>25</v>
      </c>
      <c r="C469" s="28">
        <v>44614.46875</v>
      </c>
      <c r="D469" s="23">
        <v>624</v>
      </c>
      <c r="E469" s="28">
        <v>44615.604166666664</v>
      </c>
      <c r="F469" s="23">
        <v>638.72500000000002</v>
      </c>
      <c r="G469" s="33">
        <v>2.3599999999999999E-2</v>
      </c>
      <c r="H469" s="23">
        <v>1184.67</v>
      </c>
      <c r="I469" s="33">
        <v>2.3599999999999999E-2</v>
      </c>
      <c r="J469" s="23">
        <v>80.452889999999996</v>
      </c>
      <c r="K469" s="23">
        <v>50202.6</v>
      </c>
      <c r="L469" s="23">
        <v>41786.410000000003</v>
      </c>
      <c r="M469" s="23">
        <v>43</v>
      </c>
      <c r="N469" s="23">
        <v>27.55</v>
      </c>
      <c r="O469" s="33">
        <v>-8.8999999999999999E-3</v>
      </c>
      <c r="P469" s="33">
        <v>3.3700000000000001E-2</v>
      </c>
      <c r="Q469" s="23" t="s">
        <v>24</v>
      </c>
      <c r="R469" s="23">
        <v>0</v>
      </c>
      <c r="S469" s="23">
        <v>613.39</v>
      </c>
      <c r="U469" s="47">
        <v>44616</v>
      </c>
      <c r="V469" s="23" t="s">
        <v>112</v>
      </c>
      <c r="W469" s="23" t="s">
        <v>23</v>
      </c>
      <c r="X469" s="28">
        <v>44614.46875</v>
      </c>
      <c r="Y469" s="23">
        <v>7.95</v>
      </c>
      <c r="Z469" s="28">
        <v>44615.604166666664</v>
      </c>
      <c r="AA469" s="23">
        <v>1.25</v>
      </c>
      <c r="AB469" s="33">
        <v>-0.84279999999999999</v>
      </c>
      <c r="AC469" s="23">
        <v>46505.86</v>
      </c>
      <c r="AD469" s="33">
        <v>0.84279999999999999</v>
      </c>
      <c r="AE469" s="23">
        <v>6941.174</v>
      </c>
      <c r="AF469" s="23">
        <v>55182.33</v>
      </c>
      <c r="AG469" s="23">
        <v>1085822.6299999999</v>
      </c>
      <c r="AH469" s="23">
        <v>43</v>
      </c>
      <c r="AI469" s="23">
        <v>1081.53</v>
      </c>
      <c r="AJ469" s="33">
        <v>-0.22639999999999999</v>
      </c>
      <c r="AK469" s="33">
        <v>0.90880000000000005</v>
      </c>
      <c r="AL469" s="23" t="s">
        <v>24</v>
      </c>
      <c r="AM469" s="23">
        <v>624</v>
      </c>
      <c r="AN469" s="23">
        <v>37319.4</v>
      </c>
      <c r="AO469" s="23">
        <v>613.39</v>
      </c>
      <c r="AQ469" s="50">
        <f t="shared" si="7"/>
        <v>1.2740384615384615E-2</v>
      </c>
      <c r="AR469" s="50"/>
      <c r="AS469" s="48"/>
      <c r="AT469" s="50"/>
      <c r="AV469" s="47">
        <v>44614</v>
      </c>
      <c r="AW469" s="51">
        <v>0.46875</v>
      </c>
      <c r="AX469" t="s">
        <v>162</v>
      </c>
    </row>
    <row r="470" spans="1:50">
      <c r="A470" s="23" t="s">
        <v>22</v>
      </c>
      <c r="B470" s="23" t="s">
        <v>23</v>
      </c>
      <c r="C470" s="28">
        <v>44615.604166666664</v>
      </c>
      <c r="D470" s="23">
        <v>638.72500000000002</v>
      </c>
      <c r="E470" s="28">
        <v>44616.697916666664</v>
      </c>
      <c r="F470" s="23">
        <v>589.77499999999998</v>
      </c>
      <c r="G470" s="33">
        <v>-7.6600000000000001E-2</v>
      </c>
      <c r="H470" s="23">
        <v>3847.95</v>
      </c>
      <c r="I470" s="33">
        <v>7.6600000000000001E-2</v>
      </c>
      <c r="J470" s="23">
        <v>78.609899999999996</v>
      </c>
      <c r="K470" s="23">
        <v>50210.11</v>
      </c>
      <c r="L470" s="23">
        <v>45634.36</v>
      </c>
      <c r="M470" s="23">
        <v>34</v>
      </c>
      <c r="N470" s="23">
        <v>113.18</v>
      </c>
      <c r="O470" s="33">
        <v>-5.0000000000000001E-3</v>
      </c>
      <c r="P470" s="33">
        <v>8.7999999999999995E-2</v>
      </c>
      <c r="Q470" s="23" t="s">
        <v>24</v>
      </c>
      <c r="R470" s="23">
        <v>0</v>
      </c>
      <c r="S470" s="23">
        <v>644.84</v>
      </c>
      <c r="U470" s="47">
        <v>44616</v>
      </c>
      <c r="V470" s="23" t="s">
        <v>108</v>
      </c>
      <c r="W470" s="23" t="s">
        <v>23</v>
      </c>
      <c r="X470" s="28">
        <v>44615.604166666664</v>
      </c>
      <c r="Y470" s="23">
        <v>5.25</v>
      </c>
      <c r="Z470" s="28">
        <v>44616.697916666664</v>
      </c>
      <c r="AA470" s="23">
        <v>0.05</v>
      </c>
      <c r="AB470" s="33">
        <v>-0.99050000000000005</v>
      </c>
      <c r="AC470" s="23">
        <v>54900.36</v>
      </c>
      <c r="AD470" s="33">
        <v>0.99050000000000005</v>
      </c>
      <c r="AE470" s="23">
        <v>10557.76</v>
      </c>
      <c r="AF470" s="23">
        <v>55428.24</v>
      </c>
      <c r="AG470" s="23">
        <v>1140722.99</v>
      </c>
      <c r="AH470" s="23">
        <v>34</v>
      </c>
      <c r="AI470" s="23">
        <v>1614.72</v>
      </c>
      <c r="AJ470" s="33">
        <v>-0.3</v>
      </c>
      <c r="AK470" s="33">
        <v>0.99519999999999997</v>
      </c>
      <c r="AL470" s="23" t="s">
        <v>24</v>
      </c>
      <c r="AM470" s="23">
        <v>638.72</v>
      </c>
      <c r="AN470" s="23">
        <v>37522.9</v>
      </c>
      <c r="AO470" s="23">
        <v>644.84</v>
      </c>
      <c r="AQ470" s="50">
        <f t="shared" si="7"/>
        <v>8.2195641282565134E-3</v>
      </c>
      <c r="AR470" s="50"/>
      <c r="AS470" s="48"/>
      <c r="AT470" s="50"/>
      <c r="AV470" s="47">
        <v>44615</v>
      </c>
      <c r="AW470" s="51">
        <v>0.10416666666666667</v>
      </c>
      <c r="AX470" t="s">
        <v>163</v>
      </c>
    </row>
    <row r="471" spans="1:50">
      <c r="A471" s="23" t="s">
        <v>22</v>
      </c>
      <c r="B471" s="23" t="s">
        <v>25</v>
      </c>
      <c r="C471" s="28">
        <v>44617.385416666664</v>
      </c>
      <c r="D471" s="23">
        <v>613.25</v>
      </c>
      <c r="E471" s="28">
        <v>44620.385416666664</v>
      </c>
      <c r="F471" s="23">
        <v>603.47500000000002</v>
      </c>
      <c r="G471" s="33">
        <v>-1.5900000000000001E-2</v>
      </c>
      <c r="H471" s="23">
        <v>-800.62</v>
      </c>
      <c r="I471" s="33">
        <v>-1.5900000000000001E-2</v>
      </c>
      <c r="J471" s="23">
        <v>81.904880000000006</v>
      </c>
      <c r="K471" s="23">
        <v>50228.17</v>
      </c>
      <c r="L471" s="23">
        <v>44833.74</v>
      </c>
      <c r="M471" s="23">
        <v>29</v>
      </c>
      <c r="N471" s="23">
        <v>-27.61</v>
      </c>
      <c r="O471" s="33">
        <v>-2.8299999999999999E-2</v>
      </c>
      <c r="P471" s="33">
        <v>1.5699999999999999E-2</v>
      </c>
      <c r="Q471" s="23" t="s">
        <v>24</v>
      </c>
      <c r="R471" s="23">
        <v>0</v>
      </c>
      <c r="S471" s="23">
        <v>583.55999999999995</v>
      </c>
      <c r="U471" s="47">
        <v>44651</v>
      </c>
      <c r="V471" s="23" t="s">
        <v>119</v>
      </c>
      <c r="W471" s="23" t="s">
        <v>23</v>
      </c>
      <c r="X471" s="28">
        <v>44617.385416666664</v>
      </c>
      <c r="Y471" s="23">
        <v>40.85</v>
      </c>
      <c r="Z471" s="28">
        <v>44620.385416666664</v>
      </c>
      <c r="AA471" s="23">
        <v>35</v>
      </c>
      <c r="AB471" s="33">
        <v>-0.14319999999999999</v>
      </c>
      <c r="AC471" s="23">
        <v>7977.14</v>
      </c>
      <c r="AD471" s="33">
        <v>0.14319999999999999</v>
      </c>
      <c r="AE471" s="23">
        <v>1363.614</v>
      </c>
      <c r="AF471" s="23">
        <v>55703.62</v>
      </c>
      <c r="AG471" s="23">
        <v>1148700.1299999999</v>
      </c>
      <c r="AH471" s="23">
        <v>29</v>
      </c>
      <c r="AI471" s="23">
        <v>275.07</v>
      </c>
      <c r="AJ471" s="33">
        <v>0</v>
      </c>
      <c r="AK471" s="33">
        <v>0.37330000000000002</v>
      </c>
      <c r="AL471" s="23" t="s">
        <v>24</v>
      </c>
      <c r="AM471" s="23">
        <v>613.25</v>
      </c>
      <c r="AN471" s="23">
        <v>36134.699999999997</v>
      </c>
      <c r="AO471" s="23">
        <v>583.55999999999995</v>
      </c>
      <c r="AQ471" s="50">
        <f t="shared" si="7"/>
        <v>6.6612311455360784E-2</v>
      </c>
      <c r="AR471" s="50"/>
      <c r="AS471" s="48"/>
      <c r="AT471" s="50"/>
      <c r="AV471" s="47">
        <v>44617</v>
      </c>
      <c r="AW471" s="51">
        <v>0.38541666666666669</v>
      </c>
      <c r="AX471" t="s">
        <v>162</v>
      </c>
    </row>
    <row r="472" spans="1:50">
      <c r="A472" s="23" t="s">
        <v>22</v>
      </c>
      <c r="B472" s="23" t="s">
        <v>23</v>
      </c>
      <c r="C472" s="28">
        <v>44620.385416666664</v>
      </c>
      <c r="D472" s="23">
        <v>603.47500000000002</v>
      </c>
      <c r="E472" s="28">
        <v>44620.625</v>
      </c>
      <c r="F472" s="23">
        <v>603.35</v>
      </c>
      <c r="G472" s="33">
        <v>-2.0000000000000001E-4</v>
      </c>
      <c r="H472" s="23">
        <v>10.4</v>
      </c>
      <c r="I472" s="33">
        <v>2.0000000000000001E-4</v>
      </c>
      <c r="J472" s="23">
        <v>83.232089999999999</v>
      </c>
      <c r="K472" s="23">
        <v>50228.480000000003</v>
      </c>
      <c r="L472" s="23">
        <v>44844.15</v>
      </c>
      <c r="M472" s="23">
        <v>24</v>
      </c>
      <c r="N472" s="23">
        <v>0.43</v>
      </c>
      <c r="O472" s="33">
        <v>-1.9099999999999999E-2</v>
      </c>
      <c r="P472" s="33">
        <v>1.7500000000000002E-2</v>
      </c>
      <c r="Q472" s="23" t="s">
        <v>24</v>
      </c>
      <c r="R472" s="23">
        <v>0</v>
      </c>
      <c r="S472" s="23">
        <v>621.97</v>
      </c>
      <c r="U472" s="47">
        <v>44651</v>
      </c>
      <c r="V472" s="23" t="s">
        <v>107</v>
      </c>
      <c r="W472" s="23" t="s">
        <v>23</v>
      </c>
      <c r="X472" s="28">
        <v>44620.385416666664</v>
      </c>
      <c r="Y472" s="23">
        <v>30.5</v>
      </c>
      <c r="Z472" s="28">
        <v>44620.625</v>
      </c>
      <c r="AA472" s="23">
        <v>33.75</v>
      </c>
      <c r="AB472" s="33">
        <v>0.1066</v>
      </c>
      <c r="AC472" s="23">
        <v>-5943.71</v>
      </c>
      <c r="AD472" s="33">
        <v>-0.1066</v>
      </c>
      <c r="AE472" s="23">
        <v>1828.835</v>
      </c>
      <c r="AF472" s="23">
        <v>55779.46</v>
      </c>
      <c r="AG472" s="23">
        <v>1142756.42</v>
      </c>
      <c r="AH472" s="23">
        <v>24</v>
      </c>
      <c r="AI472" s="23">
        <v>-247.65</v>
      </c>
      <c r="AJ472" s="33">
        <v>-0.1066</v>
      </c>
      <c r="AK472" s="33">
        <v>8.9300000000000004E-2</v>
      </c>
      <c r="AL472" s="23" t="s">
        <v>24</v>
      </c>
      <c r="AM472" s="23">
        <v>603.47</v>
      </c>
      <c r="AN472" s="23">
        <v>35651.75</v>
      </c>
      <c r="AO472" s="23">
        <v>621.97</v>
      </c>
      <c r="AQ472" s="50">
        <f t="shared" si="7"/>
        <v>5.0541037665501186E-2</v>
      </c>
      <c r="AR472" s="50"/>
      <c r="AS472" s="48"/>
      <c r="AT472" s="50"/>
      <c r="AV472" s="47">
        <v>44620</v>
      </c>
      <c r="AW472" s="51">
        <v>0.38541666666666669</v>
      </c>
      <c r="AX472" t="s">
        <v>162</v>
      </c>
    </row>
    <row r="473" spans="1:50">
      <c r="A473" s="23" t="s">
        <v>22</v>
      </c>
      <c r="B473" s="23" t="s">
        <v>25</v>
      </c>
      <c r="C473" s="28">
        <v>44620.625</v>
      </c>
      <c r="D473" s="23">
        <v>603.35</v>
      </c>
      <c r="E473" s="28">
        <v>44622.385416666664</v>
      </c>
      <c r="F473" s="23">
        <v>588.97500000000002</v>
      </c>
      <c r="G473" s="33">
        <v>-2.3800000000000002E-2</v>
      </c>
      <c r="H473" s="23">
        <v>-1196.6600000000001</v>
      </c>
      <c r="I473" s="33">
        <v>-2.3800000000000002E-2</v>
      </c>
      <c r="J473" s="23">
        <v>83.245940000000004</v>
      </c>
      <c r="K473" s="23">
        <v>50226.44</v>
      </c>
      <c r="L473" s="23">
        <v>43647.49</v>
      </c>
      <c r="M473" s="23">
        <v>6</v>
      </c>
      <c r="N473" s="23">
        <v>-199.44</v>
      </c>
      <c r="O473" s="33">
        <v>-2.3800000000000002E-2</v>
      </c>
      <c r="P473" s="33">
        <v>2.7000000000000001E-3</v>
      </c>
      <c r="Q473" s="23" t="s">
        <v>24</v>
      </c>
      <c r="R473" s="23">
        <v>0</v>
      </c>
      <c r="S473" s="23">
        <v>593.29999999999995</v>
      </c>
      <c r="U473" s="47">
        <v>44651</v>
      </c>
      <c r="V473" s="23" t="s">
        <v>109</v>
      </c>
      <c r="W473" s="23" t="s">
        <v>23</v>
      </c>
      <c r="X473" s="28">
        <v>44620.625</v>
      </c>
      <c r="Y473" s="23">
        <v>30.375</v>
      </c>
      <c r="Z473" s="28">
        <v>44622.385416666664</v>
      </c>
      <c r="AA473" s="23">
        <v>38</v>
      </c>
      <c r="AB473" s="33">
        <v>0.251</v>
      </c>
      <c r="AC473" s="23">
        <v>-13987.43</v>
      </c>
      <c r="AD473" s="33">
        <v>-0.251</v>
      </c>
      <c r="AE473" s="23">
        <v>1834.4169999999999</v>
      </c>
      <c r="AF473" s="23">
        <v>55720.41</v>
      </c>
      <c r="AG473" s="23">
        <v>1128768.99</v>
      </c>
      <c r="AH473" s="23">
        <v>6</v>
      </c>
      <c r="AI473" s="23">
        <v>-2331.2399999999998</v>
      </c>
      <c r="AJ473" s="33">
        <v>-0.251</v>
      </c>
      <c r="AK473" s="33">
        <v>9.1000000000000004E-3</v>
      </c>
      <c r="AL473" s="23" t="s">
        <v>24</v>
      </c>
      <c r="AM473" s="23">
        <v>603.35</v>
      </c>
      <c r="AN473" s="23">
        <v>36211.699999999997</v>
      </c>
      <c r="AO473" s="23">
        <v>593.29999999999995</v>
      </c>
      <c r="AQ473" s="50">
        <f t="shared" si="7"/>
        <v>5.0343913151570399E-2</v>
      </c>
      <c r="AR473" s="50"/>
      <c r="AS473" s="48"/>
      <c r="AT473" s="50"/>
      <c r="AV473" s="47">
        <v>44620</v>
      </c>
      <c r="AW473" s="51">
        <v>0.125</v>
      </c>
      <c r="AX473" t="s">
        <v>163</v>
      </c>
    </row>
    <row r="474" spans="1:50">
      <c r="A474" s="23" t="s">
        <v>22</v>
      </c>
      <c r="B474" s="23" t="s">
        <v>23</v>
      </c>
      <c r="C474" s="28">
        <v>44622.385416666664</v>
      </c>
      <c r="D474" s="23">
        <v>588.97500000000002</v>
      </c>
      <c r="E474" s="28">
        <v>44622.46875</v>
      </c>
      <c r="F474" s="23">
        <v>595.82500000000005</v>
      </c>
      <c r="G474" s="33">
        <v>1.1599999999999999E-2</v>
      </c>
      <c r="H474" s="23">
        <v>-584.07000000000005</v>
      </c>
      <c r="I474" s="33">
        <v>-1.1599999999999999E-2</v>
      </c>
      <c r="J474" s="23">
        <v>85.266279999999995</v>
      </c>
      <c r="K474" s="23">
        <v>50219.71</v>
      </c>
      <c r="L474" s="23">
        <v>43063.41</v>
      </c>
      <c r="M474" s="23">
        <v>9</v>
      </c>
      <c r="N474" s="23">
        <v>-64.900000000000006</v>
      </c>
      <c r="O474" s="33">
        <v>-1.1599999999999999E-2</v>
      </c>
      <c r="P474" s="33">
        <v>7.6E-3</v>
      </c>
      <c r="Q474" s="23" t="s">
        <v>24</v>
      </c>
      <c r="R474" s="23">
        <v>0</v>
      </c>
      <c r="S474" s="23">
        <v>604.09</v>
      </c>
      <c r="U474" s="47">
        <v>44651</v>
      </c>
      <c r="V474" s="23" t="s">
        <v>115</v>
      </c>
      <c r="W474" s="23" t="s">
        <v>23</v>
      </c>
      <c r="X474" s="28">
        <v>44622.385416666664</v>
      </c>
      <c r="Y474" s="23">
        <v>33.549999999999997</v>
      </c>
      <c r="Z474" s="28">
        <v>44622.46875</v>
      </c>
      <c r="AA474" s="23">
        <v>35.5</v>
      </c>
      <c r="AB474" s="33">
        <v>5.8099999999999999E-2</v>
      </c>
      <c r="AC474" s="23">
        <v>-3237.01</v>
      </c>
      <c r="AD474" s="33">
        <v>-5.8099999999999999E-2</v>
      </c>
      <c r="AE474" s="23">
        <v>1660.0039999999999</v>
      </c>
      <c r="AF474" s="23">
        <v>55693.14</v>
      </c>
      <c r="AG474" s="23">
        <v>1125531.98</v>
      </c>
      <c r="AH474" s="23">
        <v>9</v>
      </c>
      <c r="AI474" s="23">
        <v>-359.67</v>
      </c>
      <c r="AJ474" s="33">
        <v>-0.1028</v>
      </c>
      <c r="AK474" s="33">
        <v>5.2900000000000003E-2</v>
      </c>
      <c r="AL474" s="23" t="s">
        <v>24</v>
      </c>
      <c r="AM474" s="23">
        <v>588.97</v>
      </c>
      <c r="AN474" s="23">
        <v>35471.300000000003</v>
      </c>
      <c r="AO474" s="23">
        <v>604.09</v>
      </c>
      <c r="AQ474" s="50">
        <f t="shared" si="7"/>
        <v>5.6963852148666311E-2</v>
      </c>
      <c r="AR474" s="50"/>
      <c r="AS474" s="48"/>
      <c r="AT474" s="50"/>
      <c r="AV474" s="47">
        <v>44622</v>
      </c>
      <c r="AW474" s="51">
        <v>0.38541666666666669</v>
      </c>
      <c r="AX474" t="s">
        <v>162</v>
      </c>
    </row>
    <row r="475" spans="1:50">
      <c r="A475" s="23" t="s">
        <v>22</v>
      </c>
      <c r="B475" s="23" t="s">
        <v>25</v>
      </c>
      <c r="C475" s="28">
        <v>44622.46875</v>
      </c>
      <c r="D475" s="23">
        <v>595.82500000000005</v>
      </c>
      <c r="E475" s="28">
        <v>44623.395833333336</v>
      </c>
      <c r="F475" s="23">
        <v>596.20000000000005</v>
      </c>
      <c r="G475" s="33">
        <v>5.9999999999999995E-4</v>
      </c>
      <c r="H475" s="23">
        <v>31.6</v>
      </c>
      <c r="I475" s="33">
        <v>5.9999999999999995E-4</v>
      </c>
      <c r="J475" s="23">
        <v>84.279849999999996</v>
      </c>
      <c r="K475" s="23">
        <v>50216.04</v>
      </c>
      <c r="L475" s="23">
        <v>43095.02</v>
      </c>
      <c r="M475" s="23">
        <v>22</v>
      </c>
      <c r="N475" s="23">
        <v>1.44</v>
      </c>
      <c r="O475" s="33">
        <v>-6.4000000000000003E-3</v>
      </c>
      <c r="P475" s="33">
        <v>2.7400000000000001E-2</v>
      </c>
      <c r="Q475" s="23" t="s">
        <v>24</v>
      </c>
      <c r="R475" s="23">
        <v>0</v>
      </c>
      <c r="S475" s="23">
        <v>584.78</v>
      </c>
      <c r="U475" s="47">
        <v>44651</v>
      </c>
      <c r="V475" s="23" t="s">
        <v>116</v>
      </c>
      <c r="W475" s="23" t="s">
        <v>23</v>
      </c>
      <c r="X475" s="28">
        <v>44622.46875</v>
      </c>
      <c r="Y475" s="23">
        <v>28.975000000000001</v>
      </c>
      <c r="Z475" s="28">
        <v>44623.395833333336</v>
      </c>
      <c r="AA475" s="23">
        <v>26.75</v>
      </c>
      <c r="AB475" s="33">
        <v>-7.6799999999999993E-2</v>
      </c>
      <c r="AC475" s="23">
        <v>4271.4799999999996</v>
      </c>
      <c r="AD475" s="33">
        <v>7.6799999999999993E-2</v>
      </c>
      <c r="AE475" s="23">
        <v>1919.7639999999999</v>
      </c>
      <c r="AF475" s="23">
        <v>55625.17</v>
      </c>
      <c r="AG475" s="23">
        <v>1129803.46</v>
      </c>
      <c r="AH475" s="23">
        <v>22</v>
      </c>
      <c r="AI475" s="23">
        <v>194.16</v>
      </c>
      <c r="AJ475" s="33">
        <v>-0.1208</v>
      </c>
      <c r="AK475" s="33">
        <v>0.2666</v>
      </c>
      <c r="AL475" s="23" t="s">
        <v>24</v>
      </c>
      <c r="AM475" s="23">
        <v>595.83000000000004</v>
      </c>
      <c r="AN475" s="23">
        <v>35239.449999999997</v>
      </c>
      <c r="AO475" s="23">
        <v>584.78</v>
      </c>
      <c r="AQ475" s="50">
        <f t="shared" si="7"/>
        <v>4.862964268331571E-2</v>
      </c>
      <c r="AR475" s="50"/>
      <c r="AS475" s="48"/>
      <c r="AT475" s="50"/>
      <c r="AV475" s="47">
        <v>44622</v>
      </c>
      <c r="AW475" s="51">
        <v>0.46875</v>
      </c>
      <c r="AX475" t="s">
        <v>162</v>
      </c>
    </row>
    <row r="476" spans="1:50">
      <c r="A476" s="23" t="s">
        <v>22</v>
      </c>
      <c r="B476" s="23" t="s">
        <v>23</v>
      </c>
      <c r="C476" s="28">
        <v>44623.395833333336</v>
      </c>
      <c r="D476" s="23">
        <v>596.20000000000005</v>
      </c>
      <c r="E476" s="28">
        <v>44624.53125</v>
      </c>
      <c r="F476" s="23">
        <v>573.29999999999995</v>
      </c>
      <c r="G476" s="33">
        <v>-3.8399999999999997E-2</v>
      </c>
      <c r="H476" s="23">
        <v>1928.85</v>
      </c>
      <c r="I476" s="33">
        <v>3.8399999999999997E-2</v>
      </c>
      <c r="J476" s="23">
        <v>84.22945</v>
      </c>
      <c r="K476" s="23">
        <v>50217.599999999999</v>
      </c>
      <c r="L476" s="23">
        <v>45023.87</v>
      </c>
      <c r="M476" s="23">
        <v>42</v>
      </c>
      <c r="N476" s="23">
        <v>45.93</v>
      </c>
      <c r="O476" s="33">
        <v>-9.2999999999999992E-3</v>
      </c>
      <c r="P476" s="33">
        <v>6.4899999999999999E-2</v>
      </c>
      <c r="Q476" s="23" t="s">
        <v>24</v>
      </c>
      <c r="R476" s="23">
        <v>0</v>
      </c>
      <c r="S476" s="23">
        <v>611.85</v>
      </c>
      <c r="U476" s="47">
        <v>44651</v>
      </c>
      <c r="V476" s="23" t="s">
        <v>107</v>
      </c>
      <c r="W476" s="23" t="s">
        <v>23</v>
      </c>
      <c r="X476" s="28">
        <v>44623.395833333336</v>
      </c>
      <c r="Y476" s="23">
        <v>30.5</v>
      </c>
      <c r="Z476" s="28">
        <v>44624.53125</v>
      </c>
      <c r="AA476" s="23">
        <v>22.15</v>
      </c>
      <c r="AB476" s="33">
        <v>-0.27379999999999999</v>
      </c>
      <c r="AC476" s="23">
        <v>15240.91</v>
      </c>
      <c r="AD476" s="33">
        <v>0.27379999999999999</v>
      </c>
      <c r="AE476" s="23">
        <v>1825.258</v>
      </c>
      <c r="AF476" s="23">
        <v>55670.38</v>
      </c>
      <c r="AG476" s="23">
        <v>1145044.3600000001</v>
      </c>
      <c r="AH476" s="23">
        <v>42</v>
      </c>
      <c r="AI476" s="23">
        <v>362.88</v>
      </c>
      <c r="AJ476" s="33">
        <v>-3.5200000000000002E-2</v>
      </c>
      <c r="AK476" s="33">
        <v>0.4098</v>
      </c>
      <c r="AL476" s="23" t="s">
        <v>24</v>
      </c>
      <c r="AM476" s="23">
        <v>596.20000000000005</v>
      </c>
      <c r="AN476" s="23">
        <v>35320.15</v>
      </c>
      <c r="AO476" s="23">
        <v>611.85</v>
      </c>
      <c r="AQ476" s="50">
        <f t="shared" si="7"/>
        <v>5.1157329755115728E-2</v>
      </c>
      <c r="AR476" s="50"/>
      <c r="AS476" s="48"/>
      <c r="AT476" s="50"/>
      <c r="AV476" s="47">
        <v>44623</v>
      </c>
      <c r="AW476" s="51">
        <v>0.39583333333333331</v>
      </c>
      <c r="AX476" t="s">
        <v>162</v>
      </c>
    </row>
    <row r="477" spans="1:50">
      <c r="A477" s="23" t="s">
        <v>22</v>
      </c>
      <c r="B477" s="23" t="s">
        <v>25</v>
      </c>
      <c r="C477" s="28">
        <v>44624.53125</v>
      </c>
      <c r="D477" s="23">
        <v>573.29999999999995</v>
      </c>
      <c r="E477" s="28">
        <v>44624.625</v>
      </c>
      <c r="F477" s="23">
        <v>563.54999999999995</v>
      </c>
      <c r="G477" s="33">
        <v>-1.7000000000000001E-2</v>
      </c>
      <c r="H477" s="23">
        <v>-854.21</v>
      </c>
      <c r="I477" s="33">
        <v>-1.7000000000000001E-2</v>
      </c>
      <c r="J477" s="23">
        <v>87.61103</v>
      </c>
      <c r="K477" s="23">
        <v>50227.4</v>
      </c>
      <c r="L477" s="23">
        <v>44169.67</v>
      </c>
      <c r="M477" s="23">
        <v>10</v>
      </c>
      <c r="N477" s="23">
        <v>-85.42</v>
      </c>
      <c r="O477" s="33">
        <v>-1.7000000000000001E-2</v>
      </c>
      <c r="P477" s="33">
        <v>1.34E-2</v>
      </c>
      <c r="Q477" s="23" t="s">
        <v>24</v>
      </c>
      <c r="R477" s="23">
        <v>0</v>
      </c>
      <c r="S477" s="23">
        <v>557.5</v>
      </c>
      <c r="U477" s="47">
        <v>44651</v>
      </c>
      <c r="V477" s="23" t="s">
        <v>106</v>
      </c>
      <c r="W477" s="23" t="s">
        <v>23</v>
      </c>
      <c r="X477" s="28">
        <v>44624.53125</v>
      </c>
      <c r="Y477" s="23">
        <v>22.75</v>
      </c>
      <c r="Z477" s="28">
        <v>44624.625</v>
      </c>
      <c r="AA477" s="23">
        <v>27</v>
      </c>
      <c r="AB477" s="33">
        <v>0.18679999999999999</v>
      </c>
      <c r="AC477" s="23">
        <v>-10413.790000000001</v>
      </c>
      <c r="AD477" s="33">
        <v>-0.18679999999999999</v>
      </c>
      <c r="AE477" s="23">
        <v>2450.3029999999999</v>
      </c>
      <c r="AF477" s="23">
        <v>55744.39</v>
      </c>
      <c r="AG477" s="23">
        <v>1134630.57</v>
      </c>
      <c r="AH477" s="23">
        <v>10</v>
      </c>
      <c r="AI477" s="23">
        <v>-1041.3800000000001</v>
      </c>
      <c r="AJ477" s="33">
        <v>-0.18679999999999999</v>
      </c>
      <c r="AK477" s="33">
        <v>0.1429</v>
      </c>
      <c r="AL477" s="23" t="s">
        <v>24</v>
      </c>
      <c r="AM477" s="23">
        <v>573.29999999999995</v>
      </c>
      <c r="AN477" s="23">
        <v>34828.5</v>
      </c>
      <c r="AO477" s="23">
        <v>557.5</v>
      </c>
      <c r="AQ477" s="50">
        <f t="shared" si="7"/>
        <v>3.9682539682539687E-2</v>
      </c>
      <c r="AR477" s="50"/>
      <c r="AS477" s="48"/>
      <c r="AT477" s="50"/>
      <c r="AV477" s="47">
        <v>44624</v>
      </c>
      <c r="AW477" s="51">
        <v>0.53125</v>
      </c>
      <c r="AX477" t="s">
        <v>163</v>
      </c>
    </row>
    <row r="478" spans="1:50">
      <c r="A478" s="23" t="s">
        <v>22</v>
      </c>
      <c r="B478" s="23" t="s">
        <v>23</v>
      </c>
      <c r="C478" s="28">
        <v>44624.625</v>
      </c>
      <c r="D478" s="23">
        <v>563.54999999999995</v>
      </c>
      <c r="E478" s="28">
        <v>44628.395833333336</v>
      </c>
      <c r="F478" s="23">
        <v>535.65</v>
      </c>
      <c r="G478" s="33">
        <v>-4.9500000000000002E-2</v>
      </c>
      <c r="H478" s="23">
        <v>2486.39</v>
      </c>
      <c r="I478" s="33">
        <v>4.9500000000000002E-2</v>
      </c>
      <c r="J478" s="23">
        <v>89.117819999999995</v>
      </c>
      <c r="K478" s="23">
        <v>50222.35</v>
      </c>
      <c r="L478" s="23">
        <v>46656.05</v>
      </c>
      <c r="M478" s="23">
        <v>34</v>
      </c>
      <c r="N478" s="23">
        <v>73.13</v>
      </c>
      <c r="O478" s="33">
        <v>-1.2699999999999999E-2</v>
      </c>
      <c r="P478" s="33">
        <v>6.8400000000000002E-2</v>
      </c>
      <c r="Q478" s="23" t="s">
        <v>24</v>
      </c>
      <c r="R478" s="23">
        <v>0</v>
      </c>
      <c r="S478" s="23">
        <v>580.37</v>
      </c>
      <c r="U478" s="47">
        <v>44651</v>
      </c>
      <c r="V478" s="23" t="s">
        <v>137</v>
      </c>
      <c r="W478" s="23" t="s">
        <v>23</v>
      </c>
      <c r="X478" s="28">
        <v>44624.625</v>
      </c>
      <c r="Y478" s="23">
        <v>31</v>
      </c>
      <c r="Z478" s="28">
        <v>44628.395833333336</v>
      </c>
      <c r="AA478" s="23">
        <v>18.45</v>
      </c>
      <c r="AB478" s="33">
        <v>-0.40479999999999999</v>
      </c>
      <c r="AC478" s="23">
        <v>22548.57</v>
      </c>
      <c r="AD478" s="33">
        <v>0.40479999999999999</v>
      </c>
      <c r="AE478" s="23">
        <v>1796.6990000000001</v>
      </c>
      <c r="AF478" s="23">
        <v>55697.66</v>
      </c>
      <c r="AG478" s="23">
        <v>1157179.1399999999</v>
      </c>
      <c r="AH478" s="23">
        <v>34</v>
      </c>
      <c r="AI478" s="23">
        <v>663.19</v>
      </c>
      <c r="AJ478" s="33">
        <v>-6.4500000000000002E-2</v>
      </c>
      <c r="AK478" s="33">
        <v>0.44519999999999998</v>
      </c>
      <c r="AL478" s="23" t="s">
        <v>24</v>
      </c>
      <c r="AM478" s="23">
        <v>563.54999999999995</v>
      </c>
      <c r="AN478" s="23">
        <v>34460.199999999997</v>
      </c>
      <c r="AO478" s="23">
        <v>580.37</v>
      </c>
      <c r="AQ478" s="50">
        <f t="shared" si="7"/>
        <v>5.5008428710850862E-2</v>
      </c>
      <c r="AR478" s="50"/>
      <c r="AS478" s="48"/>
      <c r="AT478" s="50"/>
      <c r="AV478" s="47">
        <v>44624</v>
      </c>
      <c r="AW478" s="51">
        <v>0.125</v>
      </c>
      <c r="AX478" t="s">
        <v>163</v>
      </c>
    </row>
    <row r="479" spans="1:50">
      <c r="A479" s="23" t="s">
        <v>22</v>
      </c>
      <c r="B479" s="23" t="s">
        <v>25</v>
      </c>
      <c r="C479" s="28">
        <v>44628.395833333336</v>
      </c>
      <c r="D479" s="23">
        <v>535.65</v>
      </c>
      <c r="E479" s="28">
        <v>44628.489583333336</v>
      </c>
      <c r="F479" s="23">
        <v>534.42499999999995</v>
      </c>
      <c r="G479" s="33">
        <v>-2.3E-3</v>
      </c>
      <c r="H479" s="23">
        <v>-114.88</v>
      </c>
      <c r="I479" s="33">
        <v>-2.3E-3</v>
      </c>
      <c r="J479" s="23">
        <v>93.782060000000001</v>
      </c>
      <c r="K479" s="23">
        <v>50234.36</v>
      </c>
      <c r="L479" s="23">
        <v>46541.17</v>
      </c>
      <c r="M479" s="23">
        <v>10</v>
      </c>
      <c r="N479" s="23">
        <v>-11.49</v>
      </c>
      <c r="O479" s="33">
        <v>-7.7000000000000002E-3</v>
      </c>
      <c r="P479" s="33">
        <v>2.5999999999999999E-2</v>
      </c>
      <c r="Q479" s="23" t="s">
        <v>24</v>
      </c>
      <c r="R479" s="23">
        <v>0</v>
      </c>
      <c r="S479" s="23">
        <v>525.27</v>
      </c>
      <c r="U479" s="47">
        <v>44651</v>
      </c>
      <c r="V479" s="23" t="s">
        <v>139</v>
      </c>
      <c r="W479" s="23" t="s">
        <v>23</v>
      </c>
      <c r="X479" s="28">
        <v>44628.395833333336</v>
      </c>
      <c r="Y479" s="23">
        <v>29.55</v>
      </c>
      <c r="Z479" s="28">
        <v>44628.489583333336</v>
      </c>
      <c r="AA479" s="23">
        <v>30.25</v>
      </c>
      <c r="AB479" s="33">
        <v>2.3699999999999999E-2</v>
      </c>
      <c r="AC479" s="23">
        <v>-1321.38</v>
      </c>
      <c r="AD479" s="33">
        <v>-2.3699999999999999E-2</v>
      </c>
      <c r="AE479" s="23">
        <v>1887.68</v>
      </c>
      <c r="AF479" s="23">
        <v>55780.95</v>
      </c>
      <c r="AG479" s="23">
        <v>1155857.77</v>
      </c>
      <c r="AH479" s="23">
        <v>10</v>
      </c>
      <c r="AI479" s="23">
        <v>-132.13999999999999</v>
      </c>
      <c r="AJ479" s="33">
        <v>-8.2900000000000001E-2</v>
      </c>
      <c r="AK479" s="33">
        <v>0.22420000000000001</v>
      </c>
      <c r="AL479" s="23" t="s">
        <v>24</v>
      </c>
      <c r="AM479" s="23">
        <v>535.65</v>
      </c>
      <c r="AN479" s="23">
        <v>32488.2</v>
      </c>
      <c r="AO479" s="23">
        <v>525.27</v>
      </c>
      <c r="AQ479" s="50">
        <f t="shared" si="7"/>
        <v>5.5166619994399334E-2</v>
      </c>
      <c r="AR479" s="50"/>
      <c r="AS479" s="48"/>
      <c r="AT479" s="50"/>
      <c r="AV479" s="47">
        <v>44628</v>
      </c>
      <c r="AW479" s="51">
        <v>0.39583333333333331</v>
      </c>
      <c r="AX479" t="s">
        <v>162</v>
      </c>
    </row>
    <row r="480" spans="1:50">
      <c r="A480" s="23" t="s">
        <v>22</v>
      </c>
      <c r="B480" s="23" t="s">
        <v>23</v>
      </c>
      <c r="C480" s="28">
        <v>44628.489583333336</v>
      </c>
      <c r="D480" s="23">
        <v>534.42499999999995</v>
      </c>
      <c r="E480" s="28">
        <v>44628.604166666664</v>
      </c>
      <c r="F480" s="23">
        <v>539.02499999999998</v>
      </c>
      <c r="G480" s="33">
        <v>8.6E-3</v>
      </c>
      <c r="H480" s="23">
        <v>-432.38</v>
      </c>
      <c r="I480" s="33">
        <v>-8.6E-3</v>
      </c>
      <c r="J480" s="23">
        <v>93.996020000000001</v>
      </c>
      <c r="K480" s="23">
        <v>50233.82</v>
      </c>
      <c r="L480" s="23">
        <v>46108.79</v>
      </c>
      <c r="M480" s="23">
        <v>12</v>
      </c>
      <c r="N480" s="23">
        <v>-36.03</v>
      </c>
      <c r="O480" s="33">
        <v>-0.01</v>
      </c>
      <c r="P480" s="33">
        <v>8.3000000000000001E-3</v>
      </c>
      <c r="Q480" s="23" t="s">
        <v>24</v>
      </c>
      <c r="R480" s="23">
        <v>0</v>
      </c>
      <c r="S480" s="23">
        <v>549.27</v>
      </c>
      <c r="U480" s="47">
        <v>44651</v>
      </c>
      <c r="V480" s="23" t="s">
        <v>123</v>
      </c>
      <c r="W480" s="23" t="s">
        <v>23</v>
      </c>
      <c r="X480" s="28">
        <v>44628.489583333336</v>
      </c>
      <c r="Y480" s="23">
        <v>31.675000000000001</v>
      </c>
      <c r="Z480" s="28">
        <v>44628.604166666664</v>
      </c>
      <c r="AA480" s="23">
        <v>30.925000000000001</v>
      </c>
      <c r="AB480" s="33">
        <v>-2.3699999999999999E-2</v>
      </c>
      <c r="AC480" s="23">
        <v>1320.86</v>
      </c>
      <c r="AD480" s="33">
        <v>2.3699999999999999E-2</v>
      </c>
      <c r="AE480" s="23">
        <v>1761.144</v>
      </c>
      <c r="AF480" s="23">
        <v>55784.24</v>
      </c>
      <c r="AG480" s="23">
        <v>1157178.6200000001</v>
      </c>
      <c r="AH480" s="23">
        <v>12</v>
      </c>
      <c r="AI480" s="23">
        <v>110.07</v>
      </c>
      <c r="AJ480" s="33">
        <v>-6.4699999999999994E-2</v>
      </c>
      <c r="AK480" s="33">
        <v>0.1105</v>
      </c>
      <c r="AL480" s="23" t="s">
        <v>24</v>
      </c>
      <c r="AM480" s="23">
        <v>534.41999999999996</v>
      </c>
      <c r="AN480" s="23">
        <v>32226.55</v>
      </c>
      <c r="AO480" s="23">
        <v>549.27</v>
      </c>
      <c r="AQ480" s="50">
        <f t="shared" si="7"/>
        <v>5.9269862654840764E-2</v>
      </c>
      <c r="AR480" s="50"/>
      <c r="AS480" s="48"/>
      <c r="AT480" s="50"/>
      <c r="AV480" s="47">
        <v>44628</v>
      </c>
      <c r="AW480" s="51">
        <v>0.48958333333333331</v>
      </c>
      <c r="AX480" t="s">
        <v>162</v>
      </c>
    </row>
    <row r="481" spans="1:50">
      <c r="A481" s="23" t="s">
        <v>22</v>
      </c>
      <c r="B481" s="23" t="s">
        <v>25</v>
      </c>
      <c r="C481" s="28">
        <v>44628.604166666664</v>
      </c>
      <c r="D481" s="23">
        <v>539.02499999999998</v>
      </c>
      <c r="E481" s="28">
        <v>44630.572916666664</v>
      </c>
      <c r="F481" s="23">
        <v>586</v>
      </c>
      <c r="G481" s="33">
        <v>8.7099999999999997E-2</v>
      </c>
      <c r="H481" s="23">
        <v>4377.66</v>
      </c>
      <c r="I481" s="33">
        <v>8.7099999999999997E-2</v>
      </c>
      <c r="J481" s="23">
        <v>93.191180000000003</v>
      </c>
      <c r="K481" s="23">
        <v>50232.38</v>
      </c>
      <c r="L481" s="23">
        <v>50486.44</v>
      </c>
      <c r="M481" s="23">
        <v>54</v>
      </c>
      <c r="N481" s="23">
        <v>81.069999999999993</v>
      </c>
      <c r="O481" s="33">
        <v>-7.4999999999999997E-3</v>
      </c>
      <c r="P481" s="33">
        <v>0.1085</v>
      </c>
      <c r="Q481" s="23" t="s">
        <v>24</v>
      </c>
      <c r="R481" s="23">
        <v>0</v>
      </c>
      <c r="S481" s="23">
        <v>529.97</v>
      </c>
      <c r="U481" s="47">
        <v>44651</v>
      </c>
      <c r="V481" s="23" t="s">
        <v>122</v>
      </c>
      <c r="W481" s="23" t="s">
        <v>23</v>
      </c>
      <c r="X481" s="28">
        <v>44628.604166666664</v>
      </c>
      <c r="Y481" s="23">
        <v>31.75</v>
      </c>
      <c r="Z481" s="28">
        <v>44630.572916666664</v>
      </c>
      <c r="AA481" s="23">
        <v>11.775</v>
      </c>
      <c r="AB481" s="33">
        <v>-0.62909999999999999</v>
      </c>
      <c r="AC481" s="23">
        <v>35100.81</v>
      </c>
      <c r="AD481" s="33">
        <v>0.62909999999999999</v>
      </c>
      <c r="AE481" s="23">
        <v>1757.2370000000001</v>
      </c>
      <c r="AF481" s="23">
        <v>55792.28</v>
      </c>
      <c r="AG481" s="23">
        <v>1192279.43</v>
      </c>
      <c r="AH481" s="23">
        <v>54</v>
      </c>
      <c r="AI481" s="23">
        <v>650.02</v>
      </c>
      <c r="AJ481" s="33">
        <v>-5.67E-2</v>
      </c>
      <c r="AK481" s="33">
        <v>0.74719999999999998</v>
      </c>
      <c r="AL481" s="23" t="s">
        <v>24</v>
      </c>
      <c r="AM481" s="23">
        <v>539.03</v>
      </c>
      <c r="AN481" s="23">
        <v>32865.9</v>
      </c>
      <c r="AO481" s="23">
        <v>529.97</v>
      </c>
      <c r="AQ481" s="50">
        <f t="shared" si="7"/>
        <v>5.8902101923826132E-2</v>
      </c>
      <c r="AR481" s="50"/>
      <c r="AS481" s="48"/>
      <c r="AT481" s="50"/>
      <c r="AV481" s="47">
        <v>44628</v>
      </c>
      <c r="AW481" s="51">
        <v>0.10416666666666667</v>
      </c>
      <c r="AX481" t="s">
        <v>163</v>
      </c>
    </row>
    <row r="482" spans="1:50">
      <c r="A482" s="23" t="s">
        <v>22</v>
      </c>
      <c r="B482" s="23" t="s">
        <v>23</v>
      </c>
      <c r="C482" s="28">
        <v>44630.572916666664</v>
      </c>
      <c r="D482" s="23">
        <v>586</v>
      </c>
      <c r="E482" s="28">
        <v>44631.395833333336</v>
      </c>
      <c r="F482" s="23">
        <v>590.20000000000005</v>
      </c>
      <c r="G482" s="33">
        <v>7.1999999999999998E-3</v>
      </c>
      <c r="H482" s="23">
        <v>-360.18</v>
      </c>
      <c r="I482" s="33">
        <v>-7.1999999999999998E-3</v>
      </c>
      <c r="J482" s="23">
        <v>85.756590000000003</v>
      </c>
      <c r="K482" s="23">
        <v>50253.36</v>
      </c>
      <c r="L482" s="23">
        <v>50126.27</v>
      </c>
      <c r="M482" s="23">
        <v>12</v>
      </c>
      <c r="N482" s="23">
        <v>-30.01</v>
      </c>
      <c r="O482" s="33">
        <v>-7.1999999999999998E-3</v>
      </c>
      <c r="P482" s="33">
        <v>2.2100000000000002E-2</v>
      </c>
      <c r="Q482" s="23" t="s">
        <v>24</v>
      </c>
      <c r="R482" s="23">
        <v>0</v>
      </c>
      <c r="S482" s="23">
        <v>597.24</v>
      </c>
      <c r="U482" s="47">
        <v>44651</v>
      </c>
      <c r="V482" s="23" t="s">
        <v>115</v>
      </c>
      <c r="W482" s="23" t="s">
        <v>23</v>
      </c>
      <c r="X482" s="28">
        <v>44630.572916666664</v>
      </c>
      <c r="Y482" s="23">
        <v>25.725000000000001</v>
      </c>
      <c r="Z482" s="28">
        <v>44631.395833333336</v>
      </c>
      <c r="AA482" s="23">
        <v>29.8</v>
      </c>
      <c r="AB482" s="33">
        <v>0.15840000000000001</v>
      </c>
      <c r="AC482" s="23">
        <v>-8865.02</v>
      </c>
      <c r="AD482" s="33">
        <v>-0.15840000000000001</v>
      </c>
      <c r="AE482" s="23">
        <v>2175.4639999999999</v>
      </c>
      <c r="AF482" s="23">
        <v>55963.82</v>
      </c>
      <c r="AG482" s="23">
        <v>1183414.42</v>
      </c>
      <c r="AH482" s="23">
        <v>12</v>
      </c>
      <c r="AI482" s="23">
        <v>-738.75</v>
      </c>
      <c r="AJ482" s="33">
        <v>-0.15840000000000001</v>
      </c>
      <c r="AK482" s="33">
        <v>0.1681</v>
      </c>
      <c r="AL482" s="23" t="s">
        <v>24</v>
      </c>
      <c r="AM482" s="23">
        <v>586</v>
      </c>
      <c r="AN482" s="23">
        <v>34459.199999999997</v>
      </c>
      <c r="AO482" s="23">
        <v>597.24</v>
      </c>
      <c r="AQ482" s="50">
        <f t="shared" si="7"/>
        <v>4.3899317406143348E-2</v>
      </c>
      <c r="AR482" s="50"/>
      <c r="AS482" s="48"/>
      <c r="AT482" s="50"/>
      <c r="AV482" s="47">
        <v>44630</v>
      </c>
      <c r="AW482" s="51">
        <v>7.2916666666666671E-2</v>
      </c>
      <c r="AX482" t="s">
        <v>163</v>
      </c>
    </row>
    <row r="483" spans="1:50">
      <c r="A483" s="23" t="s">
        <v>22</v>
      </c>
      <c r="B483" s="23" t="s">
        <v>25</v>
      </c>
      <c r="C483" s="28">
        <v>44631.395833333336</v>
      </c>
      <c r="D483" s="23">
        <v>590.20000000000005</v>
      </c>
      <c r="E483" s="28">
        <v>44631.572916666664</v>
      </c>
      <c r="F483" s="23">
        <v>586.125</v>
      </c>
      <c r="G483" s="33">
        <v>-6.8999999999999999E-3</v>
      </c>
      <c r="H483" s="23">
        <v>-346.98</v>
      </c>
      <c r="I483" s="33">
        <v>-6.8999999999999999E-3</v>
      </c>
      <c r="J483" s="23">
        <v>85.147890000000004</v>
      </c>
      <c r="K483" s="23">
        <v>50254.29</v>
      </c>
      <c r="L483" s="23">
        <v>49779.29</v>
      </c>
      <c r="M483" s="23">
        <v>18</v>
      </c>
      <c r="N483" s="23">
        <v>-19.28</v>
      </c>
      <c r="O483" s="33">
        <v>-2.07E-2</v>
      </c>
      <c r="P483" s="33">
        <v>2.7000000000000001E-3</v>
      </c>
      <c r="Q483" s="23" t="s">
        <v>24</v>
      </c>
      <c r="R483" s="23">
        <v>0</v>
      </c>
      <c r="S483" s="23">
        <v>573.34</v>
      </c>
      <c r="U483" s="47">
        <v>44651</v>
      </c>
      <c r="V483" s="23" t="s">
        <v>116</v>
      </c>
      <c r="W483" s="23" t="s">
        <v>23</v>
      </c>
      <c r="X483" s="28">
        <v>44631.395833333336</v>
      </c>
      <c r="Y483" s="23">
        <v>26.35</v>
      </c>
      <c r="Z483" s="28">
        <v>44631.572916666664</v>
      </c>
      <c r="AA483" s="23">
        <v>28.5</v>
      </c>
      <c r="AB483" s="33">
        <v>8.1600000000000006E-2</v>
      </c>
      <c r="AC483" s="23">
        <v>-4566.75</v>
      </c>
      <c r="AD483" s="33">
        <v>-8.1600000000000006E-2</v>
      </c>
      <c r="AE483" s="23">
        <v>2124.0720000000001</v>
      </c>
      <c r="AF483" s="23">
        <v>55969.29</v>
      </c>
      <c r="AG483" s="23">
        <v>1178847.6599999999</v>
      </c>
      <c r="AH483" s="23">
        <v>18</v>
      </c>
      <c r="AI483" s="23">
        <v>-253.71</v>
      </c>
      <c r="AJ483" s="33">
        <v>-0.21920000000000001</v>
      </c>
      <c r="AK483" s="33">
        <v>1.3299999999999999E-2</v>
      </c>
      <c r="AL483" s="23" t="s">
        <v>24</v>
      </c>
      <c r="AM483" s="23">
        <v>590.20000000000005</v>
      </c>
      <c r="AN483" s="23">
        <v>34654.9</v>
      </c>
      <c r="AO483" s="23">
        <v>573.34</v>
      </c>
      <c r="AQ483" s="50">
        <f t="shared" si="7"/>
        <v>4.464588275160962E-2</v>
      </c>
      <c r="AR483" s="50"/>
      <c r="AS483" s="48"/>
      <c r="AT483" s="50"/>
      <c r="AV483" s="47">
        <v>44631</v>
      </c>
      <c r="AW483" s="51">
        <v>0.39583333333333331</v>
      </c>
      <c r="AX483" t="s">
        <v>162</v>
      </c>
    </row>
    <row r="484" spans="1:50">
      <c r="A484" s="23" t="s">
        <v>22</v>
      </c>
      <c r="B484" s="23" t="s">
        <v>23</v>
      </c>
      <c r="C484" s="28">
        <v>44631.572916666664</v>
      </c>
      <c r="D484" s="23">
        <v>586.125</v>
      </c>
      <c r="E484" s="28">
        <v>44631.59375</v>
      </c>
      <c r="F484" s="23">
        <v>590.22500000000002</v>
      </c>
      <c r="G484" s="33">
        <v>7.0000000000000001E-3</v>
      </c>
      <c r="H484" s="23">
        <v>-351.49</v>
      </c>
      <c r="I484" s="33">
        <v>-7.0000000000000001E-3</v>
      </c>
      <c r="J484" s="23">
        <v>85.729969999999994</v>
      </c>
      <c r="K484" s="23">
        <v>50248.480000000003</v>
      </c>
      <c r="L484" s="23">
        <v>49427.8</v>
      </c>
      <c r="M484" s="23">
        <v>3</v>
      </c>
      <c r="N484" s="23">
        <v>-117.16</v>
      </c>
      <c r="O484" s="33">
        <v>-7.0000000000000001E-3</v>
      </c>
      <c r="P484" s="33">
        <v>3.8999999999999998E-3</v>
      </c>
      <c r="Q484" s="23" t="s">
        <v>24</v>
      </c>
      <c r="R484" s="23">
        <v>0</v>
      </c>
      <c r="S484" s="23">
        <v>591.46</v>
      </c>
      <c r="U484" s="47">
        <v>44651</v>
      </c>
      <c r="V484" s="23" t="s">
        <v>104</v>
      </c>
      <c r="W484" s="23" t="s">
        <v>23</v>
      </c>
      <c r="X484" s="28">
        <v>44631.572916666664</v>
      </c>
      <c r="Y484" s="23">
        <v>30.225000000000001</v>
      </c>
      <c r="Z484" s="28">
        <v>44631.59375</v>
      </c>
      <c r="AA484" s="23">
        <v>35.475000000000001</v>
      </c>
      <c r="AB484" s="33">
        <v>0.17369999999999999</v>
      </c>
      <c r="AC484" s="23">
        <v>-9711.31</v>
      </c>
      <c r="AD484" s="33">
        <v>-0.17369999999999999</v>
      </c>
      <c r="AE484" s="23">
        <v>1849.7719999999999</v>
      </c>
      <c r="AF484" s="23">
        <v>55909.38</v>
      </c>
      <c r="AG484" s="23">
        <v>1169136.3600000001</v>
      </c>
      <c r="AH484" s="23">
        <v>3</v>
      </c>
      <c r="AI484" s="23">
        <v>-3237.1</v>
      </c>
      <c r="AJ484" s="33">
        <v>-0.17369999999999999</v>
      </c>
      <c r="AK484" s="33">
        <v>0</v>
      </c>
      <c r="AL484" s="23" t="s">
        <v>24</v>
      </c>
      <c r="AM484" s="23">
        <v>586.13</v>
      </c>
      <c r="AN484" s="23">
        <v>34420.25</v>
      </c>
      <c r="AO484" s="23">
        <v>591.46</v>
      </c>
      <c r="AQ484" s="50">
        <f t="shared" si="7"/>
        <v>5.1567058502380018E-2</v>
      </c>
      <c r="AR484" s="50"/>
      <c r="AS484" s="48"/>
      <c r="AT484" s="50"/>
      <c r="AV484" s="47">
        <v>44631</v>
      </c>
      <c r="AW484" s="51">
        <v>7.2916666666666671E-2</v>
      </c>
      <c r="AX484" t="s">
        <v>163</v>
      </c>
    </row>
    <row r="485" spans="1:50">
      <c r="A485" s="23" t="s">
        <v>22</v>
      </c>
      <c r="B485" s="23" t="s">
        <v>25</v>
      </c>
      <c r="C485" s="28">
        <v>44631.59375</v>
      </c>
      <c r="D485" s="23">
        <v>590.22500000000002</v>
      </c>
      <c r="E485" s="28">
        <v>44634.447916666664</v>
      </c>
      <c r="F485" s="23">
        <v>586.25</v>
      </c>
      <c r="G485" s="33">
        <v>-6.7000000000000002E-3</v>
      </c>
      <c r="H485" s="23">
        <v>-338.41</v>
      </c>
      <c r="I485" s="33">
        <v>-6.7000000000000002E-3</v>
      </c>
      <c r="J485" s="23">
        <v>85.135230000000007</v>
      </c>
      <c r="K485" s="23">
        <v>50248.94</v>
      </c>
      <c r="L485" s="23">
        <v>49089.38</v>
      </c>
      <c r="M485" s="23">
        <v>15</v>
      </c>
      <c r="N485" s="23">
        <v>-22.56</v>
      </c>
      <c r="O485" s="33">
        <v>-6.8999999999999999E-3</v>
      </c>
      <c r="P485" s="33">
        <v>1.9900000000000001E-2</v>
      </c>
      <c r="Q485" s="23" t="s">
        <v>24</v>
      </c>
      <c r="R485" s="23">
        <v>0</v>
      </c>
      <c r="S485" s="23">
        <v>584.02</v>
      </c>
      <c r="U485" s="47">
        <v>44651</v>
      </c>
      <c r="V485" s="23" t="s">
        <v>106</v>
      </c>
      <c r="W485" s="23" t="s">
        <v>23</v>
      </c>
      <c r="X485" s="28">
        <v>44631.59375</v>
      </c>
      <c r="Y485" s="23">
        <v>11</v>
      </c>
      <c r="Z485" s="28">
        <v>44634.447916666664</v>
      </c>
      <c r="AA485" s="23">
        <v>13.05</v>
      </c>
      <c r="AB485" s="33">
        <v>0.18640000000000001</v>
      </c>
      <c r="AC485" s="23">
        <v>-10416.01</v>
      </c>
      <c r="AD485" s="33">
        <v>-0.18640000000000001</v>
      </c>
      <c r="AE485" s="23">
        <v>5080.9790000000003</v>
      </c>
      <c r="AF485" s="23">
        <v>55890.77</v>
      </c>
      <c r="AG485" s="23">
        <v>1158720.3500000001</v>
      </c>
      <c r="AH485" s="23">
        <v>15</v>
      </c>
      <c r="AI485" s="23">
        <v>-694.4</v>
      </c>
      <c r="AJ485" s="33">
        <v>-0.18640000000000001</v>
      </c>
      <c r="AK485" s="33">
        <v>0.19089999999999999</v>
      </c>
      <c r="AL485" s="23" t="s">
        <v>24</v>
      </c>
      <c r="AM485" s="23">
        <v>590.22</v>
      </c>
      <c r="AN485" s="23">
        <v>34470.800000000003</v>
      </c>
      <c r="AO485" s="23">
        <v>584.02</v>
      </c>
      <c r="AQ485" s="50">
        <f t="shared" si="7"/>
        <v>1.8637118362644436E-2</v>
      </c>
      <c r="AR485" s="50"/>
      <c r="AS485" s="48"/>
      <c r="AT485" s="50"/>
      <c r="AV485" s="47">
        <v>44631</v>
      </c>
      <c r="AW485" s="51">
        <v>9.375E-2</v>
      </c>
      <c r="AX485" t="s">
        <v>163</v>
      </c>
    </row>
    <row r="486" spans="1:50">
      <c r="A486" s="23" t="s">
        <v>22</v>
      </c>
      <c r="B486" s="23" t="s">
        <v>23</v>
      </c>
      <c r="C486" s="28">
        <v>44634.447916666664</v>
      </c>
      <c r="D486" s="23">
        <v>586.25</v>
      </c>
      <c r="E486" s="28">
        <v>44634.625</v>
      </c>
      <c r="F486" s="23">
        <v>560.5</v>
      </c>
      <c r="G486" s="33">
        <v>-4.3900000000000002E-2</v>
      </c>
      <c r="H486" s="23">
        <v>2207.12</v>
      </c>
      <c r="I486" s="33">
        <v>4.3900000000000002E-2</v>
      </c>
      <c r="J486" s="23">
        <v>85.713489999999993</v>
      </c>
      <c r="K486" s="23">
        <v>50249.54</v>
      </c>
      <c r="L486" s="23">
        <v>51296.51</v>
      </c>
      <c r="M486" s="23">
        <v>18</v>
      </c>
      <c r="N486" s="23">
        <v>122.62</v>
      </c>
      <c r="O486" s="33">
        <v>-1.66E-2</v>
      </c>
      <c r="P486" s="33">
        <v>8.2199999999999995E-2</v>
      </c>
      <c r="Q486" s="23" t="s">
        <v>24</v>
      </c>
      <c r="R486" s="23">
        <v>0</v>
      </c>
      <c r="S486" s="23">
        <v>601.55999999999995</v>
      </c>
      <c r="U486" s="47">
        <v>44651</v>
      </c>
      <c r="V486" s="23" t="s">
        <v>115</v>
      </c>
      <c r="W486" s="23" t="s">
        <v>23</v>
      </c>
      <c r="X486" s="28">
        <v>44634.447916666664</v>
      </c>
      <c r="Y486" s="23">
        <v>24.475000000000001</v>
      </c>
      <c r="Z486" s="28">
        <v>44634.625</v>
      </c>
      <c r="AA486" s="23">
        <v>18.475000000000001</v>
      </c>
      <c r="AB486" s="33">
        <v>-0.24510000000000001</v>
      </c>
      <c r="AC486" s="23">
        <v>13700.89</v>
      </c>
      <c r="AD486" s="33">
        <v>0.24510000000000001</v>
      </c>
      <c r="AE486" s="23">
        <v>2283.482</v>
      </c>
      <c r="AF486" s="23">
        <v>55888.23</v>
      </c>
      <c r="AG486" s="23">
        <v>1172421.25</v>
      </c>
      <c r="AH486" s="23">
        <v>18</v>
      </c>
      <c r="AI486" s="23">
        <v>761.16</v>
      </c>
      <c r="AJ486" s="33">
        <v>-0.23899999999999999</v>
      </c>
      <c r="AK486" s="33">
        <v>0.59650000000000003</v>
      </c>
      <c r="AL486" s="23" t="s">
        <v>24</v>
      </c>
      <c r="AM486" s="23">
        <v>586.25</v>
      </c>
      <c r="AN486" s="23">
        <v>34942.6</v>
      </c>
      <c r="AO486" s="23">
        <v>601.55999999999995</v>
      </c>
      <c r="AQ486" s="50">
        <f t="shared" si="7"/>
        <v>4.1748400852878467E-2</v>
      </c>
      <c r="AR486" s="50"/>
      <c r="AS486" s="48"/>
      <c r="AT486" s="50"/>
      <c r="AV486" s="47">
        <v>44634</v>
      </c>
      <c r="AW486" s="51">
        <v>0.44791666666666669</v>
      </c>
      <c r="AX486" t="s">
        <v>162</v>
      </c>
    </row>
    <row r="487" spans="1:50">
      <c r="A487" s="23" t="s">
        <v>22</v>
      </c>
      <c r="B487" s="23" t="s">
        <v>25</v>
      </c>
      <c r="C487" s="28">
        <v>44634.625</v>
      </c>
      <c r="D487" s="23">
        <v>560.5</v>
      </c>
      <c r="E487" s="28">
        <v>44636.427083333336</v>
      </c>
      <c r="F487" s="23">
        <v>583.125</v>
      </c>
      <c r="G487" s="33">
        <v>4.0399999999999998E-2</v>
      </c>
      <c r="H487" s="23">
        <v>2028.61</v>
      </c>
      <c r="I487" s="33">
        <v>4.0399999999999998E-2</v>
      </c>
      <c r="J487" s="23">
        <v>89.662499999999994</v>
      </c>
      <c r="K487" s="23">
        <v>50255.83</v>
      </c>
      <c r="L487" s="23">
        <v>53325.120000000003</v>
      </c>
      <c r="M487" s="23">
        <v>38</v>
      </c>
      <c r="N487" s="23">
        <v>53.38</v>
      </c>
      <c r="O487" s="33">
        <v>-3.5999999999999999E-3</v>
      </c>
      <c r="P487" s="33">
        <v>6.59E-2</v>
      </c>
      <c r="Q487" s="23" t="s">
        <v>24</v>
      </c>
      <c r="R487" s="23">
        <v>0</v>
      </c>
      <c r="S487" s="23">
        <v>539.02</v>
      </c>
      <c r="U487" s="47">
        <v>44651</v>
      </c>
      <c r="V487" s="23" t="s">
        <v>140</v>
      </c>
      <c r="W487" s="23" t="s">
        <v>23</v>
      </c>
      <c r="X487" s="28">
        <v>44634.625</v>
      </c>
      <c r="Y487" s="23">
        <v>32.174999999999997</v>
      </c>
      <c r="Z487" s="28">
        <v>44636.427083333336</v>
      </c>
      <c r="AA487" s="23">
        <v>17.675000000000001</v>
      </c>
      <c r="AB487" s="33">
        <v>-0.45069999999999999</v>
      </c>
      <c r="AC487" s="23">
        <v>25174.07</v>
      </c>
      <c r="AD487" s="33">
        <v>0.45069999999999999</v>
      </c>
      <c r="AE487" s="23">
        <v>1736.143</v>
      </c>
      <c r="AF487" s="23">
        <v>55860.39</v>
      </c>
      <c r="AG487" s="23">
        <v>1197595.32</v>
      </c>
      <c r="AH487" s="23">
        <v>38</v>
      </c>
      <c r="AI487" s="23">
        <v>662.48</v>
      </c>
      <c r="AJ487" s="33">
        <v>-6.6799999999999998E-2</v>
      </c>
      <c r="AK487" s="33">
        <v>0.59599999999999997</v>
      </c>
      <c r="AL487" s="23" t="s">
        <v>24</v>
      </c>
      <c r="AM487" s="23">
        <v>560.5</v>
      </c>
      <c r="AN487" s="23">
        <v>35322.050000000003</v>
      </c>
      <c r="AO487" s="23">
        <v>539.02</v>
      </c>
      <c r="AQ487" s="50">
        <f t="shared" si="7"/>
        <v>5.7404103479036572E-2</v>
      </c>
      <c r="AR487" s="50"/>
      <c r="AS487" s="48"/>
      <c r="AT487" s="50"/>
      <c r="AV487" s="47">
        <v>44634</v>
      </c>
      <c r="AW487" s="51">
        <v>0.125</v>
      </c>
      <c r="AX487" t="s">
        <v>163</v>
      </c>
    </row>
    <row r="488" spans="1:50">
      <c r="A488" s="23" t="s">
        <v>22</v>
      </c>
      <c r="B488" s="23" t="s">
        <v>23</v>
      </c>
      <c r="C488" s="28">
        <v>44636.427083333336</v>
      </c>
      <c r="D488" s="23">
        <v>583.125</v>
      </c>
      <c r="E488" s="28">
        <v>44636.53125</v>
      </c>
      <c r="F488" s="23">
        <v>590.25</v>
      </c>
      <c r="G488" s="33">
        <v>1.2200000000000001E-2</v>
      </c>
      <c r="H488" s="23">
        <v>-614.20000000000005</v>
      </c>
      <c r="I488" s="33">
        <v>-1.2200000000000001E-2</v>
      </c>
      <c r="J488" s="23">
        <v>86.204089999999994</v>
      </c>
      <c r="K488" s="23">
        <v>50267.76</v>
      </c>
      <c r="L488" s="23">
        <v>52710.92</v>
      </c>
      <c r="M488" s="23">
        <v>11</v>
      </c>
      <c r="N488" s="23">
        <v>-55.84</v>
      </c>
      <c r="O488" s="33">
        <v>-1.2200000000000001E-2</v>
      </c>
      <c r="P488" s="33">
        <v>3.8999999999999998E-3</v>
      </c>
      <c r="Q488" s="23" t="s">
        <v>24</v>
      </c>
      <c r="R488" s="23">
        <v>0</v>
      </c>
      <c r="S488" s="23">
        <v>597.15</v>
      </c>
      <c r="U488" s="47">
        <v>44651</v>
      </c>
      <c r="V488" s="23" t="s">
        <v>104</v>
      </c>
      <c r="W488" s="23" t="s">
        <v>23</v>
      </c>
      <c r="X488" s="28">
        <v>44636.427083333336</v>
      </c>
      <c r="Y488" s="23">
        <v>27.675000000000001</v>
      </c>
      <c r="Z488" s="28">
        <v>44636.53125</v>
      </c>
      <c r="AA488" s="23">
        <v>31.774999999999999</v>
      </c>
      <c r="AB488" s="33">
        <v>0.14810000000000001</v>
      </c>
      <c r="AC488" s="23">
        <v>-8296.2199999999993</v>
      </c>
      <c r="AD488" s="33">
        <v>-0.14810000000000001</v>
      </c>
      <c r="AE488" s="23">
        <v>2023.4680000000001</v>
      </c>
      <c r="AF488" s="23">
        <v>55999.48</v>
      </c>
      <c r="AG488" s="23">
        <v>1189299.1000000001</v>
      </c>
      <c r="AH488" s="23">
        <v>11</v>
      </c>
      <c r="AI488" s="23">
        <v>-754.2</v>
      </c>
      <c r="AJ488" s="33">
        <v>-0.14810000000000001</v>
      </c>
      <c r="AK488" s="33">
        <v>5.2400000000000002E-2</v>
      </c>
      <c r="AL488" s="23" t="s">
        <v>24</v>
      </c>
      <c r="AM488" s="23">
        <v>583.13</v>
      </c>
      <c r="AN488" s="23">
        <v>35578.400000000001</v>
      </c>
      <c r="AO488" s="23">
        <v>597.15</v>
      </c>
      <c r="AQ488" s="50">
        <f t="shared" si="7"/>
        <v>4.7459400133760911E-2</v>
      </c>
      <c r="AR488" s="50"/>
      <c r="AS488" s="48"/>
      <c r="AT488" s="50"/>
      <c r="AV488" s="47">
        <v>44636</v>
      </c>
      <c r="AW488" s="51">
        <v>0.42708333333333331</v>
      </c>
      <c r="AX488" t="s">
        <v>162</v>
      </c>
    </row>
    <row r="489" spans="1:50">
      <c r="A489" s="23" t="s">
        <v>22</v>
      </c>
      <c r="B489" s="23" t="s">
        <v>25</v>
      </c>
      <c r="C489" s="28">
        <v>44636.53125</v>
      </c>
      <c r="D489" s="23">
        <v>590.25</v>
      </c>
      <c r="E489" s="28">
        <v>44637.46875</v>
      </c>
      <c r="F489" s="23">
        <v>593.17499999999995</v>
      </c>
      <c r="G489" s="33">
        <v>5.0000000000000001E-3</v>
      </c>
      <c r="H489" s="23">
        <v>249.09</v>
      </c>
      <c r="I489" s="33">
        <v>5.0000000000000001E-3</v>
      </c>
      <c r="J489" s="23">
        <v>85.158919999999995</v>
      </c>
      <c r="K489" s="23">
        <v>50265.05</v>
      </c>
      <c r="L489" s="23">
        <v>52960.01</v>
      </c>
      <c r="M489" s="23">
        <v>23</v>
      </c>
      <c r="N489" s="23">
        <v>10.83</v>
      </c>
      <c r="O489" s="33">
        <v>-8.5000000000000006E-3</v>
      </c>
      <c r="P489" s="33">
        <v>2.0799999999999999E-2</v>
      </c>
      <c r="Q489" s="23" t="s">
        <v>24</v>
      </c>
      <c r="R489" s="23">
        <v>0</v>
      </c>
      <c r="S489" s="23">
        <v>580.83000000000004</v>
      </c>
      <c r="U489" s="47">
        <v>44651</v>
      </c>
      <c r="V489" s="23" t="s">
        <v>116</v>
      </c>
      <c r="W489" s="23" t="s">
        <v>23</v>
      </c>
      <c r="X489" s="28">
        <v>44636.53125</v>
      </c>
      <c r="Y489" s="23">
        <v>25.1</v>
      </c>
      <c r="Z489" s="28">
        <v>44637.46875</v>
      </c>
      <c r="AA489" s="23">
        <v>20.75</v>
      </c>
      <c r="AB489" s="33">
        <v>-0.17330000000000001</v>
      </c>
      <c r="AC489" s="23">
        <v>9700.68</v>
      </c>
      <c r="AD489" s="33">
        <v>0.17330000000000001</v>
      </c>
      <c r="AE489" s="23">
        <v>2230.0419999999999</v>
      </c>
      <c r="AF489" s="23">
        <v>55974.07</v>
      </c>
      <c r="AG489" s="23">
        <v>1198999.78</v>
      </c>
      <c r="AH489" s="23">
        <v>23</v>
      </c>
      <c r="AI489" s="23">
        <v>421.77</v>
      </c>
      <c r="AJ489" s="33">
        <v>-9.5600000000000004E-2</v>
      </c>
      <c r="AK489" s="33">
        <v>0.31969999999999998</v>
      </c>
      <c r="AL489" s="23" t="s">
        <v>24</v>
      </c>
      <c r="AM489" s="23">
        <v>590.25</v>
      </c>
      <c r="AN489" s="23">
        <v>35679.65</v>
      </c>
      <c r="AO489" s="23">
        <v>580.83000000000004</v>
      </c>
      <c r="AQ489" s="50">
        <f t="shared" si="7"/>
        <v>4.2524354087251165E-2</v>
      </c>
      <c r="AR489" s="50"/>
      <c r="AS489" s="48"/>
      <c r="AT489" s="50"/>
      <c r="AV489" s="47">
        <v>44636</v>
      </c>
      <c r="AW489" s="51">
        <v>0.53125</v>
      </c>
      <c r="AX489" t="s">
        <v>163</v>
      </c>
    </row>
    <row r="490" spans="1:50">
      <c r="A490" s="23" t="s">
        <v>22</v>
      </c>
      <c r="B490" s="23" t="s">
        <v>23</v>
      </c>
      <c r="C490" s="28">
        <v>44637.46875</v>
      </c>
      <c r="D490" s="23">
        <v>593.17499999999995</v>
      </c>
      <c r="E490" s="28">
        <v>44641.447916666664</v>
      </c>
      <c r="F490" s="23">
        <v>584.52499999999998</v>
      </c>
      <c r="G490" s="33">
        <v>-1.46E-2</v>
      </c>
      <c r="H490" s="23">
        <v>732.99</v>
      </c>
      <c r="I490" s="33">
        <v>1.46E-2</v>
      </c>
      <c r="J490" s="23">
        <v>84.738529999999997</v>
      </c>
      <c r="K490" s="23">
        <v>50264.78</v>
      </c>
      <c r="L490" s="23">
        <v>53692.99</v>
      </c>
      <c r="M490" s="23">
        <v>27</v>
      </c>
      <c r="N490" s="23">
        <v>27.15</v>
      </c>
      <c r="O490" s="33">
        <v>-1.5E-3</v>
      </c>
      <c r="P490" s="33">
        <v>3.9100000000000003E-2</v>
      </c>
      <c r="Q490" s="23" t="s">
        <v>24</v>
      </c>
      <c r="R490" s="23">
        <v>0</v>
      </c>
      <c r="S490" s="23">
        <v>602.5</v>
      </c>
      <c r="U490" s="47">
        <v>44651</v>
      </c>
      <c r="V490" s="23" t="s">
        <v>115</v>
      </c>
      <c r="W490" s="23" t="s">
        <v>23</v>
      </c>
      <c r="X490" s="28">
        <v>44637.46875</v>
      </c>
      <c r="Y490" s="23">
        <v>25.15</v>
      </c>
      <c r="Z490" s="28">
        <v>44641.447916666664</v>
      </c>
      <c r="AA490" s="23">
        <v>20.725000000000001</v>
      </c>
      <c r="AB490" s="33">
        <v>-0.1759</v>
      </c>
      <c r="AC490" s="23">
        <v>9853.18</v>
      </c>
      <c r="AD490" s="33">
        <v>0.1759</v>
      </c>
      <c r="AE490" s="23">
        <v>2226.7069999999999</v>
      </c>
      <c r="AF490" s="23">
        <v>56001.69</v>
      </c>
      <c r="AG490" s="23">
        <v>1208852.96</v>
      </c>
      <c r="AH490" s="23">
        <v>27</v>
      </c>
      <c r="AI490" s="23">
        <v>364.93</v>
      </c>
      <c r="AJ490" s="33">
        <v>0</v>
      </c>
      <c r="AK490" s="33">
        <v>0.45629999999999998</v>
      </c>
      <c r="AL490" s="23" t="s">
        <v>24</v>
      </c>
      <c r="AM490" s="23">
        <v>593.16999999999996</v>
      </c>
      <c r="AN490" s="23">
        <v>36534.15</v>
      </c>
      <c r="AO490" s="23">
        <v>602.5</v>
      </c>
      <c r="AQ490" s="50">
        <f t="shared" si="7"/>
        <v>4.2399312170204158E-2</v>
      </c>
      <c r="AR490" s="50"/>
      <c r="AS490" s="48"/>
      <c r="AT490" s="50"/>
      <c r="AV490" s="47">
        <v>44637</v>
      </c>
      <c r="AW490" s="51">
        <v>0.46875</v>
      </c>
      <c r="AX490" t="s">
        <v>162</v>
      </c>
    </row>
    <row r="491" spans="1:50">
      <c r="A491" s="23" t="s">
        <v>22</v>
      </c>
      <c r="B491" s="23" t="s">
        <v>25</v>
      </c>
      <c r="C491" s="28">
        <v>44641.447916666664</v>
      </c>
      <c r="D491" s="23">
        <v>584.52499999999998</v>
      </c>
      <c r="E491" s="28">
        <v>44642.385416666664</v>
      </c>
      <c r="F491" s="23">
        <v>585.9</v>
      </c>
      <c r="G491" s="33">
        <v>2.3999999999999998E-3</v>
      </c>
      <c r="H491" s="23">
        <v>118.25</v>
      </c>
      <c r="I491" s="33">
        <v>2.3999999999999998E-3</v>
      </c>
      <c r="J491" s="23">
        <v>85.999099999999999</v>
      </c>
      <c r="K491" s="23">
        <v>50268.63</v>
      </c>
      <c r="L491" s="23">
        <v>53811.24</v>
      </c>
      <c r="M491" s="23">
        <v>23</v>
      </c>
      <c r="N491" s="23">
        <v>5.14</v>
      </c>
      <c r="O491" s="33">
        <v>-5.1000000000000004E-3</v>
      </c>
      <c r="P491" s="33">
        <v>1.2699999999999999E-2</v>
      </c>
      <c r="Q491" s="23" t="s">
        <v>24</v>
      </c>
      <c r="R491" s="23">
        <v>0</v>
      </c>
      <c r="S491" s="23">
        <v>570.65</v>
      </c>
      <c r="U491" s="47">
        <v>44651</v>
      </c>
      <c r="V491" s="23" t="s">
        <v>148</v>
      </c>
      <c r="W491" s="23" t="s">
        <v>23</v>
      </c>
      <c r="X491" s="28">
        <v>44641.447916666664</v>
      </c>
      <c r="Y491" s="23">
        <v>19.100000000000001</v>
      </c>
      <c r="Z491" s="28">
        <v>44642.385416666664</v>
      </c>
      <c r="AA491" s="23">
        <v>18.5</v>
      </c>
      <c r="AB491" s="33">
        <v>-3.1399999999999997E-2</v>
      </c>
      <c r="AC491" s="23">
        <v>1760.59</v>
      </c>
      <c r="AD491" s="33">
        <v>3.1399999999999997E-2</v>
      </c>
      <c r="AE491" s="23">
        <v>2934.3130000000001</v>
      </c>
      <c r="AF491" s="23">
        <v>56045.38</v>
      </c>
      <c r="AG491" s="23">
        <v>1210613.55</v>
      </c>
      <c r="AH491" s="23">
        <v>23</v>
      </c>
      <c r="AI491" s="23">
        <v>76.55</v>
      </c>
      <c r="AJ491" s="33">
        <v>-8.2500000000000004E-2</v>
      </c>
      <c r="AK491" s="33">
        <v>0.1361</v>
      </c>
      <c r="AL491" s="23" t="s">
        <v>24</v>
      </c>
      <c r="AM491" s="23">
        <v>584.53</v>
      </c>
      <c r="AN491" s="23">
        <v>36200.15</v>
      </c>
      <c r="AO491" s="23">
        <v>570.65</v>
      </c>
      <c r="AQ491" s="50">
        <f t="shared" si="7"/>
        <v>3.2675825021812398E-2</v>
      </c>
      <c r="AR491" s="50"/>
      <c r="AS491" s="48"/>
      <c r="AT491" s="50"/>
      <c r="AV491" s="47">
        <v>44641</v>
      </c>
      <c r="AW491" s="51">
        <v>0.44791666666666669</v>
      </c>
      <c r="AX491" t="s">
        <v>162</v>
      </c>
    </row>
    <row r="492" spans="1:50">
      <c r="A492" s="23" t="s">
        <v>22</v>
      </c>
      <c r="B492" s="23" t="s">
        <v>23</v>
      </c>
      <c r="C492" s="28">
        <v>44642.385416666664</v>
      </c>
      <c r="D492" s="23">
        <v>585.9</v>
      </c>
      <c r="E492" s="28">
        <v>44642.40625</v>
      </c>
      <c r="F492" s="23">
        <v>590.02499999999998</v>
      </c>
      <c r="G492" s="33">
        <v>7.0000000000000001E-3</v>
      </c>
      <c r="H492" s="23">
        <v>-353.93</v>
      </c>
      <c r="I492" s="33">
        <v>-7.0000000000000001E-3</v>
      </c>
      <c r="J492" s="23">
        <v>85.800190000000001</v>
      </c>
      <c r="K492" s="23">
        <v>50270.34</v>
      </c>
      <c r="L492" s="23">
        <v>53457.32</v>
      </c>
      <c r="M492" s="23">
        <v>3</v>
      </c>
      <c r="N492" s="23">
        <v>-117.98</v>
      </c>
      <c r="O492" s="33">
        <v>-7.0000000000000001E-3</v>
      </c>
      <c r="P492" s="33">
        <v>5.1000000000000004E-3</v>
      </c>
      <c r="Q492" s="23" t="s">
        <v>24</v>
      </c>
      <c r="R492" s="23">
        <v>0</v>
      </c>
      <c r="S492" s="23">
        <v>591.57000000000005</v>
      </c>
      <c r="U492" s="47">
        <v>44651</v>
      </c>
      <c r="V492" s="23" t="s">
        <v>115</v>
      </c>
      <c r="W492" s="23" t="s">
        <v>23</v>
      </c>
      <c r="X492" s="28">
        <v>44642.385416666664</v>
      </c>
      <c r="Y492" s="23">
        <v>19.3</v>
      </c>
      <c r="Z492" s="28">
        <v>44642.40625</v>
      </c>
      <c r="AA492" s="23">
        <v>22.4</v>
      </c>
      <c r="AB492" s="33">
        <v>0.16059999999999999</v>
      </c>
      <c r="AC492" s="23">
        <v>-9004.52</v>
      </c>
      <c r="AD492" s="33">
        <v>-0.16059999999999999</v>
      </c>
      <c r="AE492" s="23">
        <v>2904.6840000000002</v>
      </c>
      <c r="AF492" s="23">
        <v>56060.41</v>
      </c>
      <c r="AG492" s="23">
        <v>1201609.03</v>
      </c>
      <c r="AH492" s="23">
        <v>3</v>
      </c>
      <c r="AI492" s="23">
        <v>-3001.51</v>
      </c>
      <c r="AJ492" s="33">
        <v>-0.16059999999999999</v>
      </c>
      <c r="AK492" s="33">
        <v>3.5000000000000003E-2</v>
      </c>
      <c r="AL492" s="23" t="s">
        <v>24</v>
      </c>
      <c r="AM492" s="23">
        <v>585.9</v>
      </c>
      <c r="AN492" s="23">
        <v>35706.050000000003</v>
      </c>
      <c r="AO492" s="23">
        <v>591.57000000000005</v>
      </c>
      <c r="AQ492" s="50">
        <f t="shared" si="7"/>
        <v>3.2940774876258752E-2</v>
      </c>
      <c r="AR492" s="50"/>
      <c r="AS492" s="48"/>
      <c r="AT492" s="50"/>
      <c r="AV492" s="47">
        <v>44642</v>
      </c>
      <c r="AW492" s="51">
        <v>0.38541666666666669</v>
      </c>
      <c r="AX492" t="s">
        <v>162</v>
      </c>
    </row>
    <row r="493" spans="1:50">
      <c r="A493" s="23" t="s">
        <v>22</v>
      </c>
      <c r="B493" s="23" t="s">
        <v>25</v>
      </c>
      <c r="C493" s="28">
        <v>44642.40625</v>
      </c>
      <c r="D493" s="23">
        <v>590.02499999999998</v>
      </c>
      <c r="E493" s="28">
        <v>44642.427083333336</v>
      </c>
      <c r="F493" s="23">
        <v>585.45000000000005</v>
      </c>
      <c r="G493" s="33">
        <v>-7.7999999999999996E-3</v>
      </c>
      <c r="H493" s="23">
        <v>-389.77</v>
      </c>
      <c r="I493" s="33">
        <v>-7.7999999999999996E-3</v>
      </c>
      <c r="J493" s="23">
        <v>85.196650000000005</v>
      </c>
      <c r="K493" s="23">
        <v>50268.15</v>
      </c>
      <c r="L493" s="23">
        <v>53067.54</v>
      </c>
      <c r="M493" s="23">
        <v>3</v>
      </c>
      <c r="N493" s="23">
        <v>-129.91999999999999</v>
      </c>
      <c r="O493" s="33">
        <v>-8.8999999999999999E-3</v>
      </c>
      <c r="P493" s="33">
        <v>5.7999999999999996E-3</v>
      </c>
      <c r="Q493" s="23" t="s">
        <v>24</v>
      </c>
      <c r="R493" s="23">
        <v>0</v>
      </c>
      <c r="S493" s="23">
        <v>582.91999999999996</v>
      </c>
      <c r="U493" s="47">
        <v>44651</v>
      </c>
      <c r="V493" s="23" t="s">
        <v>116</v>
      </c>
      <c r="W493" s="23" t="s">
        <v>23</v>
      </c>
      <c r="X493" s="28">
        <v>44642.40625</v>
      </c>
      <c r="Y493" s="23">
        <v>21.75</v>
      </c>
      <c r="Z493" s="28">
        <v>44642.427083333336</v>
      </c>
      <c r="AA493" s="23">
        <v>24.85</v>
      </c>
      <c r="AB493" s="33">
        <v>0.14249999999999999</v>
      </c>
      <c r="AC493" s="23">
        <v>-7985.6</v>
      </c>
      <c r="AD493" s="33">
        <v>-0.14249999999999999</v>
      </c>
      <c r="AE493" s="23">
        <v>2576.0010000000002</v>
      </c>
      <c r="AF493" s="23">
        <v>56028.02</v>
      </c>
      <c r="AG493" s="23">
        <v>1193623.43</v>
      </c>
      <c r="AH493" s="23">
        <v>3</v>
      </c>
      <c r="AI493" s="23">
        <v>-2661.87</v>
      </c>
      <c r="AJ493" s="33">
        <v>-0.14249999999999999</v>
      </c>
      <c r="AK493" s="33">
        <v>8.0500000000000002E-2</v>
      </c>
      <c r="AL493" s="23" t="s">
        <v>24</v>
      </c>
      <c r="AM493" s="23">
        <v>590.03</v>
      </c>
      <c r="AN493" s="23">
        <v>35556.1</v>
      </c>
      <c r="AO493" s="23">
        <v>582.91999999999996</v>
      </c>
      <c r="AQ493" s="50">
        <f t="shared" si="7"/>
        <v>3.686253241360609E-2</v>
      </c>
      <c r="AR493" s="50"/>
      <c r="AS493" s="48"/>
      <c r="AT493" s="50"/>
      <c r="AV493" s="47">
        <v>44642</v>
      </c>
      <c r="AW493" s="51">
        <v>0.40625</v>
      </c>
      <c r="AX493" t="s">
        <v>162</v>
      </c>
    </row>
    <row r="494" spans="1:50">
      <c r="A494" s="23" t="s">
        <v>22</v>
      </c>
      <c r="B494" s="23" t="s">
        <v>23</v>
      </c>
      <c r="C494" s="28">
        <v>44642.427083333336</v>
      </c>
      <c r="D494" s="23">
        <v>585.45000000000005</v>
      </c>
      <c r="E494" s="28">
        <v>44642.520833333336</v>
      </c>
      <c r="F494" s="23">
        <v>590</v>
      </c>
      <c r="G494" s="33">
        <v>7.7999999999999996E-3</v>
      </c>
      <c r="H494" s="23">
        <v>-390.67</v>
      </c>
      <c r="I494" s="33">
        <v>-7.7999999999999996E-3</v>
      </c>
      <c r="J494" s="23">
        <v>85.860889999999998</v>
      </c>
      <c r="K494" s="23">
        <v>50267.26</v>
      </c>
      <c r="L494" s="23">
        <v>52676.87</v>
      </c>
      <c r="M494" s="23">
        <v>10</v>
      </c>
      <c r="N494" s="23">
        <v>-39.07</v>
      </c>
      <c r="O494" s="33">
        <v>-7.7999999999999996E-3</v>
      </c>
      <c r="P494" s="33">
        <v>5.8999999999999999E-3</v>
      </c>
      <c r="Q494" s="23" t="s">
        <v>24</v>
      </c>
      <c r="R494" s="23">
        <v>0</v>
      </c>
      <c r="S494" s="23">
        <v>593.22</v>
      </c>
      <c r="U494" s="47">
        <v>44651</v>
      </c>
      <c r="V494" s="23" t="s">
        <v>115</v>
      </c>
      <c r="W494" s="23" t="s">
        <v>23</v>
      </c>
      <c r="X494" s="28">
        <v>44642.427083333336</v>
      </c>
      <c r="Y494" s="23">
        <v>20.125</v>
      </c>
      <c r="Z494" s="28">
        <v>44642.520833333336</v>
      </c>
      <c r="AA494" s="23">
        <v>22</v>
      </c>
      <c r="AB494" s="33">
        <v>9.3200000000000005E-2</v>
      </c>
      <c r="AC494" s="23">
        <v>-5218.26</v>
      </c>
      <c r="AD494" s="33">
        <v>-9.3200000000000005E-2</v>
      </c>
      <c r="AE494" s="23">
        <v>2783.0729999999999</v>
      </c>
      <c r="AF494" s="23">
        <v>56009.34</v>
      </c>
      <c r="AG494" s="23">
        <v>1188405.17</v>
      </c>
      <c r="AH494" s="23">
        <v>10</v>
      </c>
      <c r="AI494" s="23">
        <v>-521.83000000000004</v>
      </c>
      <c r="AJ494" s="33">
        <v>-0.1118</v>
      </c>
      <c r="AK494" s="33">
        <v>3.1099999999999999E-2</v>
      </c>
      <c r="AL494" s="23" t="s">
        <v>24</v>
      </c>
      <c r="AM494" s="23">
        <v>585.45000000000005</v>
      </c>
      <c r="AN494" s="23">
        <v>35580.199999999997</v>
      </c>
      <c r="AO494" s="23">
        <v>593.22</v>
      </c>
      <c r="AQ494" s="50">
        <f t="shared" si="7"/>
        <v>3.437526688871808E-2</v>
      </c>
      <c r="AR494" s="50"/>
      <c r="AS494" s="48"/>
      <c r="AT494" s="50"/>
      <c r="AV494" s="47">
        <v>44642</v>
      </c>
      <c r="AW494" s="51">
        <v>0.42708333333333331</v>
      </c>
      <c r="AX494" t="s">
        <v>162</v>
      </c>
    </row>
    <row r="495" spans="1:50">
      <c r="A495" s="23" t="s">
        <v>22</v>
      </c>
      <c r="B495" s="23" t="s">
        <v>25</v>
      </c>
      <c r="C495" s="28">
        <v>44642.520833333336</v>
      </c>
      <c r="D495" s="23">
        <v>590</v>
      </c>
      <c r="E495" s="28">
        <v>44644.510416666664</v>
      </c>
      <c r="F495" s="23">
        <v>619.5</v>
      </c>
      <c r="G495" s="33">
        <v>0.05</v>
      </c>
      <c r="H495" s="23">
        <v>2513.31</v>
      </c>
      <c r="I495" s="33">
        <v>0.05</v>
      </c>
      <c r="J495" s="23">
        <v>85.196910000000003</v>
      </c>
      <c r="K495" s="23">
        <v>50266.18</v>
      </c>
      <c r="L495" s="23">
        <v>55190.18</v>
      </c>
      <c r="M495" s="23">
        <v>56</v>
      </c>
      <c r="N495" s="23">
        <v>44.88</v>
      </c>
      <c r="O495" s="33">
        <v>-1.2699999999999999E-2</v>
      </c>
      <c r="P495" s="33">
        <v>6.6799999999999998E-2</v>
      </c>
      <c r="Q495" s="23" t="s">
        <v>24</v>
      </c>
      <c r="R495" s="23">
        <v>0</v>
      </c>
      <c r="S495" s="23">
        <v>582.03</v>
      </c>
      <c r="U495" s="47">
        <v>44651</v>
      </c>
      <c r="V495" s="23" t="s">
        <v>148</v>
      </c>
      <c r="W495" s="23" t="s">
        <v>23</v>
      </c>
      <c r="X495" s="28">
        <v>44642.520833333336</v>
      </c>
      <c r="Y495" s="23">
        <v>16.75</v>
      </c>
      <c r="Z495" s="28">
        <v>44644.510416666664</v>
      </c>
      <c r="AA495" s="23">
        <v>4.5250000000000004</v>
      </c>
      <c r="AB495" s="33">
        <v>-0.72989999999999999</v>
      </c>
      <c r="AC495" s="23">
        <v>40849.64</v>
      </c>
      <c r="AD495" s="33">
        <v>0.72989999999999999</v>
      </c>
      <c r="AE495" s="23">
        <v>3341.4839999999999</v>
      </c>
      <c r="AF495" s="23">
        <v>55969.86</v>
      </c>
      <c r="AG495" s="23">
        <v>1229254.81</v>
      </c>
      <c r="AH495" s="23">
        <v>56</v>
      </c>
      <c r="AI495" s="23">
        <v>729.46</v>
      </c>
      <c r="AJ495" s="33">
        <v>-0.25219999999999998</v>
      </c>
      <c r="AK495" s="33">
        <v>0.76719999999999999</v>
      </c>
      <c r="AL495" s="23" t="s">
        <v>24</v>
      </c>
      <c r="AM495" s="23">
        <v>590</v>
      </c>
      <c r="AN495" s="23">
        <v>35758.300000000003</v>
      </c>
      <c r="AO495" s="23">
        <v>582.03</v>
      </c>
      <c r="AQ495" s="50">
        <f t="shared" si="7"/>
        <v>2.8389830508474576E-2</v>
      </c>
      <c r="AR495" s="50"/>
      <c r="AS495" s="48"/>
      <c r="AT495" s="50"/>
      <c r="AV495" s="47">
        <v>44642</v>
      </c>
      <c r="AW495" s="51">
        <v>0.52083333333333337</v>
      </c>
      <c r="AX495" t="s">
        <v>163</v>
      </c>
    </row>
    <row r="496" spans="1:50">
      <c r="A496" s="23" t="s">
        <v>22</v>
      </c>
      <c r="B496" s="23" t="s">
        <v>23</v>
      </c>
      <c r="C496" s="28">
        <v>44644.510416666664</v>
      </c>
      <c r="D496" s="23">
        <v>619.5</v>
      </c>
      <c r="E496" s="28">
        <v>44645.635416666664</v>
      </c>
      <c r="F496" s="23">
        <v>609</v>
      </c>
      <c r="G496" s="33">
        <v>-1.6899999999999998E-2</v>
      </c>
      <c r="H496" s="23">
        <v>852.16</v>
      </c>
      <c r="I496" s="33">
        <v>1.6899999999999998E-2</v>
      </c>
      <c r="J496" s="23">
        <v>81.158289999999994</v>
      </c>
      <c r="K496" s="23">
        <v>50277.56</v>
      </c>
      <c r="L496" s="23">
        <v>56042.35</v>
      </c>
      <c r="M496" s="23">
        <v>41</v>
      </c>
      <c r="N496" s="23">
        <v>20.78</v>
      </c>
      <c r="O496" s="33">
        <v>-1.03E-2</v>
      </c>
      <c r="P496" s="33">
        <v>3.32E-2</v>
      </c>
      <c r="Q496" s="23" t="s">
        <v>24</v>
      </c>
      <c r="R496" s="23">
        <v>0</v>
      </c>
      <c r="S496" s="23">
        <v>629.24</v>
      </c>
      <c r="U496" s="47">
        <v>44651</v>
      </c>
      <c r="V496" s="23" t="s">
        <v>113</v>
      </c>
      <c r="W496" s="23" t="s">
        <v>23</v>
      </c>
      <c r="X496" s="28">
        <v>44644.510416666664</v>
      </c>
      <c r="Y496" s="23">
        <v>18.375</v>
      </c>
      <c r="Z496" s="28">
        <v>44645.635416666664</v>
      </c>
      <c r="AA496" s="23">
        <v>8.6999999999999993</v>
      </c>
      <c r="AB496" s="33">
        <v>-0.52649999999999997</v>
      </c>
      <c r="AC496" s="23">
        <v>29564.49</v>
      </c>
      <c r="AD496" s="33">
        <v>0.52649999999999997</v>
      </c>
      <c r="AE496" s="23">
        <v>3055.761</v>
      </c>
      <c r="AF496" s="23">
        <v>56149.62</v>
      </c>
      <c r="AG496" s="23">
        <v>1258819.3</v>
      </c>
      <c r="AH496" s="23">
        <v>41</v>
      </c>
      <c r="AI496" s="23">
        <v>721.09</v>
      </c>
      <c r="AJ496" s="33">
        <v>-0.11020000000000001</v>
      </c>
      <c r="AK496" s="33">
        <v>0.62450000000000006</v>
      </c>
      <c r="AL496" s="23" t="s">
        <v>24</v>
      </c>
      <c r="AM496" s="23">
        <v>619.5</v>
      </c>
      <c r="AN496" s="23">
        <v>35457</v>
      </c>
      <c r="AO496" s="23">
        <v>629.24</v>
      </c>
      <c r="AQ496" s="50">
        <f t="shared" si="7"/>
        <v>2.9661016949152543E-2</v>
      </c>
      <c r="AR496" s="50"/>
      <c r="AS496" s="48"/>
      <c r="AT496" s="50"/>
      <c r="AV496" s="47">
        <v>44644</v>
      </c>
      <c r="AW496" s="51">
        <v>0.51041666666666663</v>
      </c>
      <c r="AX496" t="s">
        <v>163</v>
      </c>
    </row>
    <row r="497" spans="1:50">
      <c r="A497" s="23" t="s">
        <v>22</v>
      </c>
      <c r="B497" s="23" t="s">
        <v>25</v>
      </c>
      <c r="C497" s="28">
        <v>44645.635416666664</v>
      </c>
      <c r="D497" s="23">
        <v>609</v>
      </c>
      <c r="E497" s="28">
        <v>44648.46875</v>
      </c>
      <c r="F497" s="23">
        <v>605.4</v>
      </c>
      <c r="G497" s="33">
        <v>-5.8999999999999999E-3</v>
      </c>
      <c r="H497" s="23">
        <v>-297.24</v>
      </c>
      <c r="I497" s="33">
        <v>-5.8999999999999999E-3</v>
      </c>
      <c r="J497" s="23">
        <v>82.567939999999993</v>
      </c>
      <c r="K497" s="23">
        <v>50283.88</v>
      </c>
      <c r="L497" s="23">
        <v>55745.1</v>
      </c>
      <c r="M497" s="23">
        <v>14</v>
      </c>
      <c r="N497" s="23">
        <v>-21.23</v>
      </c>
      <c r="O497" s="33">
        <v>-1.49E-2</v>
      </c>
      <c r="P497" s="33">
        <v>5.5999999999999999E-3</v>
      </c>
      <c r="Q497" s="23" t="s">
        <v>24</v>
      </c>
      <c r="R497" s="23">
        <v>0</v>
      </c>
      <c r="S497" s="23">
        <v>598.91999999999996</v>
      </c>
      <c r="U497" s="47">
        <v>44651</v>
      </c>
      <c r="V497" s="23" t="s">
        <v>119</v>
      </c>
      <c r="W497" s="23" t="s">
        <v>23</v>
      </c>
      <c r="X497" s="28">
        <v>44645.635416666664</v>
      </c>
      <c r="Y497" s="23">
        <v>14.15</v>
      </c>
      <c r="Z497" s="28">
        <v>44648.46875</v>
      </c>
      <c r="AA497" s="23">
        <v>11.65</v>
      </c>
      <c r="AB497" s="33">
        <v>-0.1767</v>
      </c>
      <c r="AC497" s="23">
        <v>9949.94</v>
      </c>
      <c r="AD497" s="33">
        <v>0.1767</v>
      </c>
      <c r="AE497" s="23">
        <v>3979.9740000000002</v>
      </c>
      <c r="AF497" s="23">
        <v>56316.63</v>
      </c>
      <c r="AG497" s="23">
        <v>1268769.23</v>
      </c>
      <c r="AH497" s="23">
        <v>14</v>
      </c>
      <c r="AI497" s="23">
        <v>710.71</v>
      </c>
      <c r="AJ497" s="33">
        <v>-0.35870000000000002</v>
      </c>
      <c r="AK497" s="33">
        <v>0.28270000000000001</v>
      </c>
      <c r="AL497" s="23" t="s">
        <v>24</v>
      </c>
      <c r="AM497" s="23">
        <v>609</v>
      </c>
      <c r="AN497" s="23">
        <v>35536.449999999997</v>
      </c>
      <c r="AO497" s="23">
        <v>598.91999999999996</v>
      </c>
      <c r="AQ497" s="50">
        <f t="shared" si="7"/>
        <v>2.3234811165845651E-2</v>
      </c>
      <c r="AR497" s="50"/>
      <c r="AS497" s="48"/>
      <c r="AT497" s="50"/>
      <c r="AV497" s="47">
        <v>44645</v>
      </c>
      <c r="AW497" s="51">
        <v>0.13541666666666666</v>
      </c>
      <c r="AX497" t="s">
        <v>163</v>
      </c>
    </row>
    <row r="498" spans="1:50">
      <c r="A498" s="23" t="s">
        <v>22</v>
      </c>
      <c r="B498" s="23" t="s">
        <v>23</v>
      </c>
      <c r="C498" s="28">
        <v>44648.46875</v>
      </c>
      <c r="D498" s="23">
        <v>605.4</v>
      </c>
      <c r="E498" s="28">
        <v>44648.53125</v>
      </c>
      <c r="F498" s="23">
        <v>610.35</v>
      </c>
      <c r="G498" s="33">
        <v>8.2000000000000007E-3</v>
      </c>
      <c r="H498" s="23">
        <v>-411.12</v>
      </c>
      <c r="I498" s="33">
        <v>-8.2000000000000007E-3</v>
      </c>
      <c r="J498" s="23">
        <v>83.054760000000002</v>
      </c>
      <c r="K498" s="23">
        <v>50281.36</v>
      </c>
      <c r="L498" s="23">
        <v>55333.98</v>
      </c>
      <c r="M498" s="23">
        <v>7</v>
      </c>
      <c r="N498" s="23">
        <v>-58.73</v>
      </c>
      <c r="O498" s="33">
        <v>-1.11E-2</v>
      </c>
      <c r="P498" s="33">
        <v>7.9000000000000008E-3</v>
      </c>
      <c r="Q498" s="23" t="s">
        <v>24</v>
      </c>
      <c r="R498" s="23">
        <v>0</v>
      </c>
      <c r="S498" s="23">
        <v>612.4</v>
      </c>
      <c r="U498" s="47">
        <v>44651</v>
      </c>
      <c r="V498" s="23" t="s">
        <v>114</v>
      </c>
      <c r="W498" s="23" t="s">
        <v>23</v>
      </c>
      <c r="X498" s="28">
        <v>44648.46875</v>
      </c>
      <c r="Y498" s="23">
        <v>11</v>
      </c>
      <c r="Z498" s="28">
        <v>44648.53125</v>
      </c>
      <c r="AA498" s="23">
        <v>12.75</v>
      </c>
      <c r="AB498" s="33">
        <v>0.15909999999999999</v>
      </c>
      <c r="AC498" s="23">
        <v>-8962.61</v>
      </c>
      <c r="AD498" s="33">
        <v>-0.15909999999999999</v>
      </c>
      <c r="AE498" s="23">
        <v>5121.4889999999996</v>
      </c>
      <c r="AF498" s="23">
        <v>56336.38</v>
      </c>
      <c r="AG498" s="23">
        <v>1259806.6299999999</v>
      </c>
      <c r="AH498" s="23">
        <v>7</v>
      </c>
      <c r="AI498" s="23">
        <v>-1280.3699999999999</v>
      </c>
      <c r="AJ498" s="33">
        <v>-0.31140000000000001</v>
      </c>
      <c r="AK498" s="33">
        <v>0.1545</v>
      </c>
      <c r="AL498" s="23" t="s">
        <v>24</v>
      </c>
      <c r="AM498" s="23">
        <v>605.4</v>
      </c>
      <c r="AN498" s="23">
        <v>35178.199999999997</v>
      </c>
      <c r="AO498" s="23">
        <v>612.4</v>
      </c>
      <c r="AQ498" s="50">
        <f t="shared" si="7"/>
        <v>1.8169805087545426E-2</v>
      </c>
      <c r="AR498" s="50"/>
      <c r="AS498" s="48"/>
      <c r="AT498" s="50"/>
      <c r="AV498" s="47">
        <v>44648</v>
      </c>
      <c r="AW498" s="51">
        <v>0.46875</v>
      </c>
      <c r="AX498" t="s">
        <v>162</v>
      </c>
    </row>
    <row r="499" spans="1:50">
      <c r="A499" s="23" t="s">
        <v>22</v>
      </c>
      <c r="B499" s="23" t="s">
        <v>25</v>
      </c>
      <c r="C499" s="28">
        <v>44648.53125</v>
      </c>
      <c r="D499" s="23">
        <v>610.35</v>
      </c>
      <c r="E499" s="28">
        <v>44648.625</v>
      </c>
      <c r="F499" s="23">
        <v>607.5</v>
      </c>
      <c r="G499" s="33">
        <v>-4.7000000000000002E-3</v>
      </c>
      <c r="H499" s="23">
        <v>-234.77</v>
      </c>
      <c r="I499" s="33">
        <v>-4.7000000000000002E-3</v>
      </c>
      <c r="J499" s="23">
        <v>82.375519999999995</v>
      </c>
      <c r="K499" s="23">
        <v>50277.89</v>
      </c>
      <c r="L499" s="23">
        <v>55099.21</v>
      </c>
      <c r="M499" s="23">
        <v>10</v>
      </c>
      <c r="N499" s="23">
        <v>-23.48</v>
      </c>
      <c r="O499" s="33">
        <v>-7.0000000000000001E-3</v>
      </c>
      <c r="P499" s="33">
        <v>1E-3</v>
      </c>
      <c r="Q499" s="23" t="s">
        <v>24</v>
      </c>
      <c r="R499" s="23">
        <v>0</v>
      </c>
      <c r="S499" s="23">
        <v>600.99</v>
      </c>
      <c r="U499" s="47">
        <v>44651</v>
      </c>
      <c r="V499" s="23" t="s">
        <v>119</v>
      </c>
      <c r="W499" s="23" t="s">
        <v>23</v>
      </c>
      <c r="X499" s="28">
        <v>44648.53125</v>
      </c>
      <c r="Y499" s="23">
        <v>10.875</v>
      </c>
      <c r="Z499" s="28">
        <v>44648.625</v>
      </c>
      <c r="AA499" s="23">
        <v>10.025</v>
      </c>
      <c r="AB499" s="33">
        <v>-7.8200000000000006E-2</v>
      </c>
      <c r="AC499" s="23">
        <v>4404.1400000000003</v>
      </c>
      <c r="AD499" s="33">
        <v>7.8200000000000006E-2</v>
      </c>
      <c r="AE499" s="23">
        <v>5181.3379999999997</v>
      </c>
      <c r="AF499" s="23">
        <v>56347.05</v>
      </c>
      <c r="AG499" s="23">
        <v>1264210.76</v>
      </c>
      <c r="AH499" s="23">
        <v>10</v>
      </c>
      <c r="AI499" s="23">
        <v>440.41</v>
      </c>
      <c r="AJ499" s="33">
        <v>-0.37930000000000003</v>
      </c>
      <c r="AK499" s="33">
        <v>8.0500000000000002E-2</v>
      </c>
      <c r="AL499" s="23" t="s">
        <v>24</v>
      </c>
      <c r="AM499" s="23">
        <v>610.35</v>
      </c>
      <c r="AN499" s="23">
        <v>35667.5</v>
      </c>
      <c r="AO499" s="23">
        <v>600.99</v>
      </c>
      <c r="AQ499" s="50">
        <f t="shared" si="7"/>
        <v>1.781764561317277E-2</v>
      </c>
      <c r="AR499" s="50"/>
      <c r="AS499" s="48"/>
      <c r="AT499" s="50"/>
      <c r="AV499" s="47">
        <v>44648</v>
      </c>
      <c r="AW499" s="51">
        <v>0.53125</v>
      </c>
      <c r="AX499" t="s">
        <v>163</v>
      </c>
    </row>
    <row r="500" spans="1:50">
      <c r="A500" s="23" t="s">
        <v>22</v>
      </c>
      <c r="B500" s="23" t="s">
        <v>23</v>
      </c>
      <c r="C500" s="28">
        <v>44648.625</v>
      </c>
      <c r="D500" s="23">
        <v>607.5</v>
      </c>
      <c r="E500" s="28">
        <v>44648.635416666664</v>
      </c>
      <c r="F500" s="23">
        <v>609.5</v>
      </c>
      <c r="G500" s="33">
        <v>3.3E-3</v>
      </c>
      <c r="H500" s="23">
        <v>-165.51</v>
      </c>
      <c r="I500" s="33">
        <v>-3.3E-3</v>
      </c>
      <c r="J500" s="23">
        <v>82.757379999999998</v>
      </c>
      <c r="K500" s="23">
        <v>50275.11</v>
      </c>
      <c r="L500" s="23">
        <v>54933.69</v>
      </c>
      <c r="M500" s="23">
        <v>2</v>
      </c>
      <c r="N500" s="23">
        <v>-82.76</v>
      </c>
      <c r="O500" s="33">
        <v>-3.3E-3</v>
      </c>
      <c r="P500" s="33">
        <v>4.5999999999999999E-3</v>
      </c>
      <c r="Q500" s="23" t="s">
        <v>24</v>
      </c>
      <c r="R500" s="23">
        <v>0</v>
      </c>
      <c r="S500" s="23">
        <v>610.73</v>
      </c>
      <c r="U500" s="47">
        <v>44651</v>
      </c>
      <c r="V500" s="23" t="s">
        <v>114</v>
      </c>
      <c r="W500" s="23" t="s">
        <v>23</v>
      </c>
      <c r="X500" s="28">
        <v>44648.625</v>
      </c>
      <c r="Y500" s="23">
        <v>10.5</v>
      </c>
      <c r="Z500" s="28">
        <v>44648.635416666664</v>
      </c>
      <c r="AA500" s="23">
        <v>12</v>
      </c>
      <c r="AB500" s="33">
        <v>0.1429</v>
      </c>
      <c r="AC500" s="23">
        <v>-8044.75</v>
      </c>
      <c r="AD500" s="33">
        <v>-0.1429</v>
      </c>
      <c r="AE500" s="23">
        <v>5363.17</v>
      </c>
      <c r="AF500" s="23">
        <v>56313.29</v>
      </c>
      <c r="AG500" s="23">
        <v>1256166.01</v>
      </c>
      <c r="AH500" s="23">
        <v>2</v>
      </c>
      <c r="AI500" s="23">
        <v>-4022.38</v>
      </c>
      <c r="AJ500" s="33">
        <v>-0.1429</v>
      </c>
      <c r="AK500" s="33">
        <v>7.1400000000000005E-2</v>
      </c>
      <c r="AL500" s="23" t="s">
        <v>24</v>
      </c>
      <c r="AM500" s="23">
        <v>607.5</v>
      </c>
      <c r="AN500" s="23">
        <v>35683.1</v>
      </c>
      <c r="AO500" s="23">
        <v>610.73</v>
      </c>
      <c r="AQ500" s="50">
        <f t="shared" si="7"/>
        <v>1.7283950617283949E-2</v>
      </c>
      <c r="AR500" s="50"/>
      <c r="AS500" s="48"/>
      <c r="AT500" s="50"/>
      <c r="AV500" s="47">
        <v>44648</v>
      </c>
      <c r="AW500" s="51">
        <v>0.125</v>
      </c>
      <c r="AX500" t="s">
        <v>163</v>
      </c>
    </row>
    <row r="501" spans="1:50">
      <c r="A501" s="23" t="s">
        <v>22</v>
      </c>
      <c r="B501" s="23" t="s">
        <v>25</v>
      </c>
      <c r="C501" s="28">
        <v>44648.635416666664</v>
      </c>
      <c r="D501" s="23">
        <v>609.5</v>
      </c>
      <c r="E501" s="28">
        <v>44649.40625</v>
      </c>
      <c r="F501" s="23">
        <v>606.79999999999995</v>
      </c>
      <c r="G501" s="33">
        <v>-4.4000000000000003E-3</v>
      </c>
      <c r="H501" s="23">
        <v>-222.71</v>
      </c>
      <c r="I501" s="33">
        <v>-4.4000000000000003E-3</v>
      </c>
      <c r="J501" s="23">
        <v>82.486459999999994</v>
      </c>
      <c r="K501" s="23">
        <v>50275.5</v>
      </c>
      <c r="L501" s="23">
        <v>54710.98</v>
      </c>
      <c r="M501" s="23">
        <v>7</v>
      </c>
      <c r="N501" s="23">
        <v>-31.82</v>
      </c>
      <c r="O501" s="33">
        <v>-4.5999999999999999E-3</v>
      </c>
      <c r="P501" s="33">
        <v>9.4000000000000004E-3</v>
      </c>
      <c r="Q501" s="23" t="s">
        <v>24</v>
      </c>
      <c r="R501" s="23">
        <v>0</v>
      </c>
      <c r="S501" s="23">
        <v>604.70000000000005</v>
      </c>
      <c r="U501" s="47">
        <v>44651</v>
      </c>
      <c r="V501" s="23" t="s">
        <v>119</v>
      </c>
      <c r="W501" s="23" t="s">
        <v>23</v>
      </c>
      <c r="X501" s="28">
        <v>44648.635416666664</v>
      </c>
      <c r="Y501" s="23">
        <v>9.0250000000000004</v>
      </c>
      <c r="Z501" s="28">
        <v>44649.40625</v>
      </c>
      <c r="AA501" s="23">
        <v>11</v>
      </c>
      <c r="AB501" s="33">
        <v>0.21879999999999999</v>
      </c>
      <c r="AC501" s="23">
        <v>-12325.11</v>
      </c>
      <c r="AD501" s="33">
        <v>-0.21879999999999999</v>
      </c>
      <c r="AE501" s="23">
        <v>6240.56</v>
      </c>
      <c r="AF501" s="23">
        <v>56321.05</v>
      </c>
      <c r="AG501" s="23">
        <v>1243840.8999999999</v>
      </c>
      <c r="AH501" s="23">
        <v>7</v>
      </c>
      <c r="AI501" s="23">
        <v>-1760.73</v>
      </c>
      <c r="AJ501" s="33">
        <v>-2.6150000000000002</v>
      </c>
      <c r="AK501" s="33">
        <v>0.30470000000000003</v>
      </c>
      <c r="AL501" s="23" t="s">
        <v>24</v>
      </c>
      <c r="AM501" s="23">
        <v>609.5</v>
      </c>
      <c r="AN501" s="23">
        <v>35749.25</v>
      </c>
      <c r="AO501" s="23">
        <v>604.70000000000005</v>
      </c>
      <c r="AQ501" s="50">
        <f t="shared" si="7"/>
        <v>1.4807219031993437E-2</v>
      </c>
      <c r="AR501" s="50"/>
      <c r="AS501" s="48"/>
      <c r="AT501" s="50"/>
      <c r="AV501" s="47">
        <v>44648</v>
      </c>
      <c r="AW501" s="51">
        <v>0.13541666666666666</v>
      </c>
      <c r="AX501" t="s">
        <v>163</v>
      </c>
    </row>
    <row r="502" spans="1:50">
      <c r="A502" s="23" t="s">
        <v>22</v>
      </c>
      <c r="B502" s="23" t="s">
        <v>23</v>
      </c>
      <c r="C502" s="28">
        <v>44649.40625</v>
      </c>
      <c r="D502" s="23">
        <v>606.79999999999995</v>
      </c>
      <c r="E502" s="28">
        <v>44649.53125</v>
      </c>
      <c r="F502" s="23">
        <v>610.67499999999995</v>
      </c>
      <c r="G502" s="33">
        <v>6.4000000000000003E-3</v>
      </c>
      <c r="H502" s="23">
        <v>-321.05</v>
      </c>
      <c r="I502" s="33">
        <v>-6.4000000000000003E-3</v>
      </c>
      <c r="J502" s="23">
        <v>82.852130000000002</v>
      </c>
      <c r="K502" s="23">
        <v>50274.67</v>
      </c>
      <c r="L502" s="23">
        <v>54389.93</v>
      </c>
      <c r="M502" s="23">
        <v>13</v>
      </c>
      <c r="N502" s="23">
        <v>-24.7</v>
      </c>
      <c r="O502" s="33">
        <v>-6.4000000000000003E-3</v>
      </c>
      <c r="P502" s="33">
        <v>7.4000000000000003E-3</v>
      </c>
      <c r="Q502" s="23" t="s">
        <v>24</v>
      </c>
      <c r="R502" s="23">
        <v>0</v>
      </c>
      <c r="S502" s="23">
        <v>615.25</v>
      </c>
      <c r="U502" s="47">
        <v>44651</v>
      </c>
      <c r="V502" s="23" t="s">
        <v>114</v>
      </c>
      <c r="W502" s="23" t="s">
        <v>23</v>
      </c>
      <c r="X502" s="28">
        <v>44649.40625</v>
      </c>
      <c r="Y502" s="23">
        <v>8.5</v>
      </c>
      <c r="Z502" s="28">
        <v>44649.53125</v>
      </c>
      <c r="AA502" s="23">
        <v>10.625</v>
      </c>
      <c r="AB502" s="33">
        <v>0.25</v>
      </c>
      <c r="AC502" s="23">
        <v>-14078.59</v>
      </c>
      <c r="AD502" s="33">
        <v>-0.25</v>
      </c>
      <c r="AE502" s="23">
        <v>6625.22</v>
      </c>
      <c r="AF502" s="23">
        <v>56314.37</v>
      </c>
      <c r="AG502" s="23">
        <v>1229762.31</v>
      </c>
      <c r="AH502" s="23">
        <v>13</v>
      </c>
      <c r="AI502" s="23">
        <v>-1082.97</v>
      </c>
      <c r="AJ502" s="33">
        <v>-0.25</v>
      </c>
      <c r="AK502" s="33">
        <v>0.18529999999999999</v>
      </c>
      <c r="AL502" s="23" t="s">
        <v>24</v>
      </c>
      <c r="AM502" s="23">
        <v>606.79999999999995</v>
      </c>
      <c r="AN502" s="23">
        <v>35743.949999999997</v>
      </c>
      <c r="AO502" s="23">
        <v>615.25</v>
      </c>
      <c r="AQ502" s="50">
        <f t="shared" si="7"/>
        <v>1.4007910349373764E-2</v>
      </c>
      <c r="AR502" s="50"/>
      <c r="AS502" s="48"/>
      <c r="AT502" s="50"/>
      <c r="AV502" s="47">
        <v>44649</v>
      </c>
      <c r="AW502" s="51">
        <v>0.40625</v>
      </c>
      <c r="AX502" t="s">
        <v>162</v>
      </c>
    </row>
    <row r="503" spans="1:50">
      <c r="A503" s="23" t="s">
        <v>22</v>
      </c>
      <c r="B503" s="23" t="s">
        <v>25</v>
      </c>
      <c r="C503" s="28">
        <v>44649.53125</v>
      </c>
      <c r="D503" s="23">
        <v>610.67499999999995</v>
      </c>
      <c r="E503" s="28">
        <v>44650.416666666664</v>
      </c>
      <c r="F503" s="23">
        <v>609.02499999999998</v>
      </c>
      <c r="G503" s="33">
        <v>-2.7000000000000001E-3</v>
      </c>
      <c r="H503" s="23">
        <v>-135.84</v>
      </c>
      <c r="I503" s="33">
        <v>-2.7000000000000001E-3</v>
      </c>
      <c r="J503" s="23">
        <v>82.324870000000004</v>
      </c>
      <c r="K503" s="23">
        <v>50273.74</v>
      </c>
      <c r="L503" s="23">
        <v>54254.09</v>
      </c>
      <c r="M503" s="23">
        <v>18</v>
      </c>
      <c r="N503" s="23">
        <v>-7.55</v>
      </c>
      <c r="O503" s="33">
        <v>-8.2000000000000007E-3</v>
      </c>
      <c r="P503" s="33">
        <v>1.17E-2</v>
      </c>
      <c r="Q503" s="23" t="s">
        <v>24</v>
      </c>
      <c r="R503" s="23">
        <v>0</v>
      </c>
      <c r="S503" s="23">
        <v>602.47</v>
      </c>
      <c r="U503" s="47">
        <v>44651</v>
      </c>
      <c r="V503" s="23" t="s">
        <v>112</v>
      </c>
      <c r="W503" s="23" t="s">
        <v>23</v>
      </c>
      <c r="X503" s="28">
        <v>44649.53125</v>
      </c>
      <c r="Y503" s="23">
        <v>14.824999999999999</v>
      </c>
      <c r="Z503" s="28">
        <v>44650.416666666664</v>
      </c>
      <c r="AA503" s="23">
        <v>14.625</v>
      </c>
      <c r="AB503" s="33">
        <v>-1.35E-2</v>
      </c>
      <c r="AC503" s="23">
        <v>758.38</v>
      </c>
      <c r="AD503" s="33">
        <v>1.35E-2</v>
      </c>
      <c r="AE503" s="23">
        <v>3791.91</v>
      </c>
      <c r="AF503" s="23">
        <v>56215.06</v>
      </c>
      <c r="AG503" s="23">
        <v>1230520.69</v>
      </c>
      <c r="AH503" s="23">
        <v>18</v>
      </c>
      <c r="AI503" s="23">
        <v>42.13</v>
      </c>
      <c r="AJ503" s="33">
        <v>-0.19900000000000001</v>
      </c>
      <c r="AK503" s="33">
        <v>1.35E-2</v>
      </c>
      <c r="AL503" s="23" t="s">
        <v>24</v>
      </c>
      <c r="AM503" s="23">
        <v>610.66999999999996</v>
      </c>
      <c r="AN503" s="23">
        <v>35816.699999999997</v>
      </c>
      <c r="AO503" s="23">
        <v>602.47</v>
      </c>
      <c r="AQ503" s="50">
        <f t="shared" si="7"/>
        <v>2.4276614210621123E-2</v>
      </c>
      <c r="AR503" s="50"/>
      <c r="AS503" s="48"/>
      <c r="AT503" s="50"/>
      <c r="AV503" s="47">
        <v>44649</v>
      </c>
      <c r="AW503" s="51">
        <v>0.53125</v>
      </c>
      <c r="AX503" t="s">
        <v>163</v>
      </c>
    </row>
    <row r="504" spans="1:50">
      <c r="A504" s="23" t="s">
        <v>22</v>
      </c>
      <c r="B504" s="23" t="s">
        <v>23</v>
      </c>
      <c r="C504" s="28">
        <v>44650.416666666664</v>
      </c>
      <c r="D504" s="23">
        <v>609.02499999999998</v>
      </c>
      <c r="E504" s="28">
        <v>44650.552083333336</v>
      </c>
      <c r="F504" s="23">
        <v>610.5</v>
      </c>
      <c r="G504" s="33">
        <v>2.3999999999999998E-3</v>
      </c>
      <c r="H504" s="23">
        <v>-121.75</v>
      </c>
      <c r="I504" s="33">
        <v>-2.3999999999999998E-3</v>
      </c>
      <c r="J504" s="23">
        <v>82.544049999999999</v>
      </c>
      <c r="K504" s="23">
        <v>50271.39</v>
      </c>
      <c r="L504" s="23">
        <v>54132.34</v>
      </c>
      <c r="M504" s="23">
        <v>14</v>
      </c>
      <c r="N504" s="23">
        <v>-8.6999999999999993</v>
      </c>
      <c r="O504" s="33">
        <v>-6.4999999999999997E-3</v>
      </c>
      <c r="P504" s="33">
        <v>3.3E-3</v>
      </c>
      <c r="Q504" s="23" t="s">
        <v>24</v>
      </c>
      <c r="R504" s="23">
        <v>0</v>
      </c>
      <c r="S504" s="23">
        <v>617.39</v>
      </c>
      <c r="U504" s="47">
        <v>44651</v>
      </c>
      <c r="V504" s="23" t="s">
        <v>114</v>
      </c>
      <c r="W504" s="23" t="s">
        <v>23</v>
      </c>
      <c r="X504" s="28">
        <v>44650.416666666664</v>
      </c>
      <c r="Y504" s="23">
        <v>7.25</v>
      </c>
      <c r="Z504" s="28">
        <v>44650.552083333336</v>
      </c>
      <c r="AA504" s="23">
        <v>8.375</v>
      </c>
      <c r="AB504" s="33">
        <v>0.1552</v>
      </c>
      <c r="AC504" s="23">
        <v>-8713.33</v>
      </c>
      <c r="AD504" s="33">
        <v>-0.1552</v>
      </c>
      <c r="AE504" s="23">
        <v>7745.1869999999999</v>
      </c>
      <c r="AF504" s="23">
        <v>56152.6</v>
      </c>
      <c r="AG504" s="23">
        <v>1221807.3600000001</v>
      </c>
      <c r="AH504" s="23">
        <v>14</v>
      </c>
      <c r="AI504" s="23">
        <v>-622.38</v>
      </c>
      <c r="AJ504" s="33">
        <v>-0.27929999999999999</v>
      </c>
      <c r="AK504" s="33">
        <v>0.2276</v>
      </c>
      <c r="AL504" s="23" t="s">
        <v>24</v>
      </c>
      <c r="AM504" s="23">
        <v>609.03</v>
      </c>
      <c r="AN504" s="23">
        <v>36227.9</v>
      </c>
      <c r="AO504" s="23">
        <v>617.39</v>
      </c>
      <c r="AQ504" s="50">
        <f t="shared" si="7"/>
        <v>1.1904175492176084E-2</v>
      </c>
      <c r="AR504" s="50"/>
      <c r="AS504" s="48"/>
      <c r="AT504" s="50"/>
      <c r="AV504" s="47">
        <v>44650</v>
      </c>
      <c r="AW504" s="51">
        <v>0.41666666666666669</v>
      </c>
      <c r="AX504" t="s">
        <v>162</v>
      </c>
    </row>
    <row r="505" spans="1:50">
      <c r="A505" s="23" t="s">
        <v>22</v>
      </c>
      <c r="B505" s="23" t="s">
        <v>25</v>
      </c>
      <c r="C505" s="28">
        <v>44650.552083333336</v>
      </c>
      <c r="D505" s="23">
        <v>610.5</v>
      </c>
      <c r="E505" s="28">
        <v>44650.59375</v>
      </c>
      <c r="F505" s="23">
        <v>608.20000000000005</v>
      </c>
      <c r="G505" s="33">
        <v>-3.8E-3</v>
      </c>
      <c r="H505" s="23">
        <v>-189.39</v>
      </c>
      <c r="I505" s="33">
        <v>-3.8E-3</v>
      </c>
      <c r="J505" s="23">
        <v>82.343149999999994</v>
      </c>
      <c r="K505" s="23">
        <v>50270.5</v>
      </c>
      <c r="L505" s="23">
        <v>53942.95</v>
      </c>
      <c r="M505" s="23">
        <v>5</v>
      </c>
      <c r="N505" s="23">
        <v>-37.880000000000003</v>
      </c>
      <c r="O505" s="33">
        <v>-3.8E-3</v>
      </c>
      <c r="P505" s="33">
        <v>3.3E-3</v>
      </c>
      <c r="Q505" s="23" t="s">
        <v>24</v>
      </c>
      <c r="R505" s="23">
        <v>0</v>
      </c>
      <c r="S505" s="23">
        <v>607.22</v>
      </c>
      <c r="U505" s="47">
        <v>44651</v>
      </c>
      <c r="V505" s="23" t="s">
        <v>116</v>
      </c>
      <c r="W505" s="23" t="s">
        <v>23</v>
      </c>
      <c r="X505" s="28">
        <v>44650.552083333336</v>
      </c>
      <c r="Y505" s="23">
        <v>1.2250000000000001</v>
      </c>
      <c r="Z505" s="28">
        <v>44650.59375</v>
      </c>
      <c r="AA505" s="23">
        <v>1.825</v>
      </c>
      <c r="AB505" s="33">
        <v>0.48980000000000001</v>
      </c>
      <c r="AC505" s="23">
        <v>-27478.66</v>
      </c>
      <c r="AD505" s="33">
        <v>-0.48980000000000001</v>
      </c>
      <c r="AE505" s="23">
        <v>45797.760000000002</v>
      </c>
      <c r="AF505" s="23">
        <v>56102.26</v>
      </c>
      <c r="AG505" s="23">
        <v>1194328.7</v>
      </c>
      <c r="AH505" s="23">
        <v>5</v>
      </c>
      <c r="AI505" s="23">
        <v>-5495.73</v>
      </c>
      <c r="AJ505" s="33">
        <v>-0.48980000000000001</v>
      </c>
      <c r="AK505" s="33">
        <v>0.10199999999999999</v>
      </c>
      <c r="AL505" s="23" t="s">
        <v>24</v>
      </c>
      <c r="AM505" s="23">
        <v>610.5</v>
      </c>
      <c r="AN505" s="23">
        <v>36291.25</v>
      </c>
      <c r="AO505" s="23">
        <v>607.22</v>
      </c>
      <c r="AQ505" s="50">
        <f t="shared" si="7"/>
        <v>2.0065520065520068E-3</v>
      </c>
      <c r="AR505" s="50"/>
      <c r="AS505" s="48"/>
      <c r="AT505" s="50"/>
      <c r="AV505" s="47">
        <v>44650</v>
      </c>
      <c r="AW505" s="51">
        <v>5.2083333333333336E-2</v>
      </c>
      <c r="AX505" t="s">
        <v>163</v>
      </c>
    </row>
    <row r="506" spans="1:50">
      <c r="A506" s="23" t="s">
        <v>22</v>
      </c>
      <c r="B506" s="23" t="s">
        <v>23</v>
      </c>
      <c r="C506" s="28">
        <v>44650.59375</v>
      </c>
      <c r="D506" s="23">
        <v>608.20000000000005</v>
      </c>
      <c r="E506" s="28">
        <v>44651.385416666664</v>
      </c>
      <c r="F506" s="23">
        <v>610.25</v>
      </c>
      <c r="G506" s="33">
        <v>3.3999999999999998E-3</v>
      </c>
      <c r="H506" s="23">
        <v>-169.44</v>
      </c>
      <c r="I506" s="33">
        <v>-3.3999999999999998E-3</v>
      </c>
      <c r="J506" s="23">
        <v>82.654160000000005</v>
      </c>
      <c r="K506" s="23">
        <v>50270.26</v>
      </c>
      <c r="L506" s="23">
        <v>53773.51</v>
      </c>
      <c r="M506" s="23">
        <v>10</v>
      </c>
      <c r="N506" s="23">
        <v>-16.940000000000001</v>
      </c>
      <c r="O506" s="33">
        <v>-3.3999999999999998E-3</v>
      </c>
      <c r="P506" s="33">
        <v>1.8800000000000001E-2</v>
      </c>
      <c r="Q506" s="23" t="s">
        <v>24</v>
      </c>
      <c r="R506" s="23">
        <v>0</v>
      </c>
      <c r="S506" s="23">
        <v>612.28</v>
      </c>
      <c r="U506" s="47">
        <v>44651</v>
      </c>
      <c r="V506" s="23" t="s">
        <v>114</v>
      </c>
      <c r="W506" s="23" t="s">
        <v>23</v>
      </c>
      <c r="X506" s="28">
        <v>44650.59375</v>
      </c>
      <c r="Y506" s="23">
        <v>6.55</v>
      </c>
      <c r="Z506" s="28">
        <v>44651.385416666664</v>
      </c>
      <c r="AA506" s="23">
        <v>3.4249999999999998</v>
      </c>
      <c r="AB506" s="33">
        <v>-0.47710000000000002</v>
      </c>
      <c r="AC506" s="23">
        <v>26717.68</v>
      </c>
      <c r="AD506" s="33">
        <v>0.47710000000000002</v>
      </c>
      <c r="AE506" s="23">
        <v>8549.6589999999997</v>
      </c>
      <c r="AF506" s="23">
        <v>56000.27</v>
      </c>
      <c r="AG506" s="23">
        <v>1221046.3899999999</v>
      </c>
      <c r="AH506" s="23">
        <v>10</v>
      </c>
      <c r="AI506" s="23">
        <v>2671.77</v>
      </c>
      <c r="AJ506" s="33">
        <v>-0.1069</v>
      </c>
      <c r="AK506" s="33">
        <v>0.54200000000000004</v>
      </c>
      <c r="AL506" s="23" t="s">
        <v>24</v>
      </c>
      <c r="AM506" s="23">
        <v>608.20000000000005</v>
      </c>
      <c r="AN506" s="23">
        <v>36288.15</v>
      </c>
      <c r="AO506" s="23">
        <v>612.28</v>
      </c>
      <c r="AQ506" s="50">
        <f t="shared" si="7"/>
        <v>1.0769483722459717E-2</v>
      </c>
      <c r="AR506" s="50"/>
      <c r="AS506" s="48"/>
      <c r="AT506" s="50"/>
      <c r="AV506" s="47">
        <v>44650</v>
      </c>
      <c r="AW506" s="51">
        <v>9.375E-2</v>
      </c>
      <c r="AX506" t="s">
        <v>163</v>
      </c>
    </row>
    <row r="507" spans="1:50">
      <c r="A507" s="23" t="s">
        <v>22</v>
      </c>
      <c r="B507" s="23" t="s">
        <v>25</v>
      </c>
      <c r="C507" s="28">
        <v>44651.385416666664</v>
      </c>
      <c r="D507" s="23">
        <v>610.25</v>
      </c>
      <c r="E507" s="28">
        <v>44651.6875</v>
      </c>
      <c r="F507" s="23">
        <v>623.125</v>
      </c>
      <c r="G507" s="33">
        <v>2.1100000000000001E-2</v>
      </c>
      <c r="H507" s="23">
        <v>1060.6099999999999</v>
      </c>
      <c r="I507" s="33">
        <v>2.1100000000000001E-2</v>
      </c>
      <c r="J507" s="23">
        <v>82.377780000000001</v>
      </c>
      <c r="K507" s="23">
        <v>50271.040000000001</v>
      </c>
      <c r="L507" s="23">
        <v>54834.12</v>
      </c>
      <c r="M507" s="23">
        <v>27</v>
      </c>
      <c r="N507" s="23">
        <v>39.28</v>
      </c>
      <c r="O507" s="33">
        <v>-1.18E-2</v>
      </c>
      <c r="P507" s="33">
        <v>2.4199999999999999E-2</v>
      </c>
      <c r="Q507" s="23" t="s">
        <v>24</v>
      </c>
      <c r="R507" s="23">
        <v>0</v>
      </c>
      <c r="S507" s="23">
        <v>597.29</v>
      </c>
      <c r="U507" s="47">
        <v>44651</v>
      </c>
      <c r="V507" s="23" t="s">
        <v>109</v>
      </c>
      <c r="W507" s="23" t="s">
        <v>23</v>
      </c>
      <c r="X507" s="28">
        <v>44651.385416666664</v>
      </c>
      <c r="Y507" s="23">
        <v>1.3</v>
      </c>
      <c r="Z507" s="28">
        <v>44651.6875</v>
      </c>
      <c r="AA507" s="23">
        <v>2.5000000000000001E-2</v>
      </c>
      <c r="AB507" s="33">
        <v>-0.98080000000000001</v>
      </c>
      <c r="AC507" s="23">
        <v>55023.14</v>
      </c>
      <c r="AD507" s="33">
        <v>0.98080000000000001</v>
      </c>
      <c r="AE507" s="23">
        <v>43155.41</v>
      </c>
      <c r="AF507" s="23">
        <v>56102.03</v>
      </c>
      <c r="AG507" s="23">
        <v>1276069.53</v>
      </c>
      <c r="AH507" s="23">
        <v>27</v>
      </c>
      <c r="AI507" s="23">
        <v>2037.89</v>
      </c>
      <c r="AJ507" s="33">
        <v>-0.25</v>
      </c>
      <c r="AK507" s="33">
        <v>0.98080000000000001</v>
      </c>
      <c r="AL507" s="23" t="s">
        <v>24</v>
      </c>
      <c r="AM507" s="23">
        <v>610.25</v>
      </c>
      <c r="AN507" s="23">
        <v>36303.599999999999</v>
      </c>
      <c r="AO507" s="23">
        <v>597.29</v>
      </c>
      <c r="AQ507" s="50">
        <f t="shared" si="7"/>
        <v>2.1302744776730848E-3</v>
      </c>
      <c r="AR507" s="50"/>
      <c r="AS507" s="48"/>
      <c r="AT507" s="50"/>
      <c r="AV507" s="47">
        <v>44651</v>
      </c>
      <c r="AW507" s="51">
        <v>0.38541666666666669</v>
      </c>
      <c r="AX507" t="s">
        <v>162</v>
      </c>
    </row>
    <row r="508" spans="1:50">
      <c r="A508" s="23" t="s">
        <v>22</v>
      </c>
      <c r="B508" s="23" t="s">
        <v>25</v>
      </c>
      <c r="C508" s="28">
        <v>44652.385416666664</v>
      </c>
      <c r="D508" s="23">
        <v>626.27499999999998</v>
      </c>
      <c r="E508" s="28">
        <v>44656.416666666664</v>
      </c>
      <c r="F508" s="23">
        <v>654.375</v>
      </c>
      <c r="G508" s="33">
        <v>4.4900000000000002E-2</v>
      </c>
      <c r="H508" s="23">
        <v>2255.7199999999998</v>
      </c>
      <c r="I508" s="33">
        <v>4.4900000000000002E-2</v>
      </c>
      <c r="J508" s="23">
        <v>80.274910000000006</v>
      </c>
      <c r="K508" s="23">
        <v>50274.17</v>
      </c>
      <c r="L508" s="23">
        <v>57089.85</v>
      </c>
      <c r="M508" s="23">
        <v>60</v>
      </c>
      <c r="N508" s="23">
        <v>37.6</v>
      </c>
      <c r="O508" s="33">
        <v>-1.4E-2</v>
      </c>
      <c r="P508" s="33">
        <v>7.2999999999999995E-2</v>
      </c>
      <c r="Q508" s="23" t="s">
        <v>24</v>
      </c>
      <c r="R508" s="23">
        <v>0</v>
      </c>
      <c r="S508" s="23">
        <v>617.5</v>
      </c>
      <c r="U508" s="47">
        <v>44679</v>
      </c>
      <c r="V508" s="23" t="s">
        <v>141</v>
      </c>
      <c r="W508" s="23" t="s">
        <v>23</v>
      </c>
      <c r="X508" s="28">
        <v>44652.385416666664</v>
      </c>
      <c r="Y508" s="23">
        <v>33.625</v>
      </c>
      <c r="Z508" s="28">
        <v>44656.416666666664</v>
      </c>
      <c r="AA508" s="23">
        <v>18.574999999999999</v>
      </c>
      <c r="AB508" s="33">
        <v>-0.4476</v>
      </c>
      <c r="AC508" s="23">
        <v>25234.92</v>
      </c>
      <c r="AD508" s="33">
        <v>0.4476</v>
      </c>
      <c r="AE508" s="23">
        <v>1676.739</v>
      </c>
      <c r="AF508" s="23">
        <v>56380.35</v>
      </c>
      <c r="AG508" s="23">
        <v>1301304.45</v>
      </c>
      <c r="AH508" s="23">
        <v>60</v>
      </c>
      <c r="AI508" s="23">
        <v>420.58</v>
      </c>
      <c r="AJ508" s="33">
        <v>-6.6900000000000001E-2</v>
      </c>
      <c r="AK508" s="33">
        <v>0.62970000000000004</v>
      </c>
      <c r="AL508" s="23" t="s">
        <v>24</v>
      </c>
      <c r="AM508" s="23">
        <v>626.28</v>
      </c>
      <c r="AN508" s="23">
        <v>36435.35</v>
      </c>
      <c r="AO508" s="23">
        <v>617.5</v>
      </c>
      <c r="AQ508" s="50">
        <f t="shared" si="7"/>
        <v>5.3690042792361246E-2</v>
      </c>
      <c r="AR508" s="50"/>
      <c r="AS508" s="48"/>
      <c r="AT508" s="50"/>
      <c r="AV508" s="47">
        <v>44652</v>
      </c>
      <c r="AW508" s="51">
        <v>0.38541666666666669</v>
      </c>
      <c r="AX508" t="s">
        <v>162</v>
      </c>
    </row>
    <row r="509" spans="1:50">
      <c r="A509" s="23" t="s">
        <v>22</v>
      </c>
      <c r="B509" s="23" t="s">
        <v>23</v>
      </c>
      <c r="C509" s="28">
        <v>44656.416666666664</v>
      </c>
      <c r="D509" s="23">
        <v>654.375</v>
      </c>
      <c r="E509" s="28">
        <v>44656.520833333336</v>
      </c>
      <c r="F509" s="23">
        <v>662.67499999999995</v>
      </c>
      <c r="G509" s="33">
        <v>1.2699999999999999E-2</v>
      </c>
      <c r="H509" s="23">
        <v>-637.82000000000005</v>
      </c>
      <c r="I509" s="33">
        <v>-1.2699999999999999E-2</v>
      </c>
      <c r="J509" s="23">
        <v>76.845249999999993</v>
      </c>
      <c r="K509" s="23">
        <v>50285.61</v>
      </c>
      <c r="L509" s="23">
        <v>56452.03</v>
      </c>
      <c r="M509" s="23">
        <v>11</v>
      </c>
      <c r="N509" s="23">
        <v>-57.98</v>
      </c>
      <c r="O509" s="33">
        <v>-1.2699999999999999E-2</v>
      </c>
      <c r="P509" s="33">
        <v>3.5999999999999999E-3</v>
      </c>
      <c r="Q509" s="23" t="s">
        <v>24</v>
      </c>
      <c r="R509" s="23">
        <v>0</v>
      </c>
      <c r="S509" s="23">
        <v>671.21</v>
      </c>
      <c r="U509" s="47">
        <v>44679</v>
      </c>
      <c r="V509" s="23" t="s">
        <v>110</v>
      </c>
      <c r="W509" s="23" t="s">
        <v>23</v>
      </c>
      <c r="X509" s="28">
        <v>44656.416666666664</v>
      </c>
      <c r="Y509" s="23">
        <v>31.75</v>
      </c>
      <c r="Z509" s="28">
        <v>44656.520833333336</v>
      </c>
      <c r="AA509" s="23">
        <v>35.975000000000001</v>
      </c>
      <c r="AB509" s="33">
        <v>0.1331</v>
      </c>
      <c r="AC509" s="23">
        <v>-7519.46</v>
      </c>
      <c r="AD509" s="33">
        <v>-0.1331</v>
      </c>
      <c r="AE509" s="23">
        <v>1779.7529999999999</v>
      </c>
      <c r="AF509" s="23">
        <v>56507.15</v>
      </c>
      <c r="AG509" s="23">
        <v>1293785</v>
      </c>
      <c r="AH509" s="23">
        <v>11</v>
      </c>
      <c r="AI509" s="23">
        <v>-683.59</v>
      </c>
      <c r="AJ509" s="33">
        <v>-0.1331</v>
      </c>
      <c r="AK509" s="33">
        <v>2.3599999999999999E-2</v>
      </c>
      <c r="AL509" s="23" t="s">
        <v>24</v>
      </c>
      <c r="AM509" s="23">
        <v>654.38</v>
      </c>
      <c r="AN509" s="23">
        <v>38172.25</v>
      </c>
      <c r="AO509" s="23">
        <v>671.21</v>
      </c>
      <c r="AQ509" s="50">
        <f t="shared" si="7"/>
        <v>4.8519209022280629E-2</v>
      </c>
      <c r="AR509" s="50"/>
      <c r="AS509" s="48"/>
      <c r="AT509" s="50"/>
      <c r="AV509" s="47">
        <v>44656</v>
      </c>
      <c r="AW509" s="51">
        <v>0.41666666666666669</v>
      </c>
      <c r="AX509" t="s">
        <v>162</v>
      </c>
    </row>
    <row r="510" spans="1:50">
      <c r="A510" s="23" t="s">
        <v>22</v>
      </c>
      <c r="B510" s="23" t="s">
        <v>25</v>
      </c>
      <c r="C510" s="28">
        <v>44656.520833333336</v>
      </c>
      <c r="D510" s="23">
        <v>662.67499999999995</v>
      </c>
      <c r="E510" s="28">
        <v>44656.625</v>
      </c>
      <c r="F510" s="23">
        <v>657</v>
      </c>
      <c r="G510" s="33">
        <v>-8.6E-3</v>
      </c>
      <c r="H510" s="23">
        <v>-430.61</v>
      </c>
      <c r="I510" s="33">
        <v>-8.6E-3</v>
      </c>
      <c r="J510" s="23">
        <v>75.878839999999997</v>
      </c>
      <c r="K510" s="23">
        <v>50283.01</v>
      </c>
      <c r="L510" s="23">
        <v>56021.42</v>
      </c>
      <c r="M510" s="23">
        <v>11</v>
      </c>
      <c r="N510" s="23">
        <v>-39.15</v>
      </c>
      <c r="O510" s="33">
        <v>-8.6E-3</v>
      </c>
      <c r="P510" s="33">
        <v>5.7000000000000002E-3</v>
      </c>
      <c r="Q510" s="23" t="s">
        <v>24</v>
      </c>
      <c r="R510" s="23">
        <v>0</v>
      </c>
      <c r="S510" s="23">
        <v>652.47</v>
      </c>
      <c r="U510" s="47">
        <v>44679</v>
      </c>
      <c r="V510" s="23" t="s">
        <v>144</v>
      </c>
      <c r="W510" s="23" t="s">
        <v>23</v>
      </c>
      <c r="X510" s="28">
        <v>44656.520833333336</v>
      </c>
      <c r="Y510" s="23">
        <v>26.75</v>
      </c>
      <c r="Z510" s="28">
        <v>44656.625</v>
      </c>
      <c r="AA510" s="23">
        <v>29</v>
      </c>
      <c r="AB510" s="33">
        <v>8.4099999999999994E-2</v>
      </c>
      <c r="AC510" s="23">
        <v>-4751.01</v>
      </c>
      <c r="AD510" s="33">
        <v>-8.4099999999999994E-2</v>
      </c>
      <c r="AE510" s="23">
        <v>2111.5619999999999</v>
      </c>
      <c r="AF510" s="23">
        <v>56484.28</v>
      </c>
      <c r="AG510" s="23">
        <v>1289033.98</v>
      </c>
      <c r="AH510" s="23">
        <v>11</v>
      </c>
      <c r="AI510" s="23">
        <v>-431.91</v>
      </c>
      <c r="AJ510" s="33">
        <v>-8.4099999999999994E-2</v>
      </c>
      <c r="AK510" s="33">
        <v>9.35E-2</v>
      </c>
      <c r="AL510" s="23" t="s">
        <v>24</v>
      </c>
      <c r="AM510" s="23">
        <v>662.67</v>
      </c>
      <c r="AN510" s="23">
        <v>38294.85</v>
      </c>
      <c r="AO510" s="23">
        <v>652.47</v>
      </c>
      <c r="AQ510" s="50">
        <f t="shared" si="7"/>
        <v>4.0367000165995141E-2</v>
      </c>
      <c r="AR510" s="50"/>
      <c r="AS510" s="48"/>
      <c r="AT510" s="50"/>
      <c r="AV510" s="47">
        <v>44656</v>
      </c>
      <c r="AW510" s="51">
        <v>0.52083333333333337</v>
      </c>
      <c r="AX510" t="s">
        <v>163</v>
      </c>
    </row>
    <row r="511" spans="1:50">
      <c r="A511" s="23" t="s">
        <v>22</v>
      </c>
      <c r="B511" s="23" t="s">
        <v>23</v>
      </c>
      <c r="C511" s="28">
        <v>44656.625</v>
      </c>
      <c r="D511" s="23">
        <v>657</v>
      </c>
      <c r="E511" s="28">
        <v>44657.395833333336</v>
      </c>
      <c r="F511" s="23">
        <v>659.25</v>
      </c>
      <c r="G511" s="33">
        <v>3.3999999999999998E-3</v>
      </c>
      <c r="H511" s="23">
        <v>-172.2</v>
      </c>
      <c r="I511" s="33">
        <v>-3.3999999999999998E-3</v>
      </c>
      <c r="J511" s="23">
        <v>76.532150000000001</v>
      </c>
      <c r="K511" s="23">
        <v>50281.62</v>
      </c>
      <c r="L511" s="23">
        <v>55849.22</v>
      </c>
      <c r="M511" s="23">
        <v>7</v>
      </c>
      <c r="N511" s="23">
        <v>-24.6</v>
      </c>
      <c r="O511" s="33">
        <v>-8.6E-3</v>
      </c>
      <c r="P511" s="33">
        <v>9.5999999999999992E-3</v>
      </c>
      <c r="Q511" s="23" t="s">
        <v>24</v>
      </c>
      <c r="R511" s="23">
        <v>0</v>
      </c>
      <c r="S511" s="23">
        <v>666.45</v>
      </c>
      <c r="U511" s="47">
        <v>44679</v>
      </c>
      <c r="V511" s="23" t="s">
        <v>143</v>
      </c>
      <c r="W511" s="23" t="s">
        <v>23</v>
      </c>
      <c r="X511" s="28">
        <v>44656.625</v>
      </c>
      <c r="Y511" s="23">
        <v>26.55</v>
      </c>
      <c r="Z511" s="28">
        <v>44657.395833333336</v>
      </c>
      <c r="AA511" s="23">
        <v>29.5</v>
      </c>
      <c r="AB511" s="33">
        <v>0.1111</v>
      </c>
      <c r="AC511" s="23">
        <v>-6273.53</v>
      </c>
      <c r="AD511" s="33">
        <v>-0.1111</v>
      </c>
      <c r="AE511" s="23">
        <v>2126.6219999999998</v>
      </c>
      <c r="AF511" s="23">
        <v>56461.8</v>
      </c>
      <c r="AG511" s="23">
        <v>1282760.45</v>
      </c>
      <c r="AH511" s="23">
        <v>7</v>
      </c>
      <c r="AI511" s="23">
        <v>-896.22</v>
      </c>
      <c r="AJ511" s="33">
        <v>-0.1111</v>
      </c>
      <c r="AK511" s="33">
        <v>7.6300000000000007E-2</v>
      </c>
      <c r="AL511" s="23" t="s">
        <v>24</v>
      </c>
      <c r="AM511" s="23">
        <v>657</v>
      </c>
      <c r="AN511" s="23">
        <v>38035.449999999997</v>
      </c>
      <c r="AO511" s="23">
        <v>666.45</v>
      </c>
      <c r="AQ511" s="50">
        <f t="shared" si="7"/>
        <v>4.041095890410959E-2</v>
      </c>
      <c r="AR511" s="50"/>
      <c r="AS511" s="48"/>
      <c r="AT511" s="50"/>
      <c r="AV511" s="47">
        <v>44656</v>
      </c>
      <c r="AW511" s="51">
        <v>0.125</v>
      </c>
      <c r="AX511" t="s">
        <v>163</v>
      </c>
    </row>
    <row r="512" spans="1:50">
      <c r="A512" s="23" t="s">
        <v>22</v>
      </c>
      <c r="B512" s="23" t="s">
        <v>25</v>
      </c>
      <c r="C512" s="28">
        <v>44657.395833333336</v>
      </c>
      <c r="D512" s="23">
        <v>659.25</v>
      </c>
      <c r="E512" s="28">
        <v>44658.385416666664</v>
      </c>
      <c r="F512" s="23">
        <v>666.82500000000005</v>
      </c>
      <c r="G512" s="33">
        <v>1.15E-2</v>
      </c>
      <c r="H512" s="23">
        <v>577.75</v>
      </c>
      <c r="I512" s="33">
        <v>1.15E-2</v>
      </c>
      <c r="J512" s="23">
        <v>76.270870000000002</v>
      </c>
      <c r="K512" s="23">
        <v>50281.57</v>
      </c>
      <c r="L512" s="23">
        <v>56426.98</v>
      </c>
      <c r="M512" s="23">
        <v>28</v>
      </c>
      <c r="N512" s="23">
        <v>20.63</v>
      </c>
      <c r="O512" s="33">
        <v>-1.0200000000000001E-2</v>
      </c>
      <c r="P512" s="33">
        <v>1.6299999999999999E-2</v>
      </c>
      <c r="Q512" s="23" t="s">
        <v>24</v>
      </c>
      <c r="R512" s="23">
        <v>0</v>
      </c>
      <c r="S512" s="23">
        <v>650.66999999999996</v>
      </c>
      <c r="U512" s="47">
        <v>44679</v>
      </c>
      <c r="V512" s="23" t="s">
        <v>144</v>
      </c>
      <c r="W512" s="23" t="s">
        <v>23</v>
      </c>
      <c r="X512" s="28">
        <v>44657.395833333336</v>
      </c>
      <c r="Y512" s="23">
        <v>28.574999999999999</v>
      </c>
      <c r="Z512" s="28">
        <v>44658.385416666664</v>
      </c>
      <c r="AA512" s="23">
        <v>24.2</v>
      </c>
      <c r="AB512" s="33">
        <v>-0.15310000000000001</v>
      </c>
      <c r="AC512" s="23">
        <v>8643.7999999999993</v>
      </c>
      <c r="AD512" s="33">
        <v>0.15310000000000001</v>
      </c>
      <c r="AE512" s="23">
        <v>1975.7249999999999</v>
      </c>
      <c r="AF512" s="23">
        <v>56456.34</v>
      </c>
      <c r="AG512" s="23">
        <v>1291404.24</v>
      </c>
      <c r="AH512" s="23">
        <v>28</v>
      </c>
      <c r="AI512" s="23">
        <v>308.70999999999998</v>
      </c>
      <c r="AJ512" s="33">
        <v>-4.99E-2</v>
      </c>
      <c r="AK512" s="33">
        <v>0.20469999999999999</v>
      </c>
      <c r="AL512" s="23" t="s">
        <v>24</v>
      </c>
      <c r="AM512" s="23">
        <v>659.25</v>
      </c>
      <c r="AN512" s="23">
        <v>37647.5</v>
      </c>
      <c r="AO512" s="23">
        <v>650.66999999999996</v>
      </c>
      <c r="AQ512" s="50">
        <f t="shared" si="7"/>
        <v>4.3344709897610918E-2</v>
      </c>
      <c r="AR512" s="50"/>
      <c r="AS512" s="48"/>
      <c r="AT512" s="50"/>
      <c r="AV512" s="47">
        <v>44657</v>
      </c>
      <c r="AW512" s="51">
        <v>0.39583333333333331</v>
      </c>
      <c r="AX512" t="s">
        <v>162</v>
      </c>
    </row>
    <row r="513" spans="1:50">
      <c r="A513" s="23" t="s">
        <v>22</v>
      </c>
      <c r="B513" s="23" t="s">
        <v>23</v>
      </c>
      <c r="C513" s="28">
        <v>44658.385416666664</v>
      </c>
      <c r="D513" s="23">
        <v>666.82500000000005</v>
      </c>
      <c r="E513" s="28">
        <v>44658.395833333336</v>
      </c>
      <c r="F513" s="23">
        <v>668.82500000000005</v>
      </c>
      <c r="G513" s="33">
        <v>3.0000000000000001E-3</v>
      </c>
      <c r="H513" s="23">
        <v>-150.80000000000001</v>
      </c>
      <c r="I513" s="33">
        <v>-3.0000000000000001E-3</v>
      </c>
      <c r="J513" s="23">
        <v>75.401160000000004</v>
      </c>
      <c r="K513" s="23">
        <v>50279.38</v>
      </c>
      <c r="L513" s="23">
        <v>56276.17</v>
      </c>
      <c r="M513" s="23">
        <v>2</v>
      </c>
      <c r="N513" s="23">
        <v>-75.400000000000006</v>
      </c>
      <c r="O513" s="33">
        <v>-3.0000000000000001E-3</v>
      </c>
      <c r="P513" s="33">
        <v>1.0200000000000001E-2</v>
      </c>
      <c r="Q513" s="23" t="s">
        <v>24</v>
      </c>
      <c r="R513" s="23">
        <v>0</v>
      </c>
      <c r="S513" s="23">
        <v>669.39</v>
      </c>
      <c r="U513" s="47">
        <v>44679</v>
      </c>
      <c r="V513" s="23" t="s">
        <v>145</v>
      </c>
      <c r="W513" s="23" t="s">
        <v>23</v>
      </c>
      <c r="X513" s="28">
        <v>44658.385416666664</v>
      </c>
      <c r="Y513" s="23">
        <v>28</v>
      </c>
      <c r="Z513" s="28">
        <v>44658.395833333336</v>
      </c>
      <c r="AA513" s="23">
        <v>29</v>
      </c>
      <c r="AB513" s="33">
        <v>3.5700000000000003E-2</v>
      </c>
      <c r="AC513" s="23">
        <v>-2016.39</v>
      </c>
      <c r="AD513" s="33">
        <v>-3.5700000000000003E-2</v>
      </c>
      <c r="AE513" s="23">
        <v>2016.393</v>
      </c>
      <c r="AF513" s="23">
        <v>56459</v>
      </c>
      <c r="AG513" s="23">
        <v>1289387.8500000001</v>
      </c>
      <c r="AH513" s="23">
        <v>2</v>
      </c>
      <c r="AI513" s="23">
        <v>-1008.2</v>
      </c>
      <c r="AJ513" s="33">
        <v>-3.5700000000000003E-2</v>
      </c>
      <c r="AK513" s="33">
        <v>7.1400000000000005E-2</v>
      </c>
      <c r="AL513" s="23" t="s">
        <v>24</v>
      </c>
      <c r="AM513" s="23">
        <v>666.83</v>
      </c>
      <c r="AN513" s="23">
        <v>37426.199999999997</v>
      </c>
      <c r="AO513" s="23">
        <v>669.39</v>
      </c>
      <c r="AQ513" s="50">
        <f t="shared" si="7"/>
        <v>4.1989712520432494E-2</v>
      </c>
      <c r="AR513" s="50"/>
      <c r="AS513" s="48"/>
      <c r="AT513" s="50"/>
      <c r="AV513" s="47">
        <v>44658</v>
      </c>
      <c r="AW513" s="51">
        <v>0.38541666666666669</v>
      </c>
      <c r="AX513" t="s">
        <v>162</v>
      </c>
    </row>
    <row r="514" spans="1:50">
      <c r="A514" s="23" t="s">
        <v>22</v>
      </c>
      <c r="B514" s="23" t="s">
        <v>25</v>
      </c>
      <c r="C514" s="28">
        <v>44658.395833333336</v>
      </c>
      <c r="D514" s="23">
        <v>668.82500000000005</v>
      </c>
      <c r="E514" s="28">
        <v>44659.552083333336</v>
      </c>
      <c r="F514" s="23">
        <v>694.35</v>
      </c>
      <c r="G514" s="33">
        <v>3.8199999999999998E-2</v>
      </c>
      <c r="H514" s="23">
        <v>1918.96</v>
      </c>
      <c r="I514" s="33">
        <v>3.8199999999999998E-2</v>
      </c>
      <c r="J514" s="23">
        <v>75.179810000000003</v>
      </c>
      <c r="K514" s="23">
        <v>50282.14</v>
      </c>
      <c r="L514" s="23">
        <v>58195.14</v>
      </c>
      <c r="M514" s="23">
        <v>44</v>
      </c>
      <c r="N514" s="23">
        <v>43.61</v>
      </c>
      <c r="O514" s="33">
        <v>-3.5000000000000001E-3</v>
      </c>
      <c r="P514" s="33">
        <v>5.11E-2</v>
      </c>
      <c r="Q514" s="23" t="s">
        <v>24</v>
      </c>
      <c r="R514" s="23">
        <v>0</v>
      </c>
      <c r="S514" s="23">
        <v>659.6</v>
      </c>
      <c r="U514" s="47">
        <v>44679</v>
      </c>
      <c r="V514" s="23" t="s">
        <v>146</v>
      </c>
      <c r="W514" s="23" t="s">
        <v>23</v>
      </c>
      <c r="X514" s="28">
        <v>44658.395833333336</v>
      </c>
      <c r="Y514" s="23">
        <v>27.5</v>
      </c>
      <c r="Z514" s="28">
        <v>44659.552083333336</v>
      </c>
      <c r="AA514" s="23">
        <v>17.3</v>
      </c>
      <c r="AB514" s="33">
        <v>-0.37090000000000001</v>
      </c>
      <c r="AC514" s="23">
        <v>20940.419999999998</v>
      </c>
      <c r="AD514" s="33">
        <v>0.37090000000000001</v>
      </c>
      <c r="AE514" s="23">
        <v>2052.9830000000002</v>
      </c>
      <c r="AF514" s="23">
        <v>56457.02</v>
      </c>
      <c r="AG514" s="23">
        <v>1310328.27</v>
      </c>
      <c r="AH514" s="23">
        <v>44</v>
      </c>
      <c r="AI514" s="23">
        <v>475.92</v>
      </c>
      <c r="AJ514" s="33">
        <v>-3.6400000000000002E-2</v>
      </c>
      <c r="AK514" s="33">
        <v>0.44819999999999999</v>
      </c>
      <c r="AL514" s="23" t="s">
        <v>24</v>
      </c>
      <c r="AM514" s="23">
        <v>668.83</v>
      </c>
      <c r="AN514" s="23">
        <v>37561.1</v>
      </c>
      <c r="AO514" s="23">
        <v>659.6</v>
      </c>
      <c r="AQ514" s="50">
        <f t="shared" si="7"/>
        <v>4.1116576708580654E-2</v>
      </c>
      <c r="AR514" s="50"/>
      <c r="AS514" s="48"/>
      <c r="AT514" s="50"/>
      <c r="AV514" s="47">
        <v>44658</v>
      </c>
      <c r="AW514" s="51">
        <v>0.39583333333333331</v>
      </c>
      <c r="AX514" t="s">
        <v>162</v>
      </c>
    </row>
    <row r="515" spans="1:50">
      <c r="A515" s="23" t="s">
        <v>22</v>
      </c>
      <c r="B515" s="23" t="s">
        <v>23</v>
      </c>
      <c r="C515" s="28">
        <v>44659.552083333336</v>
      </c>
      <c r="D515" s="23">
        <v>694.35</v>
      </c>
      <c r="E515" s="28">
        <v>44662.385416666664</v>
      </c>
      <c r="F515" s="23">
        <v>699.27499999999998</v>
      </c>
      <c r="G515" s="33">
        <v>7.1000000000000004E-3</v>
      </c>
      <c r="H515" s="23">
        <v>-356.71</v>
      </c>
      <c r="I515" s="33">
        <v>-7.1000000000000004E-3</v>
      </c>
      <c r="J515" s="23">
        <v>72.429339999999996</v>
      </c>
      <c r="K515" s="23">
        <v>50291.31</v>
      </c>
      <c r="L515" s="23">
        <v>57838.42</v>
      </c>
      <c r="M515" s="23">
        <v>13</v>
      </c>
      <c r="N515" s="23">
        <v>-27.44</v>
      </c>
      <c r="O515" s="33">
        <v>-7.1000000000000004E-3</v>
      </c>
      <c r="P515" s="33">
        <v>5.7000000000000002E-3</v>
      </c>
      <c r="Q515" s="23" t="s">
        <v>24</v>
      </c>
      <c r="R515" s="23">
        <v>0</v>
      </c>
      <c r="S515" s="23">
        <v>702.97</v>
      </c>
      <c r="U515" s="47">
        <v>44679</v>
      </c>
      <c r="V515" s="23" t="s">
        <v>150</v>
      </c>
      <c r="W515" s="23" t="s">
        <v>23</v>
      </c>
      <c r="X515" s="28">
        <v>44659.552083333336</v>
      </c>
      <c r="Y515" s="23">
        <v>31.05</v>
      </c>
      <c r="Z515" s="28">
        <v>44662.385416666664</v>
      </c>
      <c r="AA515" s="23">
        <v>33.5</v>
      </c>
      <c r="AB515" s="33">
        <v>7.8899999999999998E-2</v>
      </c>
      <c r="AC515" s="23">
        <v>-4463.26</v>
      </c>
      <c r="AD515" s="33">
        <v>-7.8899999999999998E-2</v>
      </c>
      <c r="AE515" s="23">
        <v>1821.739</v>
      </c>
      <c r="AF515" s="23">
        <v>56564.99</v>
      </c>
      <c r="AG515" s="23">
        <v>1305865.01</v>
      </c>
      <c r="AH515" s="23">
        <v>13</v>
      </c>
      <c r="AI515" s="23">
        <v>-343.33</v>
      </c>
      <c r="AJ515" s="33">
        <v>-7.8899999999999998E-2</v>
      </c>
      <c r="AK515" s="33">
        <v>7.9699999999999993E-2</v>
      </c>
      <c r="AL515" s="23" t="s">
        <v>24</v>
      </c>
      <c r="AM515" s="23">
        <v>694.35</v>
      </c>
      <c r="AN515" s="23">
        <v>37655.699999999997</v>
      </c>
      <c r="AO515" s="23">
        <v>702.97</v>
      </c>
      <c r="AQ515" s="50">
        <f t="shared" si="7"/>
        <v>4.4718081659105638E-2</v>
      </c>
      <c r="AR515" s="50"/>
      <c r="AS515" s="48"/>
      <c r="AT515" s="50"/>
      <c r="AV515" s="47">
        <v>44659</v>
      </c>
      <c r="AW515" s="51">
        <v>5.2083333333333336E-2</v>
      </c>
      <c r="AX515" t="s">
        <v>163</v>
      </c>
    </row>
    <row r="516" spans="1:50">
      <c r="A516" s="23" t="s">
        <v>22</v>
      </c>
      <c r="B516" s="23" t="s">
        <v>25</v>
      </c>
      <c r="C516" s="28">
        <v>44662.385416666664</v>
      </c>
      <c r="D516" s="23">
        <v>699.27499999999998</v>
      </c>
      <c r="E516" s="28">
        <v>44662.53125</v>
      </c>
      <c r="F516" s="23">
        <v>700.2</v>
      </c>
      <c r="G516" s="33">
        <v>1.2999999999999999E-3</v>
      </c>
      <c r="H516" s="23">
        <v>66.52</v>
      </c>
      <c r="I516" s="33">
        <v>1.2999999999999999E-3</v>
      </c>
      <c r="J516" s="23">
        <v>71.918430000000001</v>
      </c>
      <c r="K516" s="23">
        <v>50290.76</v>
      </c>
      <c r="L516" s="23">
        <v>57904.95</v>
      </c>
      <c r="M516" s="23">
        <v>15</v>
      </c>
      <c r="N516" s="23">
        <v>4.43</v>
      </c>
      <c r="O516" s="33">
        <v>-1.5800000000000002E-2</v>
      </c>
      <c r="P516" s="33">
        <v>1.3100000000000001E-2</v>
      </c>
      <c r="Q516" s="23" t="s">
        <v>24</v>
      </c>
      <c r="R516" s="23">
        <v>0</v>
      </c>
      <c r="S516" s="23">
        <v>688.2</v>
      </c>
      <c r="U516" s="47">
        <v>44679</v>
      </c>
      <c r="V516" s="23" t="s">
        <v>151</v>
      </c>
      <c r="W516" s="23" t="s">
        <v>23</v>
      </c>
      <c r="X516" s="28">
        <v>44662.385416666664</v>
      </c>
      <c r="Y516" s="23">
        <v>27.125</v>
      </c>
      <c r="Z516" s="28">
        <v>44662.53125</v>
      </c>
      <c r="AA516" s="23">
        <v>26.125</v>
      </c>
      <c r="AB516" s="33">
        <v>-3.6900000000000002E-2</v>
      </c>
      <c r="AC516" s="23">
        <v>2084.35</v>
      </c>
      <c r="AD516" s="33">
        <v>3.6900000000000002E-2</v>
      </c>
      <c r="AE516" s="23">
        <v>2084.3490000000002</v>
      </c>
      <c r="AF516" s="23">
        <v>56537.98</v>
      </c>
      <c r="AG516" s="23">
        <v>1307949.3600000001</v>
      </c>
      <c r="AH516" s="23">
        <v>15</v>
      </c>
      <c r="AI516" s="23">
        <v>138.96</v>
      </c>
      <c r="AJ516" s="33">
        <v>-0.19819999999999999</v>
      </c>
      <c r="AK516" s="33">
        <v>0.15479999999999999</v>
      </c>
      <c r="AL516" s="23" t="s">
        <v>24</v>
      </c>
      <c r="AM516" s="23">
        <v>699.28</v>
      </c>
      <c r="AN516" s="23">
        <v>37601.4</v>
      </c>
      <c r="AO516" s="23">
        <v>688.2</v>
      </c>
      <c r="AQ516" s="50">
        <f t="shared" si="7"/>
        <v>3.878989818098616E-2</v>
      </c>
      <c r="AR516" s="50"/>
      <c r="AS516" s="48"/>
      <c r="AT516" s="50"/>
      <c r="AV516" s="47">
        <v>44662</v>
      </c>
      <c r="AW516" s="51">
        <v>0.38541666666666669</v>
      </c>
      <c r="AX516" t="s">
        <v>162</v>
      </c>
    </row>
    <row r="517" spans="1:50">
      <c r="A517" s="23" t="s">
        <v>22</v>
      </c>
      <c r="B517" s="23" t="s">
        <v>23</v>
      </c>
      <c r="C517" s="28">
        <v>44662.53125</v>
      </c>
      <c r="D517" s="23">
        <v>700.2</v>
      </c>
      <c r="E517" s="28">
        <v>44663.4375</v>
      </c>
      <c r="F517" s="23">
        <v>701.07500000000005</v>
      </c>
      <c r="G517" s="33">
        <v>1.1999999999999999E-3</v>
      </c>
      <c r="H517" s="23">
        <v>-62.84</v>
      </c>
      <c r="I517" s="33">
        <v>-1.1999999999999999E-3</v>
      </c>
      <c r="J517" s="23">
        <v>71.821529999999996</v>
      </c>
      <c r="K517" s="23">
        <v>50289.43</v>
      </c>
      <c r="L517" s="23">
        <v>57842.1</v>
      </c>
      <c r="M517" s="23">
        <v>20</v>
      </c>
      <c r="N517" s="23">
        <v>-3.14</v>
      </c>
      <c r="O517" s="33">
        <v>-1.4E-3</v>
      </c>
      <c r="P517" s="33">
        <v>1.7399999999999999E-2</v>
      </c>
      <c r="Q517" s="23" t="s">
        <v>24</v>
      </c>
      <c r="R517" s="23">
        <v>0</v>
      </c>
      <c r="S517" s="23">
        <v>708.02</v>
      </c>
      <c r="U517" s="47">
        <v>44679</v>
      </c>
      <c r="V517" s="23" t="s">
        <v>152</v>
      </c>
      <c r="W517" s="23" t="s">
        <v>23</v>
      </c>
      <c r="X517" s="28">
        <v>44662.53125</v>
      </c>
      <c r="Y517" s="23">
        <v>27.8</v>
      </c>
      <c r="Z517" s="28">
        <v>44663.4375</v>
      </c>
      <c r="AA517" s="23">
        <v>27.45</v>
      </c>
      <c r="AB517" s="33">
        <v>-1.26E-2</v>
      </c>
      <c r="AC517" s="23">
        <v>711.86</v>
      </c>
      <c r="AD517" s="33">
        <v>1.26E-2</v>
      </c>
      <c r="AE517" s="23">
        <v>2033.8879999999999</v>
      </c>
      <c r="AF517" s="23">
        <v>56542.09</v>
      </c>
      <c r="AG517" s="23">
        <v>1308661.22</v>
      </c>
      <c r="AH517" s="23">
        <v>20</v>
      </c>
      <c r="AI517" s="23">
        <v>35.590000000000003</v>
      </c>
      <c r="AJ517" s="33">
        <v>-3.5099999999999999E-2</v>
      </c>
      <c r="AK517" s="33">
        <v>0.27160000000000001</v>
      </c>
      <c r="AL517" s="23" t="s">
        <v>24</v>
      </c>
      <c r="AM517" s="23">
        <v>700.2</v>
      </c>
      <c r="AN517" s="23">
        <v>37903.4</v>
      </c>
      <c r="AO517" s="23">
        <v>708.02</v>
      </c>
      <c r="AQ517" s="50">
        <f t="shared" si="7"/>
        <v>3.970294201656669E-2</v>
      </c>
      <c r="AR517" s="50"/>
      <c r="AS517" s="48"/>
      <c r="AT517" s="50"/>
      <c r="AV517" s="47">
        <v>44662</v>
      </c>
      <c r="AW517" s="51">
        <v>0.53125</v>
      </c>
      <c r="AX517" t="s">
        <v>163</v>
      </c>
    </row>
    <row r="518" spans="1:50">
      <c r="A518" s="23" t="s">
        <v>22</v>
      </c>
      <c r="B518" s="23" t="s">
        <v>25</v>
      </c>
      <c r="C518" s="28">
        <v>44663.4375</v>
      </c>
      <c r="D518" s="23">
        <v>701.07500000000005</v>
      </c>
      <c r="E518" s="28">
        <v>44663.5625</v>
      </c>
      <c r="F518" s="23">
        <v>689.65</v>
      </c>
      <c r="G518" s="33">
        <v>-1.6299999999999999E-2</v>
      </c>
      <c r="H518" s="23">
        <v>-819.57</v>
      </c>
      <c r="I518" s="33">
        <v>-1.6299999999999999E-2</v>
      </c>
      <c r="J518" s="23">
        <v>71.734449999999995</v>
      </c>
      <c r="K518" s="23">
        <v>50291.23</v>
      </c>
      <c r="L518" s="23">
        <v>57022.54</v>
      </c>
      <c r="M518" s="23">
        <v>13</v>
      </c>
      <c r="N518" s="23">
        <v>-63.04</v>
      </c>
      <c r="O518" s="33">
        <v>-1.6299999999999999E-2</v>
      </c>
      <c r="P518" s="33">
        <v>3.2000000000000002E-3</v>
      </c>
      <c r="Q518" s="23" t="s">
        <v>24</v>
      </c>
      <c r="R518" s="23">
        <v>0</v>
      </c>
      <c r="S518" s="23">
        <v>688.53</v>
      </c>
      <c r="U518" s="47">
        <v>44679</v>
      </c>
      <c r="V518" s="23" t="s">
        <v>151</v>
      </c>
      <c r="W518" s="23" t="s">
        <v>23</v>
      </c>
      <c r="X518" s="28">
        <v>44663.4375</v>
      </c>
      <c r="Y518" s="23">
        <v>25.925000000000001</v>
      </c>
      <c r="Z518" s="28">
        <v>44663.5625</v>
      </c>
      <c r="AA518" s="23">
        <v>31.125</v>
      </c>
      <c r="AB518" s="33">
        <v>0.2006</v>
      </c>
      <c r="AC518" s="23">
        <v>-11350.76</v>
      </c>
      <c r="AD518" s="33">
        <v>-0.2006</v>
      </c>
      <c r="AE518" s="23">
        <v>2182.8380000000002</v>
      </c>
      <c r="AF518" s="23">
        <v>56590.080000000002</v>
      </c>
      <c r="AG518" s="23">
        <v>1297310.46</v>
      </c>
      <c r="AH518" s="23">
        <v>13</v>
      </c>
      <c r="AI518" s="23">
        <v>-873.14</v>
      </c>
      <c r="AJ518" s="33">
        <v>-0.2006</v>
      </c>
      <c r="AK518" s="33">
        <v>3.95E-2</v>
      </c>
      <c r="AL518" s="23" t="s">
        <v>24</v>
      </c>
      <c r="AM518" s="23">
        <v>701.08</v>
      </c>
      <c r="AN518" s="23">
        <v>37448.800000000003</v>
      </c>
      <c r="AO518" s="23">
        <v>688.53</v>
      </c>
      <c r="AQ518" s="50">
        <f t="shared" si="7"/>
        <v>3.6978661493695442E-2</v>
      </c>
      <c r="AR518" s="50"/>
      <c r="AS518" s="48"/>
      <c r="AT518" s="50"/>
      <c r="AV518" s="47">
        <v>44663</v>
      </c>
      <c r="AW518" s="51">
        <v>0.4375</v>
      </c>
      <c r="AX518" t="s">
        <v>162</v>
      </c>
    </row>
    <row r="519" spans="1:50">
      <c r="A519" s="23" t="s">
        <v>22</v>
      </c>
      <c r="B519" s="23" t="s">
        <v>23</v>
      </c>
      <c r="C519" s="28">
        <v>44663.5625</v>
      </c>
      <c r="D519" s="23">
        <v>689.65</v>
      </c>
      <c r="E519" s="28">
        <v>44663.604166666664</v>
      </c>
      <c r="F519" s="23">
        <v>701.5</v>
      </c>
      <c r="G519" s="33">
        <v>1.72E-2</v>
      </c>
      <c r="H519" s="23">
        <v>-864.09</v>
      </c>
      <c r="I519" s="33">
        <v>-1.72E-2</v>
      </c>
      <c r="J519" s="23">
        <v>72.918980000000005</v>
      </c>
      <c r="K519" s="23">
        <v>50288.57</v>
      </c>
      <c r="L519" s="23">
        <v>56158.45</v>
      </c>
      <c r="M519" s="23">
        <v>5</v>
      </c>
      <c r="N519" s="23">
        <v>-172.82</v>
      </c>
      <c r="O519" s="33">
        <v>-1.72E-2</v>
      </c>
      <c r="P519" s="33">
        <v>2.3999999999999998E-3</v>
      </c>
      <c r="Q519" s="23" t="s">
        <v>24</v>
      </c>
      <c r="R519" s="23">
        <v>0</v>
      </c>
      <c r="S519" s="23">
        <v>703.35</v>
      </c>
      <c r="U519" s="47">
        <v>44679</v>
      </c>
      <c r="V519" s="23" t="s">
        <v>150</v>
      </c>
      <c r="W519" s="23" t="s">
        <v>23</v>
      </c>
      <c r="X519" s="28">
        <v>44663.5625</v>
      </c>
      <c r="Y519" s="23">
        <v>24</v>
      </c>
      <c r="Z519" s="28">
        <v>44663.604166666664</v>
      </c>
      <c r="AA519" s="23">
        <v>30.9</v>
      </c>
      <c r="AB519" s="33">
        <v>0.28749999999999998</v>
      </c>
      <c r="AC519" s="23">
        <v>-16253.61</v>
      </c>
      <c r="AD519" s="33">
        <v>-0.28749999999999998</v>
      </c>
      <c r="AE519" s="23">
        <v>2355.596</v>
      </c>
      <c r="AF519" s="23">
        <v>56534.3</v>
      </c>
      <c r="AG519" s="23">
        <v>1281056.8500000001</v>
      </c>
      <c r="AH519" s="23">
        <v>5</v>
      </c>
      <c r="AI519" s="23">
        <v>-3250.72</v>
      </c>
      <c r="AJ519" s="33">
        <v>-0.28749999999999998</v>
      </c>
      <c r="AK519" s="33">
        <v>1.15E-2</v>
      </c>
      <c r="AL519" s="23" t="s">
        <v>24</v>
      </c>
      <c r="AM519" s="23">
        <v>689.65</v>
      </c>
      <c r="AN519" s="23">
        <v>37380.050000000003</v>
      </c>
      <c r="AO519" s="23">
        <v>703.35</v>
      </c>
      <c r="AQ519" s="50">
        <f t="shared" si="7"/>
        <v>3.4800261001957516E-2</v>
      </c>
      <c r="AR519" s="50"/>
      <c r="AS519" s="48"/>
      <c r="AT519" s="50"/>
      <c r="AV519" s="47">
        <v>44663</v>
      </c>
      <c r="AW519" s="51">
        <v>6.25E-2</v>
      </c>
      <c r="AX519" t="s">
        <v>163</v>
      </c>
    </row>
    <row r="520" spans="1:50">
      <c r="A520" s="23" t="s">
        <v>22</v>
      </c>
      <c r="B520" s="23" t="s">
        <v>25</v>
      </c>
      <c r="C520" s="28">
        <v>44663.604166666664</v>
      </c>
      <c r="D520" s="23">
        <v>701.5</v>
      </c>
      <c r="E520" s="28">
        <v>44664.479166666664</v>
      </c>
      <c r="F520" s="23">
        <v>700.77499999999998</v>
      </c>
      <c r="G520" s="33">
        <v>-1E-3</v>
      </c>
      <c r="H520" s="23">
        <v>-51.97</v>
      </c>
      <c r="I520" s="33">
        <v>-1E-3</v>
      </c>
      <c r="J520" s="23">
        <v>71.677790000000002</v>
      </c>
      <c r="K520" s="23">
        <v>50281.97</v>
      </c>
      <c r="L520" s="23">
        <v>56106.48</v>
      </c>
      <c r="M520" s="23">
        <v>18</v>
      </c>
      <c r="N520" s="23">
        <v>-2.89</v>
      </c>
      <c r="O520" s="33">
        <v>-4.7999999999999996E-3</v>
      </c>
      <c r="P520" s="33">
        <v>1.89E-2</v>
      </c>
      <c r="Q520" s="23" t="s">
        <v>24</v>
      </c>
      <c r="R520" s="23">
        <v>0</v>
      </c>
      <c r="S520" s="23">
        <v>688.57</v>
      </c>
      <c r="U520" s="47">
        <v>44679</v>
      </c>
      <c r="V520" s="23" t="s">
        <v>151</v>
      </c>
      <c r="W520" s="23" t="s">
        <v>23</v>
      </c>
      <c r="X520" s="28">
        <v>44663.604166666664</v>
      </c>
      <c r="Y520" s="23">
        <v>25.25</v>
      </c>
      <c r="Z520" s="28">
        <v>44664.479166666664</v>
      </c>
      <c r="AA520" s="23">
        <v>22</v>
      </c>
      <c r="AB520" s="33">
        <v>-0.12870000000000001</v>
      </c>
      <c r="AC520" s="23">
        <v>7262.59</v>
      </c>
      <c r="AD520" s="33">
        <v>0.12870000000000001</v>
      </c>
      <c r="AE520" s="23">
        <v>2234.6419999999998</v>
      </c>
      <c r="AF520" s="23">
        <v>56424.72</v>
      </c>
      <c r="AG520" s="23">
        <v>1288319.44</v>
      </c>
      <c r="AH520" s="23">
        <v>18</v>
      </c>
      <c r="AI520" s="23">
        <v>403.48</v>
      </c>
      <c r="AJ520" s="33">
        <v>-7.4300000000000005E-2</v>
      </c>
      <c r="AK520" s="33">
        <v>0.2475</v>
      </c>
      <c r="AL520" s="23" t="s">
        <v>24</v>
      </c>
      <c r="AM520" s="23">
        <v>701.5</v>
      </c>
      <c r="AN520" s="23">
        <v>37891.550000000003</v>
      </c>
      <c r="AO520" s="23">
        <v>688.57</v>
      </c>
      <c r="AQ520" s="50">
        <f t="shared" ref="AQ520:AQ534" si="8">Y520/AM520</f>
        <v>3.5994297933000713E-2</v>
      </c>
      <c r="AR520" s="50"/>
      <c r="AS520" s="48"/>
      <c r="AT520" s="50"/>
      <c r="AV520" s="47">
        <v>44663</v>
      </c>
      <c r="AW520" s="51">
        <v>0.10416666666666667</v>
      </c>
      <c r="AX520" t="s">
        <v>163</v>
      </c>
    </row>
    <row r="521" spans="1:50">
      <c r="A521" s="23" t="s">
        <v>22</v>
      </c>
      <c r="B521" s="23" t="s">
        <v>23</v>
      </c>
      <c r="C521" s="28">
        <v>44664.479166666664</v>
      </c>
      <c r="D521" s="23">
        <v>700.77499999999998</v>
      </c>
      <c r="E521" s="28">
        <v>44669.635416666664</v>
      </c>
      <c r="F521" s="23">
        <v>693.82500000000005</v>
      </c>
      <c r="G521" s="33">
        <v>-9.9000000000000008E-3</v>
      </c>
      <c r="H521" s="23">
        <v>498.67</v>
      </c>
      <c r="I521" s="33">
        <v>9.9000000000000008E-3</v>
      </c>
      <c r="J521" s="23">
        <v>71.750900000000001</v>
      </c>
      <c r="K521" s="23">
        <v>50281.24</v>
      </c>
      <c r="L521" s="23">
        <v>56605.15</v>
      </c>
      <c r="M521" s="23">
        <v>44</v>
      </c>
      <c r="N521" s="23">
        <v>11.33</v>
      </c>
      <c r="O521" s="33">
        <v>-6.0000000000000001E-3</v>
      </c>
      <c r="P521" s="33">
        <v>2.6800000000000001E-2</v>
      </c>
      <c r="Q521" s="23" t="s">
        <v>24</v>
      </c>
      <c r="R521" s="23">
        <v>0</v>
      </c>
      <c r="S521" s="23">
        <v>714.75</v>
      </c>
      <c r="U521" s="47">
        <v>44679</v>
      </c>
      <c r="V521" s="23" t="s">
        <v>152</v>
      </c>
      <c r="W521" s="23" t="s">
        <v>23</v>
      </c>
      <c r="X521" s="28">
        <v>44664.479166666664</v>
      </c>
      <c r="Y521" s="23">
        <v>24.975000000000001</v>
      </c>
      <c r="Z521" s="28">
        <v>44669.635416666664</v>
      </c>
      <c r="AA521" s="23">
        <v>15</v>
      </c>
      <c r="AB521" s="33">
        <v>-0.39939999999999998</v>
      </c>
      <c r="AC521" s="23">
        <v>22547.31</v>
      </c>
      <c r="AD521" s="33">
        <v>0.39939999999999998</v>
      </c>
      <c r="AE521" s="23">
        <v>2260.3820000000001</v>
      </c>
      <c r="AF521" s="23">
        <v>56453.05</v>
      </c>
      <c r="AG521" s="23">
        <v>1310866.75</v>
      </c>
      <c r="AH521" s="23">
        <v>44</v>
      </c>
      <c r="AI521" s="23">
        <v>512.44000000000005</v>
      </c>
      <c r="AJ521" s="33">
        <v>-8.4099999999999994E-2</v>
      </c>
      <c r="AK521" s="33">
        <v>0.55959999999999999</v>
      </c>
      <c r="AL521" s="23" t="s">
        <v>24</v>
      </c>
      <c r="AM521" s="23">
        <v>700.78</v>
      </c>
      <c r="AN521" s="23">
        <v>37713.949999999997</v>
      </c>
      <c r="AO521" s="23">
        <v>714.75</v>
      </c>
      <c r="AQ521" s="50">
        <f t="shared" si="8"/>
        <v>3.5638859556494193E-2</v>
      </c>
      <c r="AR521" s="50"/>
      <c r="AS521" s="48"/>
      <c r="AT521" s="50"/>
      <c r="AV521" s="47">
        <v>44664</v>
      </c>
      <c r="AW521" s="51">
        <v>0.47916666666666669</v>
      </c>
      <c r="AX521" t="s">
        <v>162</v>
      </c>
    </row>
    <row r="522" spans="1:50">
      <c r="A522" s="23" t="s">
        <v>22</v>
      </c>
      <c r="B522" s="23" t="s">
        <v>25</v>
      </c>
      <c r="C522" s="28">
        <v>44669.635416666664</v>
      </c>
      <c r="D522" s="23">
        <v>693.82500000000005</v>
      </c>
      <c r="E522" s="28">
        <v>44670.614583333336</v>
      </c>
      <c r="F522" s="23">
        <v>716.3</v>
      </c>
      <c r="G522" s="33">
        <v>3.2399999999999998E-2</v>
      </c>
      <c r="H522" s="23">
        <v>1628.88</v>
      </c>
      <c r="I522" s="33">
        <v>3.2399999999999998E-2</v>
      </c>
      <c r="J522" s="23">
        <v>72.475229999999996</v>
      </c>
      <c r="K522" s="23">
        <v>50285.13</v>
      </c>
      <c r="L522" s="23">
        <v>58234.03</v>
      </c>
      <c r="M522" s="23">
        <v>27</v>
      </c>
      <c r="N522" s="23">
        <v>60.33</v>
      </c>
      <c r="O522" s="33">
        <v>-8.3999999999999995E-3</v>
      </c>
      <c r="P522" s="33">
        <v>5.1999999999999998E-2</v>
      </c>
      <c r="Q522" s="23" t="s">
        <v>24</v>
      </c>
      <c r="R522" s="23">
        <v>0</v>
      </c>
      <c r="S522" s="23">
        <v>682.52</v>
      </c>
      <c r="U522" s="47">
        <v>44679</v>
      </c>
      <c r="V522" s="23" t="s">
        <v>153</v>
      </c>
      <c r="W522" s="23" t="s">
        <v>23</v>
      </c>
      <c r="X522" s="28">
        <v>44669.635416666664</v>
      </c>
      <c r="Y522" s="23">
        <v>18.225000000000001</v>
      </c>
      <c r="Z522" s="28">
        <v>44670.614583333336</v>
      </c>
      <c r="AA522" s="23">
        <v>9.3000000000000007</v>
      </c>
      <c r="AB522" s="33">
        <v>-0.48970000000000002</v>
      </c>
      <c r="AC522" s="23">
        <v>27709.439999999999</v>
      </c>
      <c r="AD522" s="33">
        <v>0.48970000000000002</v>
      </c>
      <c r="AE522" s="23">
        <v>3104.7</v>
      </c>
      <c r="AF522" s="23">
        <v>56583.15</v>
      </c>
      <c r="AG522" s="23">
        <v>1338576.2</v>
      </c>
      <c r="AH522" s="23">
        <v>27</v>
      </c>
      <c r="AI522" s="23">
        <v>1026.28</v>
      </c>
      <c r="AJ522" s="33">
        <v>-0.2387</v>
      </c>
      <c r="AK522" s="33">
        <v>0.60909999999999997</v>
      </c>
      <c r="AL522" s="23" t="s">
        <v>24</v>
      </c>
      <c r="AM522" s="23">
        <v>693.83</v>
      </c>
      <c r="AN522" s="23">
        <v>36791.599999999999</v>
      </c>
      <c r="AO522" s="23">
        <v>682.52</v>
      </c>
      <c r="AQ522" s="50">
        <f t="shared" si="8"/>
        <v>2.6267241255062478E-2</v>
      </c>
      <c r="AR522" s="50"/>
      <c r="AS522" s="48"/>
      <c r="AT522" s="50"/>
      <c r="AV522" s="47">
        <v>44669</v>
      </c>
      <c r="AW522" s="51">
        <v>0.13541666666666666</v>
      </c>
      <c r="AX522" t="s">
        <v>163</v>
      </c>
    </row>
    <row r="523" spans="1:50">
      <c r="A523" s="23" t="s">
        <v>22</v>
      </c>
      <c r="B523" s="23" t="s">
        <v>23</v>
      </c>
      <c r="C523" s="28">
        <v>44670.614583333336</v>
      </c>
      <c r="D523" s="23">
        <v>716.3</v>
      </c>
      <c r="E523" s="28">
        <v>44671.40625</v>
      </c>
      <c r="F523" s="23">
        <v>721.42499999999995</v>
      </c>
      <c r="G523" s="33">
        <v>7.1999999999999998E-3</v>
      </c>
      <c r="H523" s="23">
        <v>-359.84</v>
      </c>
      <c r="I523" s="33">
        <v>-7.1999999999999998E-3</v>
      </c>
      <c r="J523" s="23">
        <v>70.212800000000001</v>
      </c>
      <c r="K523" s="23">
        <v>50293.43</v>
      </c>
      <c r="L523" s="23">
        <v>57874.19</v>
      </c>
      <c r="M523" s="23">
        <v>9</v>
      </c>
      <c r="N523" s="23">
        <v>-39.979999999999997</v>
      </c>
      <c r="O523" s="33">
        <v>-9.9000000000000008E-3</v>
      </c>
      <c r="P523" s="33">
        <v>2.6200000000000001E-2</v>
      </c>
      <c r="Q523" s="23" t="s">
        <v>24</v>
      </c>
      <c r="R523" s="23">
        <v>0</v>
      </c>
      <c r="S523" s="23">
        <v>729.88</v>
      </c>
      <c r="U523" s="47">
        <v>44679</v>
      </c>
      <c r="V523" s="23" t="s">
        <v>154</v>
      </c>
      <c r="W523" s="23" t="s">
        <v>23</v>
      </c>
      <c r="X523" s="28">
        <v>44670.614583333336</v>
      </c>
      <c r="Y523" s="23">
        <v>19.100000000000001</v>
      </c>
      <c r="Z523" s="28">
        <v>44671.40625</v>
      </c>
      <c r="AA523" s="23">
        <v>20.9</v>
      </c>
      <c r="AB523" s="33">
        <v>9.4200000000000006E-2</v>
      </c>
      <c r="AC523" s="23">
        <v>-5345.64</v>
      </c>
      <c r="AD523" s="33">
        <v>-9.4200000000000006E-2</v>
      </c>
      <c r="AE523" s="23">
        <v>2969.799</v>
      </c>
      <c r="AF523" s="23">
        <v>56723.15</v>
      </c>
      <c r="AG523" s="23">
        <v>1333230.56</v>
      </c>
      <c r="AH523" s="23">
        <v>9</v>
      </c>
      <c r="AI523" s="23">
        <v>-593.96</v>
      </c>
      <c r="AJ523" s="33">
        <v>-0.17799999999999999</v>
      </c>
      <c r="AK523" s="33">
        <v>0.34549999999999997</v>
      </c>
      <c r="AL523" s="23" t="s">
        <v>24</v>
      </c>
      <c r="AM523" s="23">
        <v>716.3</v>
      </c>
      <c r="AN523" s="23">
        <v>36764.35</v>
      </c>
      <c r="AO523" s="23">
        <v>729.88</v>
      </c>
      <c r="AQ523" s="50">
        <f t="shared" si="8"/>
        <v>2.6664805249197267E-2</v>
      </c>
      <c r="AR523" s="50"/>
      <c r="AS523" s="48"/>
      <c r="AT523" s="50"/>
      <c r="AV523" s="47">
        <v>44670</v>
      </c>
      <c r="AW523" s="51">
        <v>0.11458333333333333</v>
      </c>
      <c r="AX523" t="s">
        <v>163</v>
      </c>
    </row>
    <row r="524" spans="1:50">
      <c r="A524" s="23" t="s">
        <v>22</v>
      </c>
      <c r="B524" s="23" t="s">
        <v>25</v>
      </c>
      <c r="C524" s="28">
        <v>44671.40625</v>
      </c>
      <c r="D524" s="23">
        <v>721.42499999999995</v>
      </c>
      <c r="E524" s="28">
        <v>44671.541666666664</v>
      </c>
      <c r="F524" s="23">
        <v>711.2</v>
      </c>
      <c r="G524" s="33">
        <v>-1.4200000000000001E-2</v>
      </c>
      <c r="H524" s="23">
        <v>-712.8</v>
      </c>
      <c r="I524" s="33">
        <v>-1.4200000000000001E-2</v>
      </c>
      <c r="J524" s="23">
        <v>69.711079999999995</v>
      </c>
      <c r="K524" s="23">
        <v>50291.32</v>
      </c>
      <c r="L524" s="23">
        <v>57161.4</v>
      </c>
      <c r="M524" s="23">
        <v>14</v>
      </c>
      <c r="N524" s="23">
        <v>-50.91</v>
      </c>
      <c r="O524" s="33">
        <v>-1.4200000000000001E-2</v>
      </c>
      <c r="P524" s="33">
        <v>2.2000000000000001E-3</v>
      </c>
      <c r="Q524" s="23" t="s">
        <v>24</v>
      </c>
      <c r="R524" s="23">
        <v>0</v>
      </c>
      <c r="S524" s="23">
        <v>698.04</v>
      </c>
      <c r="U524" s="47">
        <v>44679</v>
      </c>
      <c r="V524" s="23" t="s">
        <v>155</v>
      </c>
      <c r="W524" s="23" t="s">
        <v>23</v>
      </c>
      <c r="X524" s="28">
        <v>44671.40625</v>
      </c>
      <c r="Y524" s="23">
        <v>19.8</v>
      </c>
      <c r="Z524" s="28">
        <v>44671.541666666664</v>
      </c>
      <c r="AA524" s="23">
        <v>24.574999999999999</v>
      </c>
      <c r="AB524" s="33">
        <v>0.2412</v>
      </c>
      <c r="AC524" s="23">
        <v>-13672.5</v>
      </c>
      <c r="AD524" s="33">
        <v>-0.2412</v>
      </c>
      <c r="AE524" s="23">
        <v>2863.3519999999999</v>
      </c>
      <c r="AF524" s="23">
        <v>56694.36</v>
      </c>
      <c r="AG524" s="23">
        <v>1319558.06</v>
      </c>
      <c r="AH524" s="23">
        <v>14</v>
      </c>
      <c r="AI524" s="23">
        <v>-976.61</v>
      </c>
      <c r="AJ524" s="33">
        <v>-0.2412</v>
      </c>
      <c r="AK524" s="33">
        <v>3.9100000000000003E-2</v>
      </c>
      <c r="AL524" s="23" t="s">
        <v>24</v>
      </c>
      <c r="AM524" s="23">
        <v>721.42</v>
      </c>
      <c r="AN524" s="23">
        <v>36385.25</v>
      </c>
      <c r="AO524" s="23">
        <v>698.04</v>
      </c>
      <c r="AQ524" s="50">
        <f t="shared" si="8"/>
        <v>2.7445870644007653E-2</v>
      </c>
      <c r="AR524" s="50"/>
      <c r="AS524" s="48"/>
      <c r="AT524" s="50"/>
      <c r="AV524" s="47">
        <v>44671</v>
      </c>
      <c r="AW524" s="51">
        <v>0.40625</v>
      </c>
      <c r="AX524" t="s">
        <v>162</v>
      </c>
    </row>
    <row r="525" spans="1:50">
      <c r="A525" s="23" t="s">
        <v>22</v>
      </c>
      <c r="B525" s="23" t="s">
        <v>23</v>
      </c>
      <c r="C525" s="28">
        <v>44671.541666666664</v>
      </c>
      <c r="D525" s="23">
        <v>711.2</v>
      </c>
      <c r="E525" s="28">
        <v>44672.385416666664</v>
      </c>
      <c r="F525" s="23">
        <v>728.1</v>
      </c>
      <c r="G525" s="33">
        <v>2.3800000000000002E-2</v>
      </c>
      <c r="H525" s="23">
        <v>-1194.96</v>
      </c>
      <c r="I525" s="33">
        <v>-2.3800000000000002E-2</v>
      </c>
      <c r="J525" s="23">
        <v>70.707899999999995</v>
      </c>
      <c r="K525" s="23">
        <v>50287.46</v>
      </c>
      <c r="L525" s="23">
        <v>55966.43</v>
      </c>
      <c r="M525" s="23">
        <v>14</v>
      </c>
      <c r="N525" s="23">
        <v>-85.35</v>
      </c>
      <c r="O525" s="33">
        <v>-2.3800000000000002E-2</v>
      </c>
      <c r="P525" s="33">
        <v>1.01E-2</v>
      </c>
      <c r="Q525" s="23" t="s">
        <v>24</v>
      </c>
      <c r="R525" s="23">
        <v>0</v>
      </c>
      <c r="S525" s="23">
        <v>723</v>
      </c>
      <c r="U525" s="47">
        <v>44679</v>
      </c>
      <c r="V525" s="23" t="s">
        <v>156</v>
      </c>
      <c r="W525" s="23" t="s">
        <v>23</v>
      </c>
      <c r="X525" s="28">
        <v>44671.541666666664</v>
      </c>
      <c r="Y525" s="23">
        <v>20.100000000000001</v>
      </c>
      <c r="Z525" s="28">
        <v>44672.385416666664</v>
      </c>
      <c r="AA525" s="23">
        <v>28.425000000000001</v>
      </c>
      <c r="AB525" s="33">
        <v>0.41420000000000001</v>
      </c>
      <c r="AC525" s="23">
        <v>-23456.89</v>
      </c>
      <c r="AD525" s="33">
        <v>-0.41420000000000001</v>
      </c>
      <c r="AE525" s="23">
        <v>2817.645</v>
      </c>
      <c r="AF525" s="23">
        <v>56634.66</v>
      </c>
      <c r="AG525" s="23">
        <v>1296101.17</v>
      </c>
      <c r="AH525" s="23">
        <v>14</v>
      </c>
      <c r="AI525" s="23">
        <v>-1675.49</v>
      </c>
      <c r="AJ525" s="33">
        <v>-0.41420000000000001</v>
      </c>
      <c r="AK525" s="33">
        <v>0.18909999999999999</v>
      </c>
      <c r="AL525" s="23" t="s">
        <v>24</v>
      </c>
      <c r="AM525" s="23">
        <v>711.2</v>
      </c>
      <c r="AN525" s="23">
        <v>36378.25</v>
      </c>
      <c r="AO525" s="23">
        <v>723</v>
      </c>
      <c r="AQ525" s="50">
        <f t="shared" si="8"/>
        <v>2.8262092238470191E-2</v>
      </c>
      <c r="AR525" s="50"/>
      <c r="AS525" s="48"/>
      <c r="AT525" s="50"/>
      <c r="AV525" s="47">
        <v>44671</v>
      </c>
      <c r="AW525" s="51">
        <v>4.1666666666666664E-2</v>
      </c>
      <c r="AX525" t="s">
        <v>163</v>
      </c>
    </row>
    <row r="526" spans="1:50">
      <c r="A526" s="23" t="s">
        <v>22</v>
      </c>
      <c r="B526" s="23" t="s">
        <v>25</v>
      </c>
      <c r="C526" s="28">
        <v>44672.385416666664</v>
      </c>
      <c r="D526" s="23">
        <v>728.1</v>
      </c>
      <c r="E526" s="28">
        <v>44672.479166666664</v>
      </c>
      <c r="F526" s="23">
        <v>717.6</v>
      </c>
      <c r="G526" s="33">
        <v>-1.44E-2</v>
      </c>
      <c r="H526" s="23">
        <v>-725.15</v>
      </c>
      <c r="I526" s="33">
        <v>-1.44E-2</v>
      </c>
      <c r="J526" s="23">
        <v>69.061610000000002</v>
      </c>
      <c r="K526" s="23">
        <v>50283.75</v>
      </c>
      <c r="L526" s="23">
        <v>55241.279999999999</v>
      </c>
      <c r="M526" s="23">
        <v>10</v>
      </c>
      <c r="N526" s="23">
        <v>-72.510000000000005</v>
      </c>
      <c r="O526" s="33">
        <v>-2.2800000000000001E-2</v>
      </c>
      <c r="P526" s="33">
        <v>6.7000000000000002E-3</v>
      </c>
      <c r="Q526" s="23" t="s">
        <v>24</v>
      </c>
      <c r="R526" s="23">
        <v>0</v>
      </c>
      <c r="S526" s="23">
        <v>705.35</v>
      </c>
      <c r="U526" s="47">
        <v>44679</v>
      </c>
      <c r="V526" s="23" t="s">
        <v>157</v>
      </c>
      <c r="W526" s="23" t="s">
        <v>23</v>
      </c>
      <c r="X526" s="28">
        <v>44672.385416666664</v>
      </c>
      <c r="Y526" s="23">
        <v>20.149999999999999</v>
      </c>
      <c r="Z526" s="28">
        <v>44672.479166666664</v>
      </c>
      <c r="AA526" s="23">
        <v>25.675000000000001</v>
      </c>
      <c r="AB526" s="33">
        <v>0.2742</v>
      </c>
      <c r="AC526" s="23">
        <v>-15519.14</v>
      </c>
      <c r="AD526" s="33">
        <v>-0.2742</v>
      </c>
      <c r="AE526" s="23">
        <v>2808.893</v>
      </c>
      <c r="AF526" s="23">
        <v>56599.199999999997</v>
      </c>
      <c r="AG526" s="23">
        <v>1280582.03</v>
      </c>
      <c r="AH526" s="23">
        <v>10</v>
      </c>
      <c r="AI526" s="23">
        <v>-1551.91</v>
      </c>
      <c r="AJ526" s="33">
        <v>-0.2742</v>
      </c>
      <c r="AK526" s="33">
        <v>0.13150000000000001</v>
      </c>
      <c r="AL526" s="23" t="s">
        <v>24</v>
      </c>
      <c r="AM526" s="23">
        <v>728.1</v>
      </c>
      <c r="AN526" s="23">
        <v>36530.199999999997</v>
      </c>
      <c r="AO526" s="23">
        <v>705.35</v>
      </c>
      <c r="AQ526" s="50">
        <f t="shared" si="8"/>
        <v>2.76747699491828E-2</v>
      </c>
      <c r="AR526" s="50"/>
      <c r="AS526" s="48"/>
      <c r="AT526" s="50"/>
      <c r="AV526" s="47">
        <v>44672</v>
      </c>
      <c r="AW526" s="51">
        <v>0.38541666666666669</v>
      </c>
      <c r="AX526" t="s">
        <v>162</v>
      </c>
    </row>
    <row r="527" spans="1:50">
      <c r="A527" s="23" t="s">
        <v>22</v>
      </c>
      <c r="B527" s="23" t="s">
        <v>23</v>
      </c>
      <c r="C527" s="28">
        <v>44672.479166666664</v>
      </c>
      <c r="D527" s="23">
        <v>717.6</v>
      </c>
      <c r="E527" s="28">
        <v>44672.635416666664</v>
      </c>
      <c r="F527" s="23">
        <v>722.5</v>
      </c>
      <c r="G527" s="33">
        <v>6.7999999999999996E-3</v>
      </c>
      <c r="H527" s="23">
        <v>-343.31</v>
      </c>
      <c r="I527" s="33">
        <v>-6.7999999999999996E-3</v>
      </c>
      <c r="J527" s="23">
        <v>70.062460000000002</v>
      </c>
      <c r="K527" s="23">
        <v>50276.82</v>
      </c>
      <c r="L527" s="23">
        <v>54897.98</v>
      </c>
      <c r="M527" s="23">
        <v>16</v>
      </c>
      <c r="N527" s="23">
        <v>-21.46</v>
      </c>
      <c r="O527" s="33">
        <v>-6.7999999999999996E-3</v>
      </c>
      <c r="P527" s="33">
        <v>6.3E-3</v>
      </c>
      <c r="Q527" s="23" t="s">
        <v>24</v>
      </c>
      <c r="R527" s="23">
        <v>0</v>
      </c>
      <c r="S527" s="23">
        <v>732.63</v>
      </c>
      <c r="U527" s="47">
        <v>44679</v>
      </c>
      <c r="V527" s="23" t="s">
        <v>154</v>
      </c>
      <c r="W527" s="23" t="s">
        <v>23</v>
      </c>
      <c r="X527" s="28">
        <v>44672.479166666664</v>
      </c>
      <c r="Y527" s="23">
        <v>16.899999999999999</v>
      </c>
      <c r="Z527" s="28">
        <v>44672.635416666664</v>
      </c>
      <c r="AA527" s="23">
        <v>19</v>
      </c>
      <c r="AB527" s="33">
        <v>0.12429999999999999</v>
      </c>
      <c r="AC527" s="23">
        <v>-7011.09</v>
      </c>
      <c r="AD527" s="33">
        <v>-0.12429999999999999</v>
      </c>
      <c r="AE527" s="23">
        <v>3338.614</v>
      </c>
      <c r="AF527" s="23">
        <v>56422.57</v>
      </c>
      <c r="AG527" s="23">
        <v>1273570.94</v>
      </c>
      <c r="AH527" s="23">
        <v>16</v>
      </c>
      <c r="AI527" s="23">
        <v>-438.19</v>
      </c>
      <c r="AJ527" s="33">
        <v>-0.12429999999999999</v>
      </c>
      <c r="AK527" s="33">
        <v>0.1124</v>
      </c>
      <c r="AL527" s="23" t="s">
        <v>24</v>
      </c>
      <c r="AM527" s="23">
        <v>717.6</v>
      </c>
      <c r="AN527" s="23">
        <v>36590.050000000003</v>
      </c>
      <c r="AO527" s="23">
        <v>732.63</v>
      </c>
      <c r="AQ527" s="50">
        <f t="shared" si="8"/>
        <v>2.3550724637681156E-2</v>
      </c>
      <c r="AR527" s="50"/>
      <c r="AS527" s="48"/>
      <c r="AT527" s="50"/>
      <c r="AV527" s="47">
        <v>44672</v>
      </c>
      <c r="AW527" s="51">
        <v>0.47916666666666669</v>
      </c>
      <c r="AX527" t="s">
        <v>162</v>
      </c>
    </row>
    <row r="528" spans="1:50">
      <c r="A528" s="23" t="s">
        <v>22</v>
      </c>
      <c r="B528" s="23" t="s">
        <v>25</v>
      </c>
      <c r="C528" s="28">
        <v>44672.635416666664</v>
      </c>
      <c r="D528" s="23">
        <v>722.5</v>
      </c>
      <c r="E528" s="28">
        <v>44673.385416666664</v>
      </c>
      <c r="F528" s="23">
        <v>709.7</v>
      </c>
      <c r="G528" s="33">
        <v>-1.77E-2</v>
      </c>
      <c r="H528" s="23">
        <v>-890.72</v>
      </c>
      <c r="I528" s="33">
        <v>-1.77E-2</v>
      </c>
      <c r="J528" s="23">
        <v>69.587270000000004</v>
      </c>
      <c r="K528" s="23">
        <v>50276.800000000003</v>
      </c>
      <c r="L528" s="23">
        <v>54007.26</v>
      </c>
      <c r="M528" s="23">
        <v>5</v>
      </c>
      <c r="N528" s="23">
        <v>-178.14</v>
      </c>
      <c r="O528" s="33">
        <v>-1.77E-2</v>
      </c>
      <c r="P528" s="33">
        <v>6.9999999999999999E-4</v>
      </c>
      <c r="Q528" s="23" t="s">
        <v>24</v>
      </c>
      <c r="R528" s="23">
        <v>0</v>
      </c>
      <c r="S528" s="23">
        <v>713.08</v>
      </c>
      <c r="U528" s="47">
        <v>44679</v>
      </c>
      <c r="V528" s="23" t="s">
        <v>155</v>
      </c>
      <c r="W528" s="23" t="s">
        <v>23</v>
      </c>
      <c r="X528" s="28">
        <v>44672.635416666664</v>
      </c>
      <c r="Y528" s="23">
        <v>15.574999999999999</v>
      </c>
      <c r="Z528" s="28">
        <v>44673.385416666664</v>
      </c>
      <c r="AA528" s="23">
        <v>24</v>
      </c>
      <c r="AB528" s="33">
        <v>0.54090000000000005</v>
      </c>
      <c r="AC528" s="23">
        <v>-30514.6</v>
      </c>
      <c r="AD528" s="33">
        <v>-0.54090000000000005</v>
      </c>
      <c r="AE528" s="23">
        <v>3621.9110000000001</v>
      </c>
      <c r="AF528" s="23">
        <v>56411.26</v>
      </c>
      <c r="AG528" s="23">
        <v>1243056.3400000001</v>
      </c>
      <c r="AH528" s="23">
        <v>5</v>
      </c>
      <c r="AI528" s="23">
        <v>-6102.92</v>
      </c>
      <c r="AJ528" s="33">
        <v>-0.54090000000000005</v>
      </c>
      <c r="AK528" s="33">
        <v>0</v>
      </c>
      <c r="AL528" s="23" t="s">
        <v>24</v>
      </c>
      <c r="AM528" s="23">
        <v>722.5</v>
      </c>
      <c r="AN528" s="23">
        <v>36911.25</v>
      </c>
      <c r="AO528" s="23">
        <v>713.08</v>
      </c>
      <c r="AQ528" s="50">
        <f t="shared" si="8"/>
        <v>2.1557093425605536E-2</v>
      </c>
      <c r="AR528" s="50"/>
      <c r="AS528" s="48"/>
      <c r="AT528" s="50"/>
      <c r="AV528" s="47">
        <v>44672</v>
      </c>
      <c r="AW528" s="51">
        <v>0.13541666666666666</v>
      </c>
      <c r="AX528" t="s">
        <v>163</v>
      </c>
    </row>
    <row r="529" spans="1:50">
      <c r="A529" s="23" t="s">
        <v>22</v>
      </c>
      <c r="B529" s="23" t="s">
        <v>23</v>
      </c>
      <c r="C529" s="28">
        <v>44673.385416666664</v>
      </c>
      <c r="D529" s="23">
        <v>709.7</v>
      </c>
      <c r="E529" s="28">
        <v>44676.416666666664</v>
      </c>
      <c r="F529" s="23">
        <v>689.875</v>
      </c>
      <c r="G529" s="33">
        <v>-2.7900000000000001E-2</v>
      </c>
      <c r="H529" s="23">
        <v>1404.32</v>
      </c>
      <c r="I529" s="33">
        <v>2.7900000000000001E-2</v>
      </c>
      <c r="J529" s="23">
        <v>70.835840000000005</v>
      </c>
      <c r="K529" s="23">
        <v>50272.2</v>
      </c>
      <c r="L529" s="23">
        <v>55411.58</v>
      </c>
      <c r="M529" s="23">
        <v>32</v>
      </c>
      <c r="N529" s="23">
        <v>43.89</v>
      </c>
      <c r="O529" s="33">
        <v>-8.3999999999999995E-3</v>
      </c>
      <c r="P529" s="33">
        <v>5.5300000000000002E-2</v>
      </c>
      <c r="Q529" s="23" t="s">
        <v>24</v>
      </c>
      <c r="R529" s="23">
        <v>0</v>
      </c>
      <c r="S529" s="23">
        <v>722.41</v>
      </c>
      <c r="U529" s="47">
        <v>44679</v>
      </c>
      <c r="V529" s="23" t="s">
        <v>156</v>
      </c>
      <c r="W529" s="23" t="s">
        <v>23</v>
      </c>
      <c r="X529" s="28">
        <v>44673.385416666664</v>
      </c>
      <c r="Y529" s="23">
        <v>17.475000000000001</v>
      </c>
      <c r="Z529" s="28">
        <v>44676.416666666664</v>
      </c>
      <c r="AA529" s="23">
        <v>9.375</v>
      </c>
      <c r="AB529" s="33">
        <v>-0.46350000000000002</v>
      </c>
      <c r="AC529" s="23">
        <v>26127.59</v>
      </c>
      <c r="AD529" s="33">
        <v>0.46350000000000002</v>
      </c>
      <c r="AE529" s="23">
        <v>3225.6280000000002</v>
      </c>
      <c r="AF529" s="23">
        <v>56367.86</v>
      </c>
      <c r="AG529" s="23">
        <v>1269183.93</v>
      </c>
      <c r="AH529" s="23">
        <v>32</v>
      </c>
      <c r="AI529" s="23">
        <v>816.49</v>
      </c>
      <c r="AJ529" s="33">
        <v>-0.1202</v>
      </c>
      <c r="AK529" s="33">
        <v>0.84260000000000002</v>
      </c>
      <c r="AL529" s="23" t="s">
        <v>24</v>
      </c>
      <c r="AM529" s="23">
        <v>709.7</v>
      </c>
      <c r="AN529" s="23">
        <v>36406.85</v>
      </c>
      <c r="AO529" s="23">
        <v>722.41</v>
      </c>
      <c r="AQ529" s="50">
        <f t="shared" si="8"/>
        <v>2.4623080174721715E-2</v>
      </c>
      <c r="AR529" s="50"/>
      <c r="AS529" s="48"/>
      <c r="AT529" s="50"/>
      <c r="AV529" s="47">
        <v>44673</v>
      </c>
      <c r="AW529" s="51">
        <v>0.38541666666666669</v>
      </c>
      <c r="AX529" t="s">
        <v>162</v>
      </c>
    </row>
    <row r="530" spans="1:50">
      <c r="A530" s="23" t="s">
        <v>22</v>
      </c>
      <c r="B530" s="23" t="s">
        <v>25</v>
      </c>
      <c r="C530" s="28">
        <v>44676.416666666664</v>
      </c>
      <c r="D530" s="23">
        <v>689.875</v>
      </c>
      <c r="E530" s="28">
        <v>44676.520833333336</v>
      </c>
      <c r="F530" s="23">
        <v>679.9</v>
      </c>
      <c r="G530" s="33">
        <v>-1.4500000000000001E-2</v>
      </c>
      <c r="H530" s="23">
        <v>-727</v>
      </c>
      <c r="I530" s="33">
        <v>-1.4500000000000001E-2</v>
      </c>
      <c r="J530" s="23">
        <v>72.881929999999997</v>
      </c>
      <c r="K530" s="23">
        <v>50279.42</v>
      </c>
      <c r="L530" s="23">
        <v>54684.59</v>
      </c>
      <c r="M530" s="23">
        <v>11</v>
      </c>
      <c r="N530" s="23">
        <v>-66.09</v>
      </c>
      <c r="O530" s="33">
        <v>-1.4500000000000001E-2</v>
      </c>
      <c r="P530" s="33">
        <v>3.8999999999999998E-3</v>
      </c>
      <c r="Q530" s="23" t="s">
        <v>24</v>
      </c>
      <c r="R530" s="23">
        <v>0</v>
      </c>
      <c r="S530" s="23">
        <v>670.42</v>
      </c>
      <c r="U530" s="47">
        <v>44679</v>
      </c>
      <c r="V530" s="23" t="s">
        <v>153</v>
      </c>
      <c r="W530" s="23" t="s">
        <v>23</v>
      </c>
      <c r="X530" s="28">
        <v>44676.416666666664</v>
      </c>
      <c r="Y530" s="23">
        <v>15.9</v>
      </c>
      <c r="Z530" s="28">
        <v>44676.520833333336</v>
      </c>
      <c r="AA530" s="23">
        <v>21</v>
      </c>
      <c r="AB530" s="33">
        <v>0.32079999999999997</v>
      </c>
      <c r="AC530" s="23">
        <v>-18082.27</v>
      </c>
      <c r="AD530" s="33">
        <v>-0.32079999999999997</v>
      </c>
      <c r="AE530" s="23">
        <v>3545.5439999999999</v>
      </c>
      <c r="AF530" s="23">
        <v>56374.14</v>
      </c>
      <c r="AG530" s="23">
        <v>1251101.6599999999</v>
      </c>
      <c r="AH530" s="23">
        <v>11</v>
      </c>
      <c r="AI530" s="23">
        <v>-1643.84</v>
      </c>
      <c r="AJ530" s="33">
        <v>-0.32079999999999997</v>
      </c>
      <c r="AK530" s="33">
        <v>0</v>
      </c>
      <c r="AL530" s="23" t="s">
        <v>24</v>
      </c>
      <c r="AM530" s="23">
        <v>689.88</v>
      </c>
      <c r="AN530" s="23">
        <v>36145.5</v>
      </c>
      <c r="AO530" s="23">
        <v>670.42</v>
      </c>
      <c r="AQ530" s="50">
        <f t="shared" si="8"/>
        <v>2.3047486519394679E-2</v>
      </c>
      <c r="AR530" s="50"/>
      <c r="AS530" s="48"/>
      <c r="AT530" s="50"/>
      <c r="AV530" s="47">
        <v>44676</v>
      </c>
      <c r="AW530" s="51">
        <v>0.41666666666666669</v>
      </c>
      <c r="AX530" t="s">
        <v>162</v>
      </c>
    </row>
    <row r="531" spans="1:50">
      <c r="A531" s="23" t="s">
        <v>22</v>
      </c>
      <c r="B531" s="23" t="s">
        <v>23</v>
      </c>
      <c r="C531" s="28">
        <v>44676.520833333336</v>
      </c>
      <c r="D531" s="23">
        <v>679.9</v>
      </c>
      <c r="E531" s="28">
        <v>44676.635416666664</v>
      </c>
      <c r="F531" s="23">
        <v>691.5</v>
      </c>
      <c r="G531" s="33">
        <v>1.7100000000000001E-2</v>
      </c>
      <c r="H531" s="23">
        <v>-857.75</v>
      </c>
      <c r="I531" s="33">
        <v>-1.7100000000000001E-2</v>
      </c>
      <c r="J531" s="23">
        <v>73.943809999999999</v>
      </c>
      <c r="K531" s="23">
        <v>50274.400000000001</v>
      </c>
      <c r="L531" s="23">
        <v>53826.84</v>
      </c>
      <c r="M531" s="23">
        <v>12</v>
      </c>
      <c r="N531" s="23">
        <v>-71.48</v>
      </c>
      <c r="O531" s="33">
        <v>-1.7100000000000001E-2</v>
      </c>
      <c r="P531" s="33">
        <v>5.1999999999999998E-3</v>
      </c>
      <c r="Q531" s="23" t="s">
        <v>24</v>
      </c>
      <c r="R531" s="23">
        <v>0</v>
      </c>
      <c r="S531" s="23">
        <v>692.08</v>
      </c>
      <c r="U531" s="47">
        <v>44679</v>
      </c>
      <c r="V531" s="23" t="s">
        <v>102</v>
      </c>
      <c r="W531" s="23" t="s">
        <v>23</v>
      </c>
      <c r="X531" s="28">
        <v>44676.520833333336</v>
      </c>
      <c r="Y531" s="23">
        <v>18.55</v>
      </c>
      <c r="Z531" s="28">
        <v>44676.635416666664</v>
      </c>
      <c r="AA531" s="23">
        <v>23.5</v>
      </c>
      <c r="AB531" s="33">
        <v>0.26679999999999998</v>
      </c>
      <c r="AC531" s="23">
        <v>-15018.56</v>
      </c>
      <c r="AD531" s="33">
        <v>-0.26679999999999998</v>
      </c>
      <c r="AE531" s="23">
        <v>3034.0520000000001</v>
      </c>
      <c r="AF531" s="23">
        <v>56281.66</v>
      </c>
      <c r="AG531" s="23">
        <v>1236083.1000000001</v>
      </c>
      <c r="AH531" s="23">
        <v>12</v>
      </c>
      <c r="AI531" s="23">
        <v>-1251.55</v>
      </c>
      <c r="AJ531" s="33">
        <v>-0.26679999999999998</v>
      </c>
      <c r="AK531" s="33">
        <v>0.12529999999999999</v>
      </c>
      <c r="AL531" s="23" t="s">
        <v>24</v>
      </c>
      <c r="AM531" s="23">
        <v>679.9</v>
      </c>
      <c r="AN531" s="23">
        <v>35999.15</v>
      </c>
      <c r="AO531" s="23">
        <v>692.08</v>
      </c>
      <c r="AQ531" s="50">
        <f t="shared" si="8"/>
        <v>2.7283424032946025E-2</v>
      </c>
      <c r="AR531" s="50"/>
      <c r="AS531" s="48"/>
      <c r="AT531" s="50"/>
      <c r="AV531" s="47">
        <v>44676</v>
      </c>
      <c r="AW531" s="51">
        <v>0.52083333333333337</v>
      </c>
      <c r="AX531" t="s">
        <v>163</v>
      </c>
    </row>
    <row r="532" spans="1:50">
      <c r="A532" s="23" t="s">
        <v>22</v>
      </c>
      <c r="B532" s="23" t="s">
        <v>25</v>
      </c>
      <c r="C532" s="28">
        <v>44676.635416666664</v>
      </c>
      <c r="D532" s="23">
        <v>691.5</v>
      </c>
      <c r="E532" s="28">
        <v>44678.385416666664</v>
      </c>
      <c r="F532" s="23">
        <v>678.4</v>
      </c>
      <c r="G532" s="33">
        <v>-1.89E-2</v>
      </c>
      <c r="H532" s="23">
        <v>-952.38</v>
      </c>
      <c r="I532" s="33">
        <v>-1.89E-2</v>
      </c>
      <c r="J532" s="23">
        <v>72.700860000000006</v>
      </c>
      <c r="K532" s="23">
        <v>50272.639999999999</v>
      </c>
      <c r="L532" s="23">
        <v>52874.46</v>
      </c>
      <c r="M532" s="23">
        <v>33</v>
      </c>
      <c r="N532" s="23">
        <v>-28.86</v>
      </c>
      <c r="O532" s="33">
        <v>-1.89E-2</v>
      </c>
      <c r="P532" s="33">
        <v>2.76E-2</v>
      </c>
      <c r="Q532" s="23" t="s">
        <v>24</v>
      </c>
      <c r="R532" s="23">
        <v>0</v>
      </c>
      <c r="S532" s="23">
        <v>676.53</v>
      </c>
      <c r="U532" s="47">
        <v>44679</v>
      </c>
      <c r="V532" s="23" t="s">
        <v>153</v>
      </c>
      <c r="W532" s="23" t="s">
        <v>23</v>
      </c>
      <c r="X532" s="28">
        <v>44676.635416666664</v>
      </c>
      <c r="Y532" s="23">
        <v>12.55</v>
      </c>
      <c r="Z532" s="28">
        <v>44678.385416666664</v>
      </c>
      <c r="AA532" s="23">
        <v>16.625</v>
      </c>
      <c r="AB532" s="33">
        <v>0.32469999999999999</v>
      </c>
      <c r="AC532" s="23">
        <v>-18265.240000000002</v>
      </c>
      <c r="AD532" s="33">
        <v>-0.32469999999999999</v>
      </c>
      <c r="AE532" s="23">
        <v>4482.2690000000002</v>
      </c>
      <c r="AF532" s="23">
        <v>56252.47</v>
      </c>
      <c r="AG532" s="23">
        <v>1217817.8600000001</v>
      </c>
      <c r="AH532" s="23">
        <v>33</v>
      </c>
      <c r="AI532" s="23">
        <v>-553.49</v>
      </c>
      <c r="AJ532" s="33">
        <v>-0.43430000000000002</v>
      </c>
      <c r="AK532" s="33">
        <v>0.48209999999999997</v>
      </c>
      <c r="AL532" s="23" t="s">
        <v>24</v>
      </c>
      <c r="AM532" s="23">
        <v>691.5</v>
      </c>
      <c r="AN532" s="23">
        <v>36192.85</v>
      </c>
      <c r="AO532" s="23">
        <v>676.53</v>
      </c>
      <c r="AQ532" s="50">
        <f t="shared" si="8"/>
        <v>1.814895155459147E-2</v>
      </c>
      <c r="AR532" s="50"/>
      <c r="AS532" s="48"/>
      <c r="AT532" s="50"/>
      <c r="AV532" s="47">
        <v>44676</v>
      </c>
      <c r="AW532" s="51">
        <v>0.13541666666666666</v>
      </c>
      <c r="AX532" t="s">
        <v>163</v>
      </c>
    </row>
    <row r="533" spans="1:50">
      <c r="A533" s="23" t="s">
        <v>22</v>
      </c>
      <c r="B533" s="23" t="s">
        <v>23</v>
      </c>
      <c r="C533" s="28">
        <v>44678.385416666664</v>
      </c>
      <c r="D533" s="23">
        <v>678.4</v>
      </c>
      <c r="E533" s="28">
        <v>44678.552083333336</v>
      </c>
      <c r="F533" s="23">
        <v>685.375</v>
      </c>
      <c r="G533" s="33">
        <v>1.03E-2</v>
      </c>
      <c r="H533" s="23">
        <v>-516.89</v>
      </c>
      <c r="I533" s="33">
        <v>-1.03E-2</v>
      </c>
      <c r="J533" s="23">
        <v>74.105440000000002</v>
      </c>
      <c r="K533" s="23">
        <v>50273.13</v>
      </c>
      <c r="L533" s="23">
        <v>52357.57</v>
      </c>
      <c r="M533" s="23">
        <v>17</v>
      </c>
      <c r="N533" s="23">
        <v>-30.41</v>
      </c>
      <c r="O533" s="33">
        <v>-3.3799999999999997E-2</v>
      </c>
      <c r="P533" s="33">
        <v>1.24E-2</v>
      </c>
      <c r="Q533" s="23" t="s">
        <v>24</v>
      </c>
      <c r="R533" s="23">
        <v>0</v>
      </c>
      <c r="S533" s="23">
        <v>709.28</v>
      </c>
      <c r="U533" s="47">
        <v>44679</v>
      </c>
      <c r="V533" s="23" t="s">
        <v>102</v>
      </c>
      <c r="W533" s="23" t="s">
        <v>23</v>
      </c>
      <c r="X533" s="28">
        <v>44678.385416666664</v>
      </c>
      <c r="Y533" s="23">
        <v>10.6</v>
      </c>
      <c r="Z533" s="28">
        <v>44678.552083333336</v>
      </c>
      <c r="AA533" s="23">
        <v>12</v>
      </c>
      <c r="AB533" s="33">
        <v>0.1321</v>
      </c>
      <c r="AC533" s="23">
        <v>-7433.6</v>
      </c>
      <c r="AD533" s="33">
        <v>-0.1321</v>
      </c>
      <c r="AE533" s="23">
        <v>5309.7120000000004</v>
      </c>
      <c r="AF533" s="23">
        <v>56282.95</v>
      </c>
      <c r="AG533" s="23">
        <v>1210384.26</v>
      </c>
      <c r="AH533" s="23">
        <v>17</v>
      </c>
      <c r="AI533" s="23">
        <v>-437.27</v>
      </c>
      <c r="AJ533" s="33">
        <v>-0.35139999999999999</v>
      </c>
      <c r="AK533" s="33">
        <v>0.3962</v>
      </c>
      <c r="AL533" s="23" t="s">
        <v>24</v>
      </c>
      <c r="AM533" s="23">
        <v>678.4</v>
      </c>
      <c r="AN533" s="23">
        <v>36115.75</v>
      </c>
      <c r="AO533" s="23">
        <v>709.28</v>
      </c>
      <c r="AQ533" s="50">
        <f t="shared" si="8"/>
        <v>1.5625E-2</v>
      </c>
      <c r="AR533" s="50"/>
      <c r="AS533" s="48"/>
      <c r="AT533" s="50"/>
      <c r="AV533" s="47">
        <v>44678</v>
      </c>
      <c r="AW533" s="51">
        <v>0.38541666666666669</v>
      </c>
      <c r="AX533" t="s">
        <v>162</v>
      </c>
    </row>
    <row r="534" spans="1:50">
      <c r="A534" s="26" t="s">
        <v>22</v>
      </c>
      <c r="B534" s="26" t="s">
        <v>25</v>
      </c>
      <c r="C534" s="31">
        <v>44678.552083333336</v>
      </c>
      <c r="D534" s="26">
        <v>685.375</v>
      </c>
      <c r="E534" s="31">
        <v>44679.6875</v>
      </c>
      <c r="F534" s="26">
        <v>704.2</v>
      </c>
      <c r="G534" s="36">
        <v>2.75E-2</v>
      </c>
      <c r="H534" s="26">
        <v>1380.55</v>
      </c>
      <c r="I534" s="36">
        <v>2.75E-2</v>
      </c>
      <c r="J534" s="26">
        <v>73.335740000000001</v>
      </c>
      <c r="K534" s="26">
        <v>50262.48</v>
      </c>
      <c r="L534" s="26">
        <v>53738.12</v>
      </c>
      <c r="M534" s="26">
        <v>39</v>
      </c>
      <c r="N534" s="26">
        <v>35.4</v>
      </c>
      <c r="O534" s="36">
        <v>-9.7999999999999997E-3</v>
      </c>
      <c r="P534" s="36">
        <v>3.2300000000000002E-2</v>
      </c>
      <c r="Q534" s="26" t="s">
        <v>24</v>
      </c>
      <c r="R534" s="26">
        <v>0</v>
      </c>
      <c r="S534" s="26">
        <v>670.66</v>
      </c>
      <c r="U534" s="47">
        <v>44679</v>
      </c>
      <c r="V534" s="26" t="s">
        <v>153</v>
      </c>
      <c r="W534" s="26" t="s">
        <v>23</v>
      </c>
      <c r="X534" s="31">
        <v>44678.552083333336</v>
      </c>
      <c r="Y534" s="26">
        <v>10</v>
      </c>
      <c r="Z534" s="31">
        <v>44679.6875</v>
      </c>
      <c r="AA534" s="26">
        <v>0.1</v>
      </c>
      <c r="AB534" s="36">
        <v>-0.99</v>
      </c>
      <c r="AC534" s="26">
        <v>55538.71</v>
      </c>
      <c r="AD534" s="36">
        <v>0.99</v>
      </c>
      <c r="AE534" s="26">
        <v>5609.9709999999995</v>
      </c>
      <c r="AF534" s="26">
        <v>56099.71</v>
      </c>
      <c r="AG534" s="26">
        <v>1265922.97</v>
      </c>
      <c r="AH534" s="26">
        <v>39</v>
      </c>
      <c r="AI534" s="26">
        <v>1424.07</v>
      </c>
      <c r="AJ534" s="36">
        <v>-0.26</v>
      </c>
      <c r="AK534" s="36">
        <v>0.99750000000000005</v>
      </c>
      <c r="AL534" s="26" t="s">
        <v>24</v>
      </c>
      <c r="AM534" s="26">
        <v>685.38</v>
      </c>
      <c r="AN534" s="26">
        <v>35902.199999999997</v>
      </c>
      <c r="AO534" s="26">
        <v>670.66</v>
      </c>
      <c r="AQ534" s="50">
        <f t="shared" si="8"/>
        <v>1.4590446175844058E-2</v>
      </c>
      <c r="AR534" s="50"/>
      <c r="AS534" s="48"/>
      <c r="AT534" s="50"/>
      <c r="AV534" s="47">
        <v>44678</v>
      </c>
      <c r="AW534" s="51">
        <v>5.2083333333333336E-2</v>
      </c>
      <c r="AX534" t="s">
        <v>163</v>
      </c>
    </row>
    <row r="535" spans="1:50">
      <c r="V535" s="4"/>
      <c r="W535" s="4"/>
      <c r="X535" s="1"/>
      <c r="Y535" s="4"/>
      <c r="Z535" s="1"/>
      <c r="AA535" s="4"/>
      <c r="AB535" s="2"/>
      <c r="AC535" s="4"/>
      <c r="AD535" s="2"/>
      <c r="AE535" s="4"/>
      <c r="AF535" s="4"/>
      <c r="AG535" s="4"/>
      <c r="AH535" s="4"/>
      <c r="AI535" s="4"/>
      <c r="AJ535" s="2"/>
      <c r="AK535" s="2"/>
      <c r="AL535" s="4"/>
      <c r="AM535" s="4"/>
      <c r="AN535" s="4"/>
      <c r="AO535" s="4"/>
    </row>
    <row r="536" spans="1:50">
      <c r="V536" s="4"/>
      <c r="W536" s="4"/>
      <c r="X536" s="1"/>
      <c r="Y536" s="4"/>
      <c r="Z536" s="1"/>
      <c r="AA536" s="4"/>
      <c r="AB536" s="2"/>
      <c r="AC536" s="4"/>
      <c r="AD536" s="2"/>
      <c r="AE536" s="4"/>
      <c r="AF536" s="4"/>
      <c r="AG536" s="4"/>
      <c r="AH536" s="4"/>
      <c r="AI536" s="4"/>
      <c r="AJ536" s="2"/>
      <c r="AK536" s="2"/>
      <c r="AL536" s="4"/>
      <c r="AM536" s="4"/>
      <c r="AN536" s="4"/>
      <c r="AO536" s="4"/>
    </row>
  </sheetData>
  <autoFilter ref="A6:AR534"/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59"/>
  <sheetViews>
    <sheetView showGridLines="0" workbookViewId="0">
      <selection activeCell="G4" sqref="G4"/>
    </sheetView>
  </sheetViews>
  <sheetFormatPr defaultRowHeight="15"/>
  <cols>
    <col min="1" max="1" width="62" bestFit="1" customWidth="1"/>
    <col min="2" max="4" width="10.85546875" bestFit="1" customWidth="1"/>
    <col min="5" max="5" width="28.7109375" bestFit="1" customWidth="1"/>
    <col min="8" max="8" width="62" bestFit="1" customWidth="1"/>
    <col min="9" max="9" width="10.85546875" bestFit="1" customWidth="1"/>
    <col min="10" max="10" width="10.5703125" bestFit="1" customWidth="1"/>
    <col min="11" max="11" width="11.7109375" bestFit="1" customWidth="1"/>
  </cols>
  <sheetData>
    <row r="2" spans="1:12">
      <c r="A2" s="20" t="s">
        <v>26</v>
      </c>
      <c r="B2" s="20"/>
      <c r="C2" s="20"/>
      <c r="D2" s="20"/>
      <c r="E2" s="20"/>
      <c r="H2" s="20" t="s">
        <v>158</v>
      </c>
      <c r="I2" s="20"/>
      <c r="J2" s="20"/>
      <c r="K2" s="20"/>
      <c r="L2" s="20"/>
    </row>
    <row r="4" spans="1:12">
      <c r="A4" s="3" t="s">
        <v>27</v>
      </c>
      <c r="H4" s="3" t="s">
        <v>27</v>
      </c>
    </row>
    <row r="6" spans="1:12">
      <c r="A6" s="57" t="s">
        <v>28</v>
      </c>
      <c r="B6" s="57"/>
      <c r="C6" s="57"/>
      <c r="D6" s="57"/>
      <c r="E6" s="57"/>
      <c r="H6" s="57" t="s">
        <v>28</v>
      </c>
      <c r="I6" s="57"/>
      <c r="J6" s="57"/>
      <c r="K6" s="57"/>
      <c r="L6" s="57"/>
    </row>
    <row r="7" spans="1:12">
      <c r="A7" s="38"/>
      <c r="B7" s="38" t="s">
        <v>29</v>
      </c>
      <c r="C7" s="38" t="s">
        <v>30</v>
      </c>
      <c r="D7" s="38" t="s">
        <v>31</v>
      </c>
      <c r="E7" s="38" t="s">
        <v>32</v>
      </c>
      <c r="H7" s="38"/>
      <c r="I7" s="38" t="s">
        <v>29</v>
      </c>
      <c r="J7" s="38" t="s">
        <v>30</v>
      </c>
      <c r="K7" s="38" t="s">
        <v>31</v>
      </c>
      <c r="L7" s="37"/>
    </row>
    <row r="8" spans="1:12">
      <c r="A8" s="38" t="s">
        <v>33</v>
      </c>
      <c r="B8" s="39">
        <v>10000000</v>
      </c>
      <c r="C8" s="39">
        <v>10000000</v>
      </c>
      <c r="D8" s="39">
        <v>10000000</v>
      </c>
      <c r="E8" s="39">
        <v>10000000</v>
      </c>
      <c r="H8" s="38" t="s">
        <v>33</v>
      </c>
      <c r="I8" s="39">
        <v>10000000</v>
      </c>
      <c r="J8" s="39">
        <v>10000000</v>
      </c>
      <c r="K8" s="39">
        <v>10000000</v>
      </c>
      <c r="L8" s="37"/>
    </row>
    <row r="9" spans="1:12">
      <c r="A9" s="38" t="s">
        <v>34</v>
      </c>
      <c r="B9" s="39">
        <v>10053738.119999999</v>
      </c>
      <c r="C9" s="39">
        <v>10035247.449999999</v>
      </c>
      <c r="D9" s="39">
        <v>10018490.66</v>
      </c>
      <c r="E9" s="39">
        <v>12071654.07</v>
      </c>
      <c r="H9" s="38" t="s">
        <v>34</v>
      </c>
      <c r="I9" s="39">
        <v>11265922.970000001</v>
      </c>
      <c r="J9" s="39">
        <v>10000000</v>
      </c>
      <c r="K9" s="39">
        <v>11265922.970000001</v>
      </c>
      <c r="L9" s="37"/>
    </row>
    <row r="10" spans="1:12">
      <c r="A10" s="38" t="s">
        <v>35</v>
      </c>
      <c r="B10" s="40">
        <v>53738.12</v>
      </c>
      <c r="C10" s="40">
        <v>35247.449999999997</v>
      </c>
      <c r="D10" s="40">
        <v>18490.66</v>
      </c>
      <c r="E10" s="40">
        <v>2071654.07</v>
      </c>
      <c r="H10" s="38" t="s">
        <v>35</v>
      </c>
      <c r="I10" s="40">
        <v>1265922.97</v>
      </c>
      <c r="J10" s="44">
        <v>0</v>
      </c>
      <c r="K10" s="40">
        <v>1265922.97</v>
      </c>
      <c r="L10" s="37"/>
    </row>
    <row r="11" spans="1:12">
      <c r="A11" s="38" t="s">
        <v>36</v>
      </c>
      <c r="B11" s="41">
        <v>5.4000000000000003E-3</v>
      </c>
      <c r="C11" s="41">
        <v>3.5000000000000001E-3</v>
      </c>
      <c r="D11" s="41">
        <v>1.8E-3</v>
      </c>
      <c r="E11" s="41">
        <v>0.2072</v>
      </c>
      <c r="H11" s="38" t="s">
        <v>36</v>
      </c>
      <c r="I11" s="41">
        <v>0.12659999999999999</v>
      </c>
      <c r="J11" s="43">
        <v>0</v>
      </c>
      <c r="K11" s="41">
        <v>0.12659999999999999</v>
      </c>
      <c r="L11" s="37"/>
    </row>
    <row r="12" spans="1:12">
      <c r="A12" s="38" t="s">
        <v>37</v>
      </c>
      <c r="B12" s="42">
        <v>5.0000000000000001E-3</v>
      </c>
      <c r="C12" s="42">
        <v>2.5999999999999999E-3</v>
      </c>
      <c r="D12" s="42">
        <v>2.3999999999999998E-3</v>
      </c>
      <c r="E12" s="42">
        <v>1</v>
      </c>
      <c r="H12" s="38" t="s">
        <v>37</v>
      </c>
      <c r="I12" s="42">
        <v>5.7000000000000002E-3</v>
      </c>
      <c r="J12" s="42">
        <v>0</v>
      </c>
      <c r="K12" s="42">
        <v>5.7000000000000002E-3</v>
      </c>
      <c r="L12" s="37"/>
    </row>
    <row r="13" spans="1:12">
      <c r="A13" s="38" t="s">
        <v>38</v>
      </c>
      <c r="B13" s="41">
        <v>1.0653999999999999</v>
      </c>
      <c r="C13" s="41">
        <v>1.3468</v>
      </c>
      <c r="D13" s="41">
        <v>0.76190000000000002</v>
      </c>
      <c r="E13" s="41">
        <v>0.2072</v>
      </c>
      <c r="H13" s="38" t="s">
        <v>38</v>
      </c>
      <c r="I13" s="41">
        <v>22.141100000000002</v>
      </c>
      <c r="J13" s="39" t="s">
        <v>64</v>
      </c>
      <c r="K13" s="41">
        <v>22.141100000000002</v>
      </c>
      <c r="L13" s="37"/>
    </row>
    <row r="14" spans="1:12">
      <c r="A14" s="38" t="s">
        <v>39</v>
      </c>
      <c r="B14" s="43">
        <v>4.5999999999999999E-3</v>
      </c>
      <c r="C14" s="43">
        <v>3.0000000000000001E-3</v>
      </c>
      <c r="D14" s="43">
        <v>1.6000000000000001E-3</v>
      </c>
      <c r="E14" s="41">
        <v>0.17510000000000001</v>
      </c>
      <c r="H14" s="38" t="s">
        <v>39</v>
      </c>
      <c r="I14" s="41">
        <v>0.1075</v>
      </c>
      <c r="J14" s="43">
        <v>0</v>
      </c>
      <c r="K14" s="41">
        <v>0.1075</v>
      </c>
      <c r="L14" s="37"/>
    </row>
    <row r="15" spans="1:12">
      <c r="A15" s="38" t="s">
        <v>40</v>
      </c>
      <c r="B15" s="43">
        <v>0.91249999999999998</v>
      </c>
      <c r="C15" s="43">
        <v>1.1536999999999999</v>
      </c>
      <c r="D15" s="43">
        <v>0.65269999999999995</v>
      </c>
      <c r="E15" s="43">
        <v>0.17510000000000001</v>
      </c>
      <c r="H15" s="38" t="s">
        <v>40</v>
      </c>
      <c r="I15" s="41">
        <v>18.8065</v>
      </c>
      <c r="J15" s="39" t="s">
        <v>64</v>
      </c>
      <c r="K15" s="41">
        <v>18.8065</v>
      </c>
      <c r="L15" s="37"/>
    </row>
    <row r="16" spans="1:12">
      <c r="A16" s="38" t="s">
        <v>41</v>
      </c>
      <c r="B16" s="44">
        <v>0</v>
      </c>
      <c r="C16" s="44">
        <v>0</v>
      </c>
      <c r="D16" s="44">
        <v>0</v>
      </c>
      <c r="E16" s="44">
        <v>0</v>
      </c>
      <c r="H16" s="38" t="s">
        <v>41</v>
      </c>
      <c r="I16" s="44">
        <v>0</v>
      </c>
      <c r="J16" s="44">
        <v>0</v>
      </c>
      <c r="K16" s="44">
        <v>0</v>
      </c>
      <c r="L16" s="37"/>
    </row>
    <row r="17" spans="1:12">
      <c r="A17" s="58"/>
      <c r="B17" s="58"/>
      <c r="C17" s="58"/>
      <c r="D17" s="58"/>
      <c r="E17" s="58"/>
      <c r="H17" s="58"/>
      <c r="I17" s="58"/>
      <c r="J17" s="58"/>
      <c r="K17" s="58"/>
      <c r="L17" s="37"/>
    </row>
    <row r="18" spans="1:12">
      <c r="A18" s="58"/>
      <c r="B18" s="58"/>
      <c r="C18" s="58"/>
      <c r="D18" s="58"/>
      <c r="E18" s="58"/>
      <c r="H18" s="58"/>
      <c r="I18" s="58"/>
      <c r="J18" s="58"/>
      <c r="K18" s="58"/>
      <c r="L18" s="37"/>
    </row>
    <row r="19" spans="1:12">
      <c r="A19" s="38" t="s">
        <v>29</v>
      </c>
      <c r="B19" s="39">
        <v>528</v>
      </c>
      <c r="C19" s="39" t="s">
        <v>42</v>
      </c>
      <c r="D19" s="39" t="s">
        <v>42</v>
      </c>
      <c r="E19" s="39">
        <v>1</v>
      </c>
      <c r="H19" s="38" t="s">
        <v>29</v>
      </c>
      <c r="I19" s="39">
        <v>524</v>
      </c>
      <c r="J19" s="39" t="s">
        <v>61</v>
      </c>
      <c r="K19" s="39" t="s">
        <v>159</v>
      </c>
      <c r="L19" s="37"/>
    </row>
    <row r="20" spans="1:12">
      <c r="A20" s="38" t="s">
        <v>43</v>
      </c>
      <c r="B20" s="40">
        <v>101.78</v>
      </c>
      <c r="C20" s="40">
        <v>133.51</v>
      </c>
      <c r="D20" s="40">
        <v>70.040000000000006</v>
      </c>
      <c r="E20" s="40">
        <v>2071655.07</v>
      </c>
      <c r="H20" s="38" t="s">
        <v>43</v>
      </c>
      <c r="I20" s="40">
        <v>2415.88</v>
      </c>
      <c r="J20" s="39" t="s">
        <v>64</v>
      </c>
      <c r="K20" s="40">
        <v>2415.88</v>
      </c>
      <c r="L20" s="37"/>
    </row>
    <row r="21" spans="1:12">
      <c r="A21" s="38" t="s">
        <v>44</v>
      </c>
      <c r="B21" s="41">
        <v>2E-3</v>
      </c>
      <c r="C21" s="41">
        <v>2.7000000000000001E-3</v>
      </c>
      <c r="D21" s="41">
        <v>1.4E-3</v>
      </c>
      <c r="E21" s="41">
        <v>0.2072</v>
      </c>
      <c r="H21" s="38" t="s">
        <v>44</v>
      </c>
      <c r="I21" s="41">
        <v>4.58E-2</v>
      </c>
      <c r="J21" s="39" t="s">
        <v>64</v>
      </c>
      <c r="K21" s="41">
        <v>4.58E-2</v>
      </c>
      <c r="L21" s="37"/>
    </row>
    <row r="22" spans="1:12">
      <c r="A22" s="38" t="s">
        <v>45</v>
      </c>
      <c r="B22" s="40">
        <v>16.2</v>
      </c>
      <c r="C22" s="40">
        <v>16.77</v>
      </c>
      <c r="D22" s="40">
        <v>15.63</v>
      </c>
      <c r="E22" s="40">
        <v>8056</v>
      </c>
      <c r="H22" s="38" t="s">
        <v>45</v>
      </c>
      <c r="I22" s="40">
        <v>16.18</v>
      </c>
      <c r="J22" s="39" t="s">
        <v>64</v>
      </c>
      <c r="K22" s="40">
        <v>16.18</v>
      </c>
      <c r="L22" s="37"/>
    </row>
    <row r="23" spans="1:12">
      <c r="A23" s="58"/>
      <c r="B23" s="58"/>
      <c r="C23" s="58"/>
      <c r="D23" s="58"/>
      <c r="E23" s="58"/>
      <c r="H23" s="58"/>
      <c r="I23" s="58"/>
      <c r="J23" s="58"/>
      <c r="K23" s="58"/>
      <c r="L23" s="37"/>
    </row>
    <row r="24" spans="1:12">
      <c r="A24" s="58"/>
      <c r="B24" s="58"/>
      <c r="C24" s="58"/>
      <c r="D24" s="58"/>
      <c r="E24" s="58"/>
      <c r="H24" s="58"/>
      <c r="I24" s="58"/>
      <c r="J24" s="58"/>
      <c r="K24" s="58"/>
      <c r="L24" s="37"/>
    </row>
    <row r="25" spans="1:12">
      <c r="A25" s="38" t="s">
        <v>46</v>
      </c>
      <c r="B25" s="39" t="s">
        <v>47</v>
      </c>
      <c r="C25" s="39" t="s">
        <v>48</v>
      </c>
      <c r="D25" s="39" t="s">
        <v>49</v>
      </c>
      <c r="E25" s="39" t="s">
        <v>50</v>
      </c>
      <c r="H25" s="38" t="s">
        <v>46</v>
      </c>
      <c r="I25" s="39" t="s">
        <v>160</v>
      </c>
      <c r="J25" s="39" t="s">
        <v>61</v>
      </c>
      <c r="K25" s="39" t="s">
        <v>160</v>
      </c>
      <c r="L25" s="37"/>
    </row>
    <row r="26" spans="1:12">
      <c r="A26" s="38" t="s">
        <v>51</v>
      </c>
      <c r="B26" s="39">
        <v>194609.22</v>
      </c>
      <c r="C26" s="39">
        <v>101476.72</v>
      </c>
      <c r="D26" s="39">
        <v>93132.5</v>
      </c>
      <c r="E26" s="39">
        <v>2071655.07</v>
      </c>
      <c r="H26" s="38" t="s">
        <v>51</v>
      </c>
      <c r="I26" s="39">
        <v>3919748.14</v>
      </c>
      <c r="J26" s="39">
        <v>0</v>
      </c>
      <c r="K26" s="39">
        <v>3919748.14</v>
      </c>
      <c r="L26" s="37"/>
    </row>
    <row r="27" spans="1:12">
      <c r="A27" s="38" t="s">
        <v>52</v>
      </c>
      <c r="B27" s="39">
        <v>935.62</v>
      </c>
      <c r="C27" s="39">
        <v>867.32</v>
      </c>
      <c r="D27" s="39">
        <v>1023.43</v>
      </c>
      <c r="E27" s="39">
        <v>2071655.07</v>
      </c>
      <c r="H27" s="38" t="s">
        <v>52</v>
      </c>
      <c r="I27" s="39">
        <v>14903.99</v>
      </c>
      <c r="J27" s="39" t="s">
        <v>64</v>
      </c>
      <c r="K27" s="39">
        <v>14903.99</v>
      </c>
      <c r="L27" s="37"/>
    </row>
    <row r="28" spans="1:12">
      <c r="A28" s="38" t="s">
        <v>53</v>
      </c>
      <c r="B28" s="42">
        <v>1.8700000000000001E-2</v>
      </c>
      <c r="C28" s="42">
        <v>1.7299999999999999E-2</v>
      </c>
      <c r="D28" s="42">
        <v>2.0400000000000001E-2</v>
      </c>
      <c r="E28" s="42">
        <v>0.2072</v>
      </c>
      <c r="H28" s="38" t="s">
        <v>53</v>
      </c>
      <c r="I28" s="42">
        <v>0.28029999999999999</v>
      </c>
      <c r="J28" s="39" t="s">
        <v>64</v>
      </c>
      <c r="K28" s="42">
        <v>0.28029999999999999</v>
      </c>
      <c r="L28" s="37"/>
    </row>
    <row r="29" spans="1:12">
      <c r="A29" s="38" t="s">
        <v>45</v>
      </c>
      <c r="B29" s="39">
        <v>25.91</v>
      </c>
      <c r="C29" s="39">
        <v>25.54</v>
      </c>
      <c r="D29" s="39">
        <v>26.38</v>
      </c>
      <c r="E29" s="39">
        <v>8056</v>
      </c>
      <c r="H29" s="38" t="s">
        <v>45</v>
      </c>
      <c r="I29" s="39">
        <v>23.39</v>
      </c>
      <c r="J29" s="39" t="s">
        <v>64</v>
      </c>
      <c r="K29" s="39">
        <v>23.39</v>
      </c>
      <c r="L29" s="37"/>
    </row>
    <row r="30" spans="1:12">
      <c r="A30" s="38" t="s">
        <v>54</v>
      </c>
      <c r="B30" s="40">
        <v>5</v>
      </c>
      <c r="C30" s="40">
        <v>4</v>
      </c>
      <c r="D30" s="40">
        <v>4</v>
      </c>
      <c r="E30" s="40">
        <v>1</v>
      </c>
      <c r="H30" s="38" t="s">
        <v>54</v>
      </c>
      <c r="I30" s="40">
        <v>7</v>
      </c>
      <c r="J30" s="44">
        <v>0</v>
      </c>
      <c r="K30" s="40">
        <v>7</v>
      </c>
      <c r="L30" s="37"/>
    </row>
    <row r="31" spans="1:12">
      <c r="A31" s="38" t="s">
        <v>55</v>
      </c>
      <c r="B31" s="39">
        <v>6361.25</v>
      </c>
      <c r="C31" s="39">
        <v>4818.32</v>
      </c>
      <c r="D31" s="39">
        <v>6361.25</v>
      </c>
      <c r="E31" s="39">
        <v>2071655.07</v>
      </c>
      <c r="H31" s="38" t="s">
        <v>55</v>
      </c>
      <c r="I31" s="39">
        <v>55538.71</v>
      </c>
      <c r="J31" s="39">
        <v>0</v>
      </c>
      <c r="K31" s="39">
        <v>55538.71</v>
      </c>
      <c r="L31" s="37"/>
    </row>
    <row r="32" spans="1:12">
      <c r="A32" s="38" t="s">
        <v>56</v>
      </c>
      <c r="B32" s="39">
        <v>53</v>
      </c>
      <c r="C32" s="39">
        <v>47</v>
      </c>
      <c r="D32" s="39">
        <v>53</v>
      </c>
      <c r="E32" s="39">
        <v>8056</v>
      </c>
      <c r="H32" s="38" t="s">
        <v>56</v>
      </c>
      <c r="I32" s="39">
        <v>39</v>
      </c>
      <c r="J32" s="39">
        <v>0</v>
      </c>
      <c r="K32" s="39">
        <v>39</v>
      </c>
      <c r="L32" s="37"/>
    </row>
    <row r="33" spans="1:12">
      <c r="A33" s="58"/>
      <c r="B33" s="58"/>
      <c r="C33" s="58"/>
      <c r="D33" s="58"/>
      <c r="E33" s="58"/>
      <c r="H33" s="58"/>
      <c r="I33" s="58"/>
      <c r="J33" s="58"/>
      <c r="K33" s="58"/>
      <c r="L33" s="37"/>
    </row>
    <row r="34" spans="1:12">
      <c r="A34" s="58"/>
      <c r="B34" s="58"/>
      <c r="C34" s="58"/>
      <c r="D34" s="58"/>
      <c r="E34" s="58"/>
      <c r="H34" s="58"/>
      <c r="I34" s="58"/>
      <c r="J34" s="58"/>
      <c r="K34" s="58"/>
      <c r="L34" s="37"/>
    </row>
    <row r="35" spans="1:12">
      <c r="A35" s="38" t="s">
        <v>57</v>
      </c>
      <c r="B35" s="39" t="s">
        <v>58</v>
      </c>
      <c r="C35" s="39" t="s">
        <v>59</v>
      </c>
      <c r="D35" s="39" t="s">
        <v>60</v>
      </c>
      <c r="E35" s="39" t="s">
        <v>61</v>
      </c>
      <c r="H35" s="38" t="s">
        <v>57</v>
      </c>
      <c r="I35" s="39" t="s">
        <v>161</v>
      </c>
      <c r="J35" s="39" t="s">
        <v>61</v>
      </c>
      <c r="K35" s="39" t="s">
        <v>161</v>
      </c>
      <c r="L35" s="37"/>
    </row>
    <row r="36" spans="1:12">
      <c r="A36" s="38" t="s">
        <v>62</v>
      </c>
      <c r="B36" s="39">
        <v>-140871.1</v>
      </c>
      <c r="C36" s="39">
        <v>-66229.259999999995</v>
      </c>
      <c r="D36" s="39">
        <v>-74641.84</v>
      </c>
      <c r="E36" s="39">
        <v>0</v>
      </c>
      <c r="H36" s="38" t="s">
        <v>62</v>
      </c>
      <c r="I36" s="39">
        <v>-2653825.17</v>
      </c>
      <c r="J36" s="39">
        <v>0</v>
      </c>
      <c r="K36" s="39">
        <v>-2653825.17</v>
      </c>
      <c r="L36" s="37"/>
    </row>
    <row r="37" spans="1:12">
      <c r="A37" s="38" t="s">
        <v>63</v>
      </c>
      <c r="B37" s="39">
        <v>-440.22</v>
      </c>
      <c r="C37" s="39">
        <v>-450.54</v>
      </c>
      <c r="D37" s="39">
        <v>-431.46</v>
      </c>
      <c r="E37" s="39" t="s">
        <v>64</v>
      </c>
      <c r="H37" s="38" t="s">
        <v>63</v>
      </c>
      <c r="I37" s="39">
        <v>-10167.91</v>
      </c>
      <c r="J37" s="39" t="s">
        <v>64</v>
      </c>
      <c r="K37" s="39">
        <v>-10167.91</v>
      </c>
      <c r="L37" s="37"/>
    </row>
    <row r="38" spans="1:12">
      <c r="A38" s="38" t="s">
        <v>65</v>
      </c>
      <c r="B38" s="42">
        <v>-8.8000000000000005E-3</v>
      </c>
      <c r="C38" s="42">
        <v>-8.9999999999999993E-3</v>
      </c>
      <c r="D38" s="42">
        <v>-8.6E-3</v>
      </c>
      <c r="E38" s="39" t="s">
        <v>64</v>
      </c>
      <c r="H38" s="38" t="s">
        <v>65</v>
      </c>
      <c r="I38" s="42">
        <v>-0.1905</v>
      </c>
      <c r="J38" s="39" t="s">
        <v>64</v>
      </c>
      <c r="K38" s="42">
        <v>-0.1905</v>
      </c>
      <c r="L38" s="37"/>
    </row>
    <row r="39" spans="1:12">
      <c r="A39" s="38" t="s">
        <v>45</v>
      </c>
      <c r="B39" s="39">
        <v>9.89</v>
      </c>
      <c r="C39" s="39">
        <v>9.8000000000000007</v>
      </c>
      <c r="D39" s="39">
        <v>9.98</v>
      </c>
      <c r="E39" s="39" t="s">
        <v>64</v>
      </c>
      <c r="H39" s="38" t="s">
        <v>45</v>
      </c>
      <c r="I39" s="39">
        <v>8.92</v>
      </c>
      <c r="J39" s="39" t="s">
        <v>64</v>
      </c>
      <c r="K39" s="39">
        <v>8.92</v>
      </c>
      <c r="L39" s="37"/>
    </row>
    <row r="40" spans="1:12">
      <c r="A40" s="38" t="s">
        <v>54</v>
      </c>
      <c r="B40" s="39">
        <v>12</v>
      </c>
      <c r="C40" s="39">
        <v>7</v>
      </c>
      <c r="D40" s="39">
        <v>11</v>
      </c>
      <c r="E40" s="39">
        <v>0</v>
      </c>
      <c r="H40" s="38" t="s">
        <v>54</v>
      </c>
      <c r="I40" s="39">
        <v>7</v>
      </c>
      <c r="J40" s="39">
        <v>0</v>
      </c>
      <c r="K40" s="39">
        <v>7</v>
      </c>
      <c r="L40" s="37"/>
    </row>
    <row r="41" spans="1:12">
      <c r="A41" s="38" t="s">
        <v>66</v>
      </c>
      <c r="B41" s="39">
        <v>-1842.44</v>
      </c>
      <c r="C41" s="39">
        <v>-1497.49</v>
      </c>
      <c r="D41" s="39">
        <v>-1842.44</v>
      </c>
      <c r="E41" s="39">
        <v>0</v>
      </c>
      <c r="H41" s="38" t="s">
        <v>66</v>
      </c>
      <c r="I41" s="39">
        <v>-140533.46</v>
      </c>
      <c r="J41" s="39">
        <v>0</v>
      </c>
      <c r="K41" s="39">
        <v>-140533.46</v>
      </c>
      <c r="L41" s="37"/>
    </row>
    <row r="42" spans="1:12">
      <c r="A42" s="38" t="s">
        <v>67</v>
      </c>
      <c r="B42" s="39">
        <v>7</v>
      </c>
      <c r="C42" s="39">
        <v>10</v>
      </c>
      <c r="D42" s="39">
        <v>7</v>
      </c>
      <c r="E42" s="39">
        <v>0</v>
      </c>
      <c r="H42" s="38" t="s">
        <v>67</v>
      </c>
      <c r="I42" s="39">
        <v>2</v>
      </c>
      <c r="J42" s="39">
        <v>0</v>
      </c>
      <c r="K42" s="39">
        <v>2</v>
      </c>
      <c r="L42" s="37"/>
    </row>
    <row r="43" spans="1:12">
      <c r="A43" s="58"/>
      <c r="B43" s="58"/>
      <c r="C43" s="58"/>
      <c r="D43" s="58"/>
      <c r="E43" s="58"/>
      <c r="H43" s="58"/>
      <c r="I43" s="58"/>
      <c r="J43" s="58"/>
      <c r="K43" s="58"/>
      <c r="L43" s="37"/>
    </row>
    <row r="44" spans="1:12">
      <c r="A44" s="58"/>
      <c r="B44" s="58"/>
      <c r="C44" s="58"/>
      <c r="D44" s="58"/>
      <c r="E44" s="58"/>
      <c r="H44" s="58"/>
      <c r="I44" s="58"/>
      <c r="J44" s="58"/>
      <c r="K44" s="58"/>
      <c r="L44" s="37"/>
    </row>
    <row r="45" spans="1:12">
      <c r="A45" s="38" t="s">
        <v>68</v>
      </c>
      <c r="B45" s="39">
        <v>-3127.45</v>
      </c>
      <c r="C45" s="39">
        <v>-3127.45</v>
      </c>
      <c r="D45" s="39">
        <v>-2772.43</v>
      </c>
      <c r="E45" s="39">
        <v>-3508614</v>
      </c>
      <c r="H45" s="38" t="s">
        <v>68</v>
      </c>
      <c r="I45" s="39">
        <v>-184777.72</v>
      </c>
      <c r="J45" s="39">
        <v>0</v>
      </c>
      <c r="K45" s="39">
        <v>-184777.72</v>
      </c>
      <c r="L45" s="37"/>
    </row>
    <row r="46" spans="1:12">
      <c r="A46" s="38" t="s">
        <v>69</v>
      </c>
      <c r="B46" s="39">
        <v>-5.69</v>
      </c>
      <c r="C46" s="39">
        <v>-5.69</v>
      </c>
      <c r="D46" s="39">
        <v>-4.83</v>
      </c>
      <c r="E46" s="39">
        <v>-30.17</v>
      </c>
      <c r="H46" s="38" t="s">
        <v>69</v>
      </c>
      <c r="I46" s="39">
        <v>-100</v>
      </c>
      <c r="J46" s="39">
        <v>0</v>
      </c>
      <c r="K46" s="39">
        <v>-100</v>
      </c>
      <c r="L46" s="37"/>
    </row>
    <row r="47" spans="1:12">
      <c r="A47" s="38" t="s">
        <v>70</v>
      </c>
      <c r="B47" s="39">
        <v>-8927.24</v>
      </c>
      <c r="C47" s="39">
        <v>-6905.48</v>
      </c>
      <c r="D47" s="39">
        <v>-9194</v>
      </c>
      <c r="E47" s="39">
        <v>-3508614</v>
      </c>
      <c r="H47" s="38" t="s">
        <v>70</v>
      </c>
      <c r="I47" s="39">
        <v>-239559.3</v>
      </c>
      <c r="J47" s="39">
        <v>0</v>
      </c>
      <c r="K47" s="39">
        <v>-239559.3</v>
      </c>
      <c r="L47" s="37"/>
    </row>
    <row r="48" spans="1:12">
      <c r="A48" s="38" t="s">
        <v>71</v>
      </c>
      <c r="B48" s="41">
        <v>-8.9999999999999998E-4</v>
      </c>
      <c r="C48" s="41">
        <v>-6.9999999999999999E-4</v>
      </c>
      <c r="D48" s="41">
        <v>-8.9999999999999998E-4</v>
      </c>
      <c r="E48" s="45">
        <v>-0.30170000000000002</v>
      </c>
      <c r="H48" s="38" t="s">
        <v>71</v>
      </c>
      <c r="I48" s="41">
        <v>-2.2599999999999999E-2</v>
      </c>
      <c r="J48" s="41">
        <v>0</v>
      </c>
      <c r="K48" s="41">
        <v>-2.2599999999999999E-2</v>
      </c>
      <c r="L48" s="37"/>
    </row>
    <row r="49" spans="1:12">
      <c r="A49" s="38" t="s">
        <v>72</v>
      </c>
      <c r="B49" s="40">
        <v>6.02</v>
      </c>
      <c r="C49" s="40">
        <v>5.0999999999999996</v>
      </c>
      <c r="D49" s="40">
        <v>2.0099999999999998</v>
      </c>
      <c r="E49" s="46">
        <v>0.59</v>
      </c>
      <c r="H49" s="38" t="s">
        <v>72</v>
      </c>
      <c r="I49" s="40">
        <v>5.28</v>
      </c>
      <c r="J49" s="39" t="s">
        <v>64</v>
      </c>
      <c r="K49" s="40">
        <v>5.28</v>
      </c>
      <c r="L49" s="37"/>
    </row>
    <row r="50" spans="1:12">
      <c r="A50" s="38" t="s">
        <v>73</v>
      </c>
      <c r="B50" s="40">
        <v>5.17</v>
      </c>
      <c r="C50" s="40">
        <v>4.38</v>
      </c>
      <c r="D50" s="44">
        <v>1.73</v>
      </c>
      <c r="E50" s="46">
        <v>0.57999999999999996</v>
      </c>
      <c r="H50" s="38" t="s">
        <v>73</v>
      </c>
      <c r="I50" s="40">
        <v>4.76</v>
      </c>
      <c r="J50" s="39" t="s">
        <v>64</v>
      </c>
      <c r="K50" s="40">
        <v>4.76</v>
      </c>
      <c r="L50" s="37"/>
    </row>
    <row r="51" spans="1:12">
      <c r="A51" s="38" t="s">
        <v>74</v>
      </c>
      <c r="B51" s="40">
        <v>1025.24</v>
      </c>
      <c r="C51" s="40">
        <v>1672.15</v>
      </c>
      <c r="D51" s="40">
        <v>711.2</v>
      </c>
      <c r="E51" s="46">
        <v>0.57999999999999996</v>
      </c>
      <c r="H51" s="38" t="s">
        <v>74</v>
      </c>
      <c r="I51" s="40">
        <v>833.15</v>
      </c>
      <c r="J51" s="39" t="s">
        <v>64</v>
      </c>
      <c r="K51" s="40">
        <v>833.15</v>
      </c>
      <c r="L51" s="37"/>
    </row>
    <row r="52" spans="1:12">
      <c r="A52" s="38" t="s">
        <v>75</v>
      </c>
      <c r="B52" s="44">
        <v>1.38</v>
      </c>
      <c r="C52" s="44">
        <v>1.53</v>
      </c>
      <c r="D52" s="44">
        <v>1.25</v>
      </c>
      <c r="E52" s="40" t="s">
        <v>64</v>
      </c>
      <c r="H52" s="38" t="s">
        <v>75</v>
      </c>
      <c r="I52" s="44">
        <v>1.48</v>
      </c>
      <c r="J52" s="39" t="s">
        <v>64</v>
      </c>
      <c r="K52" s="44">
        <v>1.48</v>
      </c>
      <c r="L52" s="37"/>
    </row>
    <row r="53" spans="1:12">
      <c r="A53" s="38" t="s">
        <v>76</v>
      </c>
      <c r="B53" s="40">
        <v>2.13</v>
      </c>
      <c r="C53" s="44">
        <v>1.93</v>
      </c>
      <c r="D53" s="40">
        <v>2.37</v>
      </c>
      <c r="E53" s="39" t="s">
        <v>64</v>
      </c>
      <c r="H53" s="38" t="s">
        <v>76</v>
      </c>
      <c r="I53" s="44">
        <v>1.47</v>
      </c>
      <c r="J53" s="39" t="s">
        <v>64</v>
      </c>
      <c r="K53" s="44">
        <v>1.47</v>
      </c>
      <c r="L53" s="37"/>
    </row>
    <row r="54" spans="1:12">
      <c r="A54" s="38" t="s">
        <v>77</v>
      </c>
      <c r="B54" s="39">
        <v>4413.2299999999996</v>
      </c>
      <c r="C54" s="39">
        <v>2727.75</v>
      </c>
      <c r="D54" s="39">
        <v>3154.11</v>
      </c>
      <c r="E54" s="39">
        <v>866109.92</v>
      </c>
      <c r="H54" s="38" t="s">
        <v>77</v>
      </c>
      <c r="I54" s="39">
        <v>61797.53</v>
      </c>
      <c r="J54" s="39">
        <v>0</v>
      </c>
      <c r="K54" s="39">
        <v>61797.53</v>
      </c>
      <c r="L54" s="37"/>
    </row>
    <row r="55" spans="1:12">
      <c r="A55" s="38" t="s">
        <v>78</v>
      </c>
      <c r="B55" s="39">
        <v>8.7799999999999994</v>
      </c>
      <c r="C55" s="39">
        <v>9.48</v>
      </c>
      <c r="D55" s="39">
        <v>4.08</v>
      </c>
      <c r="E55" s="39">
        <v>1.67</v>
      </c>
      <c r="H55" s="38" t="s">
        <v>78</v>
      </c>
      <c r="I55" s="39">
        <v>18.22</v>
      </c>
      <c r="J55" s="39" t="s">
        <v>64</v>
      </c>
      <c r="K55" s="39">
        <v>18.22</v>
      </c>
      <c r="L55" s="37"/>
    </row>
    <row r="56" spans="1:12">
      <c r="A56" s="38" t="s">
        <v>79</v>
      </c>
      <c r="B56" s="39">
        <v>0.03</v>
      </c>
      <c r="C56" s="39">
        <v>0.03</v>
      </c>
      <c r="D56" s="39">
        <v>0.03</v>
      </c>
      <c r="E56" s="39">
        <v>15.42</v>
      </c>
      <c r="H56" s="38" t="s">
        <v>79</v>
      </c>
      <c r="I56" s="39">
        <v>0.56999999999999995</v>
      </c>
      <c r="J56" s="39">
        <v>0</v>
      </c>
      <c r="K56" s="39">
        <v>0.56999999999999995</v>
      </c>
      <c r="L56" s="37"/>
    </row>
    <row r="57" spans="1:12">
      <c r="A57" s="38" t="s">
        <v>80</v>
      </c>
      <c r="B57" s="39">
        <v>-153.21</v>
      </c>
      <c r="C57" s="39">
        <v>-181.37</v>
      </c>
      <c r="D57" s="39">
        <v>-156.72999999999999</v>
      </c>
      <c r="E57" s="39">
        <v>0.78</v>
      </c>
      <c r="H57" s="38" t="s">
        <v>80</v>
      </c>
      <c r="I57" s="39">
        <v>9.4499999999999993</v>
      </c>
      <c r="J57" s="39" t="s">
        <v>64</v>
      </c>
      <c r="K57" s="39">
        <v>9.4499999999999993</v>
      </c>
      <c r="L57" s="37"/>
    </row>
    <row r="58" spans="1:12">
      <c r="A58" s="38" t="s">
        <v>81</v>
      </c>
      <c r="B58" s="39">
        <v>1.99</v>
      </c>
      <c r="C58" s="39">
        <v>2.78</v>
      </c>
      <c r="D58" s="39">
        <v>1.29</v>
      </c>
      <c r="E58" s="39" t="s">
        <v>64</v>
      </c>
      <c r="H58" s="38" t="s">
        <v>81</v>
      </c>
      <c r="I58" s="39">
        <v>2.63</v>
      </c>
      <c r="J58" s="39">
        <v>0</v>
      </c>
      <c r="K58" s="39">
        <v>2.63</v>
      </c>
      <c r="L58" s="37"/>
    </row>
    <row r="59" spans="1:12">
      <c r="A59" s="38" t="s">
        <v>82</v>
      </c>
      <c r="B59" s="39">
        <v>0.03</v>
      </c>
      <c r="C59" s="39">
        <v>0.04</v>
      </c>
      <c r="D59" s="39">
        <v>0.02</v>
      </c>
      <c r="E59" s="39">
        <v>0.01</v>
      </c>
      <c r="H59" s="38" t="s">
        <v>82</v>
      </c>
      <c r="I59" s="39">
        <v>7.0000000000000007E-2</v>
      </c>
      <c r="J59" s="39" t="s">
        <v>64</v>
      </c>
      <c r="K59" s="39">
        <v>7.0000000000000007E-2</v>
      </c>
      <c r="L59" s="37"/>
    </row>
  </sheetData>
  <mergeCells count="10">
    <mergeCell ref="H6:L6"/>
    <mergeCell ref="H17:K18"/>
    <mergeCell ref="H23:K24"/>
    <mergeCell ref="H33:K34"/>
    <mergeCell ref="H43:K44"/>
    <mergeCell ref="A6:E6"/>
    <mergeCell ref="A17:E18"/>
    <mergeCell ref="A23:E24"/>
    <mergeCell ref="A33:E34"/>
    <mergeCell ref="A43:E4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D64"/>
  <sheetViews>
    <sheetView showGridLines="0" topLeftCell="B1" workbookViewId="0">
      <selection activeCell="P2" sqref="P2"/>
    </sheetView>
  </sheetViews>
  <sheetFormatPr defaultRowHeight="15"/>
  <sheetData>
    <row r="2" spans="1:30">
      <c r="A2" s="20" t="s">
        <v>26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Q2" s="20" t="s">
        <v>158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</row>
    <row r="4" spans="1:30">
      <c r="A4" s="5" t="s">
        <v>83</v>
      </c>
      <c r="Q4" s="5" t="s">
        <v>83</v>
      </c>
    </row>
    <row r="5" spans="1:30">
      <c r="A5" s="6"/>
      <c r="Q5" s="6"/>
    </row>
    <row r="6" spans="1:30">
      <c r="A6" s="6"/>
      <c r="Q6" s="6"/>
    </row>
    <row r="31" spans="1:17">
      <c r="A31" s="5" t="s">
        <v>84</v>
      </c>
      <c r="Q31" s="5" t="s">
        <v>84</v>
      </c>
    </row>
    <row r="32" spans="1:17">
      <c r="A32" s="6"/>
      <c r="Q32" s="6"/>
    </row>
    <row r="33" spans="1:17">
      <c r="A33" s="6"/>
      <c r="Q33" s="6"/>
    </row>
    <row r="58" spans="1:30">
      <c r="Q58" s="5" t="s">
        <v>85</v>
      </c>
    </row>
    <row r="59" spans="1:30">
      <c r="A59" s="5" t="s">
        <v>85</v>
      </c>
      <c r="Q59" s="6"/>
    </row>
    <row r="60" spans="1:30">
      <c r="A60" s="6"/>
      <c r="Q60" s="7" t="s">
        <v>86</v>
      </c>
      <c r="R60" s="7" t="s">
        <v>87</v>
      </c>
      <c r="S60" s="7" t="s">
        <v>88</v>
      </c>
      <c r="T60" s="7" t="s">
        <v>89</v>
      </c>
      <c r="U60" s="7" t="s">
        <v>90</v>
      </c>
      <c r="V60" s="7" t="s">
        <v>91</v>
      </c>
      <c r="W60" s="7" t="s">
        <v>92</v>
      </c>
      <c r="X60" s="7" t="s">
        <v>93</v>
      </c>
      <c r="Y60" s="7" t="s">
        <v>94</v>
      </c>
      <c r="Z60" s="7" t="s">
        <v>95</v>
      </c>
      <c r="AA60" s="7" t="s">
        <v>96</v>
      </c>
      <c r="AB60" s="7" t="s">
        <v>97</v>
      </c>
      <c r="AC60" s="7" t="s">
        <v>98</v>
      </c>
      <c r="AD60" s="7" t="s">
        <v>99</v>
      </c>
    </row>
    <row r="61" spans="1:30">
      <c r="A61" s="7" t="s">
        <v>86</v>
      </c>
      <c r="B61" s="7" t="s">
        <v>87</v>
      </c>
      <c r="C61" s="7" t="s">
        <v>88</v>
      </c>
      <c r="D61" s="7" t="s">
        <v>89</v>
      </c>
      <c r="E61" s="7" t="s">
        <v>90</v>
      </c>
      <c r="F61" s="7" t="s">
        <v>91</v>
      </c>
      <c r="G61" s="7" t="s">
        <v>92</v>
      </c>
      <c r="H61" s="7" t="s">
        <v>93</v>
      </c>
      <c r="I61" s="7" t="s">
        <v>94</v>
      </c>
      <c r="J61" s="7" t="s">
        <v>95</v>
      </c>
      <c r="K61" s="7" t="s">
        <v>96</v>
      </c>
      <c r="L61" s="7" t="s">
        <v>97</v>
      </c>
      <c r="M61" s="7" t="s">
        <v>98</v>
      </c>
      <c r="N61" s="7" t="s">
        <v>99</v>
      </c>
      <c r="Q61" s="7">
        <v>2021</v>
      </c>
      <c r="R61" s="15" t="s">
        <v>64</v>
      </c>
      <c r="S61" s="14">
        <v>-4.0000000000000001E-3</v>
      </c>
      <c r="T61" s="13">
        <v>8.0000000000000002E-3</v>
      </c>
      <c r="U61" s="13">
        <v>1.2999999999999999E-2</v>
      </c>
      <c r="V61" s="13">
        <v>1.4999999999999999E-2</v>
      </c>
      <c r="W61" s="13">
        <v>1.6E-2</v>
      </c>
      <c r="X61" s="13">
        <v>5.0000000000000001E-3</v>
      </c>
      <c r="Y61" s="14">
        <v>-1E-3</v>
      </c>
      <c r="Z61" s="13">
        <v>1.2E-2</v>
      </c>
      <c r="AA61" s="13">
        <v>1E-3</v>
      </c>
      <c r="AB61" s="13">
        <v>1.7999999999999999E-2</v>
      </c>
      <c r="AC61" s="13">
        <v>8.9999999999999993E-3</v>
      </c>
      <c r="AD61" s="12">
        <v>9.5000000000000001E-2</v>
      </c>
    </row>
    <row r="62" spans="1:30">
      <c r="A62" s="8">
        <v>2021</v>
      </c>
      <c r="B62" s="9" t="s">
        <v>64</v>
      </c>
      <c r="C62" s="10">
        <v>0</v>
      </c>
      <c r="D62" s="10">
        <v>1E-3</v>
      </c>
      <c r="E62" s="10">
        <v>1E-3</v>
      </c>
      <c r="F62" s="10">
        <v>0</v>
      </c>
      <c r="G62" s="10">
        <v>1E-3</v>
      </c>
      <c r="H62" s="10">
        <v>0</v>
      </c>
      <c r="I62" s="10">
        <v>0</v>
      </c>
      <c r="J62" s="11">
        <v>0</v>
      </c>
      <c r="K62" s="10">
        <v>0</v>
      </c>
      <c r="L62" s="10">
        <v>0</v>
      </c>
      <c r="M62" s="10">
        <v>0</v>
      </c>
      <c r="N62" s="12">
        <v>4.0000000000000001E-3</v>
      </c>
      <c r="Q62" s="7">
        <v>2022</v>
      </c>
      <c r="R62" s="13">
        <v>3.0000000000000001E-3</v>
      </c>
      <c r="S62" s="13">
        <v>1.4E-2</v>
      </c>
      <c r="T62" s="13">
        <v>1.2E-2</v>
      </c>
      <c r="U62" s="14">
        <v>-1E-3</v>
      </c>
      <c r="V62" s="15" t="s">
        <v>64</v>
      </c>
      <c r="W62" s="15" t="s">
        <v>64</v>
      </c>
      <c r="X62" s="15" t="s">
        <v>64</v>
      </c>
      <c r="Y62" s="15" t="s">
        <v>64</v>
      </c>
      <c r="Z62" s="15" t="s">
        <v>64</v>
      </c>
      <c r="AA62" s="15" t="s">
        <v>64</v>
      </c>
      <c r="AB62" s="15" t="s">
        <v>64</v>
      </c>
      <c r="AC62" s="15" t="s">
        <v>64</v>
      </c>
      <c r="AD62" s="16">
        <v>2.9000000000000001E-2</v>
      </c>
    </row>
    <row r="63" spans="1:30">
      <c r="A63" s="7">
        <v>2022</v>
      </c>
      <c r="B63" s="13">
        <v>0</v>
      </c>
      <c r="C63" s="13">
        <v>1E-3</v>
      </c>
      <c r="D63" s="13">
        <v>1E-3</v>
      </c>
      <c r="E63" s="14">
        <v>0</v>
      </c>
      <c r="F63" s="15" t="s">
        <v>64</v>
      </c>
      <c r="G63" s="15" t="s">
        <v>64</v>
      </c>
      <c r="H63" s="15" t="s">
        <v>64</v>
      </c>
      <c r="I63" s="15" t="s">
        <v>64</v>
      </c>
      <c r="J63" s="15" t="s">
        <v>64</v>
      </c>
      <c r="K63" s="15" t="s">
        <v>64</v>
      </c>
      <c r="L63" s="15" t="s">
        <v>64</v>
      </c>
      <c r="M63" s="15" t="s">
        <v>64</v>
      </c>
      <c r="N63" s="16">
        <v>2E-3</v>
      </c>
      <c r="Q63" s="7" t="s">
        <v>100</v>
      </c>
      <c r="R63" s="16">
        <v>3.0000000000000001E-3</v>
      </c>
      <c r="S63" s="16">
        <v>5.0000000000000001E-3</v>
      </c>
      <c r="T63" s="16">
        <v>0.01</v>
      </c>
      <c r="U63" s="16">
        <v>6.0000000000000001E-3</v>
      </c>
      <c r="V63" s="16">
        <v>1.4999999999999999E-2</v>
      </c>
      <c r="W63" s="16">
        <v>1.6E-2</v>
      </c>
      <c r="X63" s="16">
        <v>5.0000000000000001E-3</v>
      </c>
      <c r="Y63" s="17">
        <v>-1E-3</v>
      </c>
      <c r="Z63" s="16">
        <v>1.2E-2</v>
      </c>
      <c r="AA63" s="16">
        <v>1E-3</v>
      </c>
      <c r="AB63" s="16">
        <v>1.7999999999999999E-2</v>
      </c>
      <c r="AC63" s="16">
        <v>8.9999999999999993E-3</v>
      </c>
      <c r="AD63" s="18"/>
    </row>
    <row r="64" spans="1:30">
      <c r="A64" s="7" t="s">
        <v>100</v>
      </c>
      <c r="B64" s="16">
        <v>0</v>
      </c>
      <c r="C64" s="16">
        <v>0</v>
      </c>
      <c r="D64" s="16">
        <v>1E-3</v>
      </c>
      <c r="E64" s="16">
        <v>0</v>
      </c>
      <c r="F64" s="16">
        <v>0</v>
      </c>
      <c r="G64" s="16">
        <v>1E-3</v>
      </c>
      <c r="H64" s="16">
        <v>0</v>
      </c>
      <c r="I64" s="16">
        <v>0</v>
      </c>
      <c r="J64" s="17">
        <v>0</v>
      </c>
      <c r="K64" s="16">
        <v>0</v>
      </c>
      <c r="L64" s="16">
        <v>0</v>
      </c>
      <c r="M64" s="16">
        <v>0</v>
      </c>
      <c r="N64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</vt:lpstr>
      <vt:lpstr>Report</vt:lpstr>
      <vt:lpstr>Charts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2022-11-23T04:05:26Z</dcterms:created>
  <dcterms:modified xsi:type="dcterms:W3CDTF">2022-12-06T06:35:28Z</dcterms:modified>
</cp:coreProperties>
</file>